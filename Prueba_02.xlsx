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drawings/drawing1.xml" ContentType="application/vnd.openxmlformats-officedocument.drawing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F:\Desarrollo\presupuesto\"/>
    </mc:Choice>
  </mc:AlternateContent>
  <xr:revisionPtr revIDLastSave="0" documentId="8_{82D71BDE-DD7F-433A-A2FB-0251A8AA04C4}" xr6:coauthVersionLast="47" xr6:coauthVersionMax="47" xr10:uidLastSave="{00000000-0000-0000-0000-000000000000}"/>
  <bookViews>
    <workbookView xWindow="-108" yWindow="-108" windowWidth="23256" windowHeight="12456" activeTab="4" xr2:uid="{8243E161-77FC-48C3-B363-BDA7AE7E316E}"/>
  </bookViews>
  <sheets>
    <sheet name="INSUMOS" sheetId="2" r:id="rId1"/>
    <sheet name="Hoja1" sheetId="1" r:id="rId2"/>
    <sheet name="BÁSICOS" sheetId="3" r:id="rId3"/>
    <sheet name="APU" sheetId="4" r:id="rId4"/>
    <sheet name="PRESUPUESTO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7" i="5" l="1"/>
  <c r="H27" i="5"/>
  <c r="H13" i="5"/>
  <c r="H28" i="4"/>
  <c r="H19" i="4"/>
  <c r="H10" i="4"/>
  <c r="H31" i="3"/>
  <c r="H22" i="3"/>
  <c r="H12" i="3"/>
</calcChain>
</file>

<file path=xl/sharedStrings.xml><?xml version="1.0" encoding="utf-8"?>
<sst xmlns="http://schemas.openxmlformats.org/spreadsheetml/2006/main" count="265" uniqueCount="57">
  <si>
    <t>INSUMOS</t>
  </si>
  <si>
    <t>MATERIALES</t>
  </si>
  <si>
    <t>EQUIPOS</t>
  </si>
  <si>
    <t>MANO DE OBRA</t>
  </si>
  <si>
    <t>TRASPORTE</t>
  </si>
  <si>
    <t>SUBCONTRATOS</t>
  </si>
  <si>
    <t>ACTIVIDADES</t>
  </si>
  <si>
    <t>OTROS</t>
  </si>
  <si>
    <t>DESCRIPCIÓN</t>
  </si>
  <si>
    <t>CÓDIGO</t>
  </si>
  <si>
    <t>UNIDAD</t>
  </si>
  <si>
    <t>PRECIO</t>
  </si>
  <si>
    <t>FECHA</t>
  </si>
  <si>
    <t>acero corru.fig 1/4-1" 60000 psi</t>
  </si>
  <si>
    <t>kg</t>
  </si>
  <si>
    <t>herramienta menor</t>
  </si>
  <si>
    <t>gl</t>
  </si>
  <si>
    <t>cuadrilla AA albañileria</t>
  </si>
  <si>
    <t>h</t>
  </si>
  <si>
    <t>agua</t>
  </si>
  <si>
    <t>lt</t>
  </si>
  <si>
    <t>concretadora trompo 3 sacos</t>
  </si>
  <si>
    <t>d</t>
  </si>
  <si>
    <t>alambre negro recocido c-17</t>
  </si>
  <si>
    <t>arena lavada de peña</t>
  </si>
  <si>
    <t>m3</t>
  </si>
  <si>
    <t>cemento gris</t>
  </si>
  <si>
    <t>grava 1"</t>
  </si>
  <si>
    <t>ANALISIS DE PRECIOS UNITARIOS BÁSICOS</t>
  </si>
  <si>
    <t>CÓD</t>
  </si>
  <si>
    <t>NOMBRE A.P.U. BÁSICO</t>
  </si>
  <si>
    <t>UND</t>
  </si>
  <si>
    <t>TIPO</t>
  </si>
  <si>
    <t>FACTOR</t>
  </si>
  <si>
    <t>CANTIDAD</t>
  </si>
  <si>
    <t>TOTAL</t>
  </si>
  <si>
    <t>Total</t>
  </si>
  <si>
    <t>Basico 01</t>
  </si>
  <si>
    <t xml:space="preserve">ANALISIS DE PRECIOS UNITARIOS </t>
  </si>
  <si>
    <t>Apu 01</t>
  </si>
  <si>
    <t>Apu 02</t>
  </si>
  <si>
    <t>APU BÁSICOS</t>
  </si>
  <si>
    <t>PRESUPUESTO</t>
  </si>
  <si>
    <t>CAPÍTULO 1</t>
  </si>
  <si>
    <t>COSTO</t>
  </si>
  <si>
    <t>CAPÍTULO 2</t>
  </si>
  <si>
    <t>CAPÍTULO</t>
  </si>
  <si>
    <t>PORCENTAJE</t>
  </si>
  <si>
    <t>SUBTOTAL</t>
  </si>
  <si>
    <t>TOTAL DIRECTOS</t>
  </si>
  <si>
    <t>OK</t>
  </si>
  <si>
    <t>ADMINISTRACIÓN (A)</t>
  </si>
  <si>
    <t>IMPREVISTO (I)</t>
  </si>
  <si>
    <t>UTILIDAD (U)</t>
  </si>
  <si>
    <t>IMPUESTO SOBRE UTILIDAD</t>
  </si>
  <si>
    <t>TOTAL INDIRECTOS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</si>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</sst>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1" formatCode="_(* #,##0_);_(* \(#,##0\);_(* &quot;-&quot;_);_(@_)"/>
    <numFmt numFmtId="164" formatCode="_-* #,##0\ _€_-;\-* #,##0\ _€_-;_-* &quot;-&quot;\ _€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rgb="FF66FF66"/>
        <bgColor indexed="64"/>
      </patternFill>
    </fill>
  </fills>
  <borders count="26">
    <border>
      <left/>
      <right/>
      <top/>
      <bottom/>
      <diagonal/>
    </border>
    <border>
      <left style="medium">
        <color rgb="FF00A4F3"/>
      </left>
      <right/>
      <top style="medium">
        <color rgb="FF00A4F3"/>
      </top>
      <bottom style="medium">
        <color rgb="FF00A4F3"/>
      </bottom>
      <diagonal/>
    </border>
    <border>
      <left/>
      <right/>
      <top style="medium">
        <color rgb="FF00A4F3"/>
      </top>
      <bottom style="medium">
        <color rgb="FF00A4F3"/>
      </bottom>
      <diagonal/>
    </border>
    <border>
      <left/>
      <right style="medium">
        <color rgb="FF00A4F3"/>
      </right>
      <top style="medium">
        <color rgb="FF00A4F3"/>
      </top>
      <bottom style="medium">
        <color rgb="FF00A4F3"/>
      </bottom>
      <diagonal/>
    </border>
    <border>
      <left style="medium">
        <color rgb="FF00AC56"/>
      </left>
      <right style="hair">
        <color rgb="FF00AC56"/>
      </right>
      <top style="medium">
        <color rgb="FF00AC56"/>
      </top>
      <bottom style="medium">
        <color rgb="FF00AC56"/>
      </bottom>
      <diagonal/>
    </border>
    <border>
      <left style="hair">
        <color rgb="FF00AC56"/>
      </left>
      <right/>
      <top style="medium">
        <color rgb="FF00AC56"/>
      </top>
      <bottom style="medium">
        <color rgb="FF00AC56"/>
      </bottom>
      <diagonal/>
    </border>
    <border>
      <left/>
      <right/>
      <top style="medium">
        <color rgb="FF00AC56"/>
      </top>
      <bottom style="medium">
        <color rgb="FF00AC56"/>
      </bottom>
      <diagonal/>
    </border>
    <border>
      <left/>
      <right style="hair">
        <color rgb="FF00AC56"/>
      </right>
      <top style="medium">
        <color rgb="FF00AC56"/>
      </top>
      <bottom style="medium">
        <color rgb="FF00AC56"/>
      </bottom>
      <diagonal/>
    </border>
    <border>
      <left style="hair">
        <color rgb="FF00AC56"/>
      </left>
      <right style="medium">
        <color rgb="FF00AC56"/>
      </right>
      <top style="medium">
        <color rgb="FF00AC56"/>
      </top>
      <bottom style="medium">
        <color rgb="FF00AC56"/>
      </bottom>
      <diagonal/>
    </border>
    <border>
      <left style="medium">
        <color rgb="FF0088CC"/>
      </left>
      <right style="hair">
        <color rgb="FF0088CC"/>
      </right>
      <top style="medium">
        <color rgb="FF0088CC"/>
      </top>
      <bottom style="medium">
        <color rgb="FF0088CC"/>
      </bottom>
      <diagonal/>
    </border>
    <border>
      <left style="hair">
        <color rgb="FF0088CC"/>
      </left>
      <right/>
      <top style="medium">
        <color rgb="FF0088CC"/>
      </top>
      <bottom style="medium">
        <color rgb="FF0088CC"/>
      </bottom>
      <diagonal/>
    </border>
    <border>
      <left/>
      <right/>
      <top style="medium">
        <color rgb="FF0088CC"/>
      </top>
      <bottom style="medium">
        <color rgb="FF0088CC"/>
      </bottom>
      <diagonal/>
    </border>
    <border>
      <left/>
      <right style="hair">
        <color rgb="FF0088CC"/>
      </right>
      <top style="medium">
        <color rgb="FF0088CC"/>
      </top>
      <bottom style="medium">
        <color rgb="FF0088CC"/>
      </bottom>
      <diagonal/>
    </border>
    <border>
      <left style="hair">
        <color rgb="FF0088CC"/>
      </left>
      <right style="medium">
        <color rgb="FF0088CC"/>
      </right>
      <top style="medium">
        <color rgb="FF0088CC"/>
      </top>
      <bottom style="medium">
        <color rgb="FF0088CC"/>
      </bottom>
      <diagonal/>
    </border>
    <border>
      <left style="medium">
        <color rgb="FF00A4F3"/>
      </left>
      <right style="hair">
        <color rgb="FF00A4F3"/>
      </right>
      <top style="medium">
        <color rgb="FF00A4F3"/>
      </top>
      <bottom style="medium">
        <color rgb="FF00A4F3"/>
      </bottom>
      <diagonal/>
    </border>
    <border>
      <left style="hair">
        <color rgb="FF00A4F3"/>
      </left>
      <right/>
      <top style="medium">
        <color rgb="FF00A4F3"/>
      </top>
      <bottom style="medium">
        <color rgb="FF00A4F3"/>
      </bottom>
      <diagonal/>
    </border>
    <border>
      <left/>
      <right style="hair">
        <color rgb="FF00A4F3"/>
      </right>
      <top style="medium">
        <color rgb="FF00A4F3"/>
      </top>
      <bottom style="medium">
        <color rgb="FF00A4F3"/>
      </bottom>
      <diagonal/>
    </border>
    <border>
      <left style="hair">
        <color rgb="FF00A4F3"/>
      </left>
      <right style="medium">
        <color rgb="FF00A4F3"/>
      </right>
      <top style="medium">
        <color rgb="FF00A4F3"/>
      </top>
      <bottom style="medium">
        <color rgb="FF00A4F3"/>
      </bottom>
      <diagonal/>
    </border>
    <border>
      <left style="medium">
        <color rgb="FF009999"/>
      </left>
      <right/>
      <top style="medium">
        <color rgb="FF009999"/>
      </top>
      <bottom style="medium">
        <color rgb="FF009999"/>
      </bottom>
      <diagonal/>
    </border>
    <border>
      <left/>
      <right/>
      <top style="medium">
        <color rgb="FF009999"/>
      </top>
      <bottom style="medium">
        <color rgb="FF009999"/>
      </bottom>
      <diagonal/>
    </border>
    <border>
      <left/>
      <right style="hair">
        <color rgb="FF009999"/>
      </right>
      <top style="medium">
        <color rgb="FF009999"/>
      </top>
      <bottom style="medium">
        <color rgb="FF009999"/>
      </bottom>
      <diagonal/>
    </border>
    <border>
      <left style="hair">
        <color rgb="FF009999"/>
      </left>
      <right style="medium">
        <color rgb="FF009999"/>
      </right>
      <top style="medium">
        <color rgb="FF009999"/>
      </top>
      <bottom style="medium">
        <color rgb="FF009999"/>
      </bottom>
      <diagonal/>
    </border>
    <border>
      <left style="thin">
        <color rgb="FF009999"/>
      </left>
      <right/>
      <top style="thin">
        <color rgb="FF009999"/>
      </top>
      <bottom style="thin">
        <color rgb="FF009999"/>
      </bottom>
      <diagonal/>
    </border>
    <border>
      <left/>
      <right/>
      <top style="thin">
        <color rgb="FF009999"/>
      </top>
      <bottom style="thin">
        <color rgb="FF009999"/>
      </bottom>
      <diagonal/>
    </border>
    <border>
      <left style="thin">
        <color rgb="FF009999"/>
      </left>
      <right style="thin">
        <color rgb="FF009999"/>
      </right>
      <top style="thin">
        <color rgb="FF009999"/>
      </top>
      <bottom style="thin">
        <color rgb="FF009999"/>
      </bottom>
      <diagonal/>
    </border>
    <border>
      <left/>
      <right/>
      <top style="thin">
        <color rgb="FF009999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6" fillId="0" borderId="0"/>
    <xf numFmtId="0" fontId="1" fillId="0" borderId="0"/>
  </cellStyleXfs>
  <cellXfs count="67">
    <xf numFmtId="0" fontId="0" fillId="0" borderId="0" xfId="0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41" fontId="0" fillId="0" borderId="0" xfId="0" applyNumberFormat="1"/>
    <xf numFmtId="3" fontId="0" fillId="0" borderId="0" xfId="0" applyNumberFormat="1"/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3" fontId="5" fillId="0" borderId="0" xfId="0" applyNumberFormat="1" applyFont="1"/>
    <xf numFmtId="0" fontId="5" fillId="0" borderId="0" xfId="0" applyFont="1"/>
    <xf numFmtId="41" fontId="5" fillId="0" borderId="0" xfId="0" applyNumberFormat="1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41" fontId="2" fillId="0" borderId="0" xfId="0" applyNumberFormat="1" applyFont="1"/>
    <xf numFmtId="0" fontId="2" fillId="0" borderId="0" xfId="0" applyFont="1"/>
    <xf numFmtId="14" fontId="5" fillId="0" borderId="0" xfId="0" applyNumberFormat="1" applyFont="1"/>
    <xf numFmtId="164" fontId="0" fillId="0" borderId="0" xfId="0" applyNumberFormat="1" applyAlignment="1">
      <alignment horizontal="center"/>
    </xf>
    <xf numFmtId="164" fontId="0" fillId="0" borderId="0" xfId="0" applyNumberFormat="1"/>
    <xf numFmtId="0" fontId="3" fillId="2" borderId="0" xfId="0" applyFont="1" applyFill="1" applyAlignment="1">
      <alignment horizontal="center" vertical="center"/>
    </xf>
    <xf numFmtId="0" fontId="0" fillId="0" borderId="4" xfId="0" applyBorder="1"/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/>
    <xf numFmtId="0" fontId="6" fillId="0" borderId="0" xfId="2"/>
    <xf numFmtId="0" fontId="1" fillId="0" borderId="0" xfId="3"/>
    <xf numFmtId="0" fontId="6" fillId="0" borderId="0" xfId="2" applyAlignment="1">
      <alignment vertical="center"/>
    </xf>
    <xf numFmtId="164" fontId="1" fillId="0" borderId="0" xfId="3" applyNumberFormat="1"/>
    <xf numFmtId="0" fontId="0" fillId="0" borderId="9" xfId="0" applyBorder="1"/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/>
    <xf numFmtId="0" fontId="2" fillId="0" borderId="14" xfId="0" applyFont="1" applyBorder="1" applyAlignment="1">
      <alignment horizontal="left" vertical="top"/>
    </xf>
    <xf numFmtId="0" fontId="2" fillId="0" borderId="15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2" fillId="0" borderId="16" xfId="0" applyFont="1" applyBorder="1" applyAlignment="1">
      <alignment horizontal="left" vertical="top"/>
    </xf>
    <xf numFmtId="0" fontId="2" fillId="0" borderId="17" xfId="0" applyFont="1" applyBorder="1" applyAlignment="1">
      <alignment horizontal="left" vertical="top"/>
    </xf>
    <xf numFmtId="41" fontId="3" fillId="2" borderId="0" xfId="0" applyNumberFormat="1" applyFont="1" applyFill="1" applyAlignment="1">
      <alignment horizontal="center" vertical="center"/>
    </xf>
    <xf numFmtId="0" fontId="7" fillId="0" borderId="0" xfId="0" applyFont="1"/>
    <xf numFmtId="41" fontId="7" fillId="0" borderId="0" xfId="0" applyNumberFormat="1" applyFont="1" applyAlignment="1">
      <alignment horizontal="center"/>
    </xf>
    <xf numFmtId="41" fontId="7" fillId="0" borderId="0" xfId="0" applyNumberFormat="1" applyFont="1" applyAlignment="1">
      <alignment horizontal="left"/>
    </xf>
    <xf numFmtId="41" fontId="7" fillId="0" borderId="0" xfId="0" applyNumberFormat="1" applyFont="1"/>
    <xf numFmtId="41" fontId="8" fillId="0" borderId="18" xfId="0" applyNumberFormat="1" applyFont="1" applyBorder="1" applyAlignment="1">
      <alignment horizontal="left" vertical="top"/>
    </xf>
    <xf numFmtId="41" fontId="8" fillId="0" borderId="19" xfId="0" applyNumberFormat="1" applyFont="1" applyBorder="1" applyAlignment="1">
      <alignment horizontal="left" vertical="top"/>
    </xf>
    <xf numFmtId="41" fontId="8" fillId="0" borderId="20" xfId="0" applyNumberFormat="1" applyFont="1" applyBorder="1" applyAlignment="1">
      <alignment horizontal="left" vertical="top"/>
    </xf>
    <xf numFmtId="41" fontId="8" fillId="0" borderId="21" xfId="0" applyNumberFormat="1" applyFont="1" applyBorder="1" applyAlignment="1">
      <alignment horizontal="left" vertical="top"/>
    </xf>
    <xf numFmtId="41" fontId="8" fillId="0" borderId="0" xfId="0" applyNumberFormat="1" applyFont="1" applyAlignment="1">
      <alignment horizontal="center"/>
    </xf>
    <xf numFmtId="41" fontId="8" fillId="0" borderId="0" xfId="0" applyNumberFormat="1" applyFont="1" applyAlignment="1">
      <alignment horizontal="left"/>
    </xf>
    <xf numFmtId="41" fontId="8" fillId="0" borderId="0" xfId="0" applyNumberFormat="1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10" fontId="7" fillId="0" borderId="0" xfId="0" applyNumberFormat="1" applyFont="1" applyAlignment="1">
      <alignment horizontal="center"/>
    </xf>
    <xf numFmtId="41" fontId="7" fillId="0" borderId="22" xfId="0" applyNumberFormat="1" applyFont="1" applyBorder="1" applyAlignment="1">
      <alignment horizontal="center"/>
    </xf>
    <xf numFmtId="41" fontId="7" fillId="0" borderId="23" xfId="0" applyNumberFormat="1" applyFont="1" applyBorder="1" applyAlignment="1">
      <alignment horizontal="left"/>
    </xf>
    <xf numFmtId="41" fontId="8" fillId="0" borderId="23" xfId="0" applyNumberFormat="1" applyFont="1" applyBorder="1" applyAlignment="1">
      <alignment horizontal="center"/>
    </xf>
    <xf numFmtId="41" fontId="8" fillId="0" borderId="24" xfId="0" applyNumberFormat="1" applyFont="1" applyBorder="1"/>
    <xf numFmtId="41" fontId="7" fillId="3" borderId="25" xfId="0" applyNumberFormat="1" applyFont="1" applyFill="1" applyBorder="1" applyAlignment="1">
      <alignment horizontal="center"/>
    </xf>
    <xf numFmtId="9" fontId="7" fillId="0" borderId="0" xfId="1" applyFont="1" applyAlignment="1">
      <alignment horizontal="center"/>
    </xf>
    <xf numFmtId="3" fontId="7" fillId="0" borderId="0" xfId="0" applyNumberFormat="1" applyFont="1" applyAlignment="1">
      <alignment horizontal="center"/>
    </xf>
    <xf numFmtId="9" fontId="8" fillId="0" borderId="0" xfId="1" applyFont="1" applyAlignment="1">
      <alignment horizontal="center"/>
    </xf>
    <xf numFmtId="3" fontId="8" fillId="0" borderId="0" xfId="0" applyNumberFormat="1" applyFont="1" applyAlignment="1">
      <alignment horizontal="center"/>
    </xf>
  </cellXfs>
  <cellStyles count="4">
    <cellStyle name="Normal" xfId="0" builtinId="0"/>
    <cellStyle name="Normal 12 3" xfId="3" xr:uid="{66E92169-9FF5-4E02-B9D5-39C806C9C3B1}"/>
    <cellStyle name="Normal 41" xfId="2" xr:uid="{1F0AA6B0-A51C-41F2-96D4-DC3A283E90E0}"/>
    <cellStyle name="Porcentaje" xfId="1" builtinId="5"/>
  </cellStyles>
  <dxfs count="145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center" vertical="bottom" textRotation="0" wrapText="0" indent="0" justifyLastLine="0" shrinkToFit="0" readingOrder="0"/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center" vertical="bottom" textRotation="0" wrapText="0" indent="0" justifyLastLine="0" shrinkToFit="0" readingOrder="0"/>
    </dxf>
    <dxf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center" vertical="bottom" textRotation="0" wrapText="0" indent="0" justifyLastLine="0" shrinkToFit="0" readingOrder="0"/>
    </dxf>
    <dxf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3" formatCode="_(* #,##0_);_(* \(#,##0\);_(* &quot;-&quot;_);_(@_)"/>
      <alignment horizontal="general" vertical="bottom" textRotation="0" wrapText="0" indent="0" justifyLastLine="0" shrinkToFit="0" readingOrder="0"/>
    </dxf>
    <dxf>
      <font>
        <strike val="0"/>
        <color theme="0"/>
      </font>
      <fill>
        <patternFill>
          <bgColor rgb="FF009999"/>
        </patternFill>
      </fill>
      <border>
        <left/>
        <right/>
        <top/>
        <bottom/>
      </border>
    </dxf>
    <dxf>
      <font>
        <strike val="0"/>
        <color auto="1"/>
      </font>
      <border>
        <left style="hair">
          <color rgb="FF009999"/>
        </left>
        <right style="hair">
          <color rgb="FF009999"/>
        </right>
        <top style="hair">
          <color rgb="FF009999"/>
        </top>
        <bottom style="hair">
          <color rgb="FF009999"/>
        </bottom>
        <vertical style="hair">
          <color rgb="FF009999"/>
        </vertical>
        <horizontal style="hair">
          <color rgb="FF009999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3" formatCode="_(* #,##0_);_(* \(#,##0\);_(* &quot;-&quot;_);_(@_)"/>
    </dxf>
    <dxf>
      <numFmt numFmtId="33" formatCode="_(* #,##0_);_(* \(#,##0\);_(* &quot;-&quot;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3" formatCode="_(* #,##0_);_(* \(#,##0\);_(* &quot;-&quot;_);_(@_)"/>
    </dxf>
    <dxf>
      <numFmt numFmtId="33" formatCode="_(* #,##0_);_(* \(#,##0\);_(* &quot;-&quot;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font>
        <b/>
      </font>
    </dxf>
    <dxf>
      <numFmt numFmtId="33" formatCode="_(* #,##0_);_(* \(#,##0\);_(* &quot;-&quot;_);_(@_)"/>
    </dxf>
    <dxf>
      <numFmt numFmtId="33" formatCode="_(* #,##0_);_(* \(#,##0\);_(* &quot;-&quot;_);_(@_)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font>
        <b/>
      </font>
    </dxf>
    <dxf>
      <numFmt numFmtId="33" formatCode="_(* #,##0_);_(* \(#,##0\);_(* &quot;-&quot;_);_(@_)"/>
    </dxf>
    <dxf>
      <numFmt numFmtId="33" formatCode="_(* #,##0_);_(* \(#,##0\);_(* &quot;-&quot;_);_(@_)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font>
        <strike val="0"/>
        <color theme="0"/>
      </font>
      <fill>
        <patternFill>
          <bgColor rgb="FF00AC56"/>
        </patternFill>
      </fill>
      <border>
        <left/>
        <right/>
        <top/>
        <bottom/>
      </border>
    </dxf>
    <dxf>
      <font>
        <strike val="0"/>
        <color auto="1"/>
      </font>
      <border>
        <left style="hair">
          <color rgb="FF00AC56"/>
        </left>
        <right style="hair">
          <color rgb="FF00AC56"/>
        </right>
        <top style="hair">
          <color rgb="FF00AC56"/>
        </top>
        <bottom style="hair">
          <color rgb="FF00AC56"/>
        </bottom>
        <vertical style="hair">
          <color rgb="FF00AC56"/>
        </vertical>
        <horizontal style="hair">
          <color rgb="FF00AC56"/>
        </horizontal>
      </border>
    </dxf>
    <dxf>
      <numFmt numFmtId="33" formatCode="_(* #,##0_);_(* \(#,##0\);_(* &quot;-&quot;_);_(@_)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</font>
    </dxf>
    <dxf>
      <numFmt numFmtId="33" formatCode="_(* #,##0_);_(* \(#,##0\);_(* &quot;-&quot;_);_(@_)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</font>
    </dxf>
    <dxf>
      <numFmt numFmtId="33" formatCode="_(* #,##0_);_(* \(#,##0\);_(* &quot;-&quot;_);_(@_)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</font>
    </dxf>
    <dxf>
      <numFmt numFmtId="33" formatCode="_(* #,##0_);_(* \(#,##0\);_(* &quot;-&quot;_);_(@_)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</font>
    </dxf>
    <dxf>
      <numFmt numFmtId="33" formatCode="_(* #,##0_);_(* \(#,##0\);_(* &quot;-&quot;_);_(@_)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</font>
    </dxf>
    <dxf>
      <numFmt numFmtId="33" formatCode="_(* #,##0_);_(* \(#,##0\);_(* &quot;-&quot;_);_(@_)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numFmt numFmtId="3" formatCode="#,##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auto="1"/>
        </patternFill>
      </fill>
    </dxf>
    <dxf>
      <font>
        <strike val="0"/>
        <color theme="0"/>
      </font>
      <fill>
        <patternFill>
          <bgColor rgb="FF0088CC"/>
        </patternFill>
      </fill>
      <border>
        <left/>
        <right/>
        <top/>
        <bottom/>
      </border>
    </dxf>
    <dxf>
      <font>
        <strike val="0"/>
        <color auto="1"/>
      </font>
      <border>
        <left style="hair">
          <color rgb="FF0088CC"/>
        </left>
        <right style="hair">
          <color rgb="FF0088CC"/>
        </right>
        <top style="hair">
          <color rgb="FF0088CC"/>
        </top>
        <bottom style="hair">
          <color rgb="FF0088CC"/>
        </bottom>
        <vertical style="hair">
          <color rgb="FF0088CC"/>
        </vertical>
        <horizontal style="hair">
          <color rgb="FF0088CC"/>
        </horizontal>
      </border>
    </dxf>
  </dxfs>
  <tableStyles count="3" defaultTableStyle="TableStyleMedium2" defaultPivotStyle="PivotStyleLight16">
    <tableStyle name="S5S Blue" pivot="0" count="2" xr9:uid="{CD47F03E-77F8-451E-82B2-75970943D0C1}">
      <tableStyleElement type="wholeTable" dxfId="144"/>
      <tableStyleElement type="headerRow" dxfId="143"/>
    </tableStyle>
    <tableStyle name="S5S Green" pivot="0" count="2" xr9:uid="{15AC96E2-70F7-42F2-8139-6305DEC0D627}">
      <tableStyleElement type="wholeTable" dxfId="107"/>
      <tableStyleElement type="headerRow" dxfId="106"/>
    </tableStyle>
    <tableStyle name="S5S Greenblue" pivot="0" count="2" xr9:uid="{4151079A-7970-481F-80BB-308BBE15B615}">
      <tableStyleElement type="wholeTable" dxfId="59"/>
      <tableStyleElement type="headerRow" dxfId="5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" name="Elipse 1">
          <a:extLst>
            <a:ext uri="{FF2B5EF4-FFF2-40B4-BE49-F238E27FC236}">
              <a16:creationId xmlns:a16="http://schemas.microsoft.com/office/drawing/2014/main" id="{9ED8E966-FE4F-4F51-8373-41A8452D03C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" name="Elipse 2">
          <a:extLst>
            <a:ext uri="{FF2B5EF4-FFF2-40B4-BE49-F238E27FC236}">
              <a16:creationId xmlns:a16="http://schemas.microsoft.com/office/drawing/2014/main" id="{B9DF0F61-FAB4-4B7F-8F4C-5D02F35C480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" name="Elipse 3">
          <a:extLst>
            <a:ext uri="{FF2B5EF4-FFF2-40B4-BE49-F238E27FC236}">
              <a16:creationId xmlns:a16="http://schemas.microsoft.com/office/drawing/2014/main" id="{9426C828-CB33-44F3-B33D-78E7E9FB303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5" name="Elipse 4">
          <a:extLst>
            <a:ext uri="{FF2B5EF4-FFF2-40B4-BE49-F238E27FC236}">
              <a16:creationId xmlns:a16="http://schemas.microsoft.com/office/drawing/2014/main" id="{DB462B86-1E4E-4FDD-B5CF-E35A19FB03E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6" name="Elipse 5">
          <a:extLst>
            <a:ext uri="{FF2B5EF4-FFF2-40B4-BE49-F238E27FC236}">
              <a16:creationId xmlns:a16="http://schemas.microsoft.com/office/drawing/2014/main" id="{F31313A8-6E01-43F0-9413-8F3398973B1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7" name="Elipse 6">
          <a:extLst>
            <a:ext uri="{FF2B5EF4-FFF2-40B4-BE49-F238E27FC236}">
              <a16:creationId xmlns:a16="http://schemas.microsoft.com/office/drawing/2014/main" id="{B7B436DB-7573-4045-83EF-29A9C153339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8" name="Elipse 7">
          <a:extLst>
            <a:ext uri="{FF2B5EF4-FFF2-40B4-BE49-F238E27FC236}">
              <a16:creationId xmlns:a16="http://schemas.microsoft.com/office/drawing/2014/main" id="{7E33E23F-B860-4DE0-A597-04BEC6131C6E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66E45D10-2C61-41D4-86C4-F70E7D59D63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789412AC-6788-4F9A-930C-DF9EFA17E44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1" name="Elipse 10">
          <a:extLst>
            <a:ext uri="{FF2B5EF4-FFF2-40B4-BE49-F238E27FC236}">
              <a16:creationId xmlns:a16="http://schemas.microsoft.com/office/drawing/2014/main" id="{A3313E68-39C8-4033-9BC0-698E41F696E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2" name="Elipse 11">
          <a:extLst>
            <a:ext uri="{FF2B5EF4-FFF2-40B4-BE49-F238E27FC236}">
              <a16:creationId xmlns:a16="http://schemas.microsoft.com/office/drawing/2014/main" id="{75AD571A-6BF4-4B19-A98B-C96605AC4C7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3" name="Elipse 12">
          <a:extLst>
            <a:ext uri="{FF2B5EF4-FFF2-40B4-BE49-F238E27FC236}">
              <a16:creationId xmlns:a16="http://schemas.microsoft.com/office/drawing/2014/main" id="{76021D6E-7BBB-460C-B452-5AF9AE56180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4" name="Elipse 13">
          <a:extLst>
            <a:ext uri="{FF2B5EF4-FFF2-40B4-BE49-F238E27FC236}">
              <a16:creationId xmlns:a16="http://schemas.microsoft.com/office/drawing/2014/main" id="{FB9D0D25-63CC-4F4D-A948-538E76D65AE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5" name="Elipse 14">
          <a:extLst>
            <a:ext uri="{FF2B5EF4-FFF2-40B4-BE49-F238E27FC236}">
              <a16:creationId xmlns:a16="http://schemas.microsoft.com/office/drawing/2014/main" id="{65BB637B-F733-4219-87C2-C53AEFABCB8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6" name="Elipse 15">
          <a:extLst>
            <a:ext uri="{FF2B5EF4-FFF2-40B4-BE49-F238E27FC236}">
              <a16:creationId xmlns:a16="http://schemas.microsoft.com/office/drawing/2014/main" id="{1D1E31A4-2272-4D48-AFD4-D0F4633CDD1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7" name="Elipse 16">
          <a:extLst>
            <a:ext uri="{FF2B5EF4-FFF2-40B4-BE49-F238E27FC236}">
              <a16:creationId xmlns:a16="http://schemas.microsoft.com/office/drawing/2014/main" id="{2F4A729D-66B9-44B6-A41D-BDF9D914CE00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8" name="Elipse 17">
          <a:extLst>
            <a:ext uri="{FF2B5EF4-FFF2-40B4-BE49-F238E27FC236}">
              <a16:creationId xmlns:a16="http://schemas.microsoft.com/office/drawing/2014/main" id="{3F34D67B-995E-41DE-8E27-00BF3ABA949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19" name="Elipse 18">
          <a:extLst>
            <a:ext uri="{FF2B5EF4-FFF2-40B4-BE49-F238E27FC236}">
              <a16:creationId xmlns:a16="http://schemas.microsoft.com/office/drawing/2014/main" id="{D705302D-FE1A-48A3-AFB0-C0072D74577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0" name="Elipse 19">
          <a:extLst>
            <a:ext uri="{FF2B5EF4-FFF2-40B4-BE49-F238E27FC236}">
              <a16:creationId xmlns:a16="http://schemas.microsoft.com/office/drawing/2014/main" id="{C3DC2152-01F2-4571-8C63-1E56AD3725B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1" name="Elipse 20">
          <a:extLst>
            <a:ext uri="{FF2B5EF4-FFF2-40B4-BE49-F238E27FC236}">
              <a16:creationId xmlns:a16="http://schemas.microsoft.com/office/drawing/2014/main" id="{E895A03E-3440-4AD8-A242-A836EEF4D77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2" name="Elipse 21">
          <a:extLst>
            <a:ext uri="{FF2B5EF4-FFF2-40B4-BE49-F238E27FC236}">
              <a16:creationId xmlns:a16="http://schemas.microsoft.com/office/drawing/2014/main" id="{E7F74B64-20E6-4D09-A242-75F72A44BD2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3" name="Elipse 22">
          <a:extLst>
            <a:ext uri="{FF2B5EF4-FFF2-40B4-BE49-F238E27FC236}">
              <a16:creationId xmlns:a16="http://schemas.microsoft.com/office/drawing/2014/main" id="{579C8B94-AF9E-46A6-81DB-9F005D615AB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4" name="Elipse 23">
          <a:extLst>
            <a:ext uri="{FF2B5EF4-FFF2-40B4-BE49-F238E27FC236}">
              <a16:creationId xmlns:a16="http://schemas.microsoft.com/office/drawing/2014/main" id="{F9C37EBA-5E0F-4996-896E-77BC366BCF3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5" name="Elipse 24">
          <a:extLst>
            <a:ext uri="{FF2B5EF4-FFF2-40B4-BE49-F238E27FC236}">
              <a16:creationId xmlns:a16="http://schemas.microsoft.com/office/drawing/2014/main" id="{8A135A80-E207-4EC6-9991-ABDB152B7A2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6" name="Elipse 25">
          <a:extLst>
            <a:ext uri="{FF2B5EF4-FFF2-40B4-BE49-F238E27FC236}">
              <a16:creationId xmlns:a16="http://schemas.microsoft.com/office/drawing/2014/main" id="{33730FC9-442F-4FBB-BF41-F5C676F94BB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7" name="Elipse 26">
          <a:extLst>
            <a:ext uri="{FF2B5EF4-FFF2-40B4-BE49-F238E27FC236}">
              <a16:creationId xmlns:a16="http://schemas.microsoft.com/office/drawing/2014/main" id="{4D1E8383-890A-4A7D-9D30-C2E8BB9163F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8" name="Elipse 27">
          <a:extLst>
            <a:ext uri="{FF2B5EF4-FFF2-40B4-BE49-F238E27FC236}">
              <a16:creationId xmlns:a16="http://schemas.microsoft.com/office/drawing/2014/main" id="{32A5A33E-BB39-4FF2-89C6-13D1072D23F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29" name="Elipse 28">
          <a:extLst>
            <a:ext uri="{FF2B5EF4-FFF2-40B4-BE49-F238E27FC236}">
              <a16:creationId xmlns:a16="http://schemas.microsoft.com/office/drawing/2014/main" id="{666654CD-6068-48ED-B10F-B04CCC0B4DC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0" name="Elipse 29">
          <a:extLst>
            <a:ext uri="{FF2B5EF4-FFF2-40B4-BE49-F238E27FC236}">
              <a16:creationId xmlns:a16="http://schemas.microsoft.com/office/drawing/2014/main" id="{4898ED4B-6AF6-4C2B-9AD9-C20D1C5BB8F2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1" name="Elipse 30">
          <a:extLst>
            <a:ext uri="{FF2B5EF4-FFF2-40B4-BE49-F238E27FC236}">
              <a16:creationId xmlns:a16="http://schemas.microsoft.com/office/drawing/2014/main" id="{5E582EEE-2EE2-4466-B2FE-24D4843C6E29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2" name="Elipse 31">
          <a:extLst>
            <a:ext uri="{FF2B5EF4-FFF2-40B4-BE49-F238E27FC236}">
              <a16:creationId xmlns:a16="http://schemas.microsoft.com/office/drawing/2014/main" id="{E6610951-626A-44D6-908D-2DC37D20E413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3" name="Elipse 32">
          <a:extLst>
            <a:ext uri="{FF2B5EF4-FFF2-40B4-BE49-F238E27FC236}">
              <a16:creationId xmlns:a16="http://schemas.microsoft.com/office/drawing/2014/main" id="{89715F12-1221-4AAA-9A92-65724288BAF4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4" name="Elipse 33">
          <a:extLst>
            <a:ext uri="{FF2B5EF4-FFF2-40B4-BE49-F238E27FC236}">
              <a16:creationId xmlns:a16="http://schemas.microsoft.com/office/drawing/2014/main" id="{0C9FCDA9-4B42-4BDC-98B2-7509870BD85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5" name="Elipse 34">
          <a:extLst>
            <a:ext uri="{FF2B5EF4-FFF2-40B4-BE49-F238E27FC236}">
              <a16:creationId xmlns:a16="http://schemas.microsoft.com/office/drawing/2014/main" id="{429D6EAF-7166-46E5-B3D2-E70BD83DA19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6" name="Elipse 35">
          <a:extLst>
            <a:ext uri="{FF2B5EF4-FFF2-40B4-BE49-F238E27FC236}">
              <a16:creationId xmlns:a16="http://schemas.microsoft.com/office/drawing/2014/main" id="{FE22FAE0-752F-4FA0-9E48-C17CC122100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7" name="Elipse 36">
          <a:extLst>
            <a:ext uri="{FF2B5EF4-FFF2-40B4-BE49-F238E27FC236}">
              <a16:creationId xmlns:a16="http://schemas.microsoft.com/office/drawing/2014/main" id="{38501A05-E79B-4F77-A38E-814C1BF020F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8" name="Elipse 37">
          <a:extLst>
            <a:ext uri="{FF2B5EF4-FFF2-40B4-BE49-F238E27FC236}">
              <a16:creationId xmlns:a16="http://schemas.microsoft.com/office/drawing/2014/main" id="{F1D9F39D-6858-401E-B109-27A8CE4B95D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39" name="Elipse 38">
          <a:extLst>
            <a:ext uri="{FF2B5EF4-FFF2-40B4-BE49-F238E27FC236}">
              <a16:creationId xmlns:a16="http://schemas.microsoft.com/office/drawing/2014/main" id="{09291D7D-0189-4ABA-B4B2-7042FF8BD1C1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0" name="Elipse 39">
          <a:extLst>
            <a:ext uri="{FF2B5EF4-FFF2-40B4-BE49-F238E27FC236}">
              <a16:creationId xmlns:a16="http://schemas.microsoft.com/office/drawing/2014/main" id="{158CEBEC-C7A1-4B4E-848F-6D360BE0B8FB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1" name="Elipse 40">
          <a:extLst>
            <a:ext uri="{FF2B5EF4-FFF2-40B4-BE49-F238E27FC236}">
              <a16:creationId xmlns:a16="http://schemas.microsoft.com/office/drawing/2014/main" id="{8DE19F7A-1FDB-4A50-8D41-0F8CF60C72FA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2" name="Elipse 41">
          <a:extLst>
            <a:ext uri="{FF2B5EF4-FFF2-40B4-BE49-F238E27FC236}">
              <a16:creationId xmlns:a16="http://schemas.microsoft.com/office/drawing/2014/main" id="{6B7A9666-F8FB-4C05-A039-CE63A64A227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3" name="Elipse 42">
          <a:extLst>
            <a:ext uri="{FF2B5EF4-FFF2-40B4-BE49-F238E27FC236}">
              <a16:creationId xmlns:a16="http://schemas.microsoft.com/office/drawing/2014/main" id="{CA72CFB9-D533-4FBA-8920-2279EB537B5D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4" name="Elipse 43">
          <a:extLst>
            <a:ext uri="{FF2B5EF4-FFF2-40B4-BE49-F238E27FC236}">
              <a16:creationId xmlns:a16="http://schemas.microsoft.com/office/drawing/2014/main" id="{51140B47-AA95-4ADC-9AD1-127719492828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5" name="Elipse 44">
          <a:extLst>
            <a:ext uri="{FF2B5EF4-FFF2-40B4-BE49-F238E27FC236}">
              <a16:creationId xmlns:a16="http://schemas.microsoft.com/office/drawing/2014/main" id="{EEE6E9CD-5047-4F36-B34B-6218E494D76F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6" name="Elipse 45">
          <a:extLst>
            <a:ext uri="{FF2B5EF4-FFF2-40B4-BE49-F238E27FC236}">
              <a16:creationId xmlns:a16="http://schemas.microsoft.com/office/drawing/2014/main" id="{FC9526F5-03A6-49F8-8895-4C5634DDA227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7" name="Elipse 46">
          <a:extLst>
            <a:ext uri="{FF2B5EF4-FFF2-40B4-BE49-F238E27FC236}">
              <a16:creationId xmlns:a16="http://schemas.microsoft.com/office/drawing/2014/main" id="{D0C8FA82-59D3-4414-8921-4BDA716D8A45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8" name="Elipse 47">
          <a:extLst>
            <a:ext uri="{FF2B5EF4-FFF2-40B4-BE49-F238E27FC236}">
              <a16:creationId xmlns:a16="http://schemas.microsoft.com/office/drawing/2014/main" id="{1097F884-9EE7-402D-AB8A-782DEF6F8526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  <xdr:twoCellAnchor>
    <xdr:from>
      <xdr:col>1</xdr:col>
      <xdr:colOff>444500</xdr:colOff>
      <xdr:row>0</xdr:row>
      <xdr:rowOff>52917</xdr:rowOff>
    </xdr:from>
    <xdr:to>
      <xdr:col>1</xdr:col>
      <xdr:colOff>740833</xdr:colOff>
      <xdr:row>0</xdr:row>
      <xdr:rowOff>338667</xdr:rowOff>
    </xdr:to>
    <xdr:sp macro="" textlink="">
      <xdr:nvSpPr>
        <xdr:cNvPr id="49" name="Elipse 48">
          <a:extLst>
            <a:ext uri="{FF2B5EF4-FFF2-40B4-BE49-F238E27FC236}">
              <a16:creationId xmlns:a16="http://schemas.microsoft.com/office/drawing/2014/main" id="{57A42508-7F97-4278-A591-D60DDBD522BC}"/>
            </a:ext>
          </a:extLst>
        </xdr:cNvPr>
        <xdr:cNvSpPr/>
      </xdr:nvSpPr>
      <xdr:spPr>
        <a:xfrm>
          <a:off x="444500" y="52917"/>
          <a:ext cx="296333" cy="285750"/>
        </a:xfrm>
        <a:prstGeom prst="ellipse">
          <a:avLst/>
        </a:prstGeom>
        <a:ln/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800" b="1">
            <a:solidFill>
              <a:srgbClr val="0066FF"/>
            </a:solidFill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87E3A4-B3F8-4ABA-9D87-3C71995DBD7E}" name="T_mat" displayName="T_mat" ref="A4:E15" totalsRowShown="0" headerRowDxfId="142">
  <autoFilter ref="A4:E15" xr:uid="{71B44982-1ED0-41FB-AC64-E2715ABDC609}"/>
  <sortState xmlns:xlrd2="http://schemas.microsoft.com/office/spreadsheetml/2017/richdata2" ref="A5:E15">
    <sortCondition ref="A4:A15"/>
  </sortState>
  <tableColumns count="5">
    <tableColumn id="1" xr3:uid="{036B3050-4075-416F-9F4D-2468DB5306A8}" name="DESCRIPCIÓN" dataDxfId="141"/>
    <tableColumn id="2" xr3:uid="{9E195440-1B71-457E-A5E2-ED786D081FBA}" name="CÓDIGO" dataDxfId="140"/>
    <tableColumn id="3" xr3:uid="{66499186-9D62-4C18-AB67-9D56FC3C6ADB}" name="UNIDAD" dataDxfId="139"/>
    <tableColumn id="4" xr3:uid="{6F0D23C2-E05F-4DAC-BAF0-96C18FA04F79}" name="PRECIO" dataDxfId="138"/>
    <tableColumn id="5" xr3:uid="{0C6188F0-7ED0-4F03-BAF9-47ADAA4B425E}" name="FECHA"/>
  </tableColumns>
  <tableStyleInfo name="S5S Blue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BCEDD6F-C190-423D-B657-EEBD26481870}" name="T_equipos" displayName="T_equipos" ref="G4:K11" totalsRowShown="0" headerRowDxfId="137">
  <autoFilter ref="G4:K11" xr:uid="{4C1C30DA-E653-46CF-9BDC-6559335B415A}"/>
  <tableColumns count="5">
    <tableColumn id="1" xr3:uid="{94974C68-C328-4546-A026-EF2999DAACC5}" name="DESCRIPCIÓN" dataDxfId="136"/>
    <tableColumn id="2" xr3:uid="{6798703A-82F6-43A1-9E6D-F0A0E603E7DF}" name="CÓDIGO" dataDxfId="135"/>
    <tableColumn id="3" xr3:uid="{CF3D695D-FFDD-4B2E-A9CE-9BB4624BB137}" name="UNIDAD" dataDxfId="134"/>
    <tableColumn id="4" xr3:uid="{2A52FE80-EE42-48A3-B9E3-91CB48A728A4}" name="PRECIO" dataDxfId="133"/>
    <tableColumn id="5" xr3:uid="{7B1DCF18-938A-4113-9A28-D48E47DE5BE4}" name="FECHA"/>
  </tableColumns>
  <tableStyleInfo name="S5S Blue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A485A26-8FBB-4399-8E7F-860B56413BFE}" name="T_mano" displayName="T_mano" ref="M4:Q11" totalsRowShown="0" headerRowDxfId="132">
  <autoFilter ref="M4:Q11" xr:uid="{023EEBCB-EA99-48D6-98B7-0891140622BB}"/>
  <sortState xmlns:xlrd2="http://schemas.microsoft.com/office/spreadsheetml/2017/richdata2" ref="M5:Q19">
    <sortCondition ref="N4"/>
  </sortState>
  <tableColumns count="5">
    <tableColumn id="1" xr3:uid="{C4A002F8-3E1D-4464-BD84-FB620F4D81E1}" name="DESCRIPCIÓN" dataDxfId="131"/>
    <tableColumn id="2" xr3:uid="{23F11F09-3D4A-4FEA-96B6-10A79F41F9A5}" name="CÓDIGO" dataDxfId="130"/>
    <tableColumn id="3" xr3:uid="{1AA74B9A-9C81-4100-9CDA-2025B1586E1B}" name="UNIDAD" dataDxfId="129"/>
    <tableColumn id="4" xr3:uid="{310CB203-6B12-413E-86E5-A75375434EFC}" name="PRECIO" dataDxfId="128"/>
    <tableColumn id="5" xr3:uid="{67777382-5205-479B-BB5D-0AFEF90A0260}" name="FECHA"/>
  </tableColumns>
  <tableStyleInfo name="S5S Blue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1C8236B-220E-446E-986B-12B363477438}" name="T_trans" displayName="T_trans" ref="S4:W11" totalsRowShown="0" headerRowDxfId="127">
  <autoFilter ref="S4:W11" xr:uid="{4291F53A-1A3E-46D6-913A-AEE8F483ECBF}"/>
  <sortState xmlns:xlrd2="http://schemas.microsoft.com/office/spreadsheetml/2017/richdata2" ref="S5:W15">
    <sortCondition ref="T4:T15"/>
  </sortState>
  <tableColumns count="5">
    <tableColumn id="1" xr3:uid="{3C0F0A60-FBF3-4A5D-8FBD-5AC4D27B636E}" name="DESCRIPCIÓN" dataDxfId="126"/>
    <tableColumn id="2" xr3:uid="{B142B9D9-7AA8-4699-82B4-86036D68C2CE}" name="CÓDIGO" dataDxfId="125"/>
    <tableColumn id="3" xr3:uid="{74569F20-840A-4D52-9743-CCAD5A58F8ED}" name="UNIDAD" dataDxfId="124"/>
    <tableColumn id="4" xr3:uid="{F33991D9-29FC-4534-A217-4A6D6CEE5073}" name="PRECIO" dataDxfId="123"/>
    <tableColumn id="5" xr3:uid="{279D7C1A-7103-4A05-8F09-591CEDD1B06F}" name="FECHA"/>
  </tableColumns>
  <tableStyleInfo name="S5S Blue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47376CB-33BC-4EED-92E8-8405D32F9E24}" name="T_sub" displayName="T_sub" ref="Y4:AC11" totalsRowShown="0" headerRowDxfId="122">
  <autoFilter ref="Y4:AC11" xr:uid="{93D080BB-1B95-48D4-803B-15C47154E83A}"/>
  <sortState xmlns:xlrd2="http://schemas.microsoft.com/office/spreadsheetml/2017/richdata2" ref="Y5:AC18">
    <sortCondition ref="Z4"/>
  </sortState>
  <tableColumns count="5">
    <tableColumn id="1" xr3:uid="{9F102409-6356-4D66-AF07-AD5114EEA390}" name="DESCRIPCIÓN" dataDxfId="121"/>
    <tableColumn id="2" xr3:uid="{061B54CF-C487-4ADD-875B-7DB5717ECD26}" name="CÓDIGO" dataDxfId="120"/>
    <tableColumn id="3" xr3:uid="{A6432035-5F8A-4B4B-B94F-AAF00CBD0B17}" name="UNIDAD" dataDxfId="119"/>
    <tableColumn id="4" xr3:uid="{B4FD10D5-6725-4030-9B70-75D826EB6D71}" name="PRECIO" dataDxfId="118"/>
    <tableColumn id="5" xr3:uid="{999C8198-34C0-4A4D-AF7F-AD8313AE8A3B}" name="FECHA"/>
  </tableColumns>
  <tableStyleInfo name="S5S Blue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22869AA-B54A-4F7D-A0F3-8E675C163267}" name="T_otros" displayName="T_otros" ref="AK4:AO11" totalsRowShown="0" headerRowDxfId="117">
  <autoFilter ref="AK4:AO11" xr:uid="{879FE8FB-9FF7-4221-B018-7669DBEDD049}"/>
  <sortState xmlns:xlrd2="http://schemas.microsoft.com/office/spreadsheetml/2017/richdata2" ref="AK5:AO18">
    <sortCondition ref="AL4"/>
  </sortState>
  <tableColumns count="5">
    <tableColumn id="1" xr3:uid="{1FF39E88-6E38-495C-8E90-EE21EEE2284A}" name="DESCRIPCIÓN" dataDxfId="116"/>
    <tableColumn id="2" xr3:uid="{620652EE-C527-45CA-B5CF-3567EEBDFEAB}" name="CÓDIGO" dataDxfId="115"/>
    <tableColumn id="3" xr3:uid="{9FFAB4DE-8FA4-4772-8A9B-4C353B38FFF7}" name="UNIDAD" dataDxfId="114"/>
    <tableColumn id="4" xr3:uid="{B735165B-8BCF-4522-AD33-1F0355CE2388}" name="PRECIO" dataDxfId="113"/>
    <tableColumn id="5" xr3:uid="{EFD08111-C387-4287-8753-D17D30CB1570}" name="FECHA"/>
  </tableColumns>
  <tableStyleInfo name="S5S Blue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A219A87-1F1E-415D-B0CA-CB3E013F346E}" name="T_act" displayName="T_act" ref="AE4:AI11" totalsRowShown="0" headerRowDxfId="112">
  <autoFilter ref="AE4:AI11" xr:uid="{DC85204C-666C-49B9-9046-0E987FBDC109}"/>
  <sortState xmlns:xlrd2="http://schemas.microsoft.com/office/spreadsheetml/2017/richdata2" ref="AE5:AI15">
    <sortCondition ref="AE4:AE15"/>
  </sortState>
  <tableColumns count="5">
    <tableColumn id="1" xr3:uid="{B9F9A2CE-16D3-406C-A223-B817989F7661}" name="DESCRIPCIÓN" dataDxfId="111"/>
    <tableColumn id="2" xr3:uid="{0B3A503E-A2E7-418A-9B39-C749D8EE6CC1}" name="CÓDIGO" dataDxfId="110"/>
    <tableColumn id="3" xr3:uid="{F1449AB1-90DD-46C5-B96A-ADE163B003C7}" name="UNIDAD" dataDxfId="109"/>
    <tableColumn id="4" xr3:uid="{11C44280-F879-424A-8AA4-11F900A940A5}" name="PRECIO" dataDxfId="108"/>
    <tableColumn id="5" xr3:uid="{D4CBC9CE-960C-4E73-91D7-73554A8FBF8A}" name="FECHA"/>
  </tableColumns>
  <tableStyleInfo name="S5S Blue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5AD2F2E-2121-4B94-B5CF-3C316E313EAF}" name="Tabla2" displayName="Tabla2" ref="A4:H12" totalsRowCount="1">
  <autoFilter ref="A4:H11" xr:uid="{568AACEE-B56B-41F4-8528-66A12897807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CB5F54E6-47DE-4629-B7B2-6911B30976DD}" name="TIPO" totalsRowLabel="Total"/>
    <tableColumn id="2" xr3:uid="{DCF835F2-83CB-40A4-BFC5-1EF57509FE20}" name="CÓDIGO"/>
    <tableColumn id="3" xr3:uid="{F3A28143-1F2A-464B-8DA4-092ABDA9EB8A}" name="DESCRIPCIÓN"/>
    <tableColumn id="4" xr3:uid="{9D99D761-3E8D-4CF2-8F63-25D8CAD8882F}" name="UNIDAD" dataDxfId="105"/>
    <tableColumn id="5" xr3:uid="{D317D075-F92D-481A-AF21-E3F8070AAC37}" name="FACTOR" dataDxfId="104">
      <calculatedColumnFormula>1</calculatedColumnFormula>
    </tableColumn>
    <tableColumn id="6" xr3:uid="{C4AA89F5-4F8E-4E96-B0DC-914239EA168C}" name="CANTIDAD" dataDxfId="103"/>
    <tableColumn id="7" xr3:uid="{C2A6C2F9-38A8-455E-B096-340E914110A5}" name="PRECIO" dataDxfId="102" totalsRowDxfId="90"/>
    <tableColumn id="8" xr3:uid="{536D7202-117F-4D0C-A857-C391DD6FDF6C}" name="TOTAL" totalsRowFunction="custom" dataDxfId="101" totalsRowDxfId="89">
      <calculatedColumnFormula>Tabla2[[#This Row],[CANTIDAD]]*Tabla2[[#This Row],[PRECIO]]*Tabla2[[#This Row],[FACTOR]]</calculatedColumnFormula>
      <totalsRowFormula>SUM(Tabla2[TOTAL])</totalsRowFormula>
    </tableColumn>
  </tableColumns>
  <tableStyleInfo name="S5S Green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72792AF-C219-435D-A9DA-FAB395D2F967}" name="Tabla3" displayName="Tabla3" ref="A16:H22" totalsRowCount="1">
  <autoFilter ref="A16:H21" xr:uid="{B512173A-34E2-406F-9B22-54C27FE3DBB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7E0FBB7A-771D-45E4-97CD-EA8FEB03D403}" name="TIPO" totalsRowLabel="Total"/>
    <tableColumn id="2" xr3:uid="{A0A9CA29-EBE0-42ED-B62B-4837DDADD2C1}" name="CÓDIGO"/>
    <tableColumn id="3" xr3:uid="{42A9CF58-B074-48C7-8ED6-FD2F525CF5CD}" name="DESCRIPCIÓN"/>
    <tableColumn id="4" xr3:uid="{12503C88-7254-44E4-92B4-DA8B2971E142}" name="UNIDAD" dataDxfId="100"/>
    <tableColumn id="5" xr3:uid="{EE376856-9AB8-4F06-9C17-D84CACF4E9FD}" name="FACTOR" dataDxfId="99">
      <calculatedColumnFormula>1</calculatedColumnFormula>
    </tableColumn>
    <tableColumn id="6" xr3:uid="{1B8EF382-DD65-4E1F-8B5E-2E228A3C5FB5}" name="CANTIDAD" dataDxfId="98"/>
    <tableColumn id="7" xr3:uid="{00567792-9081-4F22-BF36-6112C3D8A457}" name="PRECIO" dataDxfId="97" totalsRowDxfId="88"/>
    <tableColumn id="8" xr3:uid="{54A0B132-BA4A-4A12-BD15-11384EBA1F7D}" name="TOTAL" totalsRowFunction="custom" dataDxfId="96" totalsRowDxfId="87">
      <calculatedColumnFormula>Tabla3[[#This Row],[CANTIDAD]]*Tabla3[[#This Row],[PRECIO]]*Tabla3[[#This Row],[FACTOR]]</calculatedColumnFormula>
      <totalsRowFormula>SUM(Tabla3[TOTAL])</totalsRowFormula>
    </tableColumn>
  </tableColumns>
  <tableStyleInfo name="S5S Green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637D479-A873-4F3D-825C-2D2464030A09}" name="Tabla13" displayName="Tabla13" ref="A26:H31" totalsRowCount="1">
  <autoFilter ref="A26:H30" xr:uid="{A7BF4C58-DA7C-4748-AC64-828038D8BC3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7FF88970-3814-4CA1-B0A3-E36DA7BAC6CB}" name="TIPO" totalsRowLabel="Total"/>
    <tableColumn id="2" xr3:uid="{CBD0A66E-8433-41EC-A71D-F3C6E4E684C4}" name="CÓDIGO"/>
    <tableColumn id="3" xr3:uid="{87B06315-16A7-4EA9-A59D-2EE3A0E85710}" name="DESCRIPCIÓN"/>
    <tableColumn id="4" xr3:uid="{A8A29AC8-9440-4A61-A8BB-EE293EF36225}" name="UNIDAD" dataDxfId="95"/>
    <tableColumn id="5" xr3:uid="{42970933-5AA0-4463-A0EA-52041E77A16A}" name="FACTOR" dataDxfId="94">
      <calculatedColumnFormula>1</calculatedColumnFormula>
    </tableColumn>
    <tableColumn id="6" xr3:uid="{461FBD93-FD41-4779-A367-EB2729A6C94A}" name="CANTIDAD" dataDxfId="93"/>
    <tableColumn id="7" xr3:uid="{E750A790-9AD2-4586-BAF1-E404B320B49A}" name="PRECIO" dataDxfId="92" totalsRowDxfId="86"/>
    <tableColumn id="8" xr3:uid="{8F832D34-87D5-4EFF-867A-E2DF04C49434}" name="TOTAL" totalsRowFunction="custom" dataDxfId="91" totalsRowDxfId="85">
      <calculatedColumnFormula>Tabla13[[#This Row],[CANTIDAD]]*Tabla13[[#This Row],[PRECIO]]*Tabla13[[#This Row],[FACTOR]]</calculatedColumnFormula>
      <totalsRowFormula>SUM(Tabla13[TOTAL])</totalsRowFormula>
    </tableColumn>
  </tableColumns>
  <tableStyleInfo name="S5S Green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22A689A-D31A-46B8-A4DE-BE689E2B8BD2}" name="Tabla8" displayName="Tabla8" ref="A4:H10" totalsRowCount="1">
  <autoFilter ref="A4:H9" xr:uid="{8327515A-C5E1-4357-B647-DAA9F8BD594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6E7EAAE6-4568-46FB-BFF9-6CE88B1CEE14}" name="TIPO" totalsRowLabel="Total"/>
    <tableColumn id="2" xr3:uid="{0371DE12-64CF-49D2-B87B-E1A86C35C749}" name="CÓDIGO"/>
    <tableColumn id="3" xr3:uid="{B8453422-E333-413D-A6CF-09F8CE02B090}" name="DESCRIPCIÓN"/>
    <tableColumn id="4" xr3:uid="{FB6EEA9C-B26A-488D-99F8-455285E203C7}" name="UNIDAD" dataDxfId="84"/>
    <tableColumn id="5" xr3:uid="{162FDBD6-ECFA-4E78-A568-7A436BAA3ED4}" name="FACTOR" dataDxfId="83">
      <calculatedColumnFormula>1</calculatedColumnFormula>
    </tableColumn>
    <tableColumn id="6" xr3:uid="{097233A9-CB57-402C-88A5-667F54F9C484}" name="CANTIDAD" dataDxfId="82"/>
    <tableColumn id="7" xr3:uid="{F7FFC4D5-C2E7-4E0C-9327-BAFAAA7FBFC2}" name="PRECIO" dataDxfId="81" totalsRowDxfId="67"/>
    <tableColumn id="8" xr3:uid="{4C29E53C-94CB-46CC-B727-F710F5DB20C9}" name="TOTAL" totalsRowFunction="custom" dataDxfId="80" totalsRowDxfId="66">
      <calculatedColumnFormula>Tabla8[[#This Row],[CANTIDAD]]*Tabla8[[#This Row],[PRECIO]]*Tabla8[[#This Row],[FACTOR]]</calculatedColumnFormula>
      <totalsRowFormula>SUM(Tabla8[TOTAL])</totalsRowFormula>
    </tableColumn>
  </tableColumns>
  <tableStyleInfo name="S5S Blue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4F3E974-B027-4DA1-9B5A-C81BCDA01C7B}" name="Tabla10" displayName="Tabla10" ref="A14:H19" totalsRowCount="1" headerRowDxfId="79">
  <autoFilter ref="A14:H18" xr:uid="{3EA6FDC5-D1F1-43BB-9708-0DF0B4A5260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8A53317B-7E32-4F63-9A44-B8330367AF44}" name="TIPO" totalsRowLabel="Total" totalsRowDxfId="65"/>
    <tableColumn id="2" xr3:uid="{36690CAA-D329-4B0F-BFFC-0949E90B5D2F}" name="CÓDIGO"/>
    <tableColumn id="3" xr3:uid="{AEC61E85-E7F2-4502-80FA-A0F5D7D1C812}" name="DESCRIPCIÓN"/>
    <tableColumn id="4" xr3:uid="{BCF9ABBC-75A7-404E-B140-670AEC021D60}" name="UNIDAD" dataDxfId="78"/>
    <tableColumn id="5" xr3:uid="{83EB93DF-3DFF-421F-9FA6-B0887AFB889B}" name="FACTOR" dataDxfId="77"/>
    <tableColumn id="6" xr3:uid="{DC95789A-C7B7-4687-B069-4ADA29DE6BBA}" name="CANTIDAD" dataDxfId="76"/>
    <tableColumn id="7" xr3:uid="{4FD2DF0A-4EA6-407F-AB93-CE9FC62A128E}" name="PRECIO" dataDxfId="75" totalsRowDxfId="64"/>
    <tableColumn id="8" xr3:uid="{DC0A171F-8564-443A-A017-D3F72FCEB1D6}" name="TOTAL" totalsRowFunction="custom" dataDxfId="74" totalsRowDxfId="63">
      <calculatedColumnFormula>Tabla10[[#This Row],[CANTIDAD]]*Tabla10[[#This Row],[PRECIO]]*Tabla10[[#This Row],[FACTOR]]</calculatedColumnFormula>
      <totalsRowFormula>SUM(Tabla10[TOTAL])</totalsRowFormula>
    </tableColumn>
  </tableColumns>
  <tableStyleInfo name="S5S Blue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5CD5702B-720E-4C9F-9EDA-9B506AF88B91}" name="Tabla22" displayName="Tabla22" ref="A23:H28" totalsRowCount="1" headerRowDxfId="73">
  <autoFilter ref="A23:H27" xr:uid="{A3094A7D-1D63-4415-8B7A-25F82F31494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4A13D20E-7C34-47FC-A8B2-A0D14FC46BD2}" name="TIPO" totalsRowLabel="Total" totalsRowDxfId="62"/>
    <tableColumn id="2" xr3:uid="{CCCD5029-AF84-404D-9986-809E815C92E6}" name="CÓDIGO"/>
    <tableColumn id="3" xr3:uid="{A1A97144-DA4E-4BC3-BB1E-25E2F4A7AF2B}" name="DESCRIPCIÓN"/>
    <tableColumn id="4" xr3:uid="{E93D0633-3C72-4A93-AF42-A37D8B07207B}" name="UNIDAD" dataDxfId="72"/>
    <tableColumn id="5" xr3:uid="{8E2828AE-AA12-45C3-BD3B-CA6F1F80AB0C}" name="FACTOR" dataDxfId="71"/>
    <tableColumn id="6" xr3:uid="{D80FE39A-481A-4B14-819D-DB10503AE2CF}" name="CANTIDAD" dataDxfId="70"/>
    <tableColumn id="7" xr3:uid="{5B39200A-237A-4BDF-8A8A-4F462A980CD8}" name="PRECIO" dataDxfId="69" totalsRowDxfId="61"/>
    <tableColumn id="8" xr3:uid="{18F745ED-EE7D-4D2B-B443-B21E92959FEB}" name="TOTAL" totalsRowFunction="custom" dataDxfId="68" totalsRowDxfId="60">
      <calculatedColumnFormula>Tabla22[[#This Row],[CANTIDAD]]*Tabla22[[#This Row],[PRECIO]]*Tabla22[[#This Row],[FACTOR]]</calculatedColumnFormula>
      <totalsRowFormula>SUM(Tabla22[TOTAL])</totalsRowFormula>
    </tableColumn>
  </tableColumns>
  <tableStyleInfo name="S5S Blue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8DA67BC9-07CE-4965-A79C-B7BE0FBEE99F}" name="Tabla7" displayName="Tabla7" ref="B4:H13" totalsRowCount="1" headerRowDxfId="57" dataDxfId="56" totalsRowDxfId="55">
  <autoFilter ref="B4:H12" xr:uid="{4872CCE3-AC13-48F5-A311-73F90B73C44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95748A91-588A-4E64-ABDA-69EEB887C396}" name="CÓDIGO" totalsRowLabel="Total" dataDxfId="54" totalsRowDxfId="20"/>
    <tableColumn id="2" xr3:uid="{28E33FF0-C60F-4C61-A399-914738606E37}" name="DESCRIPCIÓN" dataDxfId="53" totalsRowDxfId="19"/>
    <tableColumn id="3" xr3:uid="{487771D7-3EA5-490D-B62E-D23EF0FE7D38}" name="UNIDAD" dataDxfId="52" totalsRowDxfId="18"/>
    <tableColumn id="4" xr3:uid="{2BBF8A0E-194E-4CD0-96BA-2F2AB92E0FC9}" name="FACTOR" dataDxfId="51" totalsRowDxfId="17"/>
    <tableColumn id="5" xr3:uid="{46D5D9BC-1A5A-45E3-932E-42E22694EE51}" name="CANTIDAD" dataDxfId="50" totalsRowDxfId="16"/>
    <tableColumn id="6" xr3:uid="{6D902824-01D0-4270-B8ED-59C78D90A9D8}" name="COSTO" dataDxfId="49" totalsRowDxfId="15"/>
    <tableColumn id="7" xr3:uid="{9A0F7160-B1D0-4C44-860D-DE60F02F1527}" name="TOTAL" totalsRowFunction="custom" dataDxfId="48" totalsRowDxfId="14">
      <calculatedColumnFormula>Tabla7[[#This Row],[FACTOR]]*Tabla7[[#This Row],[CANTIDAD]]*Tabla7[[#This Row],[COSTO]]</calculatedColumnFormula>
      <totalsRowFormula>SUM(Tabla7[TOTAL])</totalsRowFormula>
    </tableColumn>
  </tableColumns>
  <tableStyleInfo name="S5S Greenblue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6FB38BBF-E8A1-4B4A-9E4D-F7094C8EE769}" name="Tabla14" displayName="Tabla14" ref="B17:H27" totalsRowCount="1" headerRowDxfId="47" dataDxfId="46" totalsRowDxfId="45">
  <autoFilter ref="B17:H26" xr:uid="{A59F40E7-89A1-499C-8475-D1E11654CEE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882CDD3D-F240-4056-94B2-EEBE9219A259}" name="CÓDIGO" totalsRowLabel="Total" dataDxfId="44" totalsRowDxfId="13"/>
    <tableColumn id="2" xr3:uid="{FEE277AC-BD02-4BD3-9F28-D95FA5F0D8FB}" name="DESCRIPCIÓN" dataDxfId="43" totalsRowDxfId="12"/>
    <tableColumn id="3" xr3:uid="{1704060E-70BD-4427-94D5-0D2981418B5E}" name="UNIDAD" dataDxfId="42" totalsRowDxfId="11"/>
    <tableColumn id="4" xr3:uid="{56E475CA-2119-49C3-B8A7-DCDEE1A2BBFA}" name="FACTOR" dataDxfId="41" totalsRowDxfId="10"/>
    <tableColumn id="5" xr3:uid="{CEE5F584-C835-4E63-A580-3FDBE079D0CC}" name="CANTIDAD" dataDxfId="40" totalsRowDxfId="9"/>
    <tableColumn id="6" xr3:uid="{F4FA9AF1-603F-4BD1-BE2F-F8BA52825800}" name="COSTO" dataDxfId="39" totalsRowDxfId="8"/>
    <tableColumn id="7" xr3:uid="{1CD60F08-6A77-4F07-93B8-28B41154D16A}" name="TOTAL" totalsRowFunction="custom" dataDxfId="38" totalsRowDxfId="7">
      <calculatedColumnFormula>Tabla14[[#This Row],[FACTOR]]*Tabla14[[#This Row],[CANTIDAD]]*Tabla14[[#This Row],[COSTO]]</calculatedColumnFormula>
      <totalsRowFormula>SUM(Tabla14[TOTAL])</totalsRowFormula>
    </tableColumn>
  </tableColumns>
  <tableStyleInfo name="S5S Greenblue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8E66C733-B7D2-4D85-9486-9E7655368781}" name="Tabla89" displayName="Tabla89" ref="B31:H37" totalsRowCount="1" headerRowDxfId="37" dataDxfId="36">
  <autoFilter ref="B31:H36" xr:uid="{1A449ED7-935C-4812-931D-CB05548E3A6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04A74BF9-7E47-4A28-B373-910F11D08061}" name="CÓDIGO" totalsRowLabel="Total" dataDxfId="35" totalsRowDxfId="6"/>
    <tableColumn id="2" xr3:uid="{7A5785EB-0A80-4EE8-84CB-47DDBE1764BA}" name="DESCRIPCIÓN" dataDxfId="34" totalsRowDxfId="5"/>
    <tableColumn id="3" xr3:uid="{3FF0A3FC-99D5-4A67-A791-D71DBF617EEB}" name="UNIDAD" dataDxfId="33" totalsRowDxfId="4"/>
    <tableColumn id="4" xr3:uid="{50149D6D-F6C2-40FE-A36E-B407C7844121}" name="FACTOR" dataDxfId="32" totalsRowDxfId="3"/>
    <tableColumn id="5" xr3:uid="{819DC3F3-BE04-4F70-9459-4424EC77DDDF}" name="CANTIDAD" dataDxfId="31" totalsRowDxfId="2"/>
    <tableColumn id="6" xr3:uid="{72BFAA85-B336-43DC-8F8A-D3824D67496A}" name="COSTO" dataDxfId="30" totalsRowDxfId="1"/>
    <tableColumn id="7" xr3:uid="{F4541F4B-C55B-4A4A-B8E4-DBC9081AD690}" name="TOTAL" totalsRowFunction="custom" dataDxfId="29" totalsRowDxfId="0">
      <calculatedColumnFormula>Tabla89[[#This Row],[FACTOR]]*Tabla89[[#This Row],[CANTIDAD]]*Tabla89[[#This Row],[COSTO]]</calculatedColumnFormula>
      <totalsRowFormula>SUM(Tabla89[TOTAL])</totalsRowFormula>
    </tableColumn>
  </tableColumns>
  <tableStyleInfo name="S5S Greenblue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D567D907-9888-40A9-9B9F-BBB3DA1A11B9}" name="Tabla90" displayName="Tabla90" ref="B41:E47" totalsRowShown="0" headerRowDxfId="28">
  <autoFilter ref="B41:E47" xr:uid="{D7131A7D-C9E2-4843-AEF7-28EBB2CD1BDE}">
    <filterColumn colId="0" hiddenButton="1"/>
    <filterColumn colId="1" hiddenButton="1"/>
    <filterColumn colId="2" hiddenButton="1"/>
    <filterColumn colId="3" hiddenButton="1"/>
  </autoFilter>
  <tableColumns count="4">
    <tableColumn id="1" xr3:uid="{C71BF472-F293-4F5F-AE83-ACDB5CD4B26C}" name="CÓD" dataDxfId="27"/>
    <tableColumn id="2" xr3:uid="{FB8C72D0-08B3-4846-93B8-81E51E1E0D39}" name="CAPÍTULO" dataDxfId="26"/>
    <tableColumn id="3" xr3:uid="{C86E5AC3-2CCB-49A0-BCC3-794407ACCD82}" name="PORCENTAJE" dataDxfId="25"/>
    <tableColumn id="4" xr3:uid="{262CA683-CE47-4CB4-8863-8A6F4829CF43}" name="SUBTOTAL" dataDxfId="24"/>
  </tableColumns>
  <tableStyleInfo name="S5S Greenblue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E57BCDCD-F799-4082-916B-0968D15F01ED}" name="Tabla91" displayName="Tabla91" ref="C50:E57" totalsRowShown="0">
  <autoFilter ref="C50:E57" xr:uid="{9B794203-CDBB-41AF-BB4F-58705E5F7FBE}">
    <filterColumn colId="0" hiddenButton="1"/>
    <filterColumn colId="1" hiddenButton="1"/>
    <filterColumn colId="2" hiddenButton="1"/>
  </autoFilter>
  <tableColumns count="3">
    <tableColumn id="1" xr3:uid="{B94D1B76-8B4E-4CF5-98F6-0E5B752D77DE}" name="DESCRIPCIÓN" dataDxfId="23"/>
    <tableColumn id="2" xr3:uid="{A72F6C63-467D-417B-92BD-538971894C44}" name="PORCENTAJE" dataDxfId="22"/>
    <tableColumn id="3" xr3:uid="{F4885E90-D9EC-4DBA-AF34-3159150FEBA1}" name="SUBTOTAL" dataDxfId="21"/>
  </tableColumns>
  <tableStyleInfo name="S5S Greenblue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10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3.bin"/><Relationship Id="rId4" Type="http://schemas.openxmlformats.org/officeDocument/2006/relationships/table" Target="../tables/table1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7" Type="http://schemas.openxmlformats.org/officeDocument/2006/relationships/table" Target="../tables/table18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7.xml"/><Relationship Id="rId5" Type="http://schemas.openxmlformats.org/officeDocument/2006/relationships/table" Target="../tables/table16.xml"/><Relationship Id="rId4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73DFE-C008-42AB-A436-6250A3A852A3}">
  <sheetPr codeName="Hoja2">
    <tabColor rgb="FF00AC56"/>
    <pageSetUpPr fitToPage="1"/>
  </sheetPr>
  <dimension ref="A1:AQ147"/>
  <sheetViews>
    <sheetView showGridLines="0" zoomScale="90" zoomScaleNormal="90" zoomScaleSheetLayoutView="50" workbookViewId="0">
      <selection activeCell="B4" sqref="B4"/>
    </sheetView>
  </sheetViews>
  <sheetFormatPr baseColWidth="10" defaultColWidth="8.6640625" defaultRowHeight="14.4" x14ac:dyDescent="0.3"/>
  <cols>
    <col min="1" max="1" width="30.5546875" style="2" customWidth="1"/>
    <col min="2" max="2" width="40.77734375" style="2" customWidth="1"/>
    <col min="3" max="3" width="13.6640625" style="3" bestFit="1" customWidth="1"/>
    <col min="4" max="4" width="10.44140625" style="5" bestFit="1" customWidth="1"/>
    <col min="5" max="5" width="9.6640625" bestFit="1" customWidth="1"/>
    <col min="6" max="6" width="1.6640625" customWidth="1"/>
    <col min="7" max="7" width="28.33203125" style="2" bestFit="1" customWidth="1"/>
    <col min="8" max="8" width="15" style="2" customWidth="1"/>
    <col min="9" max="9" width="15" style="3" customWidth="1"/>
    <col min="10" max="10" width="12.109375" style="4" customWidth="1"/>
    <col min="11" max="11" width="15" customWidth="1"/>
    <col min="12" max="12" width="1.109375" customWidth="1"/>
    <col min="13" max="13" width="28" style="2" customWidth="1"/>
    <col min="14" max="14" width="10.5546875" style="2" bestFit="1" customWidth="1"/>
    <col min="15" max="15" width="13.109375" style="3" bestFit="1" customWidth="1"/>
    <col min="16" max="16" width="12.109375" style="4" bestFit="1" customWidth="1"/>
    <col min="17" max="17" width="12" bestFit="1" customWidth="1"/>
    <col min="18" max="18" width="1.44140625" customWidth="1"/>
    <col min="19" max="19" width="31.33203125" style="2" bestFit="1" customWidth="1"/>
    <col min="20" max="20" width="10.5546875" style="2" bestFit="1" customWidth="1"/>
    <col min="21" max="21" width="13.109375" style="3" bestFit="1" customWidth="1"/>
    <col min="22" max="22" width="11.109375" style="4" bestFit="1" customWidth="1"/>
    <col min="23" max="23" width="11.5546875" bestFit="1" customWidth="1"/>
    <col min="24" max="24" width="1.33203125" customWidth="1"/>
    <col min="25" max="25" width="34.109375" style="2" customWidth="1"/>
    <col min="26" max="26" width="10.5546875" style="2" bestFit="1" customWidth="1"/>
    <col min="27" max="27" width="13.109375" style="3" bestFit="1" customWidth="1"/>
    <col min="28" max="28" width="12.109375" style="4" customWidth="1"/>
    <col min="29" max="29" width="11.5546875" bestFit="1" customWidth="1"/>
    <col min="30" max="30" width="1.33203125" customWidth="1"/>
    <col min="31" max="31" width="36.109375" style="2" customWidth="1"/>
    <col min="32" max="32" width="10.5546875" style="2" bestFit="1" customWidth="1"/>
    <col min="33" max="33" width="13.109375" style="3" bestFit="1" customWidth="1"/>
    <col min="34" max="34" width="12.109375" style="4" bestFit="1" customWidth="1"/>
    <col min="35" max="35" width="11.5546875" bestFit="1" customWidth="1"/>
    <col min="36" max="36" width="1.44140625" customWidth="1"/>
    <col min="37" max="37" width="28.88671875" style="2" customWidth="1"/>
    <col min="38" max="38" width="10.5546875" style="2" bestFit="1" customWidth="1"/>
    <col min="39" max="39" width="13.109375" style="3" bestFit="1" customWidth="1"/>
    <col min="40" max="40" width="11.109375" style="4" bestFit="1" customWidth="1"/>
    <col min="41" max="41" width="11.5546875" bestFit="1" customWidth="1"/>
    <col min="42" max="42" width="2" customWidth="1"/>
    <col min="43" max="43" width="11.5546875" customWidth="1"/>
    <col min="44" max="44" width="1.33203125" customWidth="1"/>
    <col min="45" max="45" width="15.33203125" bestFit="1" customWidth="1"/>
    <col min="46" max="46" width="1.33203125" customWidth="1"/>
    <col min="47" max="47" width="15.33203125" bestFit="1" customWidth="1"/>
    <col min="48" max="48" width="1.6640625" customWidth="1"/>
  </cols>
  <sheetData>
    <row r="1" spans="1:43" ht="30" customHeight="1" x14ac:dyDescent="0.3">
      <c r="A1" s="1" t="s">
        <v>0</v>
      </c>
      <c r="B1" s="1"/>
      <c r="C1" s="1"/>
      <c r="D1" s="1"/>
      <c r="E1" s="1"/>
    </row>
    <row r="2" spans="1:43" ht="3" customHeight="1" thickBot="1" x14ac:dyDescent="0.35"/>
    <row r="3" spans="1:43" ht="18.600000000000001" thickBot="1" x14ac:dyDescent="0.4">
      <c r="A3" s="6" t="s">
        <v>1</v>
      </c>
      <c r="B3" s="7"/>
      <c r="C3" s="7"/>
      <c r="D3" s="7"/>
      <c r="E3" s="8"/>
      <c r="G3" s="6" t="s">
        <v>2</v>
      </c>
      <c r="H3" s="7"/>
      <c r="I3" s="7"/>
      <c r="J3" s="7"/>
      <c r="K3" s="8"/>
      <c r="M3" s="6" t="s">
        <v>3</v>
      </c>
      <c r="N3" s="7"/>
      <c r="O3" s="7"/>
      <c r="P3" s="7"/>
      <c r="Q3" s="8"/>
      <c r="S3" s="6" t="s">
        <v>4</v>
      </c>
      <c r="T3" s="7"/>
      <c r="U3" s="7"/>
      <c r="V3" s="7"/>
      <c r="W3" s="8"/>
      <c r="Y3" s="6" t="s">
        <v>5</v>
      </c>
      <c r="Z3" s="7"/>
      <c r="AA3" s="7"/>
      <c r="AB3" s="7"/>
      <c r="AC3" s="8"/>
      <c r="AD3" s="3"/>
      <c r="AE3" s="6" t="s">
        <v>6</v>
      </c>
      <c r="AF3" s="7"/>
      <c r="AG3" s="7"/>
      <c r="AH3" s="7"/>
      <c r="AI3" s="8"/>
      <c r="AK3" s="6" t="s">
        <v>7</v>
      </c>
      <c r="AL3" s="7"/>
      <c r="AM3" s="7"/>
      <c r="AN3" s="7"/>
      <c r="AO3" s="8"/>
      <c r="AP3" s="9"/>
      <c r="AQ3" s="9"/>
    </row>
    <row r="4" spans="1:43" ht="15.6" x14ac:dyDescent="0.3">
      <c r="A4" s="10" t="s">
        <v>8</v>
      </c>
      <c r="B4" s="10" t="s">
        <v>9</v>
      </c>
      <c r="C4" s="11" t="s">
        <v>10</v>
      </c>
      <c r="D4" s="12" t="s">
        <v>11</v>
      </c>
      <c r="E4" s="13" t="s">
        <v>12</v>
      </c>
      <c r="G4" s="10" t="s">
        <v>8</v>
      </c>
      <c r="H4" s="10" t="s">
        <v>9</v>
      </c>
      <c r="I4" s="11" t="s">
        <v>10</v>
      </c>
      <c r="J4" s="14" t="s">
        <v>11</v>
      </c>
      <c r="K4" s="13" t="s">
        <v>12</v>
      </c>
      <c r="M4" s="15" t="s">
        <v>8</v>
      </c>
      <c r="N4" s="15" t="s">
        <v>9</v>
      </c>
      <c r="O4" s="16" t="s">
        <v>10</v>
      </c>
      <c r="P4" s="17" t="s">
        <v>11</v>
      </c>
      <c r="Q4" s="18" t="s">
        <v>12</v>
      </c>
      <c r="S4" s="15" t="s">
        <v>8</v>
      </c>
      <c r="T4" s="15" t="s">
        <v>9</v>
      </c>
      <c r="U4" s="16" t="s">
        <v>10</v>
      </c>
      <c r="V4" s="17" t="s">
        <v>11</v>
      </c>
      <c r="W4" s="18" t="s">
        <v>12</v>
      </c>
      <c r="Y4" s="15" t="s">
        <v>8</v>
      </c>
      <c r="Z4" s="15" t="s">
        <v>9</v>
      </c>
      <c r="AA4" s="16" t="s">
        <v>10</v>
      </c>
      <c r="AB4" s="17" t="s">
        <v>11</v>
      </c>
      <c r="AC4" s="18" t="s">
        <v>12</v>
      </c>
      <c r="AE4" s="15" t="s">
        <v>8</v>
      </c>
      <c r="AF4" s="15" t="s">
        <v>9</v>
      </c>
      <c r="AG4" s="16" t="s">
        <v>10</v>
      </c>
      <c r="AH4" s="17" t="s">
        <v>11</v>
      </c>
      <c r="AI4" s="18" t="s">
        <v>12</v>
      </c>
      <c r="AK4" s="15" t="s">
        <v>8</v>
      </c>
      <c r="AL4" s="15" t="s">
        <v>9</v>
      </c>
      <c r="AM4" s="16" t="s">
        <v>10</v>
      </c>
      <c r="AN4" s="17" t="s">
        <v>11</v>
      </c>
      <c r="AO4" s="18" t="s">
        <v>12</v>
      </c>
    </row>
    <row r="5" spans="1:43" ht="15.6" x14ac:dyDescent="0.3">
      <c r="A5" s="10" t="s">
        <v>13</v>
      </c>
      <c r="B5" s="10"/>
      <c r="C5" s="11" t="s">
        <v>14</v>
      </c>
      <c r="D5" s="12">
        <v>2694</v>
      </c>
      <c r="E5" s="19"/>
      <c r="G5" s="10" t="s">
        <v>15</v>
      </c>
      <c r="H5" s="10"/>
      <c r="I5" s="11" t="s">
        <v>16</v>
      </c>
      <c r="J5" s="12">
        <v>100000</v>
      </c>
      <c r="K5" s="19"/>
      <c r="M5" s="10" t="s">
        <v>17</v>
      </c>
      <c r="N5" s="10"/>
      <c r="O5" s="11" t="s">
        <v>18</v>
      </c>
      <c r="P5" s="12">
        <v>21793</v>
      </c>
      <c r="Q5" s="19"/>
      <c r="S5" s="15"/>
      <c r="T5" s="15"/>
      <c r="U5" s="16"/>
      <c r="V5" s="17"/>
      <c r="W5" s="18"/>
      <c r="Y5" s="15"/>
      <c r="Z5" s="15"/>
      <c r="AA5" s="16"/>
      <c r="AB5" s="17"/>
      <c r="AC5" s="18"/>
      <c r="AE5" s="15"/>
      <c r="AF5" s="15"/>
      <c r="AG5" s="16"/>
      <c r="AH5" s="17"/>
      <c r="AI5" s="18"/>
      <c r="AK5" s="15"/>
      <c r="AL5" s="15"/>
      <c r="AM5" s="16"/>
      <c r="AN5" s="17"/>
      <c r="AO5" s="18"/>
    </row>
    <row r="6" spans="1:43" ht="15.6" x14ac:dyDescent="0.3">
      <c r="A6" s="10" t="s">
        <v>19</v>
      </c>
      <c r="B6" s="10"/>
      <c r="C6" s="11" t="s">
        <v>20</v>
      </c>
      <c r="D6" s="12">
        <v>25</v>
      </c>
      <c r="E6" s="13"/>
      <c r="G6" s="10" t="s">
        <v>21</v>
      </c>
      <c r="H6" s="10"/>
      <c r="I6" s="11" t="s">
        <v>22</v>
      </c>
      <c r="J6" s="12">
        <v>110215</v>
      </c>
      <c r="K6" s="13"/>
      <c r="M6" s="15"/>
      <c r="N6" s="15"/>
      <c r="O6" s="16"/>
      <c r="P6" s="17"/>
      <c r="Q6" s="18"/>
      <c r="S6" s="15"/>
      <c r="T6" s="15"/>
      <c r="U6" s="16"/>
      <c r="V6" s="17"/>
      <c r="W6" s="18"/>
      <c r="Y6" s="15"/>
      <c r="Z6" s="15"/>
      <c r="AA6" s="16"/>
      <c r="AB6" s="17"/>
      <c r="AC6" s="18"/>
      <c r="AE6" s="15"/>
      <c r="AF6" s="15"/>
      <c r="AG6" s="16"/>
      <c r="AH6" s="17"/>
      <c r="AI6" s="18"/>
      <c r="AK6" s="15"/>
      <c r="AL6" s="15"/>
      <c r="AM6" s="16"/>
      <c r="AN6" s="17"/>
      <c r="AO6" s="18"/>
    </row>
    <row r="7" spans="1:43" ht="15.6" x14ac:dyDescent="0.3">
      <c r="A7" s="10" t="s">
        <v>23</v>
      </c>
      <c r="B7" s="10"/>
      <c r="C7" s="11" t="s">
        <v>14</v>
      </c>
      <c r="D7" s="12">
        <v>7400</v>
      </c>
      <c r="E7" s="19"/>
      <c r="G7" s="10"/>
      <c r="H7" s="10"/>
      <c r="I7" s="11"/>
      <c r="J7" s="14"/>
      <c r="K7" s="13"/>
      <c r="M7" s="15"/>
      <c r="N7" s="15"/>
      <c r="O7" s="16"/>
      <c r="P7" s="17"/>
      <c r="Q7" s="18"/>
      <c r="S7" s="15"/>
      <c r="T7" s="15"/>
      <c r="U7" s="16"/>
      <c r="V7" s="17"/>
      <c r="W7" s="18"/>
      <c r="Y7" s="15"/>
      <c r="Z7" s="15"/>
      <c r="AA7" s="16"/>
      <c r="AB7" s="17"/>
      <c r="AC7" s="18"/>
      <c r="AE7" s="15"/>
      <c r="AF7" s="15"/>
      <c r="AG7" s="16"/>
      <c r="AH7" s="17"/>
      <c r="AI7" s="18"/>
      <c r="AK7" s="15"/>
      <c r="AL7" s="15"/>
      <c r="AM7" s="16"/>
      <c r="AN7" s="17"/>
      <c r="AO7" s="18"/>
    </row>
    <row r="8" spans="1:43" ht="15.6" x14ac:dyDescent="0.3">
      <c r="A8" s="10" t="s">
        <v>24</v>
      </c>
      <c r="B8" s="10"/>
      <c r="C8" s="11" t="s">
        <v>25</v>
      </c>
      <c r="D8" s="12">
        <v>285000</v>
      </c>
      <c r="E8" s="13"/>
      <c r="G8" s="10"/>
      <c r="H8" s="10"/>
      <c r="I8" s="11"/>
      <c r="J8" s="14"/>
      <c r="K8" s="13"/>
      <c r="M8" s="15"/>
      <c r="N8" s="15"/>
      <c r="O8" s="16"/>
      <c r="P8" s="17"/>
      <c r="Q8" s="18"/>
      <c r="S8" s="15"/>
      <c r="T8" s="15"/>
      <c r="U8" s="16"/>
      <c r="V8" s="17"/>
      <c r="W8" s="18"/>
      <c r="Y8" s="15"/>
      <c r="Z8" s="15"/>
      <c r="AA8" s="16"/>
      <c r="AB8" s="17"/>
      <c r="AC8" s="18"/>
      <c r="AE8" s="15"/>
      <c r="AF8" s="15"/>
      <c r="AG8" s="16"/>
      <c r="AH8" s="17"/>
      <c r="AI8" s="18"/>
      <c r="AK8" s="15"/>
      <c r="AL8" s="15"/>
      <c r="AM8" s="16"/>
      <c r="AN8" s="17"/>
      <c r="AO8" s="18"/>
    </row>
    <row r="9" spans="1:43" ht="15.6" x14ac:dyDescent="0.3">
      <c r="A9" s="10" t="s">
        <v>26</v>
      </c>
      <c r="B9" s="10"/>
      <c r="C9" s="11" t="s">
        <v>14</v>
      </c>
      <c r="D9" s="12">
        <v>486</v>
      </c>
      <c r="E9" s="13"/>
      <c r="G9" s="10"/>
      <c r="H9" s="10"/>
      <c r="I9" s="11"/>
      <c r="J9" s="14"/>
      <c r="K9" s="13"/>
      <c r="M9" s="15"/>
      <c r="N9" s="15"/>
      <c r="O9" s="16"/>
      <c r="P9" s="17"/>
      <c r="Q9" s="18"/>
      <c r="S9" s="15"/>
      <c r="T9" s="15"/>
      <c r="U9" s="16"/>
      <c r="V9" s="17"/>
      <c r="W9" s="18"/>
      <c r="Y9" s="15"/>
      <c r="Z9" s="15"/>
      <c r="AA9" s="16"/>
      <c r="AB9" s="17"/>
      <c r="AC9" s="18"/>
      <c r="AE9" s="15"/>
      <c r="AF9" s="15"/>
      <c r="AG9" s="16"/>
      <c r="AH9" s="17"/>
      <c r="AI9" s="18"/>
      <c r="AK9" s="15"/>
      <c r="AL9" s="15"/>
      <c r="AM9" s="16"/>
      <c r="AN9" s="17"/>
      <c r="AO9" s="18"/>
    </row>
    <row r="10" spans="1:43" ht="15.6" x14ac:dyDescent="0.3">
      <c r="A10" s="10" t="s">
        <v>27</v>
      </c>
      <c r="B10" s="10"/>
      <c r="C10" s="11" t="s">
        <v>25</v>
      </c>
      <c r="D10" s="12">
        <v>72500</v>
      </c>
      <c r="E10" s="13"/>
      <c r="G10" s="10"/>
      <c r="H10" s="10"/>
      <c r="I10" s="11"/>
      <c r="J10" s="14"/>
      <c r="K10" s="13"/>
      <c r="M10" s="15"/>
      <c r="N10" s="15"/>
      <c r="O10" s="16"/>
      <c r="P10" s="17"/>
      <c r="Q10" s="18"/>
      <c r="S10" s="15"/>
      <c r="T10" s="15"/>
      <c r="U10" s="16"/>
      <c r="V10" s="17"/>
      <c r="W10" s="18"/>
      <c r="Y10" s="15"/>
      <c r="Z10" s="15"/>
      <c r="AA10" s="16"/>
      <c r="AB10" s="17"/>
      <c r="AC10" s="18"/>
      <c r="AE10" s="15"/>
      <c r="AF10" s="15"/>
      <c r="AG10" s="16"/>
      <c r="AH10" s="17"/>
      <c r="AI10" s="18"/>
      <c r="AK10" s="15"/>
      <c r="AL10" s="15"/>
      <c r="AM10" s="16"/>
      <c r="AN10" s="17"/>
      <c r="AO10" s="18"/>
    </row>
    <row r="11" spans="1:43" ht="15.6" x14ac:dyDescent="0.3">
      <c r="E11" s="13"/>
      <c r="G11" s="10"/>
      <c r="H11" s="10"/>
      <c r="I11" s="11"/>
      <c r="J11" s="14"/>
      <c r="K11" s="13"/>
      <c r="M11" s="15"/>
      <c r="N11" s="15"/>
      <c r="O11" s="16"/>
      <c r="P11" s="17"/>
      <c r="Q11" s="18"/>
      <c r="S11" s="15"/>
      <c r="T11" s="15"/>
      <c r="U11" s="16"/>
      <c r="V11" s="17"/>
      <c r="W11" s="18"/>
      <c r="Y11" s="15"/>
      <c r="Z11" s="15"/>
      <c r="AA11" s="16"/>
      <c r="AB11" s="17"/>
      <c r="AC11" s="18"/>
      <c r="AE11" s="15"/>
      <c r="AF11" s="15"/>
      <c r="AG11" s="16"/>
      <c r="AH11" s="17"/>
      <c r="AI11" s="18"/>
      <c r="AK11" s="15"/>
      <c r="AL11" s="15"/>
      <c r="AM11" s="16"/>
      <c r="AN11" s="17"/>
      <c r="AO11" s="18"/>
    </row>
    <row r="12" spans="1:43" ht="15.6" x14ac:dyDescent="0.3">
      <c r="A12" s="10"/>
      <c r="B12" s="10"/>
      <c r="C12" s="11"/>
      <c r="D12" s="12"/>
      <c r="E12" s="13"/>
    </row>
    <row r="13" spans="1:43" ht="15.6" x14ac:dyDescent="0.3">
      <c r="A13" s="10"/>
      <c r="B13" s="10"/>
      <c r="C13" s="11"/>
      <c r="D13" s="12"/>
      <c r="E13" s="13"/>
    </row>
    <row r="14" spans="1:43" ht="15.6" x14ac:dyDescent="0.3">
      <c r="A14" s="10"/>
      <c r="B14" s="10"/>
      <c r="C14" s="11"/>
      <c r="D14" s="12"/>
      <c r="E14" s="13"/>
    </row>
    <row r="15" spans="1:43" ht="15.6" x14ac:dyDescent="0.3">
      <c r="A15" s="10"/>
      <c r="B15" s="10"/>
      <c r="C15" s="11"/>
      <c r="D15" s="12"/>
      <c r="E15" s="13"/>
    </row>
    <row r="22" spans="12:39" x14ac:dyDescent="0.3">
      <c r="O22" s="20"/>
    </row>
    <row r="23" spans="12:39" x14ac:dyDescent="0.3">
      <c r="O23" s="20"/>
      <c r="T23" s="3"/>
      <c r="U23" s="21"/>
    </row>
    <row r="24" spans="12:39" x14ac:dyDescent="0.3">
      <c r="O24" s="20"/>
      <c r="AL24" s="3"/>
      <c r="AM24" s="21"/>
    </row>
    <row r="25" spans="12:39" x14ac:dyDescent="0.3">
      <c r="O25" s="20"/>
    </row>
    <row r="26" spans="12:39" x14ac:dyDescent="0.3">
      <c r="O26" s="20"/>
    </row>
    <row r="27" spans="12:39" x14ac:dyDescent="0.3">
      <c r="O27" s="20"/>
    </row>
    <row r="28" spans="12:39" x14ac:dyDescent="0.3">
      <c r="L28" s="2"/>
      <c r="O28" s="20"/>
      <c r="R28" s="2"/>
      <c r="X28" s="2"/>
      <c r="AD28" s="2"/>
      <c r="AJ28" s="2"/>
    </row>
    <row r="29" spans="12:39" x14ac:dyDescent="0.3">
      <c r="O29" s="20"/>
    </row>
    <row r="30" spans="12:39" x14ac:dyDescent="0.3">
      <c r="O30" s="20"/>
    </row>
    <row r="31" spans="12:39" x14ac:dyDescent="0.3">
      <c r="O31" s="20"/>
    </row>
    <row r="32" spans="12:39" x14ac:dyDescent="0.3">
      <c r="O32" s="20"/>
    </row>
    <row r="33" spans="15:33" x14ac:dyDescent="0.3">
      <c r="O33" s="20"/>
    </row>
    <row r="34" spans="15:33" x14ac:dyDescent="0.3">
      <c r="O34" s="20"/>
    </row>
    <row r="35" spans="15:33" x14ac:dyDescent="0.3">
      <c r="O35" s="20"/>
    </row>
    <row r="36" spans="15:33" x14ac:dyDescent="0.3">
      <c r="O36" s="20"/>
    </row>
    <row r="37" spans="15:33" x14ac:dyDescent="0.3">
      <c r="O37" s="20"/>
    </row>
    <row r="38" spans="15:33" x14ac:dyDescent="0.3">
      <c r="O38" s="20"/>
    </row>
    <row r="39" spans="15:33" x14ac:dyDescent="0.3">
      <c r="O39" s="20"/>
    </row>
    <row r="40" spans="15:33" x14ac:dyDescent="0.3">
      <c r="O40" s="20"/>
      <c r="AG40" s="20"/>
    </row>
    <row r="41" spans="15:33" x14ac:dyDescent="0.3">
      <c r="O41" s="20"/>
      <c r="AG41" s="20"/>
    </row>
    <row r="42" spans="15:33" x14ac:dyDescent="0.3">
      <c r="O42" s="20"/>
      <c r="AG42" s="20"/>
    </row>
    <row r="43" spans="15:33" x14ac:dyDescent="0.3">
      <c r="O43" s="20"/>
      <c r="AG43" s="20"/>
    </row>
    <row r="44" spans="15:33" x14ac:dyDescent="0.3">
      <c r="O44" s="20"/>
      <c r="AG44" s="20"/>
    </row>
    <row r="45" spans="15:33" x14ac:dyDescent="0.3">
      <c r="O45" s="20"/>
      <c r="AG45" s="20"/>
    </row>
    <row r="46" spans="15:33" x14ac:dyDescent="0.3">
      <c r="O46" s="20"/>
      <c r="AG46" s="20"/>
    </row>
    <row r="47" spans="15:33" x14ac:dyDescent="0.3">
      <c r="O47" s="20"/>
      <c r="AG47" s="20"/>
    </row>
    <row r="48" spans="15:33" x14ac:dyDescent="0.3">
      <c r="O48" s="20"/>
      <c r="AG48" s="20"/>
    </row>
    <row r="49" spans="9:33" x14ac:dyDescent="0.3">
      <c r="O49" s="20"/>
      <c r="AA49" s="20"/>
      <c r="AG49" s="20"/>
    </row>
    <row r="50" spans="9:33" x14ac:dyDescent="0.3">
      <c r="I50" s="20"/>
      <c r="O50" s="20"/>
      <c r="AA50" s="20"/>
      <c r="AG50" s="20"/>
    </row>
    <row r="51" spans="9:33" x14ac:dyDescent="0.3">
      <c r="I51" s="20"/>
      <c r="O51" s="20"/>
      <c r="AA51" s="20"/>
      <c r="AG51" s="20"/>
    </row>
    <row r="52" spans="9:33" x14ac:dyDescent="0.3">
      <c r="I52" s="20"/>
      <c r="O52" s="20"/>
      <c r="AA52" s="20"/>
      <c r="AG52" s="20"/>
    </row>
    <row r="53" spans="9:33" x14ac:dyDescent="0.3">
      <c r="I53" s="20"/>
      <c r="O53" s="20"/>
      <c r="AA53" s="20"/>
      <c r="AG53" s="20"/>
    </row>
    <row r="54" spans="9:33" x14ac:dyDescent="0.3">
      <c r="I54" s="20"/>
      <c r="O54" s="20"/>
      <c r="AA54" s="20"/>
      <c r="AG54" s="20"/>
    </row>
    <row r="55" spans="9:33" x14ac:dyDescent="0.3">
      <c r="I55" s="20"/>
      <c r="O55" s="20"/>
      <c r="AA55" s="20"/>
      <c r="AG55" s="20"/>
    </row>
    <row r="56" spans="9:33" x14ac:dyDescent="0.3">
      <c r="I56" s="20"/>
      <c r="O56" s="20"/>
      <c r="AA56" s="20"/>
      <c r="AG56" s="20"/>
    </row>
    <row r="57" spans="9:33" x14ac:dyDescent="0.3">
      <c r="I57" s="20"/>
      <c r="O57" s="20"/>
      <c r="AA57" s="20"/>
      <c r="AG57" s="20"/>
    </row>
    <row r="58" spans="9:33" x14ac:dyDescent="0.3">
      <c r="I58" s="20"/>
      <c r="O58" s="20"/>
      <c r="AA58" s="20"/>
      <c r="AG58" s="20"/>
    </row>
    <row r="59" spans="9:33" x14ac:dyDescent="0.3">
      <c r="I59" s="20"/>
      <c r="O59" s="20"/>
      <c r="AA59" s="20"/>
      <c r="AG59" s="20"/>
    </row>
    <row r="60" spans="9:33" x14ac:dyDescent="0.3">
      <c r="I60" s="20"/>
      <c r="O60" s="20"/>
      <c r="AA60" s="20"/>
      <c r="AG60" s="20"/>
    </row>
    <row r="61" spans="9:33" x14ac:dyDescent="0.3">
      <c r="I61" s="20"/>
      <c r="O61" s="20"/>
      <c r="AA61" s="20"/>
      <c r="AG61" s="20"/>
    </row>
    <row r="62" spans="9:33" x14ac:dyDescent="0.3">
      <c r="I62" s="20"/>
      <c r="O62" s="20"/>
      <c r="AA62" s="20"/>
      <c r="AG62" s="20"/>
    </row>
    <row r="63" spans="9:33" x14ac:dyDescent="0.3">
      <c r="I63" s="20"/>
      <c r="O63" s="20"/>
      <c r="AA63" s="20"/>
      <c r="AG63" s="20"/>
    </row>
    <row r="64" spans="9:33" x14ac:dyDescent="0.3">
      <c r="I64" s="20"/>
      <c r="O64" s="20"/>
      <c r="AA64" s="20"/>
      <c r="AG64" s="20"/>
    </row>
    <row r="65" spans="9:33" x14ac:dyDescent="0.3">
      <c r="I65" s="20"/>
      <c r="O65" s="20"/>
      <c r="AA65" s="20"/>
      <c r="AG65" s="20"/>
    </row>
    <row r="66" spans="9:33" x14ac:dyDescent="0.3">
      <c r="I66" s="20"/>
      <c r="O66" s="20"/>
      <c r="AA66" s="20"/>
      <c r="AG66" s="20"/>
    </row>
    <row r="67" spans="9:33" x14ac:dyDescent="0.3">
      <c r="I67" s="20"/>
      <c r="O67" s="20"/>
      <c r="AA67" s="20"/>
      <c r="AG67" s="20"/>
    </row>
    <row r="68" spans="9:33" x14ac:dyDescent="0.3">
      <c r="I68" s="20"/>
      <c r="O68" s="20"/>
      <c r="AA68" s="20"/>
      <c r="AG68" s="20"/>
    </row>
    <row r="69" spans="9:33" x14ac:dyDescent="0.3">
      <c r="I69" s="20"/>
      <c r="O69" s="20"/>
      <c r="AA69" s="20"/>
      <c r="AG69" s="20"/>
    </row>
    <row r="70" spans="9:33" x14ac:dyDescent="0.3">
      <c r="I70" s="20"/>
      <c r="O70" s="20"/>
      <c r="AA70" s="20"/>
      <c r="AG70" s="20"/>
    </row>
    <row r="71" spans="9:33" x14ac:dyDescent="0.3">
      <c r="I71" s="20"/>
      <c r="O71" s="20"/>
      <c r="AA71" s="20"/>
      <c r="AG71" s="20"/>
    </row>
    <row r="72" spans="9:33" x14ac:dyDescent="0.3">
      <c r="I72" s="20"/>
      <c r="O72" s="20"/>
      <c r="AA72" s="20"/>
      <c r="AG72" s="20"/>
    </row>
    <row r="73" spans="9:33" x14ac:dyDescent="0.3">
      <c r="I73" s="20"/>
      <c r="O73" s="20"/>
      <c r="U73" s="20"/>
      <c r="AA73" s="20"/>
      <c r="AG73" s="20"/>
    </row>
    <row r="74" spans="9:33" x14ac:dyDescent="0.3">
      <c r="I74" s="20"/>
      <c r="O74" s="20"/>
      <c r="U74" s="20"/>
      <c r="AA74" s="20"/>
      <c r="AG74" s="20"/>
    </row>
    <row r="75" spans="9:33" x14ac:dyDescent="0.3">
      <c r="I75" s="20"/>
      <c r="O75" s="20"/>
      <c r="U75" s="20"/>
      <c r="AA75" s="20"/>
      <c r="AG75" s="20"/>
    </row>
    <row r="76" spans="9:33" x14ac:dyDescent="0.3">
      <c r="I76" s="20"/>
      <c r="O76" s="20"/>
      <c r="U76" s="20"/>
      <c r="AA76" s="20"/>
      <c r="AG76" s="20"/>
    </row>
    <row r="77" spans="9:33" x14ac:dyDescent="0.3">
      <c r="I77" s="20"/>
      <c r="O77" s="20"/>
      <c r="U77" s="20"/>
      <c r="AA77" s="20"/>
      <c r="AG77" s="20"/>
    </row>
    <row r="78" spans="9:33" x14ac:dyDescent="0.3">
      <c r="I78" s="20"/>
      <c r="O78" s="20"/>
      <c r="U78" s="20"/>
      <c r="AA78" s="20"/>
      <c r="AG78" s="20"/>
    </row>
    <row r="79" spans="9:33" x14ac:dyDescent="0.3">
      <c r="I79" s="20"/>
      <c r="O79" s="20"/>
      <c r="U79" s="20"/>
      <c r="AA79" s="20"/>
      <c r="AG79" s="20"/>
    </row>
    <row r="80" spans="9:33" x14ac:dyDescent="0.3">
      <c r="I80" s="20"/>
      <c r="O80" s="20"/>
      <c r="U80" s="20"/>
      <c r="AA80" s="20"/>
      <c r="AG80" s="20"/>
    </row>
    <row r="81" spans="9:33" x14ac:dyDescent="0.3">
      <c r="I81" s="20"/>
      <c r="O81" s="20"/>
      <c r="U81" s="20"/>
      <c r="AA81" s="20"/>
      <c r="AG81" s="20"/>
    </row>
    <row r="82" spans="9:33" x14ac:dyDescent="0.3">
      <c r="I82" s="20"/>
      <c r="O82" s="20"/>
      <c r="U82" s="20"/>
      <c r="AA82" s="20"/>
      <c r="AG82" s="20"/>
    </row>
    <row r="83" spans="9:33" x14ac:dyDescent="0.3">
      <c r="I83" s="20"/>
      <c r="O83" s="20"/>
      <c r="U83" s="20"/>
      <c r="AA83" s="20"/>
      <c r="AG83" s="20"/>
    </row>
    <row r="84" spans="9:33" x14ac:dyDescent="0.3">
      <c r="I84" s="20"/>
      <c r="O84" s="20"/>
      <c r="U84" s="20"/>
      <c r="AA84" s="20"/>
      <c r="AG84" s="20"/>
    </row>
    <row r="85" spans="9:33" x14ac:dyDescent="0.3">
      <c r="I85" s="20"/>
      <c r="O85" s="20"/>
      <c r="U85" s="20"/>
      <c r="AA85" s="20"/>
      <c r="AG85" s="20"/>
    </row>
    <row r="86" spans="9:33" x14ac:dyDescent="0.3">
      <c r="I86" s="20"/>
      <c r="O86" s="20"/>
      <c r="U86" s="20"/>
      <c r="AA86" s="20"/>
      <c r="AG86" s="20"/>
    </row>
    <row r="87" spans="9:33" x14ac:dyDescent="0.3">
      <c r="I87" s="20"/>
      <c r="O87" s="20"/>
      <c r="U87" s="20"/>
      <c r="AA87" s="20"/>
      <c r="AG87" s="20"/>
    </row>
    <row r="88" spans="9:33" x14ac:dyDescent="0.3">
      <c r="I88" s="20"/>
      <c r="O88" s="20"/>
      <c r="U88" s="20"/>
      <c r="AA88" s="20"/>
      <c r="AG88" s="20"/>
    </row>
    <row r="89" spans="9:33" x14ac:dyDescent="0.3">
      <c r="I89" s="20"/>
      <c r="O89" s="20"/>
      <c r="U89" s="20"/>
      <c r="AA89" s="20"/>
      <c r="AG89" s="20"/>
    </row>
    <row r="90" spans="9:33" x14ac:dyDescent="0.3">
      <c r="I90" s="20"/>
      <c r="O90" s="20"/>
      <c r="U90" s="20"/>
      <c r="AA90" s="20"/>
      <c r="AG90" s="20"/>
    </row>
    <row r="91" spans="9:33" x14ac:dyDescent="0.3">
      <c r="I91" s="20"/>
      <c r="O91" s="20"/>
      <c r="U91" s="20"/>
      <c r="AA91" s="20"/>
      <c r="AG91" s="20"/>
    </row>
    <row r="92" spans="9:33" x14ac:dyDescent="0.3">
      <c r="I92" s="20"/>
      <c r="O92" s="20"/>
      <c r="U92" s="20"/>
      <c r="AA92" s="20"/>
      <c r="AG92" s="20"/>
    </row>
    <row r="93" spans="9:33" x14ac:dyDescent="0.3">
      <c r="I93" s="20"/>
      <c r="O93" s="20"/>
      <c r="U93" s="20"/>
      <c r="AA93" s="20"/>
      <c r="AG93" s="20"/>
    </row>
    <row r="94" spans="9:33" x14ac:dyDescent="0.3">
      <c r="I94" s="20"/>
      <c r="O94" s="20"/>
      <c r="U94" s="20"/>
      <c r="AA94" s="20"/>
      <c r="AG94" s="20"/>
    </row>
    <row r="95" spans="9:33" x14ac:dyDescent="0.3">
      <c r="I95" s="20"/>
      <c r="O95" s="20"/>
      <c r="U95" s="20"/>
      <c r="AA95" s="20"/>
      <c r="AG95" s="20"/>
    </row>
    <row r="96" spans="9:33" x14ac:dyDescent="0.3">
      <c r="I96" s="20"/>
      <c r="O96" s="20"/>
      <c r="U96" s="20"/>
      <c r="AA96" s="20"/>
      <c r="AG96" s="20"/>
    </row>
    <row r="97" spans="9:33" x14ac:dyDescent="0.3">
      <c r="I97" s="20"/>
      <c r="U97" s="20"/>
      <c r="AA97" s="20"/>
      <c r="AG97" s="20"/>
    </row>
    <row r="98" spans="9:33" x14ac:dyDescent="0.3">
      <c r="I98" s="20"/>
      <c r="U98" s="20"/>
      <c r="AA98" s="20"/>
      <c r="AG98" s="20"/>
    </row>
    <row r="99" spans="9:33" x14ac:dyDescent="0.3">
      <c r="I99" s="20"/>
      <c r="U99" s="20"/>
      <c r="AA99" s="20"/>
      <c r="AG99" s="20"/>
    </row>
    <row r="100" spans="9:33" x14ac:dyDescent="0.3">
      <c r="I100" s="20"/>
      <c r="U100" s="20"/>
      <c r="AA100" s="20"/>
      <c r="AG100" s="20"/>
    </row>
    <row r="101" spans="9:33" x14ac:dyDescent="0.3">
      <c r="I101" s="20"/>
      <c r="U101" s="20"/>
      <c r="AA101" s="20"/>
      <c r="AG101" s="20"/>
    </row>
    <row r="102" spans="9:33" x14ac:dyDescent="0.3">
      <c r="I102" s="20"/>
      <c r="U102" s="20"/>
      <c r="AA102" s="20"/>
      <c r="AG102" s="20"/>
    </row>
    <row r="103" spans="9:33" x14ac:dyDescent="0.3">
      <c r="I103" s="20"/>
      <c r="U103" s="20"/>
      <c r="AA103" s="20"/>
      <c r="AG103" s="20"/>
    </row>
    <row r="104" spans="9:33" x14ac:dyDescent="0.3">
      <c r="I104" s="20"/>
      <c r="U104" s="20"/>
      <c r="AA104" s="20"/>
      <c r="AG104" s="20"/>
    </row>
    <row r="105" spans="9:33" x14ac:dyDescent="0.3">
      <c r="I105" s="20"/>
      <c r="U105" s="20"/>
      <c r="AA105" s="20"/>
      <c r="AG105" s="20"/>
    </row>
    <row r="106" spans="9:33" x14ac:dyDescent="0.3">
      <c r="I106" s="20"/>
      <c r="U106" s="20"/>
      <c r="AA106" s="20"/>
      <c r="AG106" s="20"/>
    </row>
    <row r="107" spans="9:33" x14ac:dyDescent="0.3">
      <c r="I107" s="20"/>
      <c r="U107" s="20"/>
      <c r="AA107" s="20"/>
      <c r="AG107" s="20"/>
    </row>
    <row r="108" spans="9:33" x14ac:dyDescent="0.3">
      <c r="I108" s="20"/>
      <c r="U108" s="20"/>
      <c r="AA108" s="20"/>
      <c r="AG108" s="20"/>
    </row>
    <row r="109" spans="9:33" x14ac:dyDescent="0.3">
      <c r="I109" s="20"/>
      <c r="U109" s="20"/>
      <c r="AA109" s="20"/>
      <c r="AG109" s="20"/>
    </row>
    <row r="110" spans="9:33" x14ac:dyDescent="0.3">
      <c r="I110" s="20"/>
      <c r="U110" s="20"/>
      <c r="AA110" s="20"/>
      <c r="AG110" s="20"/>
    </row>
    <row r="111" spans="9:33" x14ac:dyDescent="0.3">
      <c r="I111" s="20"/>
      <c r="U111" s="20"/>
      <c r="AA111" s="20"/>
      <c r="AG111" s="20"/>
    </row>
    <row r="112" spans="9:33" x14ac:dyDescent="0.3">
      <c r="I112" s="20"/>
      <c r="U112" s="20"/>
      <c r="AA112" s="20"/>
      <c r="AG112" s="20"/>
    </row>
    <row r="113" spans="9:33" x14ac:dyDescent="0.3">
      <c r="I113" s="20"/>
      <c r="U113" s="20"/>
      <c r="AA113" s="20"/>
      <c r="AG113" s="20"/>
    </row>
    <row r="114" spans="9:33" x14ac:dyDescent="0.3">
      <c r="I114" s="20"/>
      <c r="U114" s="20"/>
      <c r="AA114" s="20"/>
      <c r="AG114" s="20"/>
    </row>
    <row r="115" spans="9:33" x14ac:dyDescent="0.3">
      <c r="I115" s="20"/>
      <c r="U115" s="20"/>
      <c r="AA115" s="20"/>
    </row>
    <row r="116" spans="9:33" x14ac:dyDescent="0.3">
      <c r="I116" s="20"/>
      <c r="U116" s="20"/>
      <c r="AA116" s="20"/>
    </row>
    <row r="117" spans="9:33" x14ac:dyDescent="0.3">
      <c r="I117" s="20"/>
      <c r="U117" s="20"/>
      <c r="AA117" s="20"/>
    </row>
    <row r="118" spans="9:33" x14ac:dyDescent="0.3">
      <c r="I118" s="20"/>
      <c r="U118" s="20"/>
      <c r="AA118" s="20"/>
    </row>
    <row r="119" spans="9:33" x14ac:dyDescent="0.3">
      <c r="I119" s="20"/>
      <c r="U119" s="20"/>
      <c r="AA119" s="20"/>
    </row>
    <row r="120" spans="9:33" x14ac:dyDescent="0.3">
      <c r="I120" s="20"/>
      <c r="U120" s="20"/>
      <c r="AA120" s="20"/>
    </row>
    <row r="121" spans="9:33" x14ac:dyDescent="0.3">
      <c r="I121" s="20"/>
      <c r="U121" s="20"/>
      <c r="AA121" s="20"/>
    </row>
    <row r="122" spans="9:33" x14ac:dyDescent="0.3">
      <c r="I122" s="20"/>
      <c r="U122" s="20"/>
      <c r="AA122" s="20"/>
    </row>
    <row r="123" spans="9:33" x14ac:dyDescent="0.3">
      <c r="I123" s="20"/>
      <c r="U123" s="20"/>
      <c r="AA123" s="20"/>
    </row>
    <row r="124" spans="9:33" x14ac:dyDescent="0.3">
      <c r="I124" s="20"/>
      <c r="U124" s="20"/>
    </row>
    <row r="125" spans="9:33" x14ac:dyDescent="0.3">
      <c r="U125" s="20"/>
    </row>
    <row r="126" spans="9:33" x14ac:dyDescent="0.3">
      <c r="U126" s="20"/>
    </row>
    <row r="127" spans="9:33" x14ac:dyDescent="0.3">
      <c r="U127" s="20"/>
    </row>
    <row r="128" spans="9:33" x14ac:dyDescent="0.3">
      <c r="U128" s="20"/>
    </row>
    <row r="129" spans="21:21" x14ac:dyDescent="0.3">
      <c r="U129" s="20"/>
    </row>
    <row r="130" spans="21:21" x14ac:dyDescent="0.3">
      <c r="U130" s="20"/>
    </row>
    <row r="131" spans="21:21" x14ac:dyDescent="0.3">
      <c r="U131" s="20"/>
    </row>
    <row r="132" spans="21:21" x14ac:dyDescent="0.3">
      <c r="U132" s="20"/>
    </row>
    <row r="133" spans="21:21" x14ac:dyDescent="0.3">
      <c r="U133" s="20"/>
    </row>
    <row r="134" spans="21:21" x14ac:dyDescent="0.3">
      <c r="U134" s="20"/>
    </row>
    <row r="135" spans="21:21" x14ac:dyDescent="0.3">
      <c r="U135" s="20"/>
    </row>
    <row r="136" spans="21:21" x14ac:dyDescent="0.3">
      <c r="U136" s="20"/>
    </row>
    <row r="137" spans="21:21" x14ac:dyDescent="0.3">
      <c r="U137" s="20"/>
    </row>
    <row r="138" spans="21:21" x14ac:dyDescent="0.3">
      <c r="U138" s="20"/>
    </row>
    <row r="139" spans="21:21" x14ac:dyDescent="0.3">
      <c r="U139" s="20"/>
    </row>
    <row r="140" spans="21:21" x14ac:dyDescent="0.3">
      <c r="U140" s="20"/>
    </row>
    <row r="141" spans="21:21" x14ac:dyDescent="0.3">
      <c r="U141" s="20"/>
    </row>
    <row r="142" spans="21:21" x14ac:dyDescent="0.3">
      <c r="U142" s="20"/>
    </row>
    <row r="143" spans="21:21" x14ac:dyDescent="0.3">
      <c r="U143" s="20"/>
    </row>
    <row r="144" spans="21:21" x14ac:dyDescent="0.3">
      <c r="U144" s="20"/>
    </row>
    <row r="145" spans="21:21" x14ac:dyDescent="0.3">
      <c r="U145" s="20"/>
    </row>
    <row r="146" spans="21:21" x14ac:dyDescent="0.3">
      <c r="U146" s="20"/>
    </row>
    <row r="147" spans="21:21" x14ac:dyDescent="0.3">
      <c r="U147" s="20"/>
    </row>
  </sheetData>
  <mergeCells count="8">
    <mergeCell ref="AE3:AI3"/>
    <mergeCell ref="AK3:AO3"/>
    <mergeCell ref="A1:E1"/>
    <mergeCell ref="A3:E3"/>
    <mergeCell ref="G3:K3"/>
    <mergeCell ref="M3:Q3"/>
    <mergeCell ref="S3:W3"/>
    <mergeCell ref="Y3:AC3"/>
  </mergeCells>
  <pageMargins left="0.7" right="0.7" top="0.75" bottom="0.75" header="0.3" footer="0.3"/>
  <pageSetup paperSize="9" scale="15" fitToHeight="0" orientation="portrait" cellComments="atEnd" r:id="rId1"/>
  <colBreaks count="8" manualBreakCount="8">
    <brk id="5" max="1048575" man="1"/>
    <brk id="6" max="1048575" man="1"/>
    <brk id="11" max="1048575" man="1"/>
    <brk id="17" max="1048575" man="1"/>
    <brk id="23" max="1048575" man="1"/>
    <brk id="29" max="1048575" man="1"/>
    <brk id="35" max="1048575" man="1"/>
    <brk id="41" max="1048575" man="1"/>
  </colBreaks>
  <tableParts count="7">
    <tablePart r:id="rId2"/>
    <tablePart r:id="rId3"/>
    <tablePart r:id="rId4"/>
    <tablePart r:id="rId5"/>
    <tablePart r:id="rId6"/>
    <tablePart r:id="rId7"/>
    <tablePart r:id="rId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6A07B-4661-459B-B3C1-C57A023B962A}">
  <sheetPr codeName="Hoja1"/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C4EBC-F709-4A74-8A68-EAFDBE705713}">
  <sheetPr codeName="Hoja3">
    <tabColor rgb="FF0088CC"/>
    <outlinePr summaryBelow="0"/>
    <pageSetUpPr fitToPage="1"/>
  </sheetPr>
  <dimension ref="A1:H84"/>
  <sheetViews>
    <sheetView showGridLines="0" topLeftCell="A16" zoomScale="110" zoomScaleNormal="110" zoomScaleSheetLayoutView="110" workbookViewId="0">
      <selection activeCell="A2" sqref="A2"/>
    </sheetView>
  </sheetViews>
  <sheetFormatPr baseColWidth="10" defaultRowHeight="14.4" outlineLevelRow="1" x14ac:dyDescent="0.3"/>
  <cols>
    <col min="1" max="1" width="11.77734375" bestFit="1" customWidth="1"/>
    <col min="2" max="2" width="7.77734375" bestFit="1" customWidth="1"/>
    <col min="3" max="3" width="40.77734375" customWidth="1"/>
    <col min="4" max="4" width="7.77734375" bestFit="1" customWidth="1"/>
    <col min="5" max="5" width="7.5546875" bestFit="1" customWidth="1"/>
    <col min="6" max="6" width="9.6640625" bestFit="1" customWidth="1"/>
    <col min="7" max="8" width="8.77734375" style="21" bestFit="1" customWidth="1"/>
    <col min="9" max="9" width="1.33203125" customWidth="1"/>
  </cols>
  <sheetData>
    <row r="1" spans="1:8" ht="30" customHeight="1" x14ac:dyDescent="0.3">
      <c r="A1" s="22" t="s">
        <v>28</v>
      </c>
      <c r="B1" s="22"/>
      <c r="C1" s="22"/>
      <c r="D1" s="22"/>
      <c r="E1" s="22"/>
      <c r="F1" s="22"/>
      <c r="G1" s="22"/>
      <c r="H1" s="22"/>
    </row>
    <row r="2" spans="1:8" ht="15" thickBot="1" x14ac:dyDescent="0.35">
      <c r="G2"/>
      <c r="H2"/>
    </row>
    <row r="3" spans="1:8" ht="15" thickBot="1" x14ac:dyDescent="0.35">
      <c r="A3" s="23" t="s">
        <v>29</v>
      </c>
      <c r="B3" s="24" t="s">
        <v>30</v>
      </c>
      <c r="C3" s="25"/>
      <c r="D3" s="25"/>
      <c r="E3" s="25"/>
      <c r="F3" s="25"/>
      <c r="G3" s="26"/>
      <c r="H3" s="27" t="s">
        <v>31</v>
      </c>
    </row>
    <row r="4" spans="1:8" outlineLevel="1" x14ac:dyDescent="0.3">
      <c r="A4" t="s">
        <v>32</v>
      </c>
      <c r="B4" t="s">
        <v>9</v>
      </c>
      <c r="C4" t="s">
        <v>8</v>
      </c>
      <c r="D4" t="s">
        <v>10</v>
      </c>
      <c r="E4" t="s">
        <v>33</v>
      </c>
      <c r="F4" t="s">
        <v>34</v>
      </c>
      <c r="G4" t="s">
        <v>11</v>
      </c>
      <c r="H4" t="s">
        <v>35</v>
      </c>
    </row>
    <row r="5" spans="1:8" outlineLevel="1" x14ac:dyDescent="0.3">
      <c r="A5" s="18"/>
      <c r="D5" s="3"/>
      <c r="E5">
        <v>1</v>
      </c>
      <c r="G5" s="4"/>
      <c r="H5" s="4">
        <v>0</v>
      </c>
    </row>
    <row r="6" spans="1:8" outlineLevel="1" x14ac:dyDescent="0.3">
      <c r="A6" s="18" t="s">
        <v>1</v>
      </c>
      <c r="B6">
        <v>0</v>
      </c>
      <c r="C6" t="s">
        <v>24</v>
      </c>
      <c r="D6" s="3" t="s">
        <v>25</v>
      </c>
      <c r="E6">
        <v>1</v>
      </c>
      <c r="F6">
        <v>2</v>
      </c>
      <c r="G6" s="4">
        <v>285000</v>
      </c>
      <c r="H6" s="4">
        <v>570000</v>
      </c>
    </row>
    <row r="7" spans="1:8" outlineLevel="1" x14ac:dyDescent="0.3">
      <c r="A7" s="18"/>
      <c r="D7" s="3"/>
      <c r="E7">
        <v>1</v>
      </c>
      <c r="G7" s="4"/>
      <c r="H7" s="4">
        <v>0</v>
      </c>
    </row>
    <row r="8" spans="1:8" outlineLevel="1" x14ac:dyDescent="0.3">
      <c r="A8" s="18"/>
      <c r="D8" s="3"/>
      <c r="E8">
        <v>1</v>
      </c>
      <c r="G8" s="4"/>
      <c r="H8" s="4">
        <v>0</v>
      </c>
    </row>
    <row r="9" spans="1:8" outlineLevel="1" x14ac:dyDescent="0.3">
      <c r="A9" s="18"/>
      <c r="D9" s="3"/>
      <c r="E9">
        <v>1</v>
      </c>
      <c r="G9" s="4"/>
      <c r="H9" s="4">
        <v>0</v>
      </c>
    </row>
    <row r="10" spans="1:8" outlineLevel="1" x14ac:dyDescent="0.3">
      <c r="A10" s="18"/>
      <c r="D10" s="3"/>
      <c r="E10">
        <v>1</v>
      </c>
      <c r="G10" s="4"/>
      <c r="H10" s="4">
        <v>0</v>
      </c>
    </row>
    <row r="11" spans="1:8" outlineLevel="1" x14ac:dyDescent="0.3">
      <c r="D11" s="3"/>
      <c r="E11">
        <v>1</v>
      </c>
      <c r="G11" s="4"/>
      <c r="H11" s="4">
        <v>0</v>
      </c>
    </row>
    <row r="12" spans="1:8" x14ac:dyDescent="0.3">
      <c r="A12" t="s">
        <v>36</v>
      </c>
      <c r="G12" s="4"/>
      <c r="H12" s="4">
        <f>SUM(Tabla2[TOTAL])</f>
        <v>570000</v>
      </c>
    </row>
    <row r="13" spans="1:8" x14ac:dyDescent="0.3">
      <c r="G13"/>
      <c r="H13"/>
    </row>
    <row r="14" spans="1:8" ht="15" thickBot="1" x14ac:dyDescent="0.35">
      <c r="G14"/>
      <c r="H14"/>
    </row>
    <row r="15" spans="1:8" ht="15" thickBot="1" x14ac:dyDescent="0.35">
      <c r="A15" s="23" t="s">
        <v>29</v>
      </c>
      <c r="B15" s="24" t="s">
        <v>30</v>
      </c>
      <c r="C15" s="25"/>
      <c r="D15" s="25"/>
      <c r="E15" s="25"/>
      <c r="F15" s="25"/>
      <c r="G15" s="26"/>
      <c r="H15" s="27" t="s">
        <v>31</v>
      </c>
    </row>
    <row r="16" spans="1:8" outlineLevel="1" x14ac:dyDescent="0.3">
      <c r="A16" t="s">
        <v>32</v>
      </c>
      <c r="B16" t="s">
        <v>9</v>
      </c>
      <c r="C16" t="s">
        <v>8</v>
      </c>
      <c r="D16" t="s">
        <v>10</v>
      </c>
      <c r="E16" t="s">
        <v>33</v>
      </c>
      <c r="F16" t="s">
        <v>34</v>
      </c>
      <c r="G16" t="s">
        <v>11</v>
      </c>
      <c r="H16" t="s">
        <v>35</v>
      </c>
    </row>
    <row r="17" spans="1:8" outlineLevel="1" x14ac:dyDescent="0.3">
      <c r="A17" s="18"/>
      <c r="D17" s="3"/>
      <c r="E17">
        <v>1</v>
      </c>
      <c r="G17" s="4"/>
      <c r="H17" s="4">
        <v>0</v>
      </c>
    </row>
    <row r="18" spans="1:8" outlineLevel="1" x14ac:dyDescent="0.3">
      <c r="A18" s="18" t="s">
        <v>1</v>
      </c>
      <c r="B18">
        <v>0</v>
      </c>
      <c r="C18" t="s">
        <v>24</v>
      </c>
      <c r="D18" s="3" t="s">
        <v>25</v>
      </c>
      <c r="E18">
        <v>1</v>
      </c>
      <c r="F18">
        <v>2</v>
      </c>
      <c r="G18" s="4">
        <v>285000</v>
      </c>
      <c r="H18" s="4">
        <v>570000</v>
      </c>
    </row>
    <row r="19" spans="1:8" outlineLevel="1" x14ac:dyDescent="0.3">
      <c r="A19" s="18"/>
      <c r="D19" s="3"/>
      <c r="E19">
        <v>1</v>
      </c>
      <c r="G19" s="4"/>
      <c r="H19" s="4">
        <v>0</v>
      </c>
    </row>
    <row r="20" spans="1:8" outlineLevel="1" x14ac:dyDescent="0.3">
      <c r="D20" s="3"/>
      <c r="E20">
        <v>1</v>
      </c>
      <c r="G20" s="4"/>
      <c r="H20" s="4">
        <v>0</v>
      </c>
    </row>
    <row r="21" spans="1:8" outlineLevel="1" x14ac:dyDescent="0.3">
      <c r="D21" s="3"/>
      <c r="E21">
        <v>1</v>
      </c>
      <c r="G21" s="4"/>
      <c r="H21" s="4">
        <v>0</v>
      </c>
    </row>
    <row r="22" spans="1:8" x14ac:dyDescent="0.3">
      <c r="A22" t="s">
        <v>36</v>
      </c>
      <c r="G22" s="4"/>
      <c r="H22" s="4">
        <f>SUM(Tabla3[TOTAL])</f>
        <v>570000</v>
      </c>
    </row>
    <row r="23" spans="1:8" x14ac:dyDescent="0.3">
      <c r="G23"/>
      <c r="H23"/>
    </row>
    <row r="24" spans="1:8" ht="15" thickBot="1" x14ac:dyDescent="0.35">
      <c r="G24"/>
      <c r="H24"/>
    </row>
    <row r="25" spans="1:8" ht="15" thickBot="1" x14ac:dyDescent="0.35">
      <c r="A25" s="23" t="s">
        <v>29</v>
      </c>
      <c r="B25" s="24" t="s">
        <v>37</v>
      </c>
      <c r="C25" s="25"/>
      <c r="D25" s="25"/>
      <c r="E25" s="25"/>
      <c r="F25" s="25"/>
      <c r="G25" s="26"/>
      <c r="H25" s="27" t="s">
        <v>31</v>
      </c>
    </row>
    <row r="26" spans="1:8" outlineLevel="1" x14ac:dyDescent="0.3">
      <c r="A26" t="s">
        <v>32</v>
      </c>
      <c r="B26" t="s">
        <v>9</v>
      </c>
      <c r="C26" t="s">
        <v>8</v>
      </c>
      <c r="D26" t="s">
        <v>10</v>
      </c>
      <c r="E26" t="s">
        <v>33</v>
      </c>
      <c r="F26" t="s">
        <v>34</v>
      </c>
      <c r="G26" t="s">
        <v>11</v>
      </c>
      <c r="H26" t="s">
        <v>35</v>
      </c>
    </row>
    <row r="27" spans="1:8" outlineLevel="1" x14ac:dyDescent="0.3">
      <c r="A27" s="18" t="s">
        <v>1</v>
      </c>
      <c r="B27">
        <v>0</v>
      </c>
      <c r="C27" t="s">
        <v>24</v>
      </c>
      <c r="D27" s="3" t="s">
        <v>25</v>
      </c>
      <c r="E27">
        <v>1</v>
      </c>
      <c r="F27">
        <v>2</v>
      </c>
      <c r="G27" s="4">
        <v>285000</v>
      </c>
      <c r="H27" s="4">
        <v>570000</v>
      </c>
    </row>
    <row r="28" spans="1:8" outlineLevel="1" x14ac:dyDescent="0.3">
      <c r="A28" s="18"/>
      <c r="D28" s="3"/>
      <c r="E28">
        <v>1</v>
      </c>
      <c r="G28" s="4"/>
      <c r="H28" s="4">
        <v>0</v>
      </c>
    </row>
    <row r="29" spans="1:8" outlineLevel="1" x14ac:dyDescent="0.3">
      <c r="D29" s="3"/>
      <c r="E29">
        <v>1</v>
      </c>
      <c r="G29" s="4"/>
      <c r="H29" s="4">
        <v>0</v>
      </c>
    </row>
    <row r="30" spans="1:8" outlineLevel="1" x14ac:dyDescent="0.3">
      <c r="D30" s="3"/>
      <c r="E30">
        <v>1</v>
      </c>
      <c r="G30" s="4"/>
      <c r="H30" s="4">
        <v>0</v>
      </c>
    </row>
    <row r="31" spans="1:8" x14ac:dyDescent="0.3">
      <c r="A31" t="s">
        <v>36</v>
      </c>
      <c r="G31" s="4"/>
      <c r="H31" s="4">
        <f>SUM(Tabla13[TOTAL])</f>
        <v>570000</v>
      </c>
    </row>
    <row r="32" spans="1:8" x14ac:dyDescent="0.3">
      <c r="G32"/>
      <c r="H32"/>
    </row>
    <row r="33" customFormat="1" x14ac:dyDescent="0.3"/>
    <row r="34" customFormat="1" x14ac:dyDescent="0.3"/>
    <row r="35" customFormat="1" x14ac:dyDescent="0.3"/>
    <row r="36" customFormat="1" x14ac:dyDescent="0.3"/>
    <row r="37" customFormat="1" x14ac:dyDescent="0.3"/>
    <row r="38" customFormat="1" x14ac:dyDescent="0.3"/>
    <row r="39" customFormat="1" x14ac:dyDescent="0.3"/>
    <row r="40" customFormat="1" x14ac:dyDescent="0.3"/>
    <row r="41" customFormat="1" x14ac:dyDescent="0.3"/>
    <row r="42" customFormat="1" x14ac:dyDescent="0.3"/>
    <row r="43" customFormat="1" x14ac:dyDescent="0.3"/>
    <row r="44" customFormat="1" x14ac:dyDescent="0.3"/>
    <row r="45" customFormat="1" x14ac:dyDescent="0.3"/>
    <row r="46" customFormat="1" x14ac:dyDescent="0.3"/>
    <row r="47" customFormat="1" x14ac:dyDescent="0.3"/>
    <row r="48" customFormat="1" x14ac:dyDescent="0.3"/>
    <row r="49" customFormat="1" x14ac:dyDescent="0.3"/>
    <row r="50" customFormat="1" x14ac:dyDescent="0.3"/>
    <row r="51" customFormat="1" x14ac:dyDescent="0.3"/>
    <row r="52" customFormat="1" x14ac:dyDescent="0.3"/>
    <row r="53" customFormat="1" x14ac:dyDescent="0.3"/>
    <row r="54" customFormat="1" x14ac:dyDescent="0.3"/>
    <row r="55" customFormat="1" x14ac:dyDescent="0.3"/>
    <row r="56" customFormat="1" x14ac:dyDescent="0.3"/>
    <row r="57" customFormat="1" x14ac:dyDescent="0.3"/>
    <row r="58" customFormat="1" x14ac:dyDescent="0.3"/>
    <row r="59" customFormat="1" x14ac:dyDescent="0.3"/>
    <row r="60" customFormat="1" x14ac:dyDescent="0.3"/>
    <row r="61" customFormat="1" x14ac:dyDescent="0.3"/>
    <row r="62" customFormat="1" x14ac:dyDescent="0.3"/>
    <row r="63" customFormat="1" x14ac:dyDescent="0.3"/>
    <row r="64" customFormat="1" x14ac:dyDescent="0.3"/>
    <row r="65" customFormat="1" x14ac:dyDescent="0.3"/>
    <row r="66" customFormat="1" x14ac:dyDescent="0.3"/>
    <row r="67" customFormat="1" x14ac:dyDescent="0.3"/>
    <row r="68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</sheetData>
  <mergeCells count="4">
    <mergeCell ref="A1:H1"/>
    <mergeCell ref="B3:G3"/>
    <mergeCell ref="B15:G15"/>
    <mergeCell ref="B25:G25"/>
  </mergeCells>
  <dataValidations count="2">
    <dataValidation type="list" allowBlank="1" showInputMessage="1" showErrorMessage="1" sqref="C5:C10 C18 C27" xr:uid="{79404CD8-C252-4990-B0BA-35C9812AE8DF}">
      <formula1>MATERIALES</formula1>
    </dataValidation>
    <dataValidation type="list" allowBlank="1" showInputMessage="1" showErrorMessage="1" sqref="A17:A21 A27:A30 A5:A11" xr:uid="{6D4654A3-021D-4829-BBCE-DEADC970103B}">
      <formula1>"MATERIALES,EQUIPOS,MANO DE OBRA,TRANSPORTE,SUBCONTRATOS,ACTIVIDADES,OTROS"</formula1>
    </dataValidation>
  </dataValidations>
  <pageMargins left="0.7" right="0.7" top="0.75" bottom="0.75" header="0.3" footer="0.3"/>
  <pageSetup paperSize="9" scale="73" fitToHeight="0" orientation="portrait" cellComments="atEnd" r:id="rId1"/>
  <colBreaks count="1" manualBreakCount="1">
    <brk id="8" max="1048575" man="1"/>
  </colBreaks>
  <tableParts count="3">
    <tablePart r:id="rId2"/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3D40A-3EA4-414E-B279-3EE6F7A9B60B}">
  <sheetPr codeName="Hoja7">
    <tabColor rgb="FF00AC56"/>
    <outlinePr summaryBelow="0"/>
    <pageSetUpPr fitToPage="1"/>
  </sheetPr>
  <dimension ref="A1:H50"/>
  <sheetViews>
    <sheetView showGridLines="0" showWhiteSpace="0" topLeftCell="A10" zoomScale="110" zoomScaleNormal="110" zoomScaleSheetLayoutView="110" workbookViewId="0">
      <selection activeCell="J24" sqref="J24"/>
    </sheetView>
  </sheetViews>
  <sheetFormatPr baseColWidth="10" defaultColWidth="11.44140625" defaultRowHeight="14.4" outlineLevelRow="1" x14ac:dyDescent="0.3"/>
  <cols>
    <col min="1" max="1" width="12.44140625" bestFit="1" customWidth="1"/>
    <col min="2" max="2" width="9.6640625" customWidth="1"/>
    <col min="3" max="3" width="40.77734375" customWidth="1"/>
    <col min="4" max="4" width="9.5546875" customWidth="1"/>
    <col min="5" max="5" width="9.44140625" customWidth="1"/>
    <col min="6" max="6" width="11.6640625" customWidth="1"/>
    <col min="7" max="7" width="8.88671875" style="21" customWidth="1"/>
    <col min="8" max="8" width="12.21875" style="21" bestFit="1" customWidth="1"/>
    <col min="9" max="9" width="1.33203125" customWidth="1"/>
  </cols>
  <sheetData>
    <row r="1" spans="1:8" ht="30" customHeight="1" x14ac:dyDescent="0.3">
      <c r="A1" s="22" t="s">
        <v>38</v>
      </c>
      <c r="B1" s="22"/>
      <c r="C1" s="22"/>
      <c r="D1" s="22"/>
      <c r="E1" s="22"/>
      <c r="F1" s="22"/>
      <c r="G1" s="22"/>
      <c r="H1" s="22"/>
    </row>
    <row r="2" spans="1:8" ht="15" thickBot="1" x14ac:dyDescent="0.35">
      <c r="A2" s="28"/>
      <c r="B2" s="29"/>
      <c r="C2" s="30"/>
      <c r="D2" s="30"/>
      <c r="E2" s="28"/>
      <c r="F2" s="28"/>
      <c r="G2" s="28"/>
      <c r="H2" s="31"/>
    </row>
    <row r="3" spans="1:8" ht="15" thickBot="1" x14ac:dyDescent="0.35">
      <c r="A3" s="32" t="s">
        <v>29</v>
      </c>
      <c r="B3" s="33" t="s">
        <v>39</v>
      </c>
      <c r="C3" s="34"/>
      <c r="D3" s="34"/>
      <c r="E3" s="34"/>
      <c r="F3" s="34"/>
      <c r="G3" s="35"/>
      <c r="H3" s="36" t="s">
        <v>31</v>
      </c>
    </row>
    <row r="4" spans="1:8" outlineLevel="1" x14ac:dyDescent="0.3">
      <c r="A4" t="s">
        <v>32</v>
      </c>
      <c r="B4" t="s">
        <v>9</v>
      </c>
      <c r="C4" t="s">
        <v>8</v>
      </c>
      <c r="D4" t="s">
        <v>10</v>
      </c>
      <c r="E4" t="s">
        <v>33</v>
      </c>
      <c r="F4" t="s">
        <v>34</v>
      </c>
      <c r="G4" t="s">
        <v>11</v>
      </c>
      <c r="H4" t="s">
        <v>35</v>
      </c>
    </row>
    <row r="5" spans="1:8" outlineLevel="1" x14ac:dyDescent="0.3">
      <c r="A5" t="s">
        <v>1</v>
      </c>
      <c r="B5">
        <v>0</v>
      </c>
      <c r="C5" t="s">
        <v>27</v>
      </c>
      <c r="D5" s="3" t="s">
        <v>25</v>
      </c>
      <c r="E5">
        <v>1</v>
      </c>
      <c r="F5">
        <v>2</v>
      </c>
      <c r="G5" s="4">
        <v>72500</v>
      </c>
      <c r="H5" s="4">
        <v>145000</v>
      </c>
    </row>
    <row r="6" spans="1:8" outlineLevel="1" x14ac:dyDescent="0.3">
      <c r="D6" s="3"/>
      <c r="E6">
        <v>1</v>
      </c>
      <c r="G6" s="4"/>
      <c r="H6" s="4">
        <v>0</v>
      </c>
    </row>
    <row r="7" spans="1:8" outlineLevel="1" x14ac:dyDescent="0.3">
      <c r="A7" t="s">
        <v>2</v>
      </c>
      <c r="B7">
        <v>0</v>
      </c>
      <c r="C7" t="s">
        <v>21</v>
      </c>
      <c r="D7" s="3" t="s">
        <v>22</v>
      </c>
      <c r="E7">
        <v>1</v>
      </c>
      <c r="F7">
        <v>2</v>
      </c>
      <c r="G7" s="4">
        <v>110215</v>
      </c>
      <c r="H7" s="4">
        <v>220430</v>
      </c>
    </row>
    <row r="8" spans="1:8" outlineLevel="1" x14ac:dyDescent="0.3">
      <c r="D8" s="3"/>
      <c r="E8">
        <v>1</v>
      </c>
      <c r="G8" s="4"/>
      <c r="H8" s="4">
        <v>0</v>
      </c>
    </row>
    <row r="9" spans="1:8" outlineLevel="1" x14ac:dyDescent="0.3">
      <c r="D9" s="3"/>
      <c r="E9">
        <v>1</v>
      </c>
      <c r="G9" s="4"/>
      <c r="H9" s="4">
        <v>0</v>
      </c>
    </row>
    <row r="10" spans="1:8" x14ac:dyDescent="0.3">
      <c r="A10" t="s">
        <v>36</v>
      </c>
      <c r="G10" s="4"/>
      <c r="H10" s="4">
        <f>SUM(Tabla8[TOTAL])</f>
        <v>365430</v>
      </c>
    </row>
    <row r="11" spans="1:8" x14ac:dyDescent="0.3">
      <c r="G11"/>
      <c r="H11"/>
    </row>
    <row r="12" spans="1:8" ht="15" thickBot="1" x14ac:dyDescent="0.35">
      <c r="G12"/>
      <c r="H12"/>
    </row>
    <row r="13" spans="1:8" ht="15" thickBot="1" x14ac:dyDescent="0.35">
      <c r="A13" s="37" t="s">
        <v>29</v>
      </c>
      <c r="B13" s="38" t="s">
        <v>40</v>
      </c>
      <c r="C13" s="39"/>
      <c r="D13" s="39"/>
      <c r="E13" s="39"/>
      <c r="F13" s="39"/>
      <c r="G13" s="40"/>
      <c r="H13" s="41" t="s">
        <v>31</v>
      </c>
    </row>
    <row r="14" spans="1:8" outlineLevel="1" x14ac:dyDescent="0.3">
      <c r="A14" s="18" t="s">
        <v>32</v>
      </c>
      <c r="B14" s="18" t="s">
        <v>9</v>
      </c>
      <c r="C14" s="18" t="s">
        <v>8</v>
      </c>
      <c r="D14" s="18" t="s">
        <v>10</v>
      </c>
      <c r="E14" s="18" t="s">
        <v>33</v>
      </c>
      <c r="F14" s="18" t="s">
        <v>34</v>
      </c>
      <c r="G14" s="18" t="s">
        <v>11</v>
      </c>
      <c r="H14" s="18" t="s">
        <v>35</v>
      </c>
    </row>
    <row r="15" spans="1:8" outlineLevel="1" x14ac:dyDescent="0.3">
      <c r="A15" t="s">
        <v>41</v>
      </c>
      <c r="B15" t="s">
        <v>29</v>
      </c>
      <c r="C15" t="s">
        <v>30</v>
      </c>
      <c r="D15" s="3" t="s">
        <v>31</v>
      </c>
      <c r="E15">
        <v>1</v>
      </c>
      <c r="F15">
        <v>4</v>
      </c>
      <c r="G15" s="4">
        <v>570000</v>
      </c>
      <c r="H15" s="4">
        <v>2280000</v>
      </c>
    </row>
    <row r="16" spans="1:8" outlineLevel="1" x14ac:dyDescent="0.3">
      <c r="A16" t="s">
        <v>41</v>
      </c>
      <c r="B16" t="s">
        <v>29</v>
      </c>
      <c r="C16" t="s">
        <v>30</v>
      </c>
      <c r="D16" s="3" t="s">
        <v>31</v>
      </c>
      <c r="E16">
        <v>1</v>
      </c>
      <c r="F16">
        <v>5</v>
      </c>
      <c r="G16" s="4">
        <v>570000</v>
      </c>
      <c r="H16" s="4">
        <v>2850000</v>
      </c>
    </row>
    <row r="17" spans="1:8" outlineLevel="1" x14ac:dyDescent="0.3">
      <c r="D17" s="3"/>
      <c r="E17">
        <v>1</v>
      </c>
      <c r="G17" s="4"/>
      <c r="H17" s="4">
        <v>0</v>
      </c>
    </row>
    <row r="18" spans="1:8" outlineLevel="1" x14ac:dyDescent="0.3">
      <c r="D18" s="3"/>
      <c r="E18">
        <v>1</v>
      </c>
      <c r="G18" s="4"/>
      <c r="H18" s="4">
        <v>0</v>
      </c>
    </row>
    <row r="19" spans="1:8" x14ac:dyDescent="0.3">
      <c r="A19" s="18" t="s">
        <v>36</v>
      </c>
      <c r="G19" s="4"/>
      <c r="H19" s="17">
        <f>SUM(Tabla10[TOTAL])</f>
        <v>5130000</v>
      </c>
    </row>
    <row r="20" spans="1:8" x14ac:dyDescent="0.3">
      <c r="G20"/>
      <c r="H20"/>
    </row>
    <row r="21" spans="1:8" ht="15" thickBot="1" x14ac:dyDescent="0.35">
      <c r="G21"/>
      <c r="H21"/>
    </row>
    <row r="22" spans="1:8" ht="15" thickBot="1" x14ac:dyDescent="0.35">
      <c r="A22" s="37" t="s">
        <v>29</v>
      </c>
      <c r="B22" s="38" t="s">
        <v>40</v>
      </c>
      <c r="C22" s="39"/>
      <c r="D22" s="39"/>
      <c r="E22" s="39"/>
      <c r="F22" s="39"/>
      <c r="G22" s="40"/>
      <c r="H22" s="41" t="s">
        <v>31</v>
      </c>
    </row>
    <row r="23" spans="1:8" outlineLevel="1" x14ac:dyDescent="0.3">
      <c r="A23" s="18" t="s">
        <v>32</v>
      </c>
      <c r="B23" s="18" t="s">
        <v>9</v>
      </c>
      <c r="C23" s="18" t="s">
        <v>8</v>
      </c>
      <c r="D23" s="18" t="s">
        <v>10</v>
      </c>
      <c r="E23" s="18" t="s">
        <v>33</v>
      </c>
      <c r="F23" s="18" t="s">
        <v>34</v>
      </c>
      <c r="G23" s="18" t="s">
        <v>11</v>
      </c>
      <c r="H23" s="18" t="s">
        <v>35</v>
      </c>
    </row>
    <row r="24" spans="1:8" outlineLevel="1" x14ac:dyDescent="0.3">
      <c r="A24" t="s">
        <v>41</v>
      </c>
      <c r="B24" t="e">
        <v>#N/A</v>
      </c>
      <c r="C24" t="s">
        <v>30</v>
      </c>
      <c r="D24" s="3" t="e">
        <v>#N/A</v>
      </c>
      <c r="E24">
        <v>1</v>
      </c>
      <c r="F24">
        <v>4</v>
      </c>
      <c r="G24" s="4" t="e">
        <v>#N/A</v>
      </c>
      <c r="H24" s="4" t="e">
        <v>#N/A</v>
      </c>
    </row>
    <row r="25" spans="1:8" outlineLevel="1" x14ac:dyDescent="0.3">
      <c r="A25" t="s">
        <v>41</v>
      </c>
      <c r="B25" t="e">
        <v>#N/A</v>
      </c>
      <c r="C25" t="s">
        <v>30</v>
      </c>
      <c r="D25" s="3" t="e">
        <v>#N/A</v>
      </c>
      <c r="E25">
        <v>1</v>
      </c>
      <c r="F25">
        <v>5</v>
      </c>
      <c r="G25" s="4" t="e">
        <v>#N/A</v>
      </c>
      <c r="H25" s="4" t="e">
        <v>#N/A</v>
      </c>
    </row>
    <row r="26" spans="1:8" outlineLevel="1" x14ac:dyDescent="0.3">
      <c r="D26" s="3"/>
      <c r="E26">
        <v>1</v>
      </c>
      <c r="G26" s="4"/>
      <c r="H26" s="4">
        <v>0</v>
      </c>
    </row>
    <row r="27" spans="1:8" outlineLevel="1" x14ac:dyDescent="0.3">
      <c r="D27" s="3"/>
      <c r="E27">
        <v>1</v>
      </c>
      <c r="G27" s="4"/>
      <c r="H27" s="4">
        <v>0</v>
      </c>
    </row>
    <row r="28" spans="1:8" x14ac:dyDescent="0.3">
      <c r="A28" s="18" t="s">
        <v>36</v>
      </c>
      <c r="G28" s="4"/>
      <c r="H28" s="17" t="e">
        <f>SUM(Tabla22[TOTAL])</f>
        <v>#N/A</v>
      </c>
    </row>
    <row r="29" spans="1:8" x14ac:dyDescent="0.3">
      <c r="G29"/>
      <c r="H29"/>
    </row>
    <row r="30" spans="1:8" x14ac:dyDescent="0.3">
      <c r="G30"/>
      <c r="H30"/>
    </row>
    <row r="31" spans="1:8" x14ac:dyDescent="0.3">
      <c r="G31"/>
      <c r="H31"/>
    </row>
    <row r="32" spans="1:8" x14ac:dyDescent="0.3">
      <c r="G32"/>
      <c r="H32"/>
    </row>
    <row r="33" spans="1:8" x14ac:dyDescent="0.3">
      <c r="G33"/>
      <c r="H33"/>
    </row>
    <row r="34" spans="1:8" x14ac:dyDescent="0.3">
      <c r="G34"/>
      <c r="H34"/>
    </row>
    <row r="35" spans="1:8" x14ac:dyDescent="0.3">
      <c r="G35"/>
      <c r="H35"/>
    </row>
    <row r="36" spans="1:8" x14ac:dyDescent="0.3">
      <c r="G36"/>
      <c r="H36"/>
    </row>
    <row r="37" spans="1:8" x14ac:dyDescent="0.3">
      <c r="G37"/>
      <c r="H37"/>
    </row>
    <row r="38" spans="1:8" x14ac:dyDescent="0.3">
      <c r="G38"/>
      <c r="H38"/>
    </row>
    <row r="39" spans="1:8" x14ac:dyDescent="0.3">
      <c r="G39"/>
      <c r="H39"/>
    </row>
    <row r="40" spans="1:8" x14ac:dyDescent="0.3">
      <c r="G40"/>
      <c r="H40"/>
    </row>
    <row r="41" spans="1:8" x14ac:dyDescent="0.3">
      <c r="G41"/>
      <c r="H41"/>
    </row>
    <row r="42" spans="1:8" x14ac:dyDescent="0.3">
      <c r="G42"/>
      <c r="H42"/>
    </row>
    <row r="43" spans="1:8" x14ac:dyDescent="0.3">
      <c r="G43"/>
      <c r="H43"/>
    </row>
    <row r="44" spans="1:8" x14ac:dyDescent="0.3">
      <c r="G44"/>
      <c r="H44"/>
    </row>
    <row r="45" spans="1:8" x14ac:dyDescent="0.3">
      <c r="G45"/>
      <c r="H45"/>
    </row>
    <row r="46" spans="1:8" x14ac:dyDescent="0.3">
      <c r="A46" s="28"/>
      <c r="B46" s="29"/>
      <c r="C46" s="30"/>
      <c r="D46" s="30"/>
      <c r="E46" s="28"/>
      <c r="F46" s="28"/>
      <c r="G46" s="28"/>
      <c r="H46" s="31"/>
    </row>
    <row r="47" spans="1:8" x14ac:dyDescent="0.3">
      <c r="A47" s="28"/>
      <c r="B47" s="29"/>
      <c r="C47" s="30"/>
      <c r="D47" s="30"/>
      <c r="E47" s="28"/>
      <c r="F47" s="28"/>
      <c r="G47" s="28"/>
      <c r="H47" s="31"/>
    </row>
    <row r="48" spans="1:8" x14ac:dyDescent="0.3">
      <c r="G48"/>
      <c r="H48"/>
    </row>
    <row r="49" spans="1:8" x14ac:dyDescent="0.3">
      <c r="A49" s="28"/>
      <c r="B49" s="29"/>
      <c r="C49" s="30"/>
      <c r="D49" s="30"/>
      <c r="E49" s="28"/>
      <c r="F49" s="28"/>
      <c r="G49" s="28"/>
      <c r="H49" s="31"/>
    </row>
    <row r="50" spans="1:8" x14ac:dyDescent="0.3">
      <c r="A50" s="28"/>
      <c r="B50" s="29"/>
      <c r="C50" s="30"/>
      <c r="D50" s="30"/>
      <c r="E50" s="28"/>
      <c r="F50" s="28"/>
      <c r="G50" s="28"/>
      <c r="H50" s="31"/>
    </row>
  </sheetData>
  <mergeCells count="4">
    <mergeCell ref="A1:H1"/>
    <mergeCell ref="B3:G3"/>
    <mergeCell ref="B13:G13"/>
    <mergeCell ref="B22:G22"/>
  </mergeCells>
  <dataValidations count="4">
    <dataValidation type="list" allowBlank="1" showInputMessage="1" showErrorMessage="1" sqref="C15:C17 C24:C25" xr:uid="{47C2ED29-8277-4CBC-B5AA-902CA438C708}">
      <formula1>BÁSICOS</formula1>
    </dataValidation>
    <dataValidation type="list" allowBlank="1" showInputMessage="1" showErrorMessage="1" sqref="C5" xr:uid="{F351EC61-EAB7-4965-8237-139E71710355}">
      <formula1>MATERIALES</formula1>
    </dataValidation>
    <dataValidation type="list" allowBlank="1" showInputMessage="1" showErrorMessage="1" sqref="C6:C7" xr:uid="{A6C1DF72-93B8-4EF7-A555-C00162B330EE}">
      <formula1>EQUIPOS</formula1>
    </dataValidation>
    <dataValidation type="list" allowBlank="1" showInputMessage="1" showErrorMessage="1" sqref="A5:A9 A15:A18 A24:A27" xr:uid="{A099CABF-3734-43D1-936A-6F79B71DDC91}">
      <formula1>"MATERIALES,EQUIPOS,MANO DE OBRA,TRANSPORTE,SUBCONTRATOS,ACTIVIDADES,OTROS,APU BÁSICOS"</formula1>
    </dataValidation>
  </dataValidations>
  <pageMargins left="0.7" right="0.7" top="0.75" bottom="0.75" header="0.3" footer="0.3"/>
  <pageSetup paperSize="9" scale="84" fitToHeight="0" orientation="portrait" cellComments="atEnd" r:id="rId1"/>
  <colBreaks count="1" manualBreakCount="1">
    <brk id="8" max="1048575" man="1"/>
  </colBreaks>
  <tableParts count="3">
    <tablePart r:id="rId2"/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6AF43-D2D0-4AF4-BCE0-A1BF210C2F9C}">
  <sheetPr codeName="Hoja4">
    <tabColor rgb="FF0088CC"/>
    <outlinePr summaryBelow="0"/>
    <pageSetUpPr fitToPage="1"/>
  </sheetPr>
  <dimension ref="A1:H57"/>
  <sheetViews>
    <sheetView showGridLines="0" tabSelected="1" topLeftCell="B34" zoomScale="90" zoomScaleNormal="90" zoomScaleSheetLayoutView="90" workbookViewId="0">
      <selection activeCell="B2" sqref="B2"/>
    </sheetView>
  </sheetViews>
  <sheetFormatPr baseColWidth="10" defaultColWidth="11.44140625" defaultRowHeight="15" outlineLevelRow="1" x14ac:dyDescent="0.25"/>
  <cols>
    <col min="1" max="1" width="1.44140625" style="43" hidden="1" customWidth="1"/>
    <col min="2" max="2" width="11.5546875" style="44" bestFit="1" customWidth="1"/>
    <col min="3" max="3" width="40.77734375" style="45" customWidth="1"/>
    <col min="4" max="4" width="23" style="44" bestFit="1" customWidth="1"/>
    <col min="5" max="5" width="16.88671875" style="46" bestFit="1" customWidth="1"/>
    <col min="6" max="6" width="14.21875" style="46" bestFit="1" customWidth="1"/>
    <col min="7" max="7" width="13.6640625" style="46" bestFit="1" customWidth="1"/>
    <col min="8" max="8" width="16.88671875" style="46" bestFit="1" customWidth="1"/>
    <col min="9" max="9" width="1.33203125" style="43" customWidth="1"/>
    <col min="10" max="16384" width="11.44140625" style="43"/>
  </cols>
  <sheetData>
    <row r="1" spans="2:8" ht="30" customHeight="1" x14ac:dyDescent="0.25">
      <c r="B1" s="42" t="s">
        <v>42</v>
      </c>
      <c r="C1" s="42"/>
      <c r="D1" s="42"/>
      <c r="E1" s="42"/>
      <c r="F1" s="42"/>
      <c r="G1" s="42"/>
      <c r="H1" s="42"/>
    </row>
    <row r="2" spans="2:8" ht="15.6" thickBot="1" x14ac:dyDescent="0.3"/>
    <row r="3" spans="2:8" ht="16.2" thickBot="1" x14ac:dyDescent="0.3">
      <c r="B3" s="47" t="s">
        <v>43</v>
      </c>
      <c r="C3" s="48"/>
      <c r="D3" s="48"/>
      <c r="E3" s="48"/>
      <c r="F3" s="48"/>
      <c r="G3" s="49"/>
      <c r="H3" s="50" t="s">
        <v>29</v>
      </c>
    </row>
    <row r="4" spans="2:8" ht="15.6" outlineLevel="1" x14ac:dyDescent="0.3">
      <c r="B4" s="51" t="s">
        <v>9</v>
      </c>
      <c r="C4" s="52" t="s">
        <v>8</v>
      </c>
      <c r="D4" s="51" t="s">
        <v>10</v>
      </c>
      <c r="E4" s="53" t="s">
        <v>33</v>
      </c>
      <c r="F4" s="53" t="s">
        <v>34</v>
      </c>
      <c r="G4" s="53" t="s">
        <v>44</v>
      </c>
      <c r="H4" s="53" t="s">
        <v>35</v>
      </c>
    </row>
    <row r="5" spans="2:8" outlineLevel="1" x14ac:dyDescent="0.25">
      <c r="B5" s="44" t="s">
        <v>29</v>
      </c>
      <c r="C5" s="45" t="s">
        <v>40</v>
      </c>
      <c r="D5" s="44" t="s">
        <v>31</v>
      </c>
      <c r="E5" s="46">
        <v>1</v>
      </c>
      <c r="F5" s="46">
        <v>4</v>
      </c>
      <c r="G5" s="46">
        <v>5130000</v>
      </c>
      <c r="H5" s="46">
        <v>20520000</v>
      </c>
    </row>
    <row r="6" spans="2:8" outlineLevel="1" x14ac:dyDescent="0.25">
      <c r="B6" s="44" t="s">
        <v>29</v>
      </c>
      <c r="C6" s="45" t="s">
        <v>39</v>
      </c>
      <c r="D6" s="44" t="s">
        <v>31</v>
      </c>
      <c r="E6" s="46">
        <v>1</v>
      </c>
      <c r="F6" s="46">
        <v>2</v>
      </c>
      <c r="G6" s="46">
        <v>365430</v>
      </c>
      <c r="H6" s="46">
        <v>730860</v>
      </c>
    </row>
    <row r="7" spans="2:8" outlineLevel="1" x14ac:dyDescent="0.25">
      <c r="B7" s="44" t="s">
        <v>29</v>
      </c>
      <c r="C7" s="45" t="s">
        <v>40</v>
      </c>
      <c r="D7" s="44" t="s">
        <v>31</v>
      </c>
      <c r="E7" s="46">
        <v>1</v>
      </c>
      <c r="F7" s="46">
        <v>1</v>
      </c>
      <c r="G7" s="46">
        <v>5130000</v>
      </c>
      <c r="H7" s="46">
        <v>5130000</v>
      </c>
    </row>
    <row r="8" spans="2:8" outlineLevel="1" x14ac:dyDescent="0.25">
      <c r="B8" s="44" t="s">
        <v>29</v>
      </c>
      <c r="C8" s="45" t="s">
        <v>40</v>
      </c>
      <c r="D8" s="44" t="s">
        <v>31</v>
      </c>
      <c r="E8" s="46">
        <v>1</v>
      </c>
      <c r="G8" s="46">
        <v>5130000</v>
      </c>
      <c r="H8" s="46">
        <v>0</v>
      </c>
    </row>
    <row r="9" spans="2:8" outlineLevel="1" x14ac:dyDescent="0.25">
      <c r="B9" s="44" t="s">
        <v>29</v>
      </c>
      <c r="C9" s="45" t="s">
        <v>40</v>
      </c>
      <c r="D9" s="44" t="s">
        <v>31</v>
      </c>
      <c r="E9" s="46">
        <v>1</v>
      </c>
      <c r="F9" s="46">
        <v>5</v>
      </c>
      <c r="G9" s="46">
        <v>5130000</v>
      </c>
      <c r="H9" s="46">
        <v>25650000</v>
      </c>
    </row>
    <row r="10" spans="2:8" outlineLevel="1" x14ac:dyDescent="0.25">
      <c r="B10" s="44" t="s">
        <v>29</v>
      </c>
      <c r="C10" s="45" t="s">
        <v>39</v>
      </c>
      <c r="D10" s="44" t="s">
        <v>31</v>
      </c>
      <c r="E10" s="46">
        <v>1</v>
      </c>
      <c r="F10" s="46">
        <v>5</v>
      </c>
      <c r="G10" s="46">
        <v>365430</v>
      </c>
      <c r="H10" s="46">
        <v>1827150</v>
      </c>
    </row>
    <row r="11" spans="2:8" outlineLevel="1" x14ac:dyDescent="0.25">
      <c r="B11" s="44" t="s">
        <v>29</v>
      </c>
      <c r="C11" s="45" t="s">
        <v>39</v>
      </c>
      <c r="D11" s="44" t="s">
        <v>31</v>
      </c>
      <c r="E11" s="46">
        <v>1</v>
      </c>
      <c r="F11" s="46">
        <v>1</v>
      </c>
      <c r="G11" s="46">
        <v>365430</v>
      </c>
      <c r="H11" s="46">
        <v>365430</v>
      </c>
    </row>
    <row r="12" spans="2:8" outlineLevel="1" x14ac:dyDescent="0.25">
      <c r="E12" s="46">
        <v>1</v>
      </c>
      <c r="H12" s="46">
        <v>0</v>
      </c>
    </row>
    <row r="13" spans="2:8" ht="15.6" x14ac:dyDescent="0.3">
      <c r="B13" s="51" t="s">
        <v>36</v>
      </c>
      <c r="H13" s="53">
        <f>SUM(Tabla7[TOTAL])</f>
        <v>54223440</v>
      </c>
    </row>
    <row r="15" spans="2:8" ht="15.6" thickBot="1" x14ac:dyDescent="0.3"/>
    <row r="16" spans="2:8" ht="16.2" thickBot="1" x14ac:dyDescent="0.3">
      <c r="B16" s="47" t="s">
        <v>45</v>
      </c>
      <c r="C16" s="48"/>
      <c r="D16" s="48"/>
      <c r="E16" s="48"/>
      <c r="F16" s="48"/>
      <c r="G16" s="49"/>
      <c r="H16" s="50" t="s">
        <v>29</v>
      </c>
    </row>
    <row r="17" spans="2:8" ht="15.6" outlineLevel="1" x14ac:dyDescent="0.3">
      <c r="B17" s="51" t="s">
        <v>9</v>
      </c>
      <c r="C17" s="52" t="s">
        <v>8</v>
      </c>
      <c r="D17" s="51" t="s">
        <v>10</v>
      </c>
      <c r="E17" s="53" t="s">
        <v>33</v>
      </c>
      <c r="F17" s="53" t="s">
        <v>34</v>
      </c>
      <c r="G17" s="53" t="s">
        <v>44</v>
      </c>
      <c r="H17" s="53" t="s">
        <v>35</v>
      </c>
    </row>
    <row r="18" spans="2:8" outlineLevel="1" x14ac:dyDescent="0.25">
      <c r="B18" s="44" t="s">
        <v>29</v>
      </c>
      <c r="C18" s="45" t="s">
        <v>39</v>
      </c>
      <c r="D18" s="44" t="s">
        <v>31</v>
      </c>
      <c r="E18" s="46">
        <v>1</v>
      </c>
      <c r="F18" s="46">
        <v>3</v>
      </c>
      <c r="G18" s="46">
        <v>365430</v>
      </c>
      <c r="H18" s="46">
        <v>1096290</v>
      </c>
    </row>
    <row r="19" spans="2:8" outlineLevel="1" x14ac:dyDescent="0.25">
      <c r="B19" s="44" t="s">
        <v>29</v>
      </c>
      <c r="C19" s="45" t="s">
        <v>39</v>
      </c>
      <c r="D19" s="44" t="s">
        <v>31</v>
      </c>
      <c r="E19" s="46">
        <v>1</v>
      </c>
      <c r="F19" s="46">
        <v>3</v>
      </c>
      <c r="G19" s="46">
        <v>365430</v>
      </c>
      <c r="H19" s="46">
        <v>1096290</v>
      </c>
    </row>
    <row r="20" spans="2:8" outlineLevel="1" x14ac:dyDescent="0.25">
      <c r="B20" s="44" t="s">
        <v>29</v>
      </c>
      <c r="C20" s="45" t="s">
        <v>40</v>
      </c>
      <c r="D20" s="44" t="s">
        <v>31</v>
      </c>
      <c r="E20" s="46">
        <v>1</v>
      </c>
      <c r="F20" s="46">
        <v>2</v>
      </c>
      <c r="G20" s="46">
        <v>5130000</v>
      </c>
      <c r="H20" s="46">
        <v>10260000</v>
      </c>
    </row>
    <row r="21" spans="2:8" outlineLevel="1" x14ac:dyDescent="0.25">
      <c r="E21" s="46">
        <v>1</v>
      </c>
      <c r="H21" s="46">
        <v>0</v>
      </c>
    </row>
    <row r="22" spans="2:8" outlineLevel="1" x14ac:dyDescent="0.25">
      <c r="E22" s="46">
        <v>1</v>
      </c>
      <c r="H22" s="46">
        <v>0</v>
      </c>
    </row>
    <row r="23" spans="2:8" outlineLevel="1" x14ac:dyDescent="0.25">
      <c r="B23" s="44" t="s">
        <v>29</v>
      </c>
      <c r="C23" s="45" t="s">
        <v>40</v>
      </c>
      <c r="D23" s="44" t="s">
        <v>31</v>
      </c>
      <c r="E23" s="46">
        <v>1</v>
      </c>
      <c r="F23" s="46">
        <v>5</v>
      </c>
      <c r="G23" s="46">
        <v>5130000</v>
      </c>
      <c r="H23" s="46">
        <v>25650000</v>
      </c>
    </row>
    <row r="24" spans="2:8" outlineLevel="1" x14ac:dyDescent="0.25">
      <c r="B24" s="44" t="s">
        <v>29</v>
      </c>
      <c r="C24" s="45" t="s">
        <v>39</v>
      </c>
      <c r="D24" s="44" t="s">
        <v>31</v>
      </c>
      <c r="E24" s="46">
        <v>1</v>
      </c>
      <c r="F24" s="46">
        <v>1</v>
      </c>
      <c r="G24" s="46">
        <v>365430</v>
      </c>
      <c r="H24" s="46">
        <v>365430</v>
      </c>
    </row>
    <row r="25" spans="2:8" outlineLevel="1" x14ac:dyDescent="0.25">
      <c r="B25" s="44" t="s">
        <v>29</v>
      </c>
      <c r="C25" s="45" t="s">
        <v>40</v>
      </c>
      <c r="D25" s="44" t="s">
        <v>31</v>
      </c>
      <c r="E25" s="46">
        <v>1</v>
      </c>
      <c r="F25" s="46">
        <v>1</v>
      </c>
      <c r="G25" s="46">
        <v>5130000</v>
      </c>
      <c r="H25" s="46">
        <v>5130000</v>
      </c>
    </row>
    <row r="26" spans="2:8" outlineLevel="1" x14ac:dyDescent="0.25">
      <c r="E26" s="46">
        <v>1</v>
      </c>
      <c r="H26" s="46">
        <v>0</v>
      </c>
    </row>
    <row r="27" spans="2:8" ht="15.6" x14ac:dyDescent="0.3">
      <c r="B27" s="51" t="s">
        <v>36</v>
      </c>
      <c r="H27" s="53">
        <f>SUM(Tabla14[TOTAL])</f>
        <v>43598010</v>
      </c>
    </row>
    <row r="29" spans="2:8" ht="15.6" thickBot="1" x14ac:dyDescent="0.3"/>
    <row r="30" spans="2:8" ht="16.2" thickBot="1" x14ac:dyDescent="0.3">
      <c r="B30" s="47" t="s">
        <v>46</v>
      </c>
      <c r="C30" s="48"/>
      <c r="D30" s="48"/>
      <c r="E30" s="48"/>
      <c r="F30" s="48"/>
      <c r="G30" s="49"/>
      <c r="H30" s="50" t="s">
        <v>29</v>
      </c>
    </row>
    <row r="31" spans="2:8" ht="15.6" outlineLevel="1" x14ac:dyDescent="0.3">
      <c r="B31" s="51" t="s">
        <v>9</v>
      </c>
      <c r="C31" s="52" t="s">
        <v>8</v>
      </c>
      <c r="D31" s="51" t="s">
        <v>10</v>
      </c>
      <c r="E31" s="53" t="s">
        <v>33</v>
      </c>
      <c r="F31" s="53" t="s">
        <v>34</v>
      </c>
      <c r="G31" s="53" t="s">
        <v>44</v>
      </c>
      <c r="H31" s="53" t="s">
        <v>35</v>
      </c>
    </row>
    <row r="32" spans="2:8" outlineLevel="1" x14ac:dyDescent="0.25">
      <c r="B32" s="44" t="s">
        <v>29</v>
      </c>
      <c r="C32" s="45" t="s">
        <v>39</v>
      </c>
      <c r="D32" s="44" t="s">
        <v>31</v>
      </c>
      <c r="E32" s="46">
        <v>1</v>
      </c>
      <c r="F32" s="46">
        <v>3</v>
      </c>
      <c r="G32" s="46">
        <v>365430</v>
      </c>
      <c r="H32" s="46">
        <v>1096290</v>
      </c>
    </row>
    <row r="33" spans="2:8" outlineLevel="1" x14ac:dyDescent="0.25">
      <c r="B33" s="44" t="s">
        <v>29</v>
      </c>
      <c r="C33" s="45" t="s">
        <v>39</v>
      </c>
      <c r="D33" s="44" t="s">
        <v>31</v>
      </c>
      <c r="E33" s="46">
        <v>1</v>
      </c>
      <c r="F33" s="46">
        <v>232</v>
      </c>
      <c r="G33" s="46">
        <v>365430</v>
      </c>
      <c r="H33" s="46">
        <v>84779760</v>
      </c>
    </row>
    <row r="34" spans="2:8" outlineLevel="1" x14ac:dyDescent="0.25">
      <c r="B34" s="44" t="s">
        <v>29</v>
      </c>
      <c r="C34" s="45" t="s">
        <v>40</v>
      </c>
      <c r="D34" s="44" t="s">
        <v>31</v>
      </c>
      <c r="E34" s="46">
        <v>1</v>
      </c>
      <c r="F34" s="46">
        <v>32</v>
      </c>
      <c r="G34" s="46">
        <v>5130000</v>
      </c>
      <c r="H34" s="46">
        <v>164160000</v>
      </c>
    </row>
    <row r="35" spans="2:8" outlineLevel="1" x14ac:dyDescent="0.25">
      <c r="B35" s="44" t="s">
        <v>29</v>
      </c>
      <c r="C35" s="45" t="s">
        <v>39</v>
      </c>
      <c r="D35" s="44" t="s">
        <v>31</v>
      </c>
      <c r="E35" s="46">
        <v>1</v>
      </c>
      <c r="F35" s="46">
        <v>21</v>
      </c>
      <c r="G35" s="46">
        <v>365430</v>
      </c>
      <c r="H35" s="46">
        <v>7674030</v>
      </c>
    </row>
    <row r="36" spans="2:8" outlineLevel="1" x14ac:dyDescent="0.25">
      <c r="E36" s="46">
        <v>1</v>
      </c>
      <c r="H36" s="46">
        <v>0</v>
      </c>
    </row>
    <row r="37" spans="2:8" ht="15.6" x14ac:dyDescent="0.3">
      <c r="B37" s="54" t="s">
        <v>36</v>
      </c>
      <c r="C37" s="55"/>
      <c r="D37" s="56"/>
      <c r="E37" s="43"/>
      <c r="F37" s="43"/>
      <c r="G37" s="43"/>
      <c r="H37" s="53">
        <f>SUM(Tabla89[TOTAL])</f>
        <v>257710080</v>
      </c>
    </row>
    <row r="40" spans="2:8" ht="15.6" x14ac:dyDescent="0.3">
      <c r="F40" s="51"/>
      <c r="G40" s="51"/>
      <c r="H40" s="53"/>
    </row>
    <row r="41" spans="2:8" ht="15.6" x14ac:dyDescent="0.3">
      <c r="B41" s="51" t="s">
        <v>29</v>
      </c>
      <c r="C41" s="52" t="s">
        <v>46</v>
      </c>
      <c r="D41" s="51" t="s">
        <v>47</v>
      </c>
      <c r="E41" s="53" t="s">
        <v>48</v>
      </c>
      <c r="F41" s="44"/>
      <c r="G41" s="44"/>
    </row>
    <row r="42" spans="2:8" x14ac:dyDescent="0.25">
      <c r="B42" s="44" t="s">
        <v>29</v>
      </c>
      <c r="C42" s="45" t="s">
        <v>43</v>
      </c>
      <c r="D42" s="57">
        <v>0.15251373063874252</v>
      </c>
      <c r="E42" s="46">
        <v>54223440</v>
      </c>
      <c r="F42" s="44"/>
      <c r="G42" s="44"/>
    </row>
    <row r="43" spans="2:8" x14ac:dyDescent="0.25">
      <c r="B43" s="44" t="s">
        <v>29</v>
      </c>
      <c r="C43" s="45" t="s">
        <v>45</v>
      </c>
      <c r="D43" s="57">
        <v>0.12262768930789344</v>
      </c>
      <c r="E43" s="46">
        <v>43598010</v>
      </c>
      <c r="F43" s="44"/>
      <c r="G43" s="44"/>
    </row>
    <row r="44" spans="2:8" x14ac:dyDescent="0.25">
      <c r="B44" s="44" t="s">
        <v>29</v>
      </c>
      <c r="C44" s="45" t="s">
        <v>46</v>
      </c>
      <c r="D44" s="57">
        <v>0.72485858005336401</v>
      </c>
      <c r="E44" s="46">
        <v>257710080</v>
      </c>
      <c r="F44" s="44"/>
      <c r="G44" s="44"/>
    </row>
    <row r="47" spans="2:8" ht="15.6" x14ac:dyDescent="0.3">
      <c r="B47" s="58"/>
      <c r="C47" s="59"/>
      <c r="D47" s="60" t="s">
        <v>49</v>
      </c>
      <c r="E47" s="61">
        <v>355531530</v>
      </c>
    </row>
    <row r="48" spans="2:8" x14ac:dyDescent="0.25">
      <c r="B48" s="62" t="s">
        <v>50</v>
      </c>
      <c r="C48" s="62"/>
      <c r="D48" s="62"/>
      <c r="E48" s="62"/>
    </row>
    <row r="50" spans="3:5" ht="15.6" x14ac:dyDescent="0.3">
      <c r="C50" s="52" t="s">
        <v>8</v>
      </c>
      <c r="D50" s="51" t="s">
        <v>47</v>
      </c>
      <c r="E50" s="53" t="s">
        <v>48</v>
      </c>
    </row>
    <row r="51" spans="3:5" x14ac:dyDescent="0.25">
      <c r="C51" s="45" t="s">
        <v>51</v>
      </c>
      <c r="D51" s="63">
        <v>0.05</v>
      </c>
      <c r="E51" s="64">
        <v>17776576.5</v>
      </c>
    </row>
    <row r="52" spans="3:5" x14ac:dyDescent="0.25">
      <c r="C52" s="45" t="s">
        <v>52</v>
      </c>
      <c r="D52" s="63">
        <v>0.05</v>
      </c>
      <c r="E52" s="64">
        <v>17776576.5</v>
      </c>
    </row>
    <row r="53" spans="3:5" x14ac:dyDescent="0.25">
      <c r="C53" s="45" t="s">
        <v>53</v>
      </c>
      <c r="D53" s="63">
        <v>0.1</v>
      </c>
      <c r="E53" s="64">
        <v>35553153</v>
      </c>
    </row>
    <row r="54" spans="3:5" x14ac:dyDescent="0.25">
      <c r="C54" s="45" t="s">
        <v>54</v>
      </c>
      <c r="D54" s="63">
        <v>0.19</v>
      </c>
      <c r="E54" s="64">
        <v>6755099.0700000003</v>
      </c>
    </row>
    <row r="55" spans="3:5" ht="15.6" x14ac:dyDescent="0.3">
      <c r="D55" s="65" t="s">
        <v>55</v>
      </c>
      <c r="E55" s="66">
        <v>77861405.069999993</v>
      </c>
    </row>
    <row r="56" spans="3:5" x14ac:dyDescent="0.25">
      <c r="E56" s="64"/>
    </row>
    <row r="57" spans="3:5" ht="15.6" x14ac:dyDescent="0.3">
      <c r="D57" s="51" t="s">
        <v>56</v>
      </c>
      <c r="E57" s="66">
        <v>433392935.06999999</v>
      </c>
    </row>
  </sheetData>
  <dataConsolidate/>
  <mergeCells count="5">
    <mergeCell ref="B1:H1"/>
    <mergeCell ref="B3:G3"/>
    <mergeCell ref="B16:G16"/>
    <mergeCell ref="B30:G30"/>
    <mergeCell ref="B48:E48"/>
  </mergeCells>
  <dataValidations count="1">
    <dataValidation type="list" allowBlank="1" showInputMessage="1" showErrorMessage="1" sqref="C18:C26 C32:C36 C5:C12" xr:uid="{4F3B8E0B-EF4F-4712-A91A-84CE88049552}">
      <formula1>BD_APUS</formula1>
    </dataValidation>
  </dataValidations>
  <pageMargins left="0.7" right="0.7" top="0.75" bottom="0.75" header="0.3" footer="0.3"/>
  <pageSetup paperSize="9" scale="62" fitToHeight="0" orientation="portrait" cellComments="atEnd" r:id="rId1"/>
  <colBreaks count="1" manualBreakCount="1">
    <brk id="8" max="1048575" man="1"/>
  </colBreaks>
  <drawing r:id="rId2"/>
  <tableParts count="5"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INSUMOS</vt:lpstr>
      <vt:lpstr>Hoja1</vt:lpstr>
      <vt:lpstr>BÁSICOS</vt:lpstr>
      <vt:lpstr>APU</vt:lpstr>
      <vt:lpstr>PRESUPUESTO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Triana</dc:creator>
  <cp:lastModifiedBy>Javier Triana</cp:lastModifiedBy>
  <dcterms:created xsi:type="dcterms:W3CDTF">2025-01-07T17:19:10Z</dcterms:created>
  <dcterms:modified xsi:type="dcterms:W3CDTF">2025-01-07T17:19:18Z</dcterms:modified>
</cp:coreProperties>
</file>