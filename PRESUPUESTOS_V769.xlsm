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1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296933b549ec4f58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filterPrivacy="1" codeName="ThisWorkbook"/>
  <xr:revisionPtr revIDLastSave="0" documentId="13_ncr:1_{57C9202E-9DBB-40C1-878E-039D71A8DBE6}" xr6:coauthVersionLast="47" xr6:coauthVersionMax="47" xr10:uidLastSave="{00000000-0000-0000-0000-000000000000}"/>
  <bookViews>
    <workbookView xWindow="-108" yWindow="-108" windowWidth="23256" windowHeight="12456" tabRatio="606" activeTab="1" xr2:uid="{00000000-000D-0000-FFFF-FFFF00000000}"/>
  </bookViews>
  <sheets>
    <sheet name="INSUMOS" sheetId="101" r:id="rId1"/>
    <sheet name="BÁSICOS" sheetId="102" r:id="rId2"/>
    <sheet name="APU" sheetId="103" r:id="rId3"/>
    <sheet name="PRESUPUESTO" sheetId="104" r:id="rId4"/>
    <sheet name="LISTA_BÁSICOS" sheetId="10" r:id="rId5"/>
    <sheet name="LISTA_APU" sheetId="4" r:id="rId6"/>
    <sheet name="MATERIALES" sheetId="106" r:id="rId7"/>
    <sheet name="Bugs" sheetId="107" r:id="rId8"/>
  </sheets>
  <definedNames>
    <definedName name="ACTIVIDADES">T_act[DESCRIPCIÓN]</definedName>
    <definedName name="BÁSICOS">T_basico[DESCRIPCIÓN]</definedName>
    <definedName name="BD_APUS">T_apus[DESCRIPCIÓN]</definedName>
    <definedName name="BD_APUS_B">T_basico[DESCRIPCIÓN]</definedName>
    <definedName name="EQUIPOS">T_equipos[DESCRIPCIÓN]</definedName>
    <definedName name="MANO_DE_OBRA">T_mano[DESCRIPCIÓN]</definedName>
    <definedName name="MATERIALES">T_mat[DESCRIPCIÓN]</definedName>
    <definedName name="OTROS">T_otros[DESCRIPCIÓN]</definedName>
    <definedName name="SUBCONTRATOS">T_sub[DESCRIPCIÓN]</definedName>
    <definedName name="TRANSPORTE">T_trans[DESCRIPCIÓN]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6" i="102" l="1"/>
  <c r="H26" i="102"/>
  <c r="E17" i="102"/>
  <c r="H17" i="102" s="1"/>
  <c r="E6" i="102"/>
  <c r="H6" i="102" s="1"/>
  <c r="E7" i="102"/>
  <c r="H7" i="102" s="1"/>
  <c r="E8" i="102"/>
  <c r="H8" i="102" s="1"/>
  <c r="E22" i="103"/>
  <c r="H22" i="103" s="1"/>
  <c r="E23" i="103"/>
  <c r="H23" i="103" s="1"/>
  <c r="E24" i="103"/>
  <c r="H24" i="103" s="1"/>
  <c r="E9" i="103"/>
  <c r="H9" i="103" s="1"/>
  <c r="E10" i="103"/>
  <c r="H10" i="103" s="1"/>
  <c r="E35" i="103"/>
  <c r="H35" i="103" s="1"/>
  <c r="E34" i="103"/>
  <c r="H34" i="103" s="1"/>
  <c r="E33" i="103"/>
  <c r="H33" i="103" s="1"/>
  <c r="E6" i="103"/>
  <c r="H6" i="103" s="1"/>
  <c r="E7" i="103"/>
  <c r="H7" i="103" s="1"/>
  <c r="B11" i="103"/>
  <c r="D11" i="103"/>
  <c r="G11" i="103"/>
  <c r="B5" i="103"/>
  <c r="D5" i="103"/>
  <c r="G5" i="103"/>
  <c r="B8" i="103"/>
  <c r="D8" i="103"/>
  <c r="G8" i="103"/>
  <c r="E8" i="103"/>
  <c r="E11" i="103"/>
  <c r="E28" i="102"/>
  <c r="H28" i="102" s="1"/>
  <c r="E27" i="102"/>
  <c r="H27" i="102" s="1"/>
  <c r="E25" i="102"/>
  <c r="H25" i="102" s="1"/>
  <c r="B5" i="102"/>
  <c r="D5" i="102"/>
  <c r="G5" i="102"/>
  <c r="E16" i="102"/>
  <c r="H16" i="102" s="1"/>
  <c r="E19" i="102"/>
  <c r="H19" i="102" s="1"/>
  <c r="E18" i="102"/>
  <c r="H18" i="102" s="1"/>
  <c r="E15" i="102"/>
  <c r="H15" i="102" s="1"/>
  <c r="E9" i="102"/>
  <c r="H9" i="102" s="1"/>
  <c r="E5" i="102"/>
  <c r="H8" i="103" l="1"/>
  <c r="H36" i="103"/>
  <c r="H11" i="103"/>
  <c r="K8" i="103"/>
  <c r="H29" i="102"/>
  <c r="H5" i="102"/>
  <c r="H20" i="102"/>
  <c r="H10" i="102" l="1"/>
  <c r="E5" i="103"/>
  <c r="H25" i="103"/>
  <c r="D4" i="4"/>
  <c r="C4" i="4"/>
  <c r="B4" i="4"/>
  <c r="D3" i="4"/>
  <c r="C3" i="4"/>
  <c r="B3" i="4"/>
  <c r="B24" i="104" s="1"/>
  <c r="D5" i="10"/>
  <c r="C5" i="10"/>
  <c r="B5" i="10"/>
  <c r="D4" i="10"/>
  <c r="C4" i="10"/>
  <c r="B4" i="10"/>
  <c r="D3" i="10"/>
  <c r="C3" i="10"/>
  <c r="B3" i="10"/>
  <c r="H12" i="103"/>
  <c r="E7" i="106"/>
  <c r="E6" i="106"/>
  <c r="E5" i="106"/>
  <c r="E4" i="106"/>
  <c r="E3" i="106"/>
  <c r="C44" i="104"/>
  <c r="B44" i="104"/>
  <c r="C43" i="104"/>
  <c r="B43" i="104"/>
  <c r="C42" i="104"/>
  <c r="B42" i="104"/>
  <c r="H36" i="104"/>
  <c r="H21" i="104"/>
  <c r="H22" i="104"/>
  <c r="D9" i="104" l="1"/>
  <c r="B33" i="104"/>
  <c r="B10" i="104"/>
  <c r="D34" i="104"/>
  <c r="B34" i="104"/>
  <c r="D35" i="104"/>
  <c r="B20" i="104"/>
  <c r="D25" i="104"/>
  <c r="D10" i="104"/>
  <c r="D11" i="104"/>
  <c r="D23" i="104"/>
  <c r="B23" i="104"/>
  <c r="B9" i="104"/>
  <c r="D18" i="104"/>
  <c r="D5" i="104"/>
  <c r="B5" i="104"/>
  <c r="B19" i="104"/>
  <c r="D6" i="104"/>
  <c r="D20" i="104"/>
  <c r="B6" i="104"/>
  <c r="B7" i="104"/>
  <c r="D8" i="104"/>
  <c r="D24" i="104"/>
  <c r="B25" i="104"/>
  <c r="D32" i="104"/>
  <c r="B32" i="104"/>
  <c r="D33" i="104"/>
  <c r="B11" i="104"/>
  <c r="B18" i="104"/>
  <c r="D19" i="104"/>
  <c r="B35" i="104"/>
  <c r="D7" i="104"/>
  <c r="B8" i="104"/>
  <c r="E5" i="10"/>
  <c r="E4" i="10"/>
  <c r="H21" i="103" s="1"/>
  <c r="E3" i="10"/>
  <c r="H5" i="103" s="1"/>
  <c r="E8" i="106"/>
  <c r="K5" i="103" l="1"/>
  <c r="H15" i="103"/>
  <c r="H20" i="103"/>
  <c r="H28" i="103" s="1"/>
  <c r="E4" i="4" s="1"/>
  <c r="E3" i="4" l="1"/>
  <c r="P14" i="103"/>
  <c r="P13" i="103"/>
  <c r="P8" i="103"/>
  <c r="P11" i="103"/>
  <c r="P12" i="103"/>
  <c r="L5" i="103"/>
  <c r="L8" i="103"/>
  <c r="P5" i="103"/>
  <c r="G18" i="104"/>
  <c r="H18" i="104" s="1"/>
  <c r="G11" i="104"/>
  <c r="H11" i="104" s="1"/>
  <c r="G24" i="104"/>
  <c r="H24" i="104" s="1"/>
  <c r="G10" i="104"/>
  <c r="H10" i="104" s="1"/>
  <c r="G6" i="104"/>
  <c r="H6" i="104" s="1"/>
  <c r="G35" i="104"/>
  <c r="H35" i="104" s="1"/>
  <c r="G19" i="104"/>
  <c r="H19" i="104" s="1"/>
  <c r="G33" i="104"/>
  <c r="H33" i="104" s="1"/>
  <c r="G32" i="104"/>
  <c r="H32" i="104" s="1"/>
  <c r="G8" i="104"/>
  <c r="H8" i="104" s="1"/>
  <c r="G7" i="104"/>
  <c r="H7" i="104" s="1"/>
  <c r="G25" i="104"/>
  <c r="H25" i="104" s="1"/>
  <c r="G9" i="104"/>
  <c r="H9" i="104" s="1"/>
  <c r="G20" i="104"/>
  <c r="H20" i="104" s="1"/>
  <c r="G34" i="104"/>
  <c r="H34" i="104" s="1"/>
  <c r="G23" i="104"/>
  <c r="H23" i="104" s="1"/>
  <c r="G5" i="104"/>
  <c r="H5" i="104" s="1"/>
  <c r="H37" i="104" l="1"/>
  <c r="E44" i="104" s="1"/>
  <c r="H27" i="104"/>
  <c r="E43" i="104" s="1"/>
  <c r="H13" i="104"/>
  <c r="E42" i="104" s="1"/>
  <c r="E47" i="104" l="1"/>
  <c r="E52" i="104" s="1"/>
  <c r="D42" i="104" l="1"/>
  <c r="E51" i="104"/>
  <c r="D44" i="104"/>
  <c r="D43" i="104"/>
  <c r="E53" i="104"/>
  <c r="E54" i="104" s="1"/>
  <c r="E55" i="104" l="1"/>
  <c r="E57" i="104" s="1"/>
</calcChain>
</file>

<file path=xl/sharedStrings.xml><?xml version="1.0" encoding="utf-8"?>
<sst xmlns="http://schemas.openxmlformats.org/spreadsheetml/2006/main" count="250" uniqueCount="71">
  <si>
    <t>CÓDIGO</t>
  </si>
  <si>
    <t>DESCRIPCIÓN</t>
  </si>
  <si>
    <t xml:space="preserve">UNIDAD </t>
  </si>
  <si>
    <t>COSTO</t>
  </si>
  <si>
    <t>MATERIALES</t>
  </si>
  <si>
    <t>EQUIPOS</t>
  </si>
  <si>
    <t>MANO DE OBRA</t>
  </si>
  <si>
    <t>TRASPORTE</t>
  </si>
  <si>
    <t>SUBCONTRATOS</t>
  </si>
  <si>
    <t>ACTIVIDADES</t>
  </si>
  <si>
    <t>OTROS</t>
  </si>
  <si>
    <t>UNIDAD</t>
  </si>
  <si>
    <t>PRECIO</t>
  </si>
  <si>
    <t>FECHA</t>
  </si>
  <si>
    <t>TIPO</t>
  </si>
  <si>
    <t>FACTOR</t>
  </si>
  <si>
    <t>CANTIDAD</t>
  </si>
  <si>
    <t>TOTAL</t>
  </si>
  <si>
    <t>Total</t>
  </si>
  <si>
    <t>CÓD</t>
  </si>
  <si>
    <t>CAPÍTULO</t>
  </si>
  <si>
    <t>PORCENTAJE</t>
  </si>
  <si>
    <t>SUBTOTAL</t>
  </si>
  <si>
    <t>INSUMO</t>
  </si>
  <si>
    <t>TOTAL GENERAL</t>
  </si>
  <si>
    <t>IMPUESTO SOBRE UTILIDAD</t>
  </si>
  <si>
    <t>ADMINISTRACIÓN (A)</t>
  </si>
  <si>
    <t>IMPREVISTO (I)</t>
  </si>
  <si>
    <t>UTILIDAD (U)</t>
  </si>
  <si>
    <t>TOTAL INDIRECTOS</t>
  </si>
  <si>
    <t>TOTAL DIRECTOS</t>
  </si>
  <si>
    <t>LISTADO DE APUS BÁSICOS</t>
  </si>
  <si>
    <t>CANTIDADES DE MATERIAL</t>
  </si>
  <si>
    <t>LISTADO DE APUS</t>
  </si>
  <si>
    <t>INSUMOS</t>
  </si>
  <si>
    <t>ANALISIS DE PRECIOS UNITARIOS BÁSICOS</t>
  </si>
  <si>
    <t xml:space="preserve">ANALISIS DE PRECIOS UNITARIOS </t>
  </si>
  <si>
    <t>PRESUPUESTO</t>
  </si>
  <si>
    <t>UND</t>
  </si>
  <si>
    <t>m3</t>
  </si>
  <si>
    <t>herramienta menor</t>
  </si>
  <si>
    <t>gl</t>
  </si>
  <si>
    <t>agua</t>
  </si>
  <si>
    <t>lt</t>
  </si>
  <si>
    <t xml:space="preserve">No se debe permitir eliminar la ultima tabla de apu </t>
  </si>
  <si>
    <t>APU BÁSICOS</t>
  </si>
  <si>
    <t>la primera fila del apu tiene negrilla</t>
  </si>
  <si>
    <t>acero corru.fig 1/4-1" 60000 psi</t>
  </si>
  <si>
    <t>kg</t>
  </si>
  <si>
    <t>alambre negro recocido c-17</t>
  </si>
  <si>
    <t>arena lavada de peña</t>
  </si>
  <si>
    <t>cemento gris</t>
  </si>
  <si>
    <t>grava 1"</t>
  </si>
  <si>
    <t>cuadrilla AA albañileria</t>
  </si>
  <si>
    <t>h</t>
  </si>
  <si>
    <t>concretadora trompo 3 sacos</t>
  </si>
  <si>
    <t>d</t>
  </si>
  <si>
    <t>el nombre del apu debe estar en celdas combinadas sino al ajustar el ancho de las columnas estas quedan muy grandes</t>
  </si>
  <si>
    <t>Apu basico 01</t>
  </si>
  <si>
    <t>Apu 01</t>
  </si>
  <si>
    <t>Apu basico 02</t>
  </si>
  <si>
    <t>Apu 02</t>
  </si>
  <si>
    <t>OK</t>
  </si>
  <si>
    <t>CAPÍTULO 1</t>
  </si>
  <si>
    <t>CAPÍTULO 2</t>
  </si>
  <si>
    <t>NOMBRE A.P.U. BÁSICO</t>
  </si>
  <si>
    <t>INCIDENCIA POR TIPO</t>
  </si>
  <si>
    <t>INCIDENCIA</t>
  </si>
  <si>
    <t>INCIDENCIA POR INSUMO</t>
  </si>
  <si>
    <t xml:space="preserve"> </t>
  </si>
  <si>
    <t>NOMBRE A.P.U.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</si>
</sst>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1" formatCode="_-* #,##0_-;\-* #,##0_-;_-* &quot;-&quot;_-;_-@_-"/>
    <numFmt numFmtId="164" formatCode="_-* #,##0\ _€_-;\-* #,##0\ _€_-;_-* &quot;-&quot;\ _€_-;_-@_-"/>
    <numFmt numFmtId="165" formatCode="#,##0.00_ ;\-#,##0.00\ "/>
    <numFmt numFmtId="166" formatCode="[$$-240A]\ #,##0"/>
    <numFmt numFmtId="167" formatCode="0.0%"/>
  </numFmts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8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rgb="FF00AC56"/>
        <bgColor indexed="64"/>
      </patternFill>
    </fill>
    <fill>
      <patternFill patternType="solid">
        <fgColor rgb="FF0088CC"/>
        <bgColor indexed="64"/>
      </patternFill>
    </fill>
  </fills>
  <borders count="26">
    <border>
      <left/>
      <right/>
      <top/>
      <bottom/>
      <diagonal/>
    </border>
    <border>
      <left style="medium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/>
      <top style="medium">
        <color rgb="FF00A4F3"/>
      </top>
      <bottom style="medium">
        <color rgb="FF00A4F3"/>
      </bottom>
      <diagonal/>
    </border>
    <border>
      <left/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thin">
        <color rgb="FF009999"/>
      </left>
      <right/>
      <top style="thin">
        <color rgb="FF009999"/>
      </top>
      <bottom style="thin">
        <color rgb="FF009999"/>
      </bottom>
      <diagonal/>
    </border>
    <border>
      <left/>
      <right/>
      <top style="thin">
        <color rgb="FF009999"/>
      </top>
      <bottom style="thin">
        <color rgb="FF009999"/>
      </bottom>
      <diagonal/>
    </border>
    <border>
      <left style="thin">
        <color rgb="FF009999"/>
      </left>
      <right style="thin">
        <color rgb="FF009999"/>
      </right>
      <top style="thin">
        <color rgb="FF009999"/>
      </top>
      <bottom style="thin">
        <color rgb="FF009999"/>
      </bottom>
      <diagonal/>
    </border>
    <border>
      <left style="medium">
        <color rgb="FF009999"/>
      </left>
      <right/>
      <top style="medium">
        <color rgb="FF009999"/>
      </top>
      <bottom style="medium">
        <color rgb="FF009999"/>
      </bottom>
      <diagonal/>
    </border>
    <border>
      <left/>
      <right/>
      <top style="medium">
        <color rgb="FF009999"/>
      </top>
      <bottom style="medium">
        <color rgb="FF009999"/>
      </bottom>
      <diagonal/>
    </border>
    <border>
      <left/>
      <right style="hair">
        <color rgb="FF009999"/>
      </right>
      <top style="medium">
        <color rgb="FF009999"/>
      </top>
      <bottom style="medium">
        <color rgb="FF009999"/>
      </bottom>
      <diagonal/>
    </border>
    <border>
      <left style="hair">
        <color rgb="FF009999"/>
      </left>
      <right style="medium">
        <color rgb="FF009999"/>
      </right>
      <top style="medium">
        <color rgb="FF009999"/>
      </top>
      <bottom style="medium">
        <color rgb="FF009999"/>
      </bottom>
      <diagonal/>
    </border>
    <border>
      <left style="medium">
        <color rgb="FF00AC56"/>
      </left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hair">
        <color rgb="FF00AC56"/>
      </left>
      <right style="medium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88CC"/>
      </left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 style="medium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88CC"/>
      </left>
      <right/>
      <top style="medium">
        <color rgb="FF0088CC"/>
      </top>
      <bottom style="medium">
        <color rgb="FF0088CC"/>
      </bottom>
      <diagonal/>
    </border>
    <border>
      <left/>
      <right/>
      <top style="medium">
        <color rgb="FF0088CC"/>
      </top>
      <bottom style="medium">
        <color rgb="FF0088CC"/>
      </bottom>
      <diagonal/>
    </border>
    <border>
      <left/>
      <right style="hair">
        <color rgb="FF0088CC"/>
      </right>
      <top style="medium">
        <color rgb="FF0088CC"/>
      </top>
      <bottom style="medium">
        <color rgb="FF0088CC"/>
      </bottom>
      <diagonal/>
    </border>
    <border>
      <left style="hair">
        <color rgb="FF00AC56"/>
      </left>
      <right/>
      <top style="medium">
        <color rgb="FF00AC56"/>
      </top>
      <bottom style="medium">
        <color rgb="FF00AC56"/>
      </bottom>
      <diagonal/>
    </border>
    <border>
      <left/>
      <right/>
      <top style="medium">
        <color rgb="FF00AC56"/>
      </top>
      <bottom style="medium">
        <color rgb="FF00AC56"/>
      </bottom>
      <diagonal/>
    </border>
    <border>
      <left/>
      <right style="hair">
        <color rgb="FF00AC56"/>
      </right>
      <top style="medium">
        <color rgb="FF00AC56"/>
      </top>
      <bottom style="medium">
        <color rgb="FF00AC56"/>
      </bottom>
      <diagonal/>
    </border>
    <border>
      <left style="medium">
        <color rgb="FF00A4F3"/>
      </left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 style="medium">
        <color rgb="FF00A4F3"/>
      </right>
      <top style="medium">
        <color rgb="FF00A4F3"/>
      </top>
      <bottom style="medium">
        <color rgb="FF00A4F3"/>
      </bottom>
      <diagonal/>
    </border>
    <border>
      <left style="hair">
        <color rgb="FF00A4F3"/>
      </left>
      <right/>
      <top style="medium">
        <color rgb="FF00A4F3"/>
      </top>
      <bottom style="medium">
        <color rgb="FF00A4F3"/>
      </bottom>
      <diagonal/>
    </border>
    <border>
      <left/>
      <right style="hair">
        <color rgb="FF00A4F3"/>
      </right>
      <top style="medium">
        <color rgb="FF00A4F3"/>
      </top>
      <bottom style="medium">
        <color rgb="FF00A4F3"/>
      </bottom>
      <diagonal/>
    </border>
    <border>
      <left/>
      <right/>
      <top style="thin">
        <color rgb="FF009999"/>
      </top>
      <bottom/>
      <diagonal/>
    </border>
  </borders>
  <cellStyleXfs count="14">
    <xf numFmtId="0" fontId="0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7" fillId="0" borderId="0"/>
    <xf numFmtId="0" fontId="8" fillId="0" borderId="0"/>
    <xf numFmtId="9" fontId="7" fillId="0" borderId="0" applyFont="0" applyFill="0" applyBorder="0" applyAlignment="0" applyProtection="0"/>
  </cellStyleXfs>
  <cellXfs count="99"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NumberFormat="1" applyBorder="1" applyAlignment="1">
      <alignment horizontal="left"/>
    </xf>
    <xf numFmtId="0" fontId="0" fillId="0" borderId="0" xfId="0" applyBorder="1"/>
    <xf numFmtId="0" fontId="0" fillId="0" borderId="0" xfId="0" applyBorder="1" applyAlignment="1">
      <alignment horizontal="left"/>
    </xf>
    <xf numFmtId="164" fontId="0" fillId="0" borderId="0" xfId="0" applyNumberFormat="1" applyBorder="1" applyAlignment="1">
      <alignment horizontal="left"/>
    </xf>
    <xf numFmtId="164" fontId="0" fillId="0" borderId="0" xfId="0" applyNumberFormat="1" applyBorder="1"/>
    <xf numFmtId="164" fontId="0" fillId="0" borderId="0" xfId="0" applyNumberFormat="1" applyBorder="1" applyAlignment="1">
      <alignment horizontal="right"/>
    </xf>
    <xf numFmtId="0" fontId="0" fillId="0" borderId="0" xfId="0" applyFill="1" applyBorder="1"/>
    <xf numFmtId="0" fontId="1" fillId="0" borderId="0" xfId="0" applyFont="1" applyBorder="1"/>
    <xf numFmtId="0" fontId="3" fillId="0" borderId="0" xfId="0" applyNumberFormat="1" applyFont="1" applyBorder="1" applyAlignment="1">
      <alignment horizontal="left"/>
    </xf>
    <xf numFmtId="0" fontId="3" fillId="0" borderId="0" xfId="0" applyFont="1" applyBorder="1" applyAlignment="1">
      <alignment horizontal="left"/>
    </xf>
    <xf numFmtId="164" fontId="3" fillId="0" borderId="0" xfId="0" applyNumberFormat="1" applyFont="1" applyBorder="1" applyAlignment="1">
      <alignment horizontal="left"/>
    </xf>
    <xf numFmtId="164" fontId="3" fillId="0" borderId="0" xfId="0" applyNumberFormat="1" applyFont="1" applyBorder="1" applyAlignment="1">
      <alignment horizontal="center"/>
    </xf>
    <xf numFmtId="0" fontId="2" fillId="0" borderId="0" xfId="0" applyFont="1" applyBorder="1" applyAlignment="1">
      <alignment horizontal="left"/>
    </xf>
    <xf numFmtId="164" fontId="2" fillId="0" borderId="0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0" fillId="0" borderId="0" xfId="0" applyNumberFormat="1"/>
    <xf numFmtId="0" fontId="3" fillId="0" borderId="0" xfId="0" applyFont="1" applyAlignment="1">
      <alignment horizontal="left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/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center"/>
    </xf>
    <xf numFmtId="165" fontId="0" fillId="2" borderId="0" xfId="0" applyNumberFormat="1" applyFill="1"/>
    <xf numFmtId="3" fontId="0" fillId="0" borderId="0" xfId="0" applyNumberFormat="1"/>
    <xf numFmtId="0" fontId="8" fillId="0" borderId="0" xfId="9"/>
    <xf numFmtId="0" fontId="7" fillId="0" borderId="0" xfId="11"/>
    <xf numFmtId="41" fontId="0" fillId="0" borderId="0" xfId="0" applyNumberFormat="1"/>
    <xf numFmtId="41" fontId="2" fillId="0" borderId="0" xfId="0" applyNumberFormat="1" applyFont="1"/>
    <xf numFmtId="41" fontId="6" fillId="0" borderId="0" xfId="0" applyNumberFormat="1" applyFont="1" applyAlignment="1">
      <alignment horizontal="center"/>
    </xf>
    <xf numFmtId="41" fontId="6" fillId="0" borderId="0" xfId="0" applyNumberFormat="1" applyFont="1"/>
    <xf numFmtId="41" fontId="5" fillId="0" borderId="10" xfId="0" applyNumberFormat="1" applyFont="1" applyBorder="1" applyAlignment="1">
      <alignment horizontal="left" vertical="top"/>
    </xf>
    <xf numFmtId="41" fontId="5" fillId="0" borderId="0" xfId="0" applyNumberFormat="1" applyFont="1" applyAlignment="1">
      <alignment horizontal="center"/>
    </xf>
    <xf numFmtId="41" fontId="5" fillId="0" borderId="0" xfId="0" applyNumberFormat="1" applyFont="1"/>
    <xf numFmtId="41" fontId="6" fillId="0" borderId="4" xfId="0" applyNumberFormat="1" applyFont="1" applyBorder="1" applyAlignment="1">
      <alignment horizontal="center"/>
    </xf>
    <xf numFmtId="41" fontId="5" fillId="0" borderId="5" xfId="0" applyNumberFormat="1" applyFont="1" applyBorder="1" applyAlignment="1">
      <alignment horizontal="center"/>
    </xf>
    <xf numFmtId="0" fontId="4" fillId="0" borderId="0" xfId="0" applyFont="1" applyAlignment="1">
      <alignment horizontal="center"/>
    </xf>
    <xf numFmtId="3" fontId="3" fillId="0" borderId="0" xfId="0" applyNumberFormat="1" applyFont="1"/>
    <xf numFmtId="41" fontId="3" fillId="0" borderId="0" xfId="0" applyNumberFormat="1" applyFont="1"/>
    <xf numFmtId="14" fontId="3" fillId="0" borderId="0" xfId="0" applyNumberFormat="1" applyFont="1"/>
    <xf numFmtId="0" fontId="8" fillId="0" borderId="0" xfId="9" applyAlignment="1">
      <alignment vertical="center"/>
    </xf>
    <xf numFmtId="164" fontId="7" fillId="0" borderId="0" xfId="11" applyNumberFormat="1"/>
    <xf numFmtId="0" fontId="6" fillId="0" borderId="0" xfId="0" applyFont="1"/>
    <xf numFmtId="41" fontId="6" fillId="0" borderId="0" xfId="0" applyNumberFormat="1" applyFont="1" applyAlignment="1">
      <alignment horizontal="left"/>
    </xf>
    <xf numFmtId="41" fontId="5" fillId="0" borderId="0" xfId="0" applyNumberFormat="1" applyFont="1" applyAlignment="1">
      <alignment horizontal="left"/>
    </xf>
    <xf numFmtId="41" fontId="6" fillId="0" borderId="5" xfId="0" applyNumberFormat="1" applyFont="1" applyBorder="1" applyAlignment="1">
      <alignment horizontal="left"/>
    </xf>
    <xf numFmtId="41" fontId="5" fillId="0" borderId="6" xfId="0" applyNumberFormat="1" applyFont="1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41" fontId="6" fillId="0" borderId="0" xfId="0" applyNumberFormat="1" applyFont="1" applyFill="1" applyAlignment="1">
      <alignment horizontal="left"/>
    </xf>
    <xf numFmtId="0" fontId="2" fillId="2" borderId="0" xfId="0" applyFont="1" applyFill="1"/>
    <xf numFmtId="164" fontId="2" fillId="2" borderId="0" xfId="0" applyNumberFormat="1" applyFont="1" applyFill="1"/>
    <xf numFmtId="0" fontId="2" fillId="0" borderId="21" xfId="0" applyFont="1" applyBorder="1" applyAlignment="1">
      <alignment horizontal="left" vertical="top"/>
    </xf>
    <xf numFmtId="0" fontId="2" fillId="0" borderId="22" xfId="0" applyFont="1" applyBorder="1" applyAlignment="1">
      <alignment horizontal="left" vertical="top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10" fontId="6" fillId="0" borderId="0" xfId="0" applyNumberFormat="1" applyFont="1" applyAlignment="1">
      <alignment horizontal="center"/>
    </xf>
    <xf numFmtId="9" fontId="6" fillId="0" borderId="0" xfId="13" applyFont="1" applyAlignment="1">
      <alignment horizontal="center"/>
    </xf>
    <xf numFmtId="3" fontId="6" fillId="0" borderId="0" xfId="0" applyNumberFormat="1" applyFont="1" applyAlignment="1">
      <alignment horizontal="center"/>
    </xf>
    <xf numFmtId="9" fontId="5" fillId="0" borderId="0" xfId="13" applyFont="1" applyAlignment="1">
      <alignment horizontal="center"/>
    </xf>
    <xf numFmtId="3" fontId="5" fillId="0" borderId="0" xfId="0" applyNumberFormat="1" applyFont="1" applyAlignment="1">
      <alignment horizontal="center"/>
    </xf>
    <xf numFmtId="0" fontId="0" fillId="0" borderId="0" xfId="0" applyNumberFormat="1"/>
    <xf numFmtId="0" fontId="9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9" fillId="3" borderId="0" xfId="0" applyFont="1" applyFill="1" applyAlignment="1">
      <alignment horizontal="center" vertical="center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20" xfId="0" applyBorder="1" applyAlignment="1">
      <alignment horizontal="left"/>
    </xf>
    <xf numFmtId="0" fontId="2" fillId="0" borderId="23" xfId="0" applyFont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24" xfId="0" applyFont="1" applyBorder="1" applyAlignment="1">
      <alignment horizontal="left" vertical="top"/>
    </xf>
    <xf numFmtId="0" fontId="0" fillId="0" borderId="15" xfId="0" applyBorder="1" applyAlignment="1">
      <alignment horizontal="left"/>
    </xf>
    <xf numFmtId="0" fontId="0" fillId="0" borderId="16" xfId="0" applyBorder="1" applyAlignment="1">
      <alignment horizontal="left"/>
    </xf>
    <xf numFmtId="0" fontId="0" fillId="0" borderId="17" xfId="0" applyBorder="1" applyAlignment="1">
      <alignment horizontal="left"/>
    </xf>
    <xf numFmtId="41" fontId="5" fillId="0" borderId="7" xfId="0" applyNumberFormat="1" applyFont="1" applyBorder="1" applyAlignment="1">
      <alignment horizontal="left" vertical="top"/>
    </xf>
    <xf numFmtId="41" fontId="5" fillId="0" borderId="8" xfId="0" applyNumberFormat="1" applyFont="1" applyBorder="1" applyAlignment="1">
      <alignment horizontal="left" vertical="top"/>
    </xf>
    <xf numFmtId="41" fontId="5" fillId="0" borderId="9" xfId="0" applyNumberFormat="1" applyFont="1" applyBorder="1" applyAlignment="1">
      <alignment horizontal="left" vertical="top"/>
    </xf>
    <xf numFmtId="41" fontId="6" fillId="4" borderId="25" xfId="0" applyNumberFormat="1" applyFont="1" applyFill="1" applyBorder="1" applyAlignment="1">
      <alignment horizontal="center"/>
    </xf>
    <xf numFmtId="41" fontId="9" fillId="3" borderId="0" xfId="0" applyNumberFormat="1" applyFont="1" applyFill="1" applyAlignment="1">
      <alignment horizontal="center" vertical="center"/>
    </xf>
    <xf numFmtId="0" fontId="9" fillId="0" borderId="0" xfId="0" applyFont="1" applyFill="1" applyAlignment="1">
      <alignment horizontal="center" vertical="center"/>
    </xf>
    <xf numFmtId="166" fontId="0" fillId="0" borderId="0" xfId="0" applyNumberFormat="1"/>
    <xf numFmtId="0" fontId="10" fillId="5" borderId="0" xfId="0" applyFont="1" applyFill="1" applyAlignment="1">
      <alignment horizontal="left" vertical="top"/>
    </xf>
    <xf numFmtId="0" fontId="10" fillId="0" borderId="0" xfId="0" applyFont="1"/>
    <xf numFmtId="10" fontId="0" fillId="0" borderId="0" xfId="0" applyNumberFormat="1"/>
    <xf numFmtId="0" fontId="10" fillId="6" borderId="0" xfId="0" applyFont="1" applyFill="1" applyAlignment="1">
      <alignment horizontal="left" vertical="top"/>
    </xf>
    <xf numFmtId="167" fontId="0" fillId="0" borderId="0" xfId="13" applyNumberFormat="1" applyFont="1"/>
  </cellXfs>
  <cellStyles count="14">
    <cellStyle name="Normal" xfId="0" builtinId="0"/>
    <cellStyle name="Normal 11" xfId="12" xr:uid="{00000000-0005-0000-0000-000001000000}"/>
    <cellStyle name="Normal 12 3" xfId="11" xr:uid="{00000000-0005-0000-0000-000002000000}"/>
    <cellStyle name="Normal 40" xfId="10" xr:uid="{00000000-0005-0000-0000-000003000000}"/>
    <cellStyle name="Normal 41" xfId="9" xr:uid="{00000000-0005-0000-0000-000004000000}"/>
    <cellStyle name="Normal 42" xfId="1" xr:uid="{00000000-0005-0000-0000-000005000000}"/>
    <cellStyle name="Normal 43" xfId="2" xr:uid="{00000000-0005-0000-0000-000006000000}"/>
    <cellStyle name="Normal 45" xfId="3" xr:uid="{00000000-0005-0000-0000-000007000000}"/>
    <cellStyle name="Normal 46" xfId="4" xr:uid="{00000000-0005-0000-0000-000008000000}"/>
    <cellStyle name="Normal 47" xfId="5" xr:uid="{00000000-0005-0000-0000-000009000000}"/>
    <cellStyle name="Normal 48" xfId="6" xr:uid="{00000000-0005-0000-0000-00000A000000}"/>
    <cellStyle name="Normal 49" xfId="7" xr:uid="{00000000-0005-0000-0000-00000B000000}"/>
    <cellStyle name="Normal 51" xfId="8" xr:uid="{00000000-0005-0000-0000-00000C000000}"/>
    <cellStyle name="Porcentaje" xfId="13" builtinId="5"/>
  </cellStyles>
  <dxfs count="177"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3" formatCode="_-* #,##0_-;\-* #,##0_-;_-* &quot;-&quot;_-;_-@_-"/>
    </dxf>
    <dxf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167" formatCode="0.0%"/>
    </dxf>
    <dxf>
      <font>
        <b/>
        <color theme="0"/>
        <family val="2"/>
      </font>
    </dxf>
    <dxf>
      <font>
        <b/>
        <color theme="0"/>
        <family val="2"/>
      </font>
    </dxf>
    <dxf>
      <numFmt numFmtId="166" formatCode="[$$-240A]\ #,##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numFmt numFmtId="165" formatCode="#,##0.00_ ;\-#,##0.00\ "/>
      <fill>
        <patternFill patternType="solid">
          <fgColor indexed="64"/>
          <bgColor theme="8" tint="0.79998168889431442"/>
        </patternFill>
      </fill>
    </dxf>
    <dxf>
      <numFmt numFmtId="165" formatCode="#,##0.00_ ;\-#,##0.00\ "/>
    </dxf>
    <dxf>
      <numFmt numFmtId="164" formatCode="_-* #,##0\ _€_-;\-* #,##0\ _€_-;_-* &quot;-&quot;\ _€_-;_-@_-"/>
      <fill>
        <patternFill patternType="solid">
          <fgColor indexed="64"/>
          <bgColor theme="8" tint="0.79998168889431442"/>
        </patternFill>
      </fill>
    </dxf>
    <dxf>
      <numFmt numFmtId="164" formatCode="_-* #,##0\ _€_-;\-* #,##0\ _€_-;_-* &quot;-&quot;\ _€_-;_-@_-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  <border outline="0">
        <top style="medium">
          <color rgb="FF000000"/>
        </top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164" formatCode="_-* #,##0\ _€_-;\-* #,##0\ _€_-;_-* &quot;-&quot;\ _€_-;_-@_-"/>
      <alignment horizontal="left" vertical="bottom" textRotation="0" wrapText="0" indent="0" justifyLastLine="0" shrinkToFit="0" readingOrder="0"/>
    </dxf>
    <dxf>
      <numFmt numFmtId="164" formatCode="_-* #,##0\ _€_-;\-* #,##0\ _€_-;_-* &quot;-&quot;\ _€_-;_-@_-"/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numFmt numFmtId="0" formatCode="General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border outline="0">
        <top style="medium">
          <color rgb="FF000000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3" formatCode="_-* #,##0_-;\-* #,##0_-;_-* &quot;-&quot;_-;_-@_-"/>
      <alignment horizontal="general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numFmt numFmtId="33" formatCode="_-* #,##0_-;\-* #,##0_-;_-* &quot;-&quot;_-;_-@_-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</font>
    </dxf>
    <dxf>
      <numFmt numFmtId="33" formatCode="_-* #,##0_-;\-* #,##0_-;_-* &quot;-&quot;_-;_-@_-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</dxf>
    <dxf>
      <numFmt numFmtId="3" formatCode="#,##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color theme="0"/>
      </font>
      <fill>
        <patternFill>
          <bgColor theme="1" tint="0.14996795556505021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theme="1" tint="0.14996795556505021"/>
        </left>
        <right style="hair">
          <color theme="1" tint="0.14996795556505021"/>
        </right>
        <top style="hair">
          <color theme="1" tint="0.14996795556505021"/>
        </top>
        <bottom style="hair">
          <color theme="1" tint="0.14996795556505021"/>
        </bottom>
        <vertical style="hair">
          <color theme="1" tint="0.14996795556505021"/>
        </vertical>
        <horizontal style="hair">
          <color theme="1" tint="0.14996795556505021"/>
        </horizontal>
      </border>
    </dxf>
    <dxf>
      <font>
        <strike val="0"/>
        <color theme="0"/>
      </font>
      <fill>
        <patternFill>
          <bgColor rgb="FF009999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9999"/>
        </left>
        <right style="hair">
          <color rgb="FF009999"/>
        </right>
        <top style="hair">
          <color rgb="FF009999"/>
        </top>
        <bottom style="hair">
          <color rgb="FF009999"/>
        </bottom>
        <vertical style="hair">
          <color rgb="FF009999"/>
        </vertical>
        <horizontal style="hair">
          <color rgb="FF009999"/>
        </horizontal>
      </border>
    </dxf>
    <dxf>
      <font>
        <strike val="0"/>
        <color theme="0"/>
      </font>
      <fill>
        <patternFill>
          <bgColor rgb="FF00AC56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AC56"/>
        </left>
        <right style="hair">
          <color rgb="FF00AC56"/>
        </right>
        <top style="hair">
          <color rgb="FF00AC56"/>
        </top>
        <bottom style="hair">
          <color rgb="FF00AC56"/>
        </bottom>
        <vertical style="hair">
          <color rgb="FF00AC56"/>
        </vertical>
        <horizontal style="hair">
          <color rgb="FF00AC56"/>
        </horizontal>
      </border>
    </dxf>
    <dxf>
      <font>
        <strike val="0"/>
        <color theme="0"/>
      </font>
      <fill>
        <patternFill>
          <bgColor rgb="FF0088CC"/>
        </patternFill>
      </fill>
      <border>
        <left/>
        <right/>
        <top/>
        <bottom/>
      </border>
    </dxf>
    <dxf>
      <font>
        <strike val="0"/>
        <color auto="1"/>
      </font>
      <border>
        <left style="hair">
          <color rgb="FF0088CC"/>
        </left>
        <right style="hair">
          <color rgb="FF0088CC"/>
        </right>
        <top style="hair">
          <color rgb="FF0088CC"/>
        </top>
        <bottom style="hair">
          <color rgb="FF0088CC"/>
        </bottom>
        <vertical style="hair">
          <color rgb="FF0088CC"/>
        </vertical>
        <horizontal style="hair">
          <color rgb="FF0088CC"/>
        </horizontal>
      </border>
    </dxf>
  </dxfs>
  <tableStyles count="5" defaultTableStyle="TableStyleMedium2" defaultPivotStyle="PivotStyleMedium9">
    <tableStyle name="Estilo de tabla 1" pivot="0" count="1" xr9:uid="{00000000-0011-0000-FFFF-FFFF00000000}">
      <tableStyleElement type="secondColumnStripe" size="7"/>
    </tableStyle>
    <tableStyle name="S5S Blue" pivot="0" count="2" xr9:uid="{00000000-0011-0000-FFFF-FFFF01000000}">
      <tableStyleElement type="wholeTable" dxfId="176"/>
      <tableStyleElement type="headerRow" dxfId="175"/>
    </tableStyle>
    <tableStyle name="S5S Green" pivot="0" count="2" xr9:uid="{00000000-0011-0000-FFFF-FFFF02000000}">
      <tableStyleElement type="wholeTable" dxfId="174"/>
      <tableStyleElement type="headerRow" dxfId="173"/>
    </tableStyle>
    <tableStyle name="S5S Greenblue" pivot="0" count="2" xr9:uid="{00000000-0011-0000-FFFF-FFFF03000000}">
      <tableStyleElement type="wholeTable" dxfId="172"/>
      <tableStyleElement type="headerRow" dxfId="171"/>
    </tableStyle>
    <tableStyle name="S5S2" pivot="0" count="2" xr9:uid="{00000000-0011-0000-FFFF-FFFF04000000}">
      <tableStyleElement type="wholeTable" dxfId="170"/>
      <tableStyleElement type="headerRow" dxfId="169"/>
    </tableStyle>
  </tableStyles>
  <colors>
    <mruColors>
      <color rgb="FFFF0000"/>
      <color rgb="FFFF3300"/>
      <color rgb="FF00AC56"/>
      <color rgb="FF0088CC"/>
      <color rgb="FF323232"/>
      <color rgb="FF009999"/>
      <color rgb="FFFF6600"/>
      <color rgb="FF66CCFF"/>
      <color rgb="FF3399FF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504274492911471E-2"/>
          <c:y val="3.1073453239346332E-2"/>
          <c:w val="0.47008548985822945"/>
          <c:h val="0.62146906478692665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APU!$J$5:$J$8</c:f>
              <c:strCache>
                <c:ptCount val="4"/>
                <c:pt idx="0">
                  <c:v>EQUIPOS</c:v>
                </c:pt>
                <c:pt idx="3">
                  <c:v>MATERIALES</c:v>
                </c:pt>
              </c:strCache>
            </c:strRef>
          </c:cat>
          <c:val>
            <c:numRef>
              <c:f>APU!$L$5:$L$8</c:f>
              <c:numCache>
                <c:formatCode>0.00%</c:formatCode>
                <c:ptCount val="4"/>
                <c:pt idx="0">
                  <c:v>0.32963784762785886</c:v>
                </c:pt>
                <c:pt idx="3">
                  <c:v>0.67036215237214114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5F-4954-ADC0-30DB74345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358976435114088"/>
          <c:y val="3.1073453239346332E-2"/>
          <c:w val="0.50641023564885912"/>
          <c:h val="0.96892654676065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00AC56"/>
      </a:solidFill>
      <a:prstDash val="solid"/>
      <a:round/>
      <a:headEnd type="none" w="med" len="med"/>
      <a:tailEnd type="none" w="med" len="med"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504274492911471E-2"/>
          <c:y val="3.1073453239346332E-2"/>
          <c:w val="0.47008548985822945"/>
          <c:h val="0.62146906478692665"/>
        </c:manualLayout>
      </c:layout>
      <c:pieChart>
        <c:varyColors val="1"/>
        <c:ser>
          <c:idx val="0"/>
          <c:order val="0"/>
          <c:tx>
            <c:strRef>
              <c:f>APU!$P$4</c:f>
              <c:strCache>
                <c:ptCount val="1"/>
                <c:pt idx="0">
                  <c:v> 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6"/>
            <c:bubble3D val="0"/>
            <c:spPr>
              <a:solidFill>
                <a:schemeClr val="accent6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dPt>
            <c:idx val="7"/>
            <c:bubble3D val="0"/>
            <c:spPr>
              <a:solidFill>
                <a:schemeClr val="accent5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dPt>
            <c:idx val="8"/>
            <c:bubble3D val="0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dPt>
          <c:dPt>
            <c:idx val="9"/>
            <c:bubble3D val="0"/>
            <c:spPr>
              <a:solidFill>
                <a:schemeClr val="accent6">
                  <a:lumMod val="80000"/>
                </a:schemeClr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CO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APU!$O$5:$O$14</c:f>
              <c:strCache>
                <c:ptCount val="7"/>
                <c:pt idx="0">
                  <c:v>herramienta menor</c:v>
                </c:pt>
                <c:pt idx="3">
                  <c:v>arena lavada de peña</c:v>
                </c:pt>
                <c:pt idx="6">
                  <c:v>concretadora trompo 3 sacos</c:v>
                </c:pt>
              </c:strCache>
            </c:strRef>
          </c:cat>
          <c:val>
            <c:numRef>
              <c:f>APU!$P$5:$P$14</c:f>
              <c:numCache>
                <c:formatCode>0.0%</c:formatCode>
                <c:ptCount val="10"/>
                <c:pt idx="0">
                  <c:v>0.15680986020400964</c:v>
                </c:pt>
                <c:pt idx="3">
                  <c:v>0.67036215237214114</c:v>
                </c:pt>
                <c:pt idx="6">
                  <c:v>0.17282798742384922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F-428E-93A5-6E876ECA99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49358976435114088"/>
          <c:y val="3.1073453239346332E-2"/>
          <c:w val="0.50641023564885912"/>
          <c:h val="0.9689265467606537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s-CO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0088CC"/>
      </a:solidFill>
      <a:prstDash val="solid"/>
      <a:round/>
      <a:headEnd type="none" w="med" len="med"/>
      <a:tailEnd type="none" w="med" len="med"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</a:extLst>
  </c:spPr>
  <c:txPr>
    <a:bodyPr/>
    <a:lstStyle/>
    <a:p>
      <a:pPr>
        <a:defRPr/>
      </a:pPr>
      <a:endParaRPr lang="es-C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2</xdr:row>
      <xdr:rowOff>0</xdr:rowOff>
    </xdr:from>
    <xdr:to>
      <xdr:col>14</xdr:col>
      <xdr:colOff>0</xdr:colOff>
      <xdr:row>11</xdr:row>
      <xdr:rowOff>0</xdr:rowOff>
    </xdr:to>
    <xdr:graphicFrame macro="">
      <xdr:nvGraphicFramePr>
        <xdr:cNvPr id="2" name="Grafico_Tabla8">
          <a:extLst>
            <a:ext uri="{FF2B5EF4-FFF2-40B4-BE49-F238E27FC236}">
              <a16:creationId xmlns:a16="http://schemas.microsoft.com/office/drawing/2014/main" id="{121645B4-A004-444F-A6BA-39819F82F30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2</xdr:row>
      <xdr:rowOff>0</xdr:rowOff>
    </xdr:from>
    <xdr:to>
      <xdr:col>18</xdr:col>
      <xdr:colOff>0</xdr:colOff>
      <xdr:row>11</xdr:row>
      <xdr:rowOff>0</xdr:rowOff>
    </xdr:to>
    <xdr:graphicFrame macro="">
      <xdr:nvGraphicFramePr>
        <xdr:cNvPr id="3" name="Grafico_ITabla8">
          <a:extLst>
            <a:ext uri="{FF2B5EF4-FFF2-40B4-BE49-F238E27FC236}">
              <a16:creationId xmlns:a16="http://schemas.microsoft.com/office/drawing/2014/main" id="{1A432E56-402E-44E8-843B-A7355B8A629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[0]!exppdfbot" textlink="">
      <xdr:nvSpPr>
        <xdr:cNvPr id="2" name="Elips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A8852BB9-CF29-4EB4-B850-8A7BDB31F290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4" name="Elipse 3">
          <a:extLst>
            <a:ext uri="{FF2B5EF4-FFF2-40B4-BE49-F238E27FC236}">
              <a16:creationId xmlns:a16="http://schemas.microsoft.com/office/drawing/2014/main" id="{263D54B0-7955-4136-A48F-117E2F9D9D3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5" name="Elipse 4">
          <a:extLst>
            <a:ext uri="{FF2B5EF4-FFF2-40B4-BE49-F238E27FC236}">
              <a16:creationId xmlns:a16="http://schemas.microsoft.com/office/drawing/2014/main" id="{940E9305-1933-43C2-B280-381B3CF6C716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6" name="Elipse 5">
          <a:extLst>
            <a:ext uri="{FF2B5EF4-FFF2-40B4-BE49-F238E27FC236}">
              <a16:creationId xmlns:a16="http://schemas.microsoft.com/office/drawing/2014/main" id="{E43D4DA7-A462-4BC1-8FB1-FC9C1D1A049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7" name="Elipse 6">
          <a:extLst>
            <a:ext uri="{FF2B5EF4-FFF2-40B4-BE49-F238E27FC236}">
              <a16:creationId xmlns:a16="http://schemas.microsoft.com/office/drawing/2014/main" id="{32EB8D7A-3760-45D0-AAA9-4AB5C90AD6A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8" name="Elipse 7">
          <a:extLst>
            <a:ext uri="{FF2B5EF4-FFF2-40B4-BE49-F238E27FC236}">
              <a16:creationId xmlns:a16="http://schemas.microsoft.com/office/drawing/2014/main" id="{167FB88A-FAAC-4A81-9CB9-DCB3CB0BCB2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9" name="Elipse 8">
          <a:extLst>
            <a:ext uri="{FF2B5EF4-FFF2-40B4-BE49-F238E27FC236}">
              <a16:creationId xmlns:a16="http://schemas.microsoft.com/office/drawing/2014/main" id="{18EC3E64-3743-4DC1-B920-C82415B62F32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0" name="Elipse 9">
          <a:extLst>
            <a:ext uri="{FF2B5EF4-FFF2-40B4-BE49-F238E27FC236}">
              <a16:creationId xmlns:a16="http://schemas.microsoft.com/office/drawing/2014/main" id="{A699157F-AA30-4426-A388-5118522705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1" name="Elipse 10">
          <a:extLst>
            <a:ext uri="{FF2B5EF4-FFF2-40B4-BE49-F238E27FC236}">
              <a16:creationId xmlns:a16="http://schemas.microsoft.com/office/drawing/2014/main" id="{10DB8A65-B59E-4F6B-A5E3-15C773FF548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2" name="Elipse 11">
          <a:extLst>
            <a:ext uri="{FF2B5EF4-FFF2-40B4-BE49-F238E27FC236}">
              <a16:creationId xmlns:a16="http://schemas.microsoft.com/office/drawing/2014/main" id="{33BD149B-EB24-4796-A786-2F0EBDFEB399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13" name="Elipse 12">
          <a:extLst>
            <a:ext uri="{FF2B5EF4-FFF2-40B4-BE49-F238E27FC236}">
              <a16:creationId xmlns:a16="http://schemas.microsoft.com/office/drawing/2014/main" id="{A557A6F8-DA3C-4167-94E9-6DC35F81D3A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2" name="Elipse 21">
          <a:extLst>
            <a:ext uri="{FF2B5EF4-FFF2-40B4-BE49-F238E27FC236}">
              <a16:creationId xmlns:a16="http://schemas.microsoft.com/office/drawing/2014/main" id="{1C0F655D-128A-4847-986F-C04098D1FDCF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3" name="Elipse 22">
          <a:extLst>
            <a:ext uri="{FF2B5EF4-FFF2-40B4-BE49-F238E27FC236}">
              <a16:creationId xmlns:a16="http://schemas.microsoft.com/office/drawing/2014/main" id="{63F5800F-72B3-4173-BD46-AB5D8C75C914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4" name="Elipse 23">
          <a:extLst>
            <a:ext uri="{FF2B5EF4-FFF2-40B4-BE49-F238E27FC236}">
              <a16:creationId xmlns:a16="http://schemas.microsoft.com/office/drawing/2014/main" id="{78E26302-E4F5-4FE0-9296-D1C71E33093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5" name="Elipse 24">
          <a:extLst>
            <a:ext uri="{FF2B5EF4-FFF2-40B4-BE49-F238E27FC236}">
              <a16:creationId xmlns:a16="http://schemas.microsoft.com/office/drawing/2014/main" id="{4B595F1A-6A48-4909-9280-D76C4F81D3B7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EC286C4D-59FC-496B-BA05-6DD751EC527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7" name="Elipse 26">
          <a:extLst>
            <a:ext uri="{FF2B5EF4-FFF2-40B4-BE49-F238E27FC236}">
              <a16:creationId xmlns:a16="http://schemas.microsoft.com/office/drawing/2014/main" id="{FCC344E8-E8CD-4024-80A6-B5C26BA9D8BA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8" name="Elipse 27">
          <a:extLst>
            <a:ext uri="{FF2B5EF4-FFF2-40B4-BE49-F238E27FC236}">
              <a16:creationId xmlns:a16="http://schemas.microsoft.com/office/drawing/2014/main" id="{92C6910C-B922-4688-887B-EA5D62362BBC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29" name="Elipse 28">
          <a:extLst>
            <a:ext uri="{FF2B5EF4-FFF2-40B4-BE49-F238E27FC236}">
              <a16:creationId xmlns:a16="http://schemas.microsoft.com/office/drawing/2014/main" id="{3EBF20B9-5EB5-4BEA-B994-E31B6D0E2D8E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0" name="Elipse 29">
          <a:extLst>
            <a:ext uri="{FF2B5EF4-FFF2-40B4-BE49-F238E27FC236}">
              <a16:creationId xmlns:a16="http://schemas.microsoft.com/office/drawing/2014/main" id="{5A5DDDA9-6D91-4A08-AEA1-0729047EF2B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1" name="Elipse 30">
          <a:extLst>
            <a:ext uri="{FF2B5EF4-FFF2-40B4-BE49-F238E27FC236}">
              <a16:creationId xmlns:a16="http://schemas.microsoft.com/office/drawing/2014/main" id="{E8375C4C-1B27-4E31-843A-FF3B06D0F983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2" name="Elipse 31">
          <a:extLst>
            <a:ext uri="{FF2B5EF4-FFF2-40B4-BE49-F238E27FC236}">
              <a16:creationId xmlns:a16="http://schemas.microsoft.com/office/drawing/2014/main" id="{1880FFB7-4C55-4151-BA1E-94357B369C01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  <xdr:twoCellAnchor>
    <xdr:from>
      <xdr:col>1</xdr:col>
      <xdr:colOff>444500</xdr:colOff>
      <xdr:row>0</xdr:row>
      <xdr:rowOff>52917</xdr:rowOff>
    </xdr:from>
    <xdr:to>
      <xdr:col>1</xdr:col>
      <xdr:colOff>740833</xdr:colOff>
      <xdr:row>0</xdr:row>
      <xdr:rowOff>338667</xdr:rowOff>
    </xdr:to>
    <xdr:sp macro="" textlink="">
      <xdr:nvSpPr>
        <xdr:cNvPr id="33" name="Elipse 32">
          <a:extLst>
            <a:ext uri="{FF2B5EF4-FFF2-40B4-BE49-F238E27FC236}">
              <a16:creationId xmlns:a16="http://schemas.microsoft.com/office/drawing/2014/main" id="{6F2B1016-9F3F-4CDA-8019-5F412C171D85}"/>
            </a:ext>
          </a:extLst>
        </xdr:cNvPr>
        <xdr:cNvSpPr/>
      </xdr:nvSpPr>
      <xdr:spPr>
        <a:xfrm>
          <a:off x="444500" y="52917"/>
          <a:ext cx="296333" cy="285750"/>
        </a:xfrm>
        <a:prstGeom prst="ellipse">
          <a:avLst/>
        </a:prstGeom>
        <a:ln/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800" b="1">
            <a:solidFill>
              <a:srgbClr val="0066FF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35163C49-06DD-41AC-87F0-95B6056BF27D}" name="T_mat" displayName="T_mat" ref="A4:E15" totalsRowShown="0" headerRowDxfId="168">
  <autoFilter ref="A4:E15" xr:uid="{35163C49-06DD-41AC-87F0-95B6056BF27D}"/>
  <sortState xmlns:xlrd2="http://schemas.microsoft.com/office/spreadsheetml/2017/richdata2" ref="A5:E15">
    <sortCondition ref="A4:A15"/>
  </sortState>
  <tableColumns count="5">
    <tableColumn id="1" xr3:uid="{66B6A4FC-04B9-46B1-9A60-8B4235B01FB1}" name="DESCRIPCIÓN" dataDxfId="167"/>
    <tableColumn id="2" xr3:uid="{590D80B6-266A-40AE-96E2-4B8C49A0ED2D}" name="CÓDIGO" dataDxfId="166"/>
    <tableColumn id="3" xr3:uid="{19A5DD5B-76DF-412C-B456-961C17712F44}" name="UNIDAD" dataDxfId="165"/>
    <tableColumn id="4" xr3:uid="{A5C9AC68-4573-46E5-9519-6D1125A0C35F}" name="PRECIO" dataDxfId="164"/>
    <tableColumn id="5" xr3:uid="{F6096676-2E8B-429F-A8D7-161439AD8C0C}" name="FECHA"/>
  </tableColumns>
  <tableStyleInfo name="S5S Blu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3EC432AD-E3FE-4AF6-8C30-AA847C0BBC39}" name="T_equipos" displayName="T_equipos" ref="G4:K11" totalsRowShown="0" headerRowDxfId="163">
  <autoFilter ref="G4:K11" xr:uid="{3EC432AD-E3FE-4AF6-8C30-AA847C0BBC39}"/>
  <tableColumns count="5">
    <tableColumn id="1" xr3:uid="{1D3C53CE-0CF7-4BE4-B9E2-9FA5A48A7FE1}" name="DESCRIPCIÓN" dataDxfId="162"/>
    <tableColumn id="2" xr3:uid="{B929374C-D65D-4AEC-98CD-C5375CD07C26}" name="CÓDIGO" dataDxfId="161"/>
    <tableColumn id="3" xr3:uid="{51C9E9F3-E289-464F-B582-BF64E576D1FB}" name="UNIDAD" dataDxfId="160"/>
    <tableColumn id="4" xr3:uid="{1DAED865-92E7-4746-95F7-EF29DD6C80EE}" name="PRECIO" dataDxfId="159"/>
    <tableColumn id="5" xr3:uid="{CDC791B4-28F4-42D6-9987-96F7A20104D1}" name="FECHA"/>
  </tableColumns>
  <tableStyleInfo name="S5S Blu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8AA1A2E9-8F33-427A-926F-B1C96BC7066F}" name="T_mano" displayName="T_mano" ref="M4:Q11" totalsRowShown="0" headerRowDxfId="158">
  <autoFilter ref="M4:Q11" xr:uid="{8AA1A2E9-8F33-427A-926F-B1C96BC7066F}"/>
  <sortState xmlns:xlrd2="http://schemas.microsoft.com/office/spreadsheetml/2017/richdata2" ref="M5:Q19">
    <sortCondition ref="N4"/>
  </sortState>
  <tableColumns count="5">
    <tableColumn id="1" xr3:uid="{ABFFDB0E-0706-4014-BD8E-016A0915F601}" name="DESCRIPCIÓN" dataDxfId="157"/>
    <tableColumn id="2" xr3:uid="{FB67F346-D0B1-4202-AE10-5EBDF4B9ADA2}" name="CÓDIGO" dataDxfId="156"/>
    <tableColumn id="3" xr3:uid="{61447079-C2DA-467E-8F4E-CB2D3B62E402}" name="UNIDAD" dataDxfId="155"/>
    <tableColumn id="4" xr3:uid="{827DC2EB-289E-4D5D-AF01-CA9E16107176}" name="PRECIO" dataDxfId="154"/>
    <tableColumn id="5" xr3:uid="{C6BC718B-60E5-417B-B413-5DE8995550F7}" name="FECHA"/>
  </tableColumns>
  <tableStyleInfo name="S5S Blu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3AF20191-D16C-4181-9765-B0241B47704D}" name="T_trans" displayName="T_trans" ref="S4:W11" totalsRowShown="0" headerRowDxfId="153">
  <autoFilter ref="S4:W11" xr:uid="{3AF20191-D16C-4181-9765-B0241B47704D}"/>
  <sortState xmlns:xlrd2="http://schemas.microsoft.com/office/spreadsheetml/2017/richdata2" ref="S5:W15">
    <sortCondition ref="T4:T15"/>
  </sortState>
  <tableColumns count="5">
    <tableColumn id="1" xr3:uid="{483C3CD7-5480-4A69-9EAA-D6095EEFC776}" name="DESCRIPCIÓN" dataDxfId="152"/>
    <tableColumn id="2" xr3:uid="{C93FF0F3-5C51-4E52-A7FD-0A97B94261FA}" name="CÓDIGO" dataDxfId="151"/>
    <tableColumn id="3" xr3:uid="{DF323099-BE87-475A-A71B-25EACA6CB3A7}" name="UNIDAD" dataDxfId="150"/>
    <tableColumn id="4" xr3:uid="{43CFAE15-C7AF-4CBA-B15F-CAB5946940D0}" name="PRECIO" dataDxfId="149"/>
    <tableColumn id="5" xr3:uid="{5C7CDC9B-06A3-49F8-B8CD-B9E3E1F10ECB}" name="FECHA"/>
  </tableColumns>
  <tableStyleInfo name="S5S Blu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692394F0-56D9-4CDF-B128-169558E683C7}" name="T_sub" displayName="T_sub" ref="Y4:AC11" totalsRowShown="0" headerRowDxfId="148">
  <autoFilter ref="Y4:AC11" xr:uid="{692394F0-56D9-4CDF-B128-169558E683C7}"/>
  <sortState xmlns:xlrd2="http://schemas.microsoft.com/office/spreadsheetml/2017/richdata2" ref="Y5:AC18">
    <sortCondition ref="Z4"/>
  </sortState>
  <tableColumns count="5">
    <tableColumn id="1" xr3:uid="{681D5347-21F8-4437-8E39-12CA3DC47D71}" name="DESCRIPCIÓN" dataDxfId="147"/>
    <tableColumn id="2" xr3:uid="{BECD9356-A90A-4458-B2A6-C91CA57E3BF3}" name="CÓDIGO" dataDxfId="146"/>
    <tableColumn id="3" xr3:uid="{06850437-E874-4D8C-9ECA-54256C1C66F6}" name="UNIDAD" dataDxfId="145"/>
    <tableColumn id="4" xr3:uid="{65C0ED23-3E2A-492A-BCA2-FDF0692C8FFD}" name="PRECIO" dataDxfId="144"/>
    <tableColumn id="5" xr3:uid="{D38493F6-2EC3-4468-BE31-49044D748F9B}" name="FECHA"/>
  </tableColumns>
  <tableStyleInfo name="S5S Blu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18883847-159C-4D69-9DC1-AB5E5A4E1F5D}" name="T_otros" displayName="T_otros" ref="AK4:AO11" totalsRowShown="0" headerRowDxfId="143">
  <autoFilter ref="AK4:AO11" xr:uid="{18883847-159C-4D69-9DC1-AB5E5A4E1F5D}"/>
  <sortState xmlns:xlrd2="http://schemas.microsoft.com/office/spreadsheetml/2017/richdata2" ref="AK5:AO18">
    <sortCondition ref="AL4"/>
  </sortState>
  <tableColumns count="5">
    <tableColumn id="1" xr3:uid="{FB94A2F0-2B63-4C96-8BF1-28C4B2F36A2C}" name="DESCRIPCIÓN" dataDxfId="142"/>
    <tableColumn id="2" xr3:uid="{9F8D2D16-7F2E-4007-B55E-8C176DFA54DF}" name="CÓDIGO" dataDxfId="141"/>
    <tableColumn id="3" xr3:uid="{D3D1120B-1558-4FCD-99D8-A5E29D3CDBFC}" name="UNIDAD" dataDxfId="140"/>
    <tableColumn id="4" xr3:uid="{862E80EA-6627-48D7-B8EB-7DB311EABE08}" name="PRECIO" dataDxfId="139"/>
    <tableColumn id="5" xr3:uid="{C548858A-1844-460E-A1CC-CD31642BFF12}" name="FECHA"/>
  </tableColumns>
  <tableStyleInfo name="S5S Blu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71429DDB-0CB6-4EEB-ADB5-66ECCA01DA73}" name="T_act" displayName="T_act" ref="AE4:AI11" totalsRowShown="0" headerRowDxfId="138">
  <autoFilter ref="AE4:AI11" xr:uid="{71429DDB-0CB6-4EEB-ADB5-66ECCA01DA73}"/>
  <sortState xmlns:xlrd2="http://schemas.microsoft.com/office/spreadsheetml/2017/richdata2" ref="AE5:AI15">
    <sortCondition ref="AE4:AE15"/>
  </sortState>
  <tableColumns count="5">
    <tableColumn id="1" xr3:uid="{C24F9771-B730-454A-B344-54C6AC857951}" name="DESCRIPCIÓN" dataDxfId="137"/>
    <tableColumn id="2" xr3:uid="{A4604D4F-CFC0-4F7E-90A4-827CF550A33E}" name="CÓDIGO" dataDxfId="136"/>
    <tableColumn id="3" xr3:uid="{59E31BB8-5436-4C08-9670-728BD258AC63}" name="UNIDAD" dataDxfId="135"/>
    <tableColumn id="4" xr3:uid="{9A9C7FC3-5F98-4C2A-8274-196411916C6E}" name="PRECIO" dataDxfId="134"/>
    <tableColumn id="5" xr3:uid="{0FA7E606-D7A7-43AC-B18A-0DA739BAF2A6}" name="FECHA"/>
  </tableColumns>
  <tableStyleInfo name="S5S Blue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29ADC1-5B94-4715-993F-F3219AB27B7D}" name="Tabla2" displayName="Tabla2" ref="A4:H10" totalsRowCount="1">
  <autoFilter ref="A4:H9" xr:uid="{9D29ADC1-5B94-4715-993F-F3219AB27B7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8A541A2-21D8-4382-9A08-B76AF6CB3CEF}" name="TIPO" totalsRowLabel="Total"/>
    <tableColumn id="2" xr3:uid="{66B4EDD8-05D1-48BB-A029-DC568ED6D11E}" name="CÓDIGO"/>
    <tableColumn id="3" xr3:uid="{247B6D31-0A5D-42F6-A2EA-93DEC305D693}" name="DESCRIPCIÓN"/>
    <tableColumn id="4" xr3:uid="{E851E966-7037-4227-9C15-74EFFC9A7EB6}" name="UNIDAD" dataDxfId="133"/>
    <tableColumn id="5" xr3:uid="{2B14B636-D183-4E5E-A99A-113CE236173F}" name="FACTOR" dataDxfId="132">
      <calculatedColumnFormula>1</calculatedColumnFormula>
    </tableColumn>
    <tableColumn id="6" xr3:uid="{8B5AC80A-FD9B-42B7-8C8E-9D4650A38CAE}" name="CANTIDAD" dataDxfId="131"/>
    <tableColumn id="7" xr3:uid="{37AD99DF-8D2E-4B45-AFD4-3D7180032F86}" name="PRECIO" dataDxfId="130" totalsRowDxfId="1"/>
    <tableColumn id="8" xr3:uid="{500DEEFE-6082-4223-9519-152F4A8060CB}" name="TOTAL" totalsRowFunction="custom" dataDxfId="129" totalsRowDxfId="0">
      <calculatedColumnFormula>Tabla2[[#This Row],[CANTIDAD]]*Tabla2[[#This Row],[PRECIO]]*Tabla2[[#This Row],[FACTOR]]</calculatedColumnFormula>
      <totalsRowFormula>SUM(Tabla2[TOTAL])</totalsRowFormula>
    </tableColumn>
  </tableColumns>
  <tableStyleInfo name="S5S Green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2AA72-B15D-479B-BD8E-AE9763F46E0C}" name="Tabla3" displayName="Tabla3" ref="A14:H20" totalsRowCount="1">
  <autoFilter ref="A14:H19" xr:uid="{D5D2AA72-B15D-479B-BD8E-AE9763F46E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8F71EC1B-07AB-414B-B59A-C363DD659270}" name="TIPO" totalsRowLabel="Total"/>
    <tableColumn id="2" xr3:uid="{262E1842-1704-4B27-A322-86E6E415AD6D}" name="CÓDIGO"/>
    <tableColumn id="3" xr3:uid="{84C9ADFD-2D0A-420B-883F-7CB3414629D8}" name="DESCRIPCIÓN"/>
    <tableColumn id="4" xr3:uid="{1C110E9A-617F-4C7B-96F3-8900EC1A71CF}" name="UNIDAD" dataDxfId="128"/>
    <tableColumn id="5" xr3:uid="{8FF6DC30-E6C2-4203-988F-78519600B27E}" name="FACTOR" dataDxfId="127">
      <calculatedColumnFormula>1</calculatedColumnFormula>
    </tableColumn>
    <tableColumn id="6" xr3:uid="{93372A23-061F-4E12-850E-DE314A672760}" name="CANTIDAD" dataDxfId="126"/>
    <tableColumn id="7" xr3:uid="{5F5E6947-CD79-4E50-9077-372355C9C09F}" name="PRECIO" dataDxfId="125" totalsRowDxfId="5"/>
    <tableColumn id="8" xr3:uid="{B17E79B2-208D-4A1E-BF36-8F97110AF09C}" name="TOTAL" totalsRowFunction="custom" dataDxfId="124" totalsRowDxfId="4">
      <calculatedColumnFormula>Tabla3[[#This Row],[CANTIDAD]]*Tabla3[[#This Row],[PRECIO]]*Tabla3[[#This Row],[FACTOR]]</calculatedColumnFormula>
      <totalsRowFormula>SUM(Tabla3[TOTAL])</totalsRowFormula>
    </tableColumn>
  </tableColumns>
  <tableStyleInfo name="S5S Green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CD9120-8BB2-4E9E-91B6-A1BEC182C506}" name="Tabla13" displayName="Tabla13" ref="A24:H29" totalsRowCount="1">
  <autoFilter ref="A24:H28" xr:uid="{7CCD9120-8BB2-4E9E-91B6-A1BEC182C5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1F7D9CA-BDFB-4E9A-AB99-51D9991EDB96}" name="TIPO" totalsRowLabel="Total"/>
    <tableColumn id="2" xr3:uid="{9C9DCF5B-94A9-4981-9F79-47208CB35ACE}" name="CÓDIGO"/>
    <tableColumn id="3" xr3:uid="{9A98BAB3-DCE1-4D8C-B699-E47A6153ADB1}" name="DESCRIPCIÓN"/>
    <tableColumn id="4" xr3:uid="{1B8D3013-E52B-42D5-AA69-0A0EBB966AD1}" name="UNIDAD" dataDxfId="24"/>
    <tableColumn id="5" xr3:uid="{B6456FD6-73F2-44C3-98F3-54604A1C915A}" name="FACTOR" dataDxfId="23">
      <calculatedColumnFormula>1</calculatedColumnFormula>
    </tableColumn>
    <tableColumn id="6" xr3:uid="{DC8CD202-3BE6-498D-BF49-E6F072FE49CF}" name="CANTIDAD" dataDxfId="22"/>
    <tableColumn id="7" xr3:uid="{DE9ADFDD-62D8-476B-BE3F-5625F1B86C39}" name="PRECIO" dataDxfId="21" totalsRowDxfId="3"/>
    <tableColumn id="8" xr3:uid="{48D495EA-DCE7-41E3-AE73-28909E38A4EF}" name="TOTAL" totalsRowFunction="custom" dataDxfId="20" totalsRowDxfId="2">
      <calculatedColumnFormula>Tabla13[[#This Row],[CANTIDAD]]*Tabla13[[#This Row],[PRECIO]]*Tabla13[[#This Row],[FACTOR]]</calculatedColumnFormula>
      <totalsRowFormula>SUM(Tabla13[TOTAL])</totalsRowFormula>
    </tableColumn>
  </tableColumns>
  <tableStyleInfo name="S5S Green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5ED42B0-1D7E-4492-934F-9E9B511D6280}" name="Tabla8" displayName="Tabla8" ref="A4:H15" totalsRowCount="1">
  <autoFilter ref="A4:H14" xr:uid="{05ED42B0-1D7E-4492-934F-9E9B511D628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A5522035-5509-4202-8969-F6F4EC4ADC53}" name="TIPO" totalsRowLabel="Total"/>
    <tableColumn id="2" xr3:uid="{C8E63652-0864-4A72-9F25-753EAC72DF81}" name="CÓDIGO"/>
    <tableColumn id="3" xr3:uid="{0CD374D4-E705-4180-AB8B-76CFEECF29FA}" name="DESCRIPCIÓN"/>
    <tableColumn id="4" xr3:uid="{AD5DD0FB-E49C-4640-9FA4-0E74FEB0C58C}" name="UNIDAD" dataDxfId="123"/>
    <tableColumn id="5" xr3:uid="{C34105AC-404D-40A3-8CB0-99A64376F644}" name="FACTOR" dataDxfId="122">
      <calculatedColumnFormula>1</calculatedColumnFormula>
    </tableColumn>
    <tableColumn id="6" xr3:uid="{E80257D3-6472-4C87-9960-309FECFC181C}" name="CANTIDAD" dataDxfId="121"/>
    <tableColumn id="7" xr3:uid="{2DAC665D-F927-441D-83C6-F6A308031674}" name="PRECIO" dataDxfId="120" totalsRowDxfId="10"/>
    <tableColumn id="8" xr3:uid="{C638DF3E-2A17-44E0-8EFC-246FF7997AF9}" name="TOTAL" totalsRowFunction="custom" dataDxfId="119" totalsRowDxfId="9">
      <calculatedColumnFormula>Tabla8[[#This Row],[CANTIDAD]]*Tabla8[[#This Row],[PRECIO]]*Tabla8[[#This Row],[FACTOR]]</calculatedColumnFormula>
      <totalsRowFormula>SUM(Tabla8[TOTAL])</totalsRowFormula>
    </tableColumn>
  </tableColumns>
  <tableStyleInfo name="S5S Blue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CE6933D8-67BA-40E6-AC2E-F6CCCBBCB257}" name="Tabla10" displayName="Tabla10" ref="A19:H28" totalsRowCount="1" headerRowDxfId="118">
  <autoFilter ref="A19:H27" xr:uid="{CE6933D8-67BA-40E6-AC2E-F6CCCBBCB2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6332ED69-D8C4-4856-804F-111E83D807A6}" name="TIPO" totalsRowLabel="Total" totalsRowDxfId="8"/>
    <tableColumn id="2" xr3:uid="{9AE5C76D-E119-4199-8BEA-A6299CF795FD}" name="CÓDIGO"/>
    <tableColumn id="3" xr3:uid="{BE3F3F39-6581-46F7-BAE3-4405357AED73}" name="DESCRIPCIÓN"/>
    <tableColumn id="4" xr3:uid="{FBB85AF9-2387-4858-944E-4C15F84B2938}" name="UNIDAD" dataDxfId="117"/>
    <tableColumn id="5" xr3:uid="{C7727569-A9B1-489F-A59F-CA766CE2CF60}" name="FACTOR" dataDxfId="116"/>
    <tableColumn id="6" xr3:uid="{25242530-91B4-4B7E-9570-27531DDB0EDE}" name="CANTIDAD" dataDxfId="115"/>
    <tableColumn id="7" xr3:uid="{7167513A-3241-481A-9576-A994D60D5482}" name="PRECIO" dataDxfId="114" totalsRowDxfId="7"/>
    <tableColumn id="8" xr3:uid="{A5D1A74F-AD86-49D1-AAB0-CC3982FFCB2D}" name="TOTAL" totalsRowFunction="custom" dataDxfId="113" totalsRowDxfId="6">
      <calculatedColumnFormula>Tabla10[[#This Row],[CANTIDAD]]*Tabla10[[#This Row],[PRECIO]]*Tabla10[[#This Row],[FACTOR]]</calculatedColumnFormula>
      <totalsRowFormula>SUM(Tabla10[TOTAL])</totalsRowFormula>
    </tableColumn>
  </tableColumns>
  <tableStyleInfo name="S5S Blue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CB2F12E-DB81-42FF-96C9-904FF72F056D}" name="Tabla18" displayName="Tabla18" ref="J4:L14" totalsRowShown="0" headerRowDxfId="18">
  <autoFilter ref="J4:L14" xr:uid="{DCB2F12E-DB81-42FF-96C9-904FF72F056D}">
    <filterColumn colId="0" hiddenButton="1"/>
    <filterColumn colId="1" hiddenButton="1"/>
    <filterColumn colId="2" hiddenButton="1"/>
  </autoFilter>
  <tableColumns count="3">
    <tableColumn id="1" xr3:uid="{792681A4-34B9-44E1-9BC2-421DB5442ED0}" name="TIPO"/>
    <tableColumn id="2" xr3:uid="{1EB1BEA7-67E7-4346-AAB8-E2C13AC881FE}" name="TOTAL" dataDxfId="19"/>
    <tableColumn id="3" xr3:uid="{68A2F6A4-F86C-4B34-803C-CC93A12C0973}" name="INCIDENCIA"/>
  </tableColumns>
  <tableStyleInfo name="S5S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7198562-42DC-4849-B82E-2366F14B0969}" name="Tabla19" displayName="Tabla19" ref="O4:P14" totalsRowShown="0" headerRowDxfId="17">
  <autoFilter ref="O4:P14" xr:uid="{57198562-42DC-4849-B82E-2366F14B0969}">
    <filterColumn colId="0" hiddenButton="1"/>
    <filterColumn colId="1" hiddenButton="1"/>
  </autoFilter>
  <tableColumns count="2">
    <tableColumn id="1" xr3:uid="{C5E85B81-23C8-4FFF-9982-C0FD879A47FA}" name="INSUMO"/>
    <tableColumn id="2" xr3:uid="{03D678CC-E9FC-40F0-A940-3A947FF7694E}" name=" " dataDxfId="16" dataCellStyle="Porcentaje"/>
  </tableColumns>
  <tableStyleInfo name="S5S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B417DC69-2AA0-4DAC-A7FE-E5A2BE9D472B}" name="Tabla21" displayName="Tabla21" ref="A32:H36" totalsRowCount="1">
  <autoFilter ref="A32:H35" xr:uid="{B417DC69-2AA0-4DAC-A7FE-E5A2BE9D472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75334356-F50B-4742-BF2E-0B19539F1022}" name="TIPO" totalsRowLabel="Total"/>
    <tableColumn id="2" xr3:uid="{77D054DF-04BB-4A56-82FE-E1569EB6D98D}" name="CÓDIGO"/>
    <tableColumn id="3" xr3:uid="{4917C236-CFE9-48FF-90F9-58CC137C04F3}" name="DESCRIPCIÓN"/>
    <tableColumn id="4" xr3:uid="{696D8006-7608-4913-8AEF-C69BA2C3BC17}" name="UNIDAD" dataDxfId="15"/>
    <tableColumn id="5" xr3:uid="{8A7B239E-041A-4D99-8F10-25A5A17FC9B5}" name="FACTOR" dataDxfId="14">
      <calculatedColumnFormula>1</calculatedColumnFormula>
    </tableColumn>
    <tableColumn id="6" xr3:uid="{1C03225C-1D36-495B-BDDD-D57684910572}" name="CANTIDAD" dataDxfId="13"/>
    <tableColumn id="7" xr3:uid="{0DB8039F-E114-4E6C-A63B-E83E8500F3BF}" name="PRECIO" dataDxfId="12"/>
    <tableColumn id="8" xr3:uid="{B0D521D2-0A5B-447D-8938-1AD73B74C9DD}" name="TOTAL" totalsRowFunction="custom" dataDxfId="11">
      <calculatedColumnFormula>Tabla21[[#This Row],[CANTIDAD]]*Tabla21[[#This Row],[PRECIO]]*Tabla21[[#This Row],[FACTOR]]</calculatedColumnFormula>
      <totalsRowFormula>SUM(Tabla21[TOTAL])</totalsRowFormula>
    </tableColumn>
  </tableColumns>
  <tableStyleInfo name="S5S Blue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96FDAE66-6DBA-4699-BF50-D8546BA48B45}" name="Tabla7" displayName="Tabla7" ref="B4:H13" totalsRowCount="1" headerRowDxfId="112" dataDxfId="111" totalsRowDxfId="110">
  <autoFilter ref="B4:H12" xr:uid="{96FDAE66-6DBA-4699-BF50-D8546BA48B4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02782E6E-ADBD-4264-9E19-07A74BF6707F}" name="CÓDIGO" totalsRowLabel="Total" dataDxfId="109" totalsRowDxfId="108"/>
    <tableColumn id="2" xr3:uid="{9E4A8911-B1F6-4798-B7A8-393CF0AC0087}" name="DESCRIPCIÓN" dataDxfId="107" totalsRowDxfId="106"/>
    <tableColumn id="3" xr3:uid="{A1AE07CE-2D7B-4A2B-96FB-56923B301155}" name="UNIDAD" dataDxfId="105" totalsRowDxfId="104"/>
    <tableColumn id="4" xr3:uid="{34B40167-98C6-43B4-ACE3-814B43CEEF4D}" name="FACTOR" dataDxfId="103" totalsRowDxfId="102"/>
    <tableColumn id="5" xr3:uid="{4774C47A-FCFE-4EFB-A37B-C782BBB55CD0}" name="CANTIDAD" dataDxfId="101" totalsRowDxfId="100"/>
    <tableColumn id="6" xr3:uid="{A7D9AF6D-518C-461D-AACA-AB4424887819}" name="COSTO" dataDxfId="99" totalsRowDxfId="98"/>
    <tableColumn id="7" xr3:uid="{42342F48-7E8C-4010-A99A-EA5943ADDBC7}" name="TOTAL" totalsRowFunction="custom" dataDxfId="97" totalsRowDxfId="96">
      <calculatedColumnFormula>Tabla7[[#This Row],[FACTOR]]*Tabla7[[#This Row],[CANTIDAD]]*Tabla7[[#This Row],[COSTO]]</calculatedColumnFormula>
      <totalsRowFormula>SUM(Tabla7[TOTAL])</totalsRowFormula>
    </tableColumn>
  </tableColumns>
  <tableStyleInfo name="S5S Greenblue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C3383F75-BB5A-443A-9E47-465B89ED8DA0}" name="Tabla14" displayName="Tabla14" ref="B17:H27" totalsRowCount="1" headerRowDxfId="95" dataDxfId="94" totalsRowDxfId="93">
  <autoFilter ref="B17:H26" xr:uid="{C3383F75-BB5A-443A-9E47-465B89ED8DA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FD35C1EC-88B8-4BE9-A8A3-2267E448A193}" name="CÓDIGO" totalsRowLabel="Total" dataDxfId="92" totalsRowDxfId="91"/>
    <tableColumn id="2" xr3:uid="{7B7026C8-5732-41EE-8015-AFFBBE29D398}" name="DESCRIPCIÓN" dataDxfId="90" totalsRowDxfId="89"/>
    <tableColumn id="3" xr3:uid="{4C38D328-722B-4A28-8CF5-30E68B140749}" name="UNIDAD" dataDxfId="88" totalsRowDxfId="87"/>
    <tableColumn id="4" xr3:uid="{BE8B3E57-1D68-47B5-A101-D68769928F3C}" name="FACTOR" dataDxfId="86" totalsRowDxfId="85"/>
    <tableColumn id="5" xr3:uid="{5B147115-067F-4462-8F12-6C1048890CC9}" name="CANTIDAD" dataDxfId="84" totalsRowDxfId="83"/>
    <tableColumn id="6" xr3:uid="{955A2662-8045-4115-857E-2647ED977388}" name="COSTO" dataDxfId="82" totalsRowDxfId="81"/>
    <tableColumn id="7" xr3:uid="{62DEB7EA-E79D-4A3F-9BE0-7F3BBCB43F23}" name="TOTAL" totalsRowFunction="custom" dataDxfId="80" totalsRowDxfId="79">
      <calculatedColumnFormula>Tabla14[[#This Row],[FACTOR]]*Tabla14[[#This Row],[CANTIDAD]]*Tabla14[[#This Row],[COSTO]]</calculatedColumnFormula>
      <totalsRowFormula>SUM(Tabla14[TOTAL])</totalsRowFormula>
    </tableColumn>
  </tableColumns>
  <tableStyleInfo name="S5S Greenblue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2AAA5DDD-AAE3-4D2B-99D4-DA45AAB4C61B}" name="Tabla89" displayName="Tabla89" ref="B31:H37" totalsRowCount="1" headerRowDxfId="78" dataDxfId="77">
  <autoFilter ref="B31:H36" xr:uid="{2AAA5DDD-AAE3-4D2B-99D4-DA45AAB4C61B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9E188C05-4790-41BB-9A7E-447570A9FEC5}" name="CÓDIGO" totalsRowLabel="Total" dataDxfId="76" totalsRowDxfId="75"/>
    <tableColumn id="2" xr3:uid="{63AB7991-3171-4CFC-B894-5591ADF27BD0}" name="DESCRIPCIÓN" dataDxfId="74" totalsRowDxfId="73"/>
    <tableColumn id="3" xr3:uid="{72B32921-1C76-4D87-B0A1-AC042005BE73}" name="UNIDAD" dataDxfId="72" totalsRowDxfId="71"/>
    <tableColumn id="4" xr3:uid="{CFCE981E-C0CD-4810-80AE-7487E1688532}" name="FACTOR" dataDxfId="70" totalsRowDxfId="69"/>
    <tableColumn id="5" xr3:uid="{14E91AA0-6A64-47EB-AE7D-50E5CE3ADE75}" name="CANTIDAD" dataDxfId="68" totalsRowDxfId="67"/>
    <tableColumn id="6" xr3:uid="{08CF8B6D-9475-4CC8-8403-E646267C1F75}" name="COSTO" dataDxfId="66" totalsRowDxfId="65"/>
    <tableColumn id="7" xr3:uid="{18657652-05A7-4B33-933A-7DC55F031EE2}" name="TOTAL" totalsRowFunction="custom" dataDxfId="64" totalsRowDxfId="63">
      <calculatedColumnFormula>Tabla89[[#This Row],[FACTOR]]*Tabla89[[#This Row],[CANTIDAD]]*Tabla89[[#This Row],[COSTO]]</calculatedColumnFormula>
      <totalsRowFormula>SUM(Tabla89[TOTAL])</totalsRowFormula>
    </tableColumn>
  </tableColumns>
  <tableStyleInfo name="S5S Greenblue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39CD4F6C-A230-4D21-9B37-1CD499CBC774}" name="Tabla90" displayName="Tabla90" ref="B41:E47" totalsRowShown="0" headerRowDxfId="62">
  <autoFilter ref="B41:E47" xr:uid="{39CD4F6C-A230-4D21-9B37-1CD499CBC774}">
    <filterColumn colId="0" hiddenButton="1"/>
    <filterColumn colId="1" hiddenButton="1"/>
    <filterColumn colId="2" hiddenButton="1"/>
    <filterColumn colId="3" hiddenButton="1"/>
  </autoFilter>
  <tableColumns count="4">
    <tableColumn id="1" xr3:uid="{A45633BB-9CDD-4254-8C02-91640CC28DB7}" name="CÓD" dataDxfId="61"/>
    <tableColumn id="2" xr3:uid="{370B0231-4F9C-48C9-9F57-C90F8A632628}" name="CAPÍTULO" dataDxfId="60"/>
    <tableColumn id="3" xr3:uid="{4A4CC8D5-96D5-4282-A30A-1CC3A389B7B1}" name="PORCENTAJE" dataDxfId="59"/>
    <tableColumn id="4" xr3:uid="{41945A50-0A11-4145-893F-B2A711295293}" name="SUBTOTAL" dataDxfId="58"/>
  </tableColumns>
  <tableStyleInfo name="S5S Greenblue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67E043A0-DF2C-4F80-AA82-7A03EB13D60E}" name="Tabla91" displayName="Tabla91" ref="C50:E57" totalsRowShown="0">
  <autoFilter ref="C50:E57" xr:uid="{67E043A0-DF2C-4F80-AA82-7A03EB13D60E}">
    <filterColumn colId="0" hiddenButton="1"/>
    <filterColumn colId="1" hiddenButton="1"/>
    <filterColumn colId="2" hiddenButton="1"/>
  </autoFilter>
  <tableColumns count="3">
    <tableColumn id="1" xr3:uid="{793212FD-D181-42CD-9259-2398524D98B9}" name="DESCRIPCIÓN" dataDxfId="57"/>
    <tableColumn id="2" xr3:uid="{29F24675-DB97-4EF0-BFFA-862DF3A82C23}" name="PORCENTAJE" dataDxfId="56"/>
    <tableColumn id="3" xr3:uid="{A8FB70AB-F141-461C-9C8C-442B5352E67A}" name="SUBTOTAL" dataDxfId="55"/>
  </tableColumns>
  <tableStyleInfo name="S5S Greenblue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0C000000}" name="T_basico" displayName="T_basico" ref="B2:E7" totalsRowShown="0" headerRowDxfId="54" dataDxfId="52" headerRowBorderDxfId="53" tableBorderDxfId="51">
  <autoFilter ref="B2:E7" xr:uid="{00000000-0009-0000-0100-00001C000000}"/>
  <sortState xmlns:xlrd2="http://schemas.microsoft.com/office/spreadsheetml/2017/richdata2" ref="B3:E7">
    <sortCondition ref="B2:B7"/>
  </sortState>
  <tableColumns count="4">
    <tableColumn id="1" xr3:uid="{00000000-0010-0000-0C00-000001000000}" name="DESCRIPCIÓN" dataDxfId="50" totalsRowDxfId="49"/>
    <tableColumn id="2" xr3:uid="{00000000-0010-0000-0C00-000002000000}" name="CÓDIGO" totalsRowDxfId="48"/>
    <tableColumn id="3" xr3:uid="{00000000-0010-0000-0C00-000003000000}" name="UNIDAD " totalsRowDxfId="47"/>
    <tableColumn id="4" xr3:uid="{00000000-0010-0000-0C00-000004000000}" name="COSTO" dataDxfId="46" totalsRowDxfId="45"/>
  </tableColumns>
  <tableStyleInfo name="S5S Blue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D000000}" name="T_apus" displayName="T_apus" ref="B2:E6" headerRowDxfId="44" dataDxfId="43" tableBorderDxfId="42">
  <autoFilter ref="B2:E6" xr:uid="{00000000-0009-0000-0100-000006000000}"/>
  <sortState xmlns:xlrd2="http://schemas.microsoft.com/office/spreadsheetml/2017/richdata2" ref="B3:E6">
    <sortCondition ref="B2:B6"/>
  </sortState>
  <tableColumns count="4">
    <tableColumn id="1" xr3:uid="{00000000-0010-0000-0D00-000001000000}" name="DESCRIPCIÓN" dataDxfId="41" totalsRowDxfId="40"/>
    <tableColumn id="2" xr3:uid="{00000000-0010-0000-0D00-000002000000}" name="CÓDIGO" totalsRowDxfId="39"/>
    <tableColumn id="3" xr3:uid="{00000000-0010-0000-0D00-000003000000}" name="UNIDAD " totalsRowDxfId="38"/>
    <tableColumn id="4" xr3:uid="{00000000-0010-0000-0D00-000004000000}" name="COSTO" dataDxfId="37" totalsRowDxfId="36"/>
  </tableColumns>
  <tableStyleInfo name="S5S Blue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E000000}" name="T_materiales" displayName="T_materiales" ref="A2:E8" totalsRowCount="1" headerRowDxfId="35" totalsRowDxfId="34">
  <autoFilter ref="A2:E7" xr:uid="{00000000-0009-0000-0100-000001000000}"/>
  <sortState xmlns:xlrd2="http://schemas.microsoft.com/office/spreadsheetml/2017/richdata2" ref="A3:E77">
    <sortCondition ref="A2:A77"/>
  </sortState>
  <tableColumns count="5">
    <tableColumn id="1" xr3:uid="{00000000-0010-0000-0E00-000001000000}" name="INSUMO" totalsRowLabel="Total" totalsRowDxfId="33"/>
    <tableColumn id="2" xr3:uid="{00000000-0010-0000-0E00-000002000000}" name="UNIDAD" dataDxfId="32" totalsRowDxfId="31"/>
    <tableColumn id="3" xr3:uid="{00000000-0010-0000-0E00-000003000000}" name="PRECIO" dataDxfId="30" totalsRowDxfId="29"/>
    <tableColumn id="4" xr3:uid="{00000000-0010-0000-0E00-000004000000}" name="CANTIDAD" dataDxfId="28" totalsRowDxfId="27"/>
    <tableColumn id="5" xr3:uid="{00000000-0010-0000-0E00-000005000000}" name="TOTAL" totalsRowFunction="sum" dataDxfId="26" totalsRowDxfId="25">
      <calculatedColumnFormula>T_materiales[[#This Row],[PRECIO]]*T_materiales[[#This Row],[CANTIDAD]]</calculatedColumnFormula>
    </tableColumn>
  </tableColumns>
  <tableStyleInfo name="S5S Greenblue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blipFill>
          <a:blip xmlns:r="http://schemas.openxmlformats.org/officeDocument/2006/relationships" r:embed="rId1"/>
          <a:stretch>
            <a:fillRect/>
          </a:stretch>
        </a:blipFill>
        <a:ln>
          <a:noFill/>
        </a:ln>
        <a:effectLst>
          <a:outerShdw blurRad="40000" dist="23000" dir="5400000" rotWithShape="0">
            <a:srgbClr val="000000">
              <a:alpha val="35000"/>
            </a:srgbClr>
          </a:outerShdw>
          <a:softEdge rad="0"/>
        </a:effectLst>
        <a:scene3d>
          <a:camera prst="orthographicFront"/>
          <a:lightRig rig="threePt" dir="t"/>
        </a:scene3d>
        <a:sp3d>
          <a:bevelT w="19050" h="19050" prst="coolSlant"/>
        </a:sp3d>
      </a:spPr>
      <a:bodyPr vertOverflow="clip" horzOverflow="clip" rtlCol="0" anchor="ctr"/>
      <a:lstStyle>
        <a:defPPr algn="ctr">
          <a:defRPr sz="800" b="1">
            <a:solidFill>
              <a:srgbClr val="0066FF"/>
            </a:solidFill>
          </a:defRPr>
        </a:defPPr>
      </a:lstStyle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7" Type="http://schemas.openxmlformats.org/officeDocument/2006/relationships/table" Target="../tables/table2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9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>
    <tabColor rgb="FF00AC56"/>
    <pageSetUpPr fitToPage="1"/>
  </sheetPr>
  <dimension ref="A1:AQ147"/>
  <sheetViews>
    <sheetView showGridLines="0" zoomScale="90" zoomScaleNormal="90" zoomScaleSheetLayoutView="50" workbookViewId="0">
      <selection activeCell="B4" sqref="B4"/>
    </sheetView>
  </sheetViews>
  <sheetFormatPr baseColWidth="10" defaultColWidth="8.6640625" defaultRowHeight="14.4" x14ac:dyDescent="0.3"/>
  <cols>
    <col min="1" max="1" width="30.5546875" style="17" customWidth="1"/>
    <col min="2" max="2" width="40.77734375" style="17" customWidth="1"/>
    <col min="3" max="3" width="13.6640625" style="18" bestFit="1" customWidth="1"/>
    <col min="4" max="4" width="10.44140625" style="32" bestFit="1" customWidth="1"/>
    <col min="5" max="5" width="9.6640625" bestFit="1" customWidth="1"/>
    <col min="6" max="6" width="1.6640625" customWidth="1"/>
    <col min="7" max="7" width="28.33203125" style="17" bestFit="1" customWidth="1"/>
    <col min="8" max="8" width="15" style="17" customWidth="1"/>
    <col min="9" max="9" width="15" style="18" customWidth="1"/>
    <col min="10" max="10" width="12.109375" style="35" customWidth="1"/>
    <col min="11" max="11" width="15" customWidth="1"/>
    <col min="12" max="12" width="1.109375" customWidth="1"/>
    <col min="13" max="13" width="28" style="17" customWidth="1"/>
    <col min="14" max="14" width="10.5546875" style="17" bestFit="1" customWidth="1"/>
    <col min="15" max="15" width="13.109375" style="18" bestFit="1" customWidth="1"/>
    <col min="16" max="16" width="12.109375" style="35" bestFit="1" customWidth="1"/>
    <col min="17" max="17" width="12" bestFit="1" customWidth="1"/>
    <col min="18" max="18" width="1.44140625" customWidth="1"/>
    <col min="19" max="19" width="31.33203125" style="17" bestFit="1" customWidth="1"/>
    <col min="20" max="20" width="10.5546875" style="17" bestFit="1" customWidth="1"/>
    <col min="21" max="21" width="13.109375" style="18" bestFit="1" customWidth="1"/>
    <col min="22" max="22" width="11.109375" style="35" bestFit="1" customWidth="1"/>
    <col min="23" max="23" width="11.5546875" bestFit="1" customWidth="1"/>
    <col min="24" max="24" width="1.33203125" customWidth="1"/>
    <col min="25" max="25" width="34.109375" style="17" customWidth="1"/>
    <col min="26" max="26" width="10.5546875" style="17" bestFit="1" customWidth="1"/>
    <col min="27" max="27" width="13.109375" style="18" bestFit="1" customWidth="1"/>
    <col min="28" max="28" width="12.109375" style="35" customWidth="1"/>
    <col min="29" max="29" width="11.5546875" bestFit="1" customWidth="1"/>
    <col min="30" max="30" width="1.33203125" customWidth="1"/>
    <col min="31" max="31" width="36.109375" style="17" customWidth="1"/>
    <col min="32" max="32" width="10.5546875" style="17" bestFit="1" customWidth="1"/>
    <col min="33" max="33" width="13.109375" style="18" bestFit="1" customWidth="1"/>
    <col min="34" max="34" width="12.109375" style="35" bestFit="1" customWidth="1"/>
    <col min="35" max="35" width="11.5546875" bestFit="1" customWidth="1"/>
    <col min="36" max="36" width="1.44140625" customWidth="1"/>
    <col min="37" max="37" width="28.88671875" style="17" customWidth="1"/>
    <col min="38" max="38" width="10.5546875" style="17" bestFit="1" customWidth="1"/>
    <col min="39" max="39" width="13.109375" style="18" bestFit="1" customWidth="1"/>
    <col min="40" max="40" width="11.109375" style="35" bestFit="1" customWidth="1"/>
    <col min="41" max="41" width="11.5546875" bestFit="1" customWidth="1"/>
    <col min="42" max="42" width="2" customWidth="1"/>
    <col min="43" max="43" width="11.5546875" customWidth="1"/>
    <col min="44" max="44" width="1.33203125" customWidth="1"/>
    <col min="45" max="45" width="15.33203125" bestFit="1" customWidth="1"/>
    <col min="46" max="46" width="1.33203125" customWidth="1"/>
    <col min="47" max="47" width="15.33203125" bestFit="1" customWidth="1"/>
    <col min="48" max="48" width="1.6640625" customWidth="1"/>
  </cols>
  <sheetData>
    <row r="1" spans="1:43" ht="30" customHeight="1" x14ac:dyDescent="0.3">
      <c r="A1" s="73" t="s">
        <v>34</v>
      </c>
      <c r="B1" s="73"/>
      <c r="C1" s="73"/>
      <c r="D1" s="73"/>
      <c r="E1" s="73"/>
    </row>
    <row r="2" spans="1:43" ht="3" customHeight="1" thickBot="1" x14ac:dyDescent="0.35"/>
    <row r="3" spans="1:43" ht="18.600000000000001" thickBot="1" x14ac:dyDescent="0.4">
      <c r="A3" s="74" t="s">
        <v>4</v>
      </c>
      <c r="B3" s="75"/>
      <c r="C3" s="75"/>
      <c r="D3" s="75"/>
      <c r="E3" s="76"/>
      <c r="G3" s="74" t="s">
        <v>5</v>
      </c>
      <c r="H3" s="75"/>
      <c r="I3" s="75"/>
      <c r="J3" s="75"/>
      <c r="K3" s="76"/>
      <c r="M3" s="74" t="s">
        <v>6</v>
      </c>
      <c r="N3" s="75"/>
      <c r="O3" s="75"/>
      <c r="P3" s="75"/>
      <c r="Q3" s="76"/>
      <c r="S3" s="74" t="s">
        <v>7</v>
      </c>
      <c r="T3" s="75"/>
      <c r="U3" s="75"/>
      <c r="V3" s="75"/>
      <c r="W3" s="76"/>
      <c r="Y3" s="74" t="s">
        <v>8</v>
      </c>
      <c r="Z3" s="75"/>
      <c r="AA3" s="75"/>
      <c r="AB3" s="75"/>
      <c r="AC3" s="76"/>
      <c r="AD3" s="18"/>
      <c r="AE3" s="74" t="s">
        <v>9</v>
      </c>
      <c r="AF3" s="75"/>
      <c r="AG3" s="75"/>
      <c r="AH3" s="75"/>
      <c r="AI3" s="76"/>
      <c r="AK3" s="74" t="s">
        <v>10</v>
      </c>
      <c r="AL3" s="75"/>
      <c r="AM3" s="75"/>
      <c r="AN3" s="75"/>
      <c r="AO3" s="76"/>
      <c r="AP3" s="44"/>
      <c r="AQ3" s="44"/>
    </row>
    <row r="4" spans="1:43" ht="15.6" x14ac:dyDescent="0.3">
      <c r="A4" s="20" t="s">
        <v>1</v>
      </c>
      <c r="B4" s="20" t="s">
        <v>0</v>
      </c>
      <c r="C4" s="21" t="s">
        <v>11</v>
      </c>
      <c r="D4" s="45" t="s">
        <v>12</v>
      </c>
      <c r="E4" s="22" t="s">
        <v>13</v>
      </c>
      <c r="G4" s="20" t="s">
        <v>1</v>
      </c>
      <c r="H4" s="20" t="s">
        <v>0</v>
      </c>
      <c r="I4" s="21" t="s">
        <v>11</v>
      </c>
      <c r="J4" s="46" t="s">
        <v>12</v>
      </c>
      <c r="K4" s="22" t="s">
        <v>13</v>
      </c>
      <c r="M4" s="23" t="s">
        <v>1</v>
      </c>
      <c r="N4" s="23" t="s">
        <v>0</v>
      </c>
      <c r="O4" s="24" t="s">
        <v>11</v>
      </c>
      <c r="P4" s="36" t="s">
        <v>12</v>
      </c>
      <c r="Q4" s="25" t="s">
        <v>13</v>
      </c>
      <c r="S4" s="23" t="s">
        <v>1</v>
      </c>
      <c r="T4" s="23" t="s">
        <v>0</v>
      </c>
      <c r="U4" s="24" t="s">
        <v>11</v>
      </c>
      <c r="V4" s="36" t="s">
        <v>12</v>
      </c>
      <c r="W4" s="25" t="s">
        <v>13</v>
      </c>
      <c r="Y4" s="23" t="s">
        <v>1</v>
      </c>
      <c r="Z4" s="23" t="s">
        <v>0</v>
      </c>
      <c r="AA4" s="24" t="s">
        <v>11</v>
      </c>
      <c r="AB4" s="36" t="s">
        <v>12</v>
      </c>
      <c r="AC4" s="25" t="s">
        <v>13</v>
      </c>
      <c r="AE4" s="23" t="s">
        <v>1</v>
      </c>
      <c r="AF4" s="23" t="s">
        <v>0</v>
      </c>
      <c r="AG4" s="24" t="s">
        <v>11</v>
      </c>
      <c r="AH4" s="36" t="s">
        <v>12</v>
      </c>
      <c r="AI4" s="25" t="s">
        <v>13</v>
      </c>
      <c r="AK4" s="23" t="s">
        <v>1</v>
      </c>
      <c r="AL4" s="23" t="s">
        <v>0</v>
      </c>
      <c r="AM4" s="24" t="s">
        <v>11</v>
      </c>
      <c r="AN4" s="36" t="s">
        <v>12</v>
      </c>
      <c r="AO4" s="25" t="s">
        <v>13</v>
      </c>
    </row>
    <row r="5" spans="1:43" ht="15.6" x14ac:dyDescent="0.3">
      <c r="A5" s="20" t="s">
        <v>47</v>
      </c>
      <c r="B5" s="20"/>
      <c r="C5" s="21" t="s">
        <v>48</v>
      </c>
      <c r="D5" s="45">
        <v>2694</v>
      </c>
      <c r="E5" s="47"/>
      <c r="G5" s="20" t="s">
        <v>40</v>
      </c>
      <c r="H5" s="20"/>
      <c r="I5" s="21" t="s">
        <v>41</v>
      </c>
      <c r="J5" s="45">
        <v>100000</v>
      </c>
      <c r="K5" s="47"/>
      <c r="M5" s="20" t="s">
        <v>53</v>
      </c>
      <c r="N5" s="20"/>
      <c r="O5" s="21" t="s">
        <v>54</v>
      </c>
      <c r="P5" s="45">
        <v>21793</v>
      </c>
      <c r="Q5" s="47"/>
      <c r="S5" s="23"/>
      <c r="T5" s="23"/>
      <c r="U5" s="24"/>
      <c r="V5" s="36"/>
      <c r="W5" s="25"/>
      <c r="Y5" s="23"/>
      <c r="Z5" s="23"/>
      <c r="AA5" s="24"/>
      <c r="AB5" s="36"/>
      <c r="AC5" s="25"/>
      <c r="AE5" s="23"/>
      <c r="AF5" s="23"/>
      <c r="AG5" s="24"/>
      <c r="AH5" s="36"/>
      <c r="AI5" s="25"/>
      <c r="AK5" s="23"/>
      <c r="AL5" s="23"/>
      <c r="AM5" s="24"/>
      <c r="AN5" s="36"/>
      <c r="AO5" s="25"/>
    </row>
    <row r="6" spans="1:43" ht="15.6" x14ac:dyDescent="0.3">
      <c r="A6" s="20" t="s">
        <v>42</v>
      </c>
      <c r="B6" s="20"/>
      <c r="C6" s="21" t="s">
        <v>43</v>
      </c>
      <c r="D6" s="45">
        <v>25</v>
      </c>
      <c r="E6" s="22"/>
      <c r="G6" s="20" t="s">
        <v>55</v>
      </c>
      <c r="H6" s="20"/>
      <c r="I6" s="21" t="s">
        <v>56</v>
      </c>
      <c r="J6" s="45">
        <v>110215</v>
      </c>
      <c r="K6" s="22"/>
      <c r="M6" s="23"/>
      <c r="N6" s="23"/>
      <c r="O6" s="24"/>
      <c r="P6" s="36"/>
      <c r="Q6" s="25"/>
      <c r="S6" s="23"/>
      <c r="T6" s="23"/>
      <c r="U6" s="24"/>
      <c r="V6" s="36"/>
      <c r="W6" s="25"/>
      <c r="Y6" s="23"/>
      <c r="Z6" s="23"/>
      <c r="AA6" s="24"/>
      <c r="AB6" s="36"/>
      <c r="AC6" s="25"/>
      <c r="AE6" s="23"/>
      <c r="AF6" s="23"/>
      <c r="AG6" s="24"/>
      <c r="AH6" s="36"/>
      <c r="AI6" s="25"/>
      <c r="AK6" s="23"/>
      <c r="AL6" s="23"/>
      <c r="AM6" s="24"/>
      <c r="AN6" s="36"/>
      <c r="AO6" s="25"/>
    </row>
    <row r="7" spans="1:43" ht="15.6" x14ac:dyDescent="0.3">
      <c r="A7" s="20" t="s">
        <v>49</v>
      </c>
      <c r="B7" s="20"/>
      <c r="C7" s="21" t="s">
        <v>48</v>
      </c>
      <c r="D7" s="45">
        <v>7400</v>
      </c>
      <c r="E7" s="47"/>
      <c r="G7" s="20"/>
      <c r="H7" s="20"/>
      <c r="I7" s="21"/>
      <c r="J7" s="46"/>
      <c r="K7" s="22"/>
      <c r="M7" s="23"/>
      <c r="N7" s="23"/>
      <c r="O7" s="24"/>
      <c r="P7" s="36"/>
      <c r="Q7" s="25"/>
      <c r="S7" s="23"/>
      <c r="T7" s="23"/>
      <c r="U7" s="24"/>
      <c r="V7" s="36"/>
      <c r="W7" s="25"/>
      <c r="Y7" s="23"/>
      <c r="Z7" s="23"/>
      <c r="AA7" s="24"/>
      <c r="AB7" s="36"/>
      <c r="AC7" s="25"/>
      <c r="AE7" s="23"/>
      <c r="AF7" s="23"/>
      <c r="AG7" s="24"/>
      <c r="AH7" s="36"/>
      <c r="AI7" s="25"/>
      <c r="AK7" s="23"/>
      <c r="AL7" s="23"/>
      <c r="AM7" s="24"/>
      <c r="AN7" s="36"/>
      <c r="AO7" s="25"/>
    </row>
    <row r="8" spans="1:43" ht="15.6" x14ac:dyDescent="0.3">
      <c r="A8" s="20" t="s">
        <v>50</v>
      </c>
      <c r="B8" s="20"/>
      <c r="C8" s="21" t="s">
        <v>39</v>
      </c>
      <c r="D8" s="45">
        <v>285000</v>
      </c>
      <c r="E8" s="22"/>
      <c r="G8" s="20"/>
      <c r="H8" s="20"/>
      <c r="I8" s="21"/>
      <c r="J8" s="46"/>
      <c r="K8" s="22"/>
      <c r="M8" s="23"/>
      <c r="N8" s="23"/>
      <c r="O8" s="24"/>
      <c r="P8" s="36"/>
      <c r="Q8" s="25"/>
      <c r="S8" s="23"/>
      <c r="T8" s="23"/>
      <c r="U8" s="24"/>
      <c r="V8" s="36"/>
      <c r="W8" s="25"/>
      <c r="Y8" s="23"/>
      <c r="Z8" s="23"/>
      <c r="AA8" s="24"/>
      <c r="AB8" s="36"/>
      <c r="AC8" s="25"/>
      <c r="AE8" s="23"/>
      <c r="AF8" s="23"/>
      <c r="AG8" s="24"/>
      <c r="AH8" s="36"/>
      <c r="AI8" s="25"/>
      <c r="AK8" s="23"/>
      <c r="AL8" s="23"/>
      <c r="AM8" s="24"/>
      <c r="AN8" s="36"/>
      <c r="AO8" s="25"/>
    </row>
    <row r="9" spans="1:43" ht="15.6" x14ac:dyDescent="0.3">
      <c r="A9" s="20" t="s">
        <v>51</v>
      </c>
      <c r="B9" s="20"/>
      <c r="C9" s="21" t="s">
        <v>48</v>
      </c>
      <c r="D9" s="45">
        <v>486</v>
      </c>
      <c r="E9" s="22"/>
      <c r="G9" s="20"/>
      <c r="H9" s="20"/>
      <c r="I9" s="21"/>
      <c r="J9" s="46"/>
      <c r="K9" s="22"/>
      <c r="M9" s="23"/>
      <c r="N9" s="23"/>
      <c r="O9" s="24"/>
      <c r="P9" s="36"/>
      <c r="Q9" s="25"/>
      <c r="S9" s="23"/>
      <c r="T9" s="23"/>
      <c r="U9" s="24"/>
      <c r="V9" s="36"/>
      <c r="W9" s="25"/>
      <c r="Y9" s="23"/>
      <c r="Z9" s="23"/>
      <c r="AA9" s="24"/>
      <c r="AB9" s="36"/>
      <c r="AC9" s="25"/>
      <c r="AE9" s="23"/>
      <c r="AF9" s="23"/>
      <c r="AG9" s="24"/>
      <c r="AH9" s="36"/>
      <c r="AI9" s="25"/>
      <c r="AK9" s="23"/>
      <c r="AL9" s="23"/>
      <c r="AM9" s="24"/>
      <c r="AN9" s="36"/>
      <c r="AO9" s="25"/>
    </row>
    <row r="10" spans="1:43" ht="15.6" x14ac:dyDescent="0.3">
      <c r="A10" s="20" t="s">
        <v>52</v>
      </c>
      <c r="B10" s="20"/>
      <c r="C10" s="21" t="s">
        <v>39</v>
      </c>
      <c r="D10" s="45">
        <v>72500</v>
      </c>
      <c r="E10" s="22"/>
      <c r="G10" s="20"/>
      <c r="H10" s="20"/>
      <c r="I10" s="21"/>
      <c r="J10" s="46"/>
      <c r="K10" s="22"/>
      <c r="M10" s="23"/>
      <c r="N10" s="23"/>
      <c r="O10" s="24"/>
      <c r="P10" s="36"/>
      <c r="Q10" s="25"/>
      <c r="S10" s="23"/>
      <c r="T10" s="23"/>
      <c r="U10" s="24"/>
      <c r="V10" s="36"/>
      <c r="W10" s="25"/>
      <c r="Y10" s="23"/>
      <c r="Z10" s="23"/>
      <c r="AA10" s="24"/>
      <c r="AB10" s="36"/>
      <c r="AC10" s="25"/>
      <c r="AE10" s="23"/>
      <c r="AF10" s="23"/>
      <c r="AG10" s="24"/>
      <c r="AH10" s="36"/>
      <c r="AI10" s="25"/>
      <c r="AK10" s="23"/>
      <c r="AL10" s="23"/>
      <c r="AM10" s="24"/>
      <c r="AN10" s="36"/>
      <c r="AO10" s="25"/>
    </row>
    <row r="11" spans="1:43" ht="15.6" x14ac:dyDescent="0.3">
      <c r="E11" s="22"/>
      <c r="G11" s="20"/>
      <c r="H11" s="20"/>
      <c r="I11" s="21"/>
      <c r="J11" s="46"/>
      <c r="K11" s="22"/>
      <c r="M11" s="23"/>
      <c r="N11" s="23"/>
      <c r="O11" s="24"/>
      <c r="P11" s="36"/>
      <c r="Q11" s="25"/>
      <c r="S11" s="23"/>
      <c r="T11" s="23"/>
      <c r="U11" s="24"/>
      <c r="V11" s="36"/>
      <c r="W11" s="25"/>
      <c r="Y11" s="23"/>
      <c r="Z11" s="23"/>
      <c r="AA11" s="24"/>
      <c r="AB11" s="36"/>
      <c r="AC11" s="25"/>
      <c r="AE11" s="23"/>
      <c r="AF11" s="23"/>
      <c r="AG11" s="24"/>
      <c r="AH11" s="36"/>
      <c r="AI11" s="25"/>
      <c r="AK11" s="23"/>
      <c r="AL11" s="23"/>
      <c r="AM11" s="24"/>
      <c r="AN11" s="36"/>
      <c r="AO11" s="25"/>
    </row>
    <row r="12" spans="1:43" ht="15.6" x14ac:dyDescent="0.3">
      <c r="A12" s="20"/>
      <c r="B12" s="20"/>
      <c r="C12" s="21"/>
      <c r="D12" s="45"/>
      <c r="E12" s="22"/>
    </row>
    <row r="13" spans="1:43" ht="15.6" x14ac:dyDescent="0.3">
      <c r="A13" s="20"/>
      <c r="B13" s="20"/>
      <c r="C13" s="21"/>
      <c r="D13" s="45"/>
      <c r="E13" s="22"/>
    </row>
    <row r="14" spans="1:43" ht="15.6" x14ac:dyDescent="0.3">
      <c r="A14" s="20"/>
      <c r="B14" s="20"/>
      <c r="C14" s="21"/>
      <c r="D14" s="45"/>
      <c r="E14" s="22"/>
    </row>
    <row r="15" spans="1:43" ht="15.6" x14ac:dyDescent="0.3">
      <c r="A15" s="20"/>
      <c r="B15" s="20"/>
      <c r="C15" s="21"/>
      <c r="D15" s="45"/>
      <c r="E15" s="22"/>
    </row>
    <row r="22" spans="12:39" x14ac:dyDescent="0.3">
      <c r="O22" s="26"/>
    </row>
    <row r="23" spans="12:39" x14ac:dyDescent="0.3">
      <c r="O23" s="26"/>
      <c r="T23" s="18"/>
      <c r="U23" s="19"/>
    </row>
    <row r="24" spans="12:39" x14ac:dyDescent="0.3">
      <c r="O24" s="26"/>
      <c r="AL24" s="18"/>
      <c r="AM24" s="19"/>
    </row>
    <row r="25" spans="12:39" x14ac:dyDescent="0.3">
      <c r="O25" s="26"/>
    </row>
    <row r="26" spans="12:39" x14ac:dyDescent="0.3">
      <c r="O26" s="26"/>
    </row>
    <row r="27" spans="12:39" x14ac:dyDescent="0.3">
      <c r="O27" s="26"/>
    </row>
    <row r="28" spans="12:39" x14ac:dyDescent="0.3">
      <c r="L28" s="17"/>
      <c r="O28" s="26"/>
      <c r="R28" s="17"/>
      <c r="X28" s="17"/>
      <c r="AD28" s="17"/>
      <c r="AJ28" s="17"/>
    </row>
    <row r="29" spans="12:39" x14ac:dyDescent="0.3">
      <c r="O29" s="26"/>
    </row>
    <row r="30" spans="12:39" x14ac:dyDescent="0.3">
      <c r="O30" s="26"/>
    </row>
    <row r="31" spans="12:39" x14ac:dyDescent="0.3">
      <c r="O31" s="26"/>
    </row>
    <row r="32" spans="12:39" x14ac:dyDescent="0.3">
      <c r="O32" s="26"/>
    </row>
    <row r="33" spans="15:33" x14ac:dyDescent="0.3">
      <c r="O33" s="26"/>
    </row>
    <row r="34" spans="15:33" x14ac:dyDescent="0.3">
      <c r="O34" s="26"/>
    </row>
    <row r="35" spans="15:33" x14ac:dyDescent="0.3">
      <c r="O35" s="26"/>
    </row>
    <row r="36" spans="15:33" x14ac:dyDescent="0.3">
      <c r="O36" s="26"/>
    </row>
    <row r="37" spans="15:33" x14ac:dyDescent="0.3">
      <c r="O37" s="26"/>
    </row>
    <row r="38" spans="15:33" x14ac:dyDescent="0.3">
      <c r="O38" s="26"/>
    </row>
    <row r="39" spans="15:33" x14ac:dyDescent="0.3">
      <c r="O39" s="26"/>
    </row>
    <row r="40" spans="15:33" x14ac:dyDescent="0.3">
      <c r="O40" s="26"/>
      <c r="AG40" s="26"/>
    </row>
    <row r="41" spans="15:33" x14ac:dyDescent="0.3">
      <c r="O41" s="26"/>
      <c r="AG41" s="26"/>
    </row>
    <row r="42" spans="15:33" x14ac:dyDescent="0.3">
      <c r="O42" s="26"/>
      <c r="AG42" s="26"/>
    </row>
    <row r="43" spans="15:33" x14ac:dyDescent="0.3">
      <c r="O43" s="26"/>
      <c r="AG43" s="26"/>
    </row>
    <row r="44" spans="15:33" x14ac:dyDescent="0.3">
      <c r="O44" s="26"/>
      <c r="AG44" s="26"/>
    </row>
    <row r="45" spans="15:33" x14ac:dyDescent="0.3">
      <c r="O45" s="26"/>
      <c r="AG45" s="26"/>
    </row>
    <row r="46" spans="15:33" x14ac:dyDescent="0.3">
      <c r="O46" s="26"/>
      <c r="AG46" s="26"/>
    </row>
    <row r="47" spans="15:33" x14ac:dyDescent="0.3">
      <c r="O47" s="26"/>
      <c r="AG47" s="26"/>
    </row>
    <row r="48" spans="15:33" x14ac:dyDescent="0.3">
      <c r="O48" s="26"/>
      <c r="AG48" s="26"/>
    </row>
    <row r="49" spans="9:33" x14ac:dyDescent="0.3">
      <c r="O49" s="26"/>
      <c r="AA49" s="26"/>
      <c r="AG49" s="26"/>
    </row>
    <row r="50" spans="9:33" x14ac:dyDescent="0.3">
      <c r="I50" s="26"/>
      <c r="O50" s="26"/>
      <c r="AA50" s="26"/>
      <c r="AG50" s="26"/>
    </row>
    <row r="51" spans="9:33" x14ac:dyDescent="0.3">
      <c r="I51" s="26"/>
      <c r="O51" s="26"/>
      <c r="AA51" s="26"/>
      <c r="AG51" s="26"/>
    </row>
    <row r="52" spans="9:33" x14ac:dyDescent="0.3">
      <c r="I52" s="26"/>
      <c r="O52" s="26"/>
      <c r="AA52" s="26"/>
      <c r="AG52" s="26"/>
    </row>
    <row r="53" spans="9:33" x14ac:dyDescent="0.3">
      <c r="I53" s="26"/>
      <c r="O53" s="26"/>
      <c r="AA53" s="26"/>
      <c r="AG53" s="26"/>
    </row>
    <row r="54" spans="9:33" x14ac:dyDescent="0.3">
      <c r="I54" s="26"/>
      <c r="O54" s="26"/>
      <c r="AA54" s="26"/>
      <c r="AG54" s="26"/>
    </row>
    <row r="55" spans="9:33" x14ac:dyDescent="0.3">
      <c r="I55" s="26"/>
      <c r="O55" s="26"/>
      <c r="AA55" s="26"/>
      <c r="AG55" s="26"/>
    </row>
    <row r="56" spans="9:33" x14ac:dyDescent="0.3">
      <c r="I56" s="26"/>
      <c r="O56" s="26"/>
      <c r="AA56" s="26"/>
      <c r="AG56" s="26"/>
    </row>
    <row r="57" spans="9:33" x14ac:dyDescent="0.3">
      <c r="I57" s="26"/>
      <c r="O57" s="26"/>
      <c r="AA57" s="26"/>
      <c r="AG57" s="26"/>
    </row>
    <row r="58" spans="9:33" x14ac:dyDescent="0.3">
      <c r="I58" s="26"/>
      <c r="O58" s="26"/>
      <c r="AA58" s="26"/>
      <c r="AG58" s="26"/>
    </row>
    <row r="59" spans="9:33" x14ac:dyDescent="0.3">
      <c r="I59" s="26"/>
      <c r="O59" s="26"/>
      <c r="AA59" s="26"/>
      <c r="AG59" s="26"/>
    </row>
    <row r="60" spans="9:33" x14ac:dyDescent="0.3">
      <c r="I60" s="26"/>
      <c r="O60" s="26"/>
      <c r="AA60" s="26"/>
      <c r="AG60" s="26"/>
    </row>
    <row r="61" spans="9:33" x14ac:dyDescent="0.3">
      <c r="I61" s="26"/>
      <c r="O61" s="26"/>
      <c r="AA61" s="26"/>
      <c r="AG61" s="26"/>
    </row>
    <row r="62" spans="9:33" x14ac:dyDescent="0.3">
      <c r="I62" s="26"/>
      <c r="O62" s="26"/>
      <c r="AA62" s="26"/>
      <c r="AG62" s="26"/>
    </row>
    <row r="63" spans="9:33" x14ac:dyDescent="0.3">
      <c r="I63" s="26"/>
      <c r="O63" s="26"/>
      <c r="AA63" s="26"/>
      <c r="AG63" s="26"/>
    </row>
    <row r="64" spans="9:33" x14ac:dyDescent="0.3">
      <c r="I64" s="26"/>
      <c r="O64" s="26"/>
      <c r="AA64" s="26"/>
      <c r="AG64" s="26"/>
    </row>
    <row r="65" spans="9:33" x14ac:dyDescent="0.3">
      <c r="I65" s="26"/>
      <c r="O65" s="26"/>
      <c r="AA65" s="26"/>
      <c r="AG65" s="26"/>
    </row>
    <row r="66" spans="9:33" x14ac:dyDescent="0.3">
      <c r="I66" s="26"/>
      <c r="O66" s="26"/>
      <c r="AA66" s="26"/>
      <c r="AG66" s="26"/>
    </row>
    <row r="67" spans="9:33" x14ac:dyDescent="0.3">
      <c r="I67" s="26"/>
      <c r="O67" s="26"/>
      <c r="AA67" s="26"/>
      <c r="AG67" s="26"/>
    </row>
    <row r="68" spans="9:33" x14ac:dyDescent="0.3">
      <c r="I68" s="26"/>
      <c r="O68" s="26"/>
      <c r="AA68" s="26"/>
      <c r="AG68" s="26"/>
    </row>
    <row r="69" spans="9:33" x14ac:dyDescent="0.3">
      <c r="I69" s="26"/>
      <c r="O69" s="26"/>
      <c r="AA69" s="26"/>
      <c r="AG69" s="26"/>
    </row>
    <row r="70" spans="9:33" x14ac:dyDescent="0.3">
      <c r="I70" s="26"/>
      <c r="O70" s="26"/>
      <c r="AA70" s="26"/>
      <c r="AG70" s="26"/>
    </row>
    <row r="71" spans="9:33" x14ac:dyDescent="0.3">
      <c r="I71" s="26"/>
      <c r="O71" s="26"/>
      <c r="AA71" s="26"/>
      <c r="AG71" s="26"/>
    </row>
    <row r="72" spans="9:33" x14ac:dyDescent="0.3">
      <c r="I72" s="26"/>
      <c r="O72" s="26"/>
      <c r="AA72" s="26"/>
      <c r="AG72" s="26"/>
    </row>
    <row r="73" spans="9:33" x14ac:dyDescent="0.3">
      <c r="I73" s="26"/>
      <c r="O73" s="26"/>
      <c r="U73" s="26"/>
      <c r="AA73" s="26"/>
      <c r="AG73" s="26"/>
    </row>
    <row r="74" spans="9:33" x14ac:dyDescent="0.3">
      <c r="I74" s="26"/>
      <c r="O74" s="26"/>
      <c r="U74" s="26"/>
      <c r="AA74" s="26"/>
      <c r="AG74" s="26"/>
    </row>
    <row r="75" spans="9:33" x14ac:dyDescent="0.3">
      <c r="I75" s="26"/>
      <c r="O75" s="26"/>
      <c r="U75" s="26"/>
      <c r="AA75" s="26"/>
      <c r="AG75" s="26"/>
    </row>
    <row r="76" spans="9:33" x14ac:dyDescent="0.3">
      <c r="I76" s="26"/>
      <c r="O76" s="26"/>
      <c r="U76" s="26"/>
      <c r="AA76" s="26"/>
      <c r="AG76" s="26"/>
    </row>
    <row r="77" spans="9:33" x14ac:dyDescent="0.3">
      <c r="I77" s="26"/>
      <c r="O77" s="26"/>
      <c r="U77" s="26"/>
      <c r="AA77" s="26"/>
      <c r="AG77" s="26"/>
    </row>
    <row r="78" spans="9:33" x14ac:dyDescent="0.3">
      <c r="I78" s="26"/>
      <c r="O78" s="26"/>
      <c r="U78" s="26"/>
      <c r="AA78" s="26"/>
      <c r="AG78" s="26"/>
    </row>
    <row r="79" spans="9:33" x14ac:dyDescent="0.3">
      <c r="I79" s="26"/>
      <c r="O79" s="26"/>
      <c r="U79" s="26"/>
      <c r="AA79" s="26"/>
      <c r="AG79" s="26"/>
    </row>
    <row r="80" spans="9:33" x14ac:dyDescent="0.3">
      <c r="I80" s="26"/>
      <c r="O80" s="26"/>
      <c r="U80" s="26"/>
      <c r="AA80" s="26"/>
      <c r="AG80" s="26"/>
    </row>
    <row r="81" spans="9:33" x14ac:dyDescent="0.3">
      <c r="I81" s="26"/>
      <c r="O81" s="26"/>
      <c r="U81" s="26"/>
      <c r="AA81" s="26"/>
      <c r="AG81" s="26"/>
    </row>
    <row r="82" spans="9:33" x14ac:dyDescent="0.3">
      <c r="I82" s="26"/>
      <c r="O82" s="26"/>
      <c r="U82" s="26"/>
      <c r="AA82" s="26"/>
      <c r="AG82" s="26"/>
    </row>
    <row r="83" spans="9:33" x14ac:dyDescent="0.3">
      <c r="I83" s="26"/>
      <c r="O83" s="26"/>
      <c r="U83" s="26"/>
      <c r="AA83" s="26"/>
      <c r="AG83" s="26"/>
    </row>
    <row r="84" spans="9:33" x14ac:dyDescent="0.3">
      <c r="I84" s="26"/>
      <c r="O84" s="26"/>
      <c r="U84" s="26"/>
      <c r="AA84" s="26"/>
      <c r="AG84" s="26"/>
    </row>
    <row r="85" spans="9:33" x14ac:dyDescent="0.3">
      <c r="I85" s="26"/>
      <c r="O85" s="26"/>
      <c r="U85" s="26"/>
      <c r="AA85" s="26"/>
      <c r="AG85" s="26"/>
    </row>
    <row r="86" spans="9:33" x14ac:dyDescent="0.3">
      <c r="I86" s="26"/>
      <c r="O86" s="26"/>
      <c r="U86" s="26"/>
      <c r="AA86" s="26"/>
      <c r="AG86" s="26"/>
    </row>
    <row r="87" spans="9:33" x14ac:dyDescent="0.3">
      <c r="I87" s="26"/>
      <c r="O87" s="26"/>
      <c r="U87" s="26"/>
      <c r="AA87" s="26"/>
      <c r="AG87" s="26"/>
    </row>
    <row r="88" spans="9:33" x14ac:dyDescent="0.3">
      <c r="I88" s="26"/>
      <c r="O88" s="26"/>
      <c r="U88" s="26"/>
      <c r="AA88" s="26"/>
      <c r="AG88" s="26"/>
    </row>
    <row r="89" spans="9:33" x14ac:dyDescent="0.3">
      <c r="I89" s="26"/>
      <c r="O89" s="26"/>
      <c r="U89" s="26"/>
      <c r="AA89" s="26"/>
      <c r="AG89" s="26"/>
    </row>
    <row r="90" spans="9:33" x14ac:dyDescent="0.3">
      <c r="I90" s="26"/>
      <c r="O90" s="26"/>
      <c r="U90" s="26"/>
      <c r="AA90" s="26"/>
      <c r="AG90" s="26"/>
    </row>
    <row r="91" spans="9:33" x14ac:dyDescent="0.3">
      <c r="I91" s="26"/>
      <c r="O91" s="26"/>
      <c r="U91" s="26"/>
      <c r="AA91" s="26"/>
      <c r="AG91" s="26"/>
    </row>
    <row r="92" spans="9:33" x14ac:dyDescent="0.3">
      <c r="I92" s="26"/>
      <c r="O92" s="26"/>
      <c r="U92" s="26"/>
      <c r="AA92" s="26"/>
      <c r="AG92" s="26"/>
    </row>
    <row r="93" spans="9:33" x14ac:dyDescent="0.3">
      <c r="I93" s="26"/>
      <c r="O93" s="26"/>
      <c r="U93" s="26"/>
      <c r="AA93" s="26"/>
      <c r="AG93" s="26"/>
    </row>
    <row r="94" spans="9:33" x14ac:dyDescent="0.3">
      <c r="I94" s="26"/>
      <c r="O94" s="26"/>
      <c r="U94" s="26"/>
      <c r="AA94" s="26"/>
      <c r="AG94" s="26"/>
    </row>
    <row r="95" spans="9:33" x14ac:dyDescent="0.3">
      <c r="I95" s="26"/>
      <c r="O95" s="26"/>
      <c r="U95" s="26"/>
      <c r="AA95" s="26"/>
      <c r="AG95" s="26"/>
    </row>
    <row r="96" spans="9:33" x14ac:dyDescent="0.3">
      <c r="I96" s="26"/>
      <c r="O96" s="26"/>
      <c r="U96" s="26"/>
      <c r="AA96" s="26"/>
      <c r="AG96" s="26"/>
    </row>
    <row r="97" spans="9:33" x14ac:dyDescent="0.3">
      <c r="I97" s="26"/>
      <c r="U97" s="26"/>
      <c r="AA97" s="26"/>
      <c r="AG97" s="26"/>
    </row>
    <row r="98" spans="9:33" x14ac:dyDescent="0.3">
      <c r="I98" s="26"/>
      <c r="U98" s="26"/>
      <c r="AA98" s="26"/>
      <c r="AG98" s="26"/>
    </row>
    <row r="99" spans="9:33" x14ac:dyDescent="0.3">
      <c r="I99" s="26"/>
      <c r="U99" s="26"/>
      <c r="AA99" s="26"/>
      <c r="AG99" s="26"/>
    </row>
    <row r="100" spans="9:33" x14ac:dyDescent="0.3">
      <c r="I100" s="26"/>
      <c r="U100" s="26"/>
      <c r="AA100" s="26"/>
      <c r="AG100" s="26"/>
    </row>
    <row r="101" spans="9:33" x14ac:dyDescent="0.3">
      <c r="I101" s="26"/>
      <c r="U101" s="26"/>
      <c r="AA101" s="26"/>
      <c r="AG101" s="26"/>
    </row>
    <row r="102" spans="9:33" x14ac:dyDescent="0.3">
      <c r="I102" s="26"/>
      <c r="U102" s="26"/>
      <c r="AA102" s="26"/>
      <c r="AG102" s="26"/>
    </row>
    <row r="103" spans="9:33" x14ac:dyDescent="0.3">
      <c r="I103" s="26"/>
      <c r="U103" s="26"/>
      <c r="AA103" s="26"/>
      <c r="AG103" s="26"/>
    </row>
    <row r="104" spans="9:33" x14ac:dyDescent="0.3">
      <c r="I104" s="26"/>
      <c r="U104" s="26"/>
      <c r="AA104" s="26"/>
      <c r="AG104" s="26"/>
    </row>
    <row r="105" spans="9:33" x14ac:dyDescent="0.3">
      <c r="I105" s="26"/>
      <c r="U105" s="26"/>
      <c r="AA105" s="26"/>
      <c r="AG105" s="26"/>
    </row>
    <row r="106" spans="9:33" x14ac:dyDescent="0.3">
      <c r="I106" s="26"/>
      <c r="U106" s="26"/>
      <c r="AA106" s="26"/>
      <c r="AG106" s="26"/>
    </row>
    <row r="107" spans="9:33" x14ac:dyDescent="0.3">
      <c r="I107" s="26"/>
      <c r="U107" s="26"/>
      <c r="AA107" s="26"/>
      <c r="AG107" s="26"/>
    </row>
    <row r="108" spans="9:33" x14ac:dyDescent="0.3">
      <c r="I108" s="26"/>
      <c r="U108" s="26"/>
      <c r="AA108" s="26"/>
      <c r="AG108" s="26"/>
    </row>
    <row r="109" spans="9:33" x14ac:dyDescent="0.3">
      <c r="I109" s="26"/>
      <c r="U109" s="26"/>
      <c r="AA109" s="26"/>
      <c r="AG109" s="26"/>
    </row>
    <row r="110" spans="9:33" x14ac:dyDescent="0.3">
      <c r="I110" s="26"/>
      <c r="U110" s="26"/>
      <c r="AA110" s="26"/>
      <c r="AG110" s="26"/>
    </row>
    <row r="111" spans="9:33" x14ac:dyDescent="0.3">
      <c r="I111" s="26"/>
      <c r="U111" s="26"/>
      <c r="AA111" s="26"/>
      <c r="AG111" s="26"/>
    </row>
    <row r="112" spans="9:33" x14ac:dyDescent="0.3">
      <c r="I112" s="26"/>
      <c r="U112" s="26"/>
      <c r="AA112" s="26"/>
      <c r="AG112" s="26"/>
    </row>
    <row r="113" spans="9:33" x14ac:dyDescent="0.3">
      <c r="I113" s="26"/>
      <c r="U113" s="26"/>
      <c r="AA113" s="26"/>
      <c r="AG113" s="26"/>
    </row>
    <row r="114" spans="9:33" x14ac:dyDescent="0.3">
      <c r="I114" s="26"/>
      <c r="U114" s="26"/>
      <c r="AA114" s="26"/>
      <c r="AG114" s="26"/>
    </row>
    <row r="115" spans="9:33" x14ac:dyDescent="0.3">
      <c r="I115" s="26"/>
      <c r="U115" s="26"/>
      <c r="AA115" s="26"/>
    </row>
    <row r="116" spans="9:33" x14ac:dyDescent="0.3">
      <c r="I116" s="26"/>
      <c r="U116" s="26"/>
      <c r="AA116" s="26"/>
    </row>
    <row r="117" spans="9:33" x14ac:dyDescent="0.3">
      <c r="I117" s="26"/>
      <c r="U117" s="26"/>
      <c r="AA117" s="26"/>
    </row>
    <row r="118" spans="9:33" x14ac:dyDescent="0.3">
      <c r="I118" s="26"/>
      <c r="U118" s="26"/>
      <c r="AA118" s="26"/>
    </row>
    <row r="119" spans="9:33" x14ac:dyDescent="0.3">
      <c r="I119" s="26"/>
      <c r="U119" s="26"/>
      <c r="AA119" s="26"/>
    </row>
    <row r="120" spans="9:33" x14ac:dyDescent="0.3">
      <c r="I120" s="26"/>
      <c r="U120" s="26"/>
      <c r="AA120" s="26"/>
    </row>
    <row r="121" spans="9:33" x14ac:dyDescent="0.3">
      <c r="I121" s="26"/>
      <c r="U121" s="26"/>
      <c r="AA121" s="26"/>
    </row>
    <row r="122" spans="9:33" x14ac:dyDescent="0.3">
      <c r="I122" s="26"/>
      <c r="U122" s="26"/>
      <c r="AA122" s="26"/>
    </row>
    <row r="123" spans="9:33" x14ac:dyDescent="0.3">
      <c r="I123" s="26"/>
      <c r="U123" s="26"/>
      <c r="AA123" s="26"/>
    </row>
    <row r="124" spans="9:33" x14ac:dyDescent="0.3">
      <c r="I124" s="26"/>
      <c r="U124" s="26"/>
    </row>
    <row r="125" spans="9:33" x14ac:dyDescent="0.3">
      <c r="U125" s="26"/>
    </row>
    <row r="126" spans="9:33" x14ac:dyDescent="0.3">
      <c r="U126" s="26"/>
    </row>
    <row r="127" spans="9:33" x14ac:dyDescent="0.3">
      <c r="U127" s="26"/>
    </row>
    <row r="128" spans="9:33" x14ac:dyDescent="0.3">
      <c r="U128" s="26"/>
    </row>
    <row r="129" spans="21:21" x14ac:dyDescent="0.3">
      <c r="U129" s="26"/>
    </row>
    <row r="130" spans="21:21" x14ac:dyDescent="0.3">
      <c r="U130" s="26"/>
    </row>
    <row r="131" spans="21:21" x14ac:dyDescent="0.3">
      <c r="U131" s="26"/>
    </row>
    <row r="132" spans="21:21" x14ac:dyDescent="0.3">
      <c r="U132" s="26"/>
    </row>
    <row r="133" spans="21:21" x14ac:dyDescent="0.3">
      <c r="U133" s="26"/>
    </row>
    <row r="134" spans="21:21" x14ac:dyDescent="0.3">
      <c r="U134" s="26"/>
    </row>
    <row r="135" spans="21:21" x14ac:dyDescent="0.3">
      <c r="U135" s="26"/>
    </row>
    <row r="136" spans="21:21" x14ac:dyDescent="0.3">
      <c r="U136" s="26"/>
    </row>
    <row r="137" spans="21:21" x14ac:dyDescent="0.3">
      <c r="U137" s="26"/>
    </row>
    <row r="138" spans="21:21" x14ac:dyDescent="0.3">
      <c r="U138" s="26"/>
    </row>
    <row r="139" spans="21:21" x14ac:dyDescent="0.3">
      <c r="U139" s="26"/>
    </row>
    <row r="140" spans="21:21" x14ac:dyDescent="0.3">
      <c r="U140" s="26"/>
    </row>
    <row r="141" spans="21:21" x14ac:dyDescent="0.3">
      <c r="U141" s="26"/>
    </row>
    <row r="142" spans="21:21" x14ac:dyDescent="0.3">
      <c r="U142" s="26"/>
    </row>
    <row r="143" spans="21:21" x14ac:dyDescent="0.3">
      <c r="U143" s="26"/>
    </row>
    <row r="144" spans="21:21" x14ac:dyDescent="0.3">
      <c r="U144" s="26"/>
    </row>
    <row r="145" spans="21:21" x14ac:dyDescent="0.3">
      <c r="U145" s="26"/>
    </row>
    <row r="146" spans="21:21" x14ac:dyDescent="0.3">
      <c r="U146" s="26"/>
    </row>
    <row r="147" spans="21:21" x14ac:dyDescent="0.3">
      <c r="U147" s="26"/>
    </row>
  </sheetData>
  <mergeCells count="8">
    <mergeCell ref="A1:E1"/>
    <mergeCell ref="AE3:AI3"/>
    <mergeCell ref="AK3:AO3"/>
    <mergeCell ref="A3:E3"/>
    <mergeCell ref="G3:K3"/>
    <mergeCell ref="M3:Q3"/>
    <mergeCell ref="S3:W3"/>
    <mergeCell ref="Y3:AC3"/>
  </mergeCells>
  <pageMargins left="0.7" right="0.7" top="0.75" bottom="0.75" header="0.3" footer="0.3"/>
  <pageSetup paperSize="9" scale="15" fitToHeight="0" orientation="portrait" cellComments="atEnd" r:id="rId1"/>
  <colBreaks count="8" manualBreakCount="8">
    <brk id="5" max="1048575" man="1"/>
    <brk id="6" max="1048575" man="1"/>
    <brk id="11" max="1048575" man="1"/>
    <brk id="17" max="1048575" man="1"/>
    <brk id="23" max="1048575" man="1"/>
    <brk id="29" max="1048575" man="1"/>
    <brk id="35" max="1048575" man="1"/>
    <brk id="41" max="1048575" man="1"/>
  </colBreaks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rgb="FF0088CC"/>
    <outlinePr summaryBelow="0"/>
    <pageSetUpPr fitToPage="1"/>
  </sheetPr>
  <dimension ref="A1:K82"/>
  <sheetViews>
    <sheetView showGridLines="0" tabSelected="1" zoomScale="110" zoomScaleNormal="110" zoomScaleSheetLayoutView="110" workbookViewId="0">
      <selection activeCell="F7" sqref="F7"/>
    </sheetView>
  </sheetViews>
  <sheetFormatPr baseColWidth="10" defaultRowHeight="14.4" outlineLevelRow="1" x14ac:dyDescent="0.3"/>
  <cols>
    <col min="1" max="1" width="14.77734375" bestFit="1" customWidth="1"/>
    <col min="2" max="2" width="11.21875" customWidth="1"/>
    <col min="3" max="3" width="40.77734375" customWidth="1"/>
    <col min="4" max="6" width="11.21875" customWidth="1"/>
    <col min="7" max="8" width="11.21875" style="19" customWidth="1"/>
    <col min="9" max="9" width="1.33203125" customWidth="1"/>
    <col min="10" max="10" width="15.77734375" customWidth="1"/>
    <col min="11" max="11" width="9" bestFit="1" customWidth="1"/>
    <col min="12" max="12" width="11" bestFit="1" customWidth="1"/>
    <col min="13" max="13" width="7.77734375" customWidth="1"/>
    <col min="14" max="14" width="23.77734375" customWidth="1"/>
    <col min="15" max="15" width="15.77734375" customWidth="1"/>
    <col min="16" max="16" width="7" bestFit="1" customWidth="1"/>
    <col min="17" max="17" width="7.77734375" customWidth="1"/>
    <col min="18" max="18" width="23.77734375" customWidth="1"/>
  </cols>
  <sheetData>
    <row r="1" spans="1:11" ht="30" customHeight="1" x14ac:dyDescent="0.3">
      <c r="A1" s="77" t="s">
        <v>35</v>
      </c>
      <c r="B1" s="77"/>
      <c r="C1" s="77"/>
      <c r="D1" s="77"/>
      <c r="E1" s="77"/>
      <c r="F1" s="77"/>
      <c r="G1" s="77"/>
      <c r="H1" s="77"/>
    </row>
    <row r="2" spans="1:11" ht="15" thickBot="1" x14ac:dyDescent="0.35">
      <c r="G2"/>
      <c r="H2"/>
    </row>
    <row r="3" spans="1:11" ht="15" thickBot="1" x14ac:dyDescent="0.35">
      <c r="A3" s="55" t="s">
        <v>19</v>
      </c>
      <c r="B3" s="78" t="s">
        <v>65</v>
      </c>
      <c r="C3" s="79"/>
      <c r="D3" s="79"/>
      <c r="E3" s="79"/>
      <c r="F3" s="79"/>
      <c r="G3" s="80"/>
      <c r="H3" s="56" t="s">
        <v>38</v>
      </c>
    </row>
    <row r="4" spans="1:11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</row>
    <row r="5" spans="1:11" outlineLevel="1" x14ac:dyDescent="0.3">
      <c r="A5" s="25" t="s">
        <v>4</v>
      </c>
      <c r="B5">
        <f>VLOOKUP(Tabla2[[#This Row],[DESCRIPCIÓN]],T_mat[[DESCRIPCIÓN]:[PRECIO]],2,FALSE)</f>
        <v>0</v>
      </c>
      <c r="C5" t="s">
        <v>50</v>
      </c>
      <c r="D5" s="18" t="str">
        <f>VLOOKUP(Tabla2[[#This Row],[DESCRIPCIÓN]],T_mat[[DESCRIPCIÓN]:[PRECIO]],3,FALSE)</f>
        <v>m3</v>
      </c>
      <c r="E5" s="72">
        <f>1</f>
        <v>1</v>
      </c>
      <c r="F5" s="72">
        <v>2</v>
      </c>
      <c r="G5" s="35">
        <f>VLOOKUP(Tabla2[[#This Row],[DESCRIPCIÓN]],T_mat[[DESCRIPCIÓN]:[PRECIO]],4,FALSE)</f>
        <v>285000</v>
      </c>
      <c r="H5" s="35">
        <f>Tabla2[[#This Row],[CANTIDAD]]*Tabla2[[#This Row],[PRECIO]]*Tabla2[[#This Row],[FACTOR]]</f>
        <v>570000</v>
      </c>
    </row>
    <row r="6" spans="1:11" outlineLevel="1" x14ac:dyDescent="0.3">
      <c r="A6" s="25"/>
      <c r="D6" s="18"/>
      <c r="E6" s="72">
        <f>1</f>
        <v>1</v>
      </c>
      <c r="F6" s="72"/>
      <c r="G6" s="35"/>
      <c r="H6" s="35">
        <f>Tabla2[[#This Row],[CANTIDAD]]*Tabla2[[#This Row],[PRECIO]]*Tabla2[[#This Row],[FACTOR]]</f>
        <v>0</v>
      </c>
    </row>
    <row r="7" spans="1:11" outlineLevel="1" x14ac:dyDescent="0.3">
      <c r="A7" s="25"/>
      <c r="D7" s="18"/>
      <c r="E7" s="72">
        <f>1</f>
        <v>1</v>
      </c>
      <c r="F7" s="72"/>
      <c r="G7" s="35"/>
      <c r="H7" s="35">
        <f>Tabla2[[#This Row],[CANTIDAD]]*Tabla2[[#This Row],[PRECIO]]*Tabla2[[#This Row],[FACTOR]]</f>
        <v>0</v>
      </c>
    </row>
    <row r="8" spans="1:11" outlineLevel="1" x14ac:dyDescent="0.3">
      <c r="A8" s="25"/>
      <c r="D8" s="18"/>
      <c r="E8" s="72">
        <f>1</f>
        <v>1</v>
      </c>
      <c r="F8" s="72"/>
      <c r="G8" s="35"/>
      <c r="H8" s="35">
        <f>Tabla2[[#This Row],[CANTIDAD]]*Tabla2[[#This Row],[PRECIO]]*Tabla2[[#This Row],[FACTOR]]</f>
        <v>0</v>
      </c>
    </row>
    <row r="9" spans="1:11" outlineLevel="1" x14ac:dyDescent="0.3">
      <c r="D9" s="18"/>
      <c r="E9" s="72">
        <f>1</f>
        <v>1</v>
      </c>
      <c r="F9" s="72"/>
      <c r="G9" s="35"/>
      <c r="H9" s="35">
        <f>Tabla2[[#This Row],[CANTIDAD]]*Tabla2[[#This Row],[PRECIO]]*Tabla2[[#This Row],[FACTOR]]</f>
        <v>0</v>
      </c>
    </row>
    <row r="10" spans="1:11" x14ac:dyDescent="0.3">
      <c r="A10" t="s">
        <v>18</v>
      </c>
      <c r="G10" s="35"/>
      <c r="H10" s="35">
        <f>SUM(Tabla2[TOTAL])</f>
        <v>570000</v>
      </c>
    </row>
    <row r="11" spans="1:11" x14ac:dyDescent="0.3">
      <c r="G11"/>
      <c r="H11"/>
      <c r="K11" s="93"/>
    </row>
    <row r="12" spans="1:11" ht="15" thickBot="1" x14ac:dyDescent="0.35">
      <c r="G12"/>
      <c r="H12"/>
      <c r="K12" s="93"/>
    </row>
    <row r="13" spans="1:11" ht="15" thickBot="1" x14ac:dyDescent="0.35">
      <c r="A13" s="55" t="s">
        <v>19</v>
      </c>
      <c r="B13" s="78" t="s">
        <v>65</v>
      </c>
      <c r="C13" s="79"/>
      <c r="D13" s="79"/>
      <c r="E13" s="79"/>
      <c r="F13" s="79"/>
      <c r="G13" s="80"/>
      <c r="H13" s="56" t="s">
        <v>38</v>
      </c>
      <c r="K13" s="93"/>
    </row>
    <row r="14" spans="1:11" outlineLevel="1" x14ac:dyDescent="0.3">
      <c r="A14" t="s">
        <v>14</v>
      </c>
      <c r="B14" t="s">
        <v>0</v>
      </c>
      <c r="C14" t="s">
        <v>1</v>
      </c>
      <c r="D14" t="s">
        <v>11</v>
      </c>
      <c r="E14" t="s">
        <v>15</v>
      </c>
      <c r="F14" t="s">
        <v>16</v>
      </c>
      <c r="G14" t="s">
        <v>12</v>
      </c>
      <c r="H14" t="s">
        <v>17</v>
      </c>
      <c r="K14" s="93"/>
    </row>
    <row r="15" spans="1:11" outlineLevel="1" x14ac:dyDescent="0.3">
      <c r="A15" s="25"/>
      <c r="D15" s="18"/>
      <c r="E15" s="72">
        <f>1</f>
        <v>1</v>
      </c>
      <c r="F15" s="72"/>
      <c r="G15" s="35"/>
      <c r="H15" s="35">
        <f>Tabla3[[#This Row],[CANTIDAD]]*Tabla3[[#This Row],[PRECIO]]*Tabla3[[#This Row],[FACTOR]]</f>
        <v>0</v>
      </c>
      <c r="K15" s="93"/>
    </row>
    <row r="16" spans="1:11" outlineLevel="1" x14ac:dyDescent="0.3">
      <c r="A16" s="25"/>
      <c r="D16" s="18"/>
      <c r="E16" s="72">
        <f>1</f>
        <v>1</v>
      </c>
      <c r="F16" s="72"/>
      <c r="G16" s="35"/>
      <c r="H16" s="35">
        <f>Tabla3[[#This Row],[CANTIDAD]]*Tabla3[[#This Row],[PRECIO]]*Tabla3[[#This Row],[FACTOR]]</f>
        <v>0</v>
      </c>
    </row>
    <row r="17" spans="1:11" outlineLevel="1" x14ac:dyDescent="0.3">
      <c r="A17" s="25"/>
      <c r="D17" s="18"/>
      <c r="E17" s="72">
        <f>1</f>
        <v>1</v>
      </c>
      <c r="F17" s="72"/>
      <c r="G17" s="35"/>
      <c r="H17" s="35">
        <f>Tabla3[[#This Row],[CANTIDAD]]*Tabla3[[#This Row],[PRECIO]]*Tabla3[[#This Row],[FACTOR]]</f>
        <v>0</v>
      </c>
    </row>
    <row r="18" spans="1:11" outlineLevel="1" x14ac:dyDescent="0.3">
      <c r="D18" s="18"/>
      <c r="E18" s="72">
        <f>1</f>
        <v>1</v>
      </c>
      <c r="F18" s="72"/>
      <c r="G18" s="35"/>
      <c r="H18" s="35">
        <f>Tabla3[[#This Row],[CANTIDAD]]*Tabla3[[#This Row],[PRECIO]]*Tabla3[[#This Row],[FACTOR]]</f>
        <v>0</v>
      </c>
    </row>
    <row r="19" spans="1:11" outlineLevel="1" x14ac:dyDescent="0.3">
      <c r="D19" s="18"/>
      <c r="E19" s="72">
        <f>1</f>
        <v>1</v>
      </c>
      <c r="F19" s="72"/>
      <c r="G19" s="35"/>
      <c r="H19" s="35">
        <f>Tabla3[[#This Row],[CANTIDAD]]*Tabla3[[#This Row],[PRECIO]]*Tabla3[[#This Row],[FACTOR]]</f>
        <v>0</v>
      </c>
    </row>
    <row r="20" spans="1:11" x14ac:dyDescent="0.3">
      <c r="A20" t="s">
        <v>18</v>
      </c>
      <c r="G20" s="35"/>
      <c r="H20" s="35">
        <f>SUM(Tabla3[TOTAL])</f>
        <v>0</v>
      </c>
    </row>
    <row r="21" spans="1:11" x14ac:dyDescent="0.3">
      <c r="G21"/>
      <c r="H21"/>
    </row>
    <row r="22" spans="1:11" ht="15" thickBot="1" x14ac:dyDescent="0.35">
      <c r="G22"/>
      <c r="H22"/>
      <c r="K22" s="93"/>
    </row>
    <row r="23" spans="1:11" ht="15" thickBot="1" x14ac:dyDescent="0.35">
      <c r="A23" s="55" t="s">
        <v>19</v>
      </c>
      <c r="B23" s="78" t="s">
        <v>65</v>
      </c>
      <c r="C23" s="79"/>
      <c r="D23" s="79"/>
      <c r="E23" s="79"/>
      <c r="F23" s="79"/>
      <c r="G23" s="80"/>
      <c r="H23" s="56" t="s">
        <v>38</v>
      </c>
    </row>
    <row r="24" spans="1:11" outlineLevel="1" x14ac:dyDescent="0.3">
      <c r="A24" t="s">
        <v>14</v>
      </c>
      <c r="B24" t="s">
        <v>0</v>
      </c>
      <c r="C24" t="s">
        <v>1</v>
      </c>
      <c r="D24" t="s">
        <v>11</v>
      </c>
      <c r="E24" t="s">
        <v>15</v>
      </c>
      <c r="F24" t="s">
        <v>16</v>
      </c>
      <c r="G24" t="s">
        <v>12</v>
      </c>
      <c r="H24" t="s">
        <v>17</v>
      </c>
    </row>
    <row r="25" spans="1:11" outlineLevel="1" x14ac:dyDescent="0.3">
      <c r="A25" s="25"/>
      <c r="D25" s="18"/>
      <c r="E25" s="72">
        <f>1</f>
        <v>1</v>
      </c>
      <c r="F25" s="72"/>
      <c r="G25" s="35"/>
      <c r="H25" s="35">
        <f>Tabla13[[#This Row],[CANTIDAD]]*Tabla13[[#This Row],[PRECIO]]*Tabla13[[#This Row],[FACTOR]]</f>
        <v>0</v>
      </c>
    </row>
    <row r="26" spans="1:11" outlineLevel="1" x14ac:dyDescent="0.3">
      <c r="A26" s="25"/>
      <c r="D26" s="18"/>
      <c r="E26" s="72">
        <f>1</f>
        <v>1</v>
      </c>
      <c r="F26" s="72"/>
      <c r="G26" s="35"/>
      <c r="H26" s="35">
        <f>Tabla13[[#This Row],[CANTIDAD]]*Tabla13[[#This Row],[PRECIO]]*Tabla13[[#This Row],[FACTOR]]</f>
        <v>0</v>
      </c>
    </row>
    <row r="27" spans="1:11" outlineLevel="1" x14ac:dyDescent="0.3">
      <c r="D27" s="18"/>
      <c r="E27" s="72">
        <f>1</f>
        <v>1</v>
      </c>
      <c r="F27" s="72"/>
      <c r="G27" s="35"/>
      <c r="H27" s="35">
        <f>Tabla13[[#This Row],[CANTIDAD]]*Tabla13[[#This Row],[PRECIO]]*Tabla13[[#This Row],[FACTOR]]</f>
        <v>0</v>
      </c>
      <c r="K27" s="93"/>
    </row>
    <row r="28" spans="1:11" outlineLevel="1" x14ac:dyDescent="0.3">
      <c r="D28" s="18"/>
      <c r="E28" s="72">
        <f>1</f>
        <v>1</v>
      </c>
      <c r="F28" s="72"/>
      <c r="G28" s="35"/>
      <c r="H28" s="35">
        <f>Tabla13[[#This Row],[CANTIDAD]]*Tabla13[[#This Row],[PRECIO]]*Tabla13[[#This Row],[FACTOR]]</f>
        <v>0</v>
      </c>
      <c r="K28" s="93"/>
    </row>
    <row r="29" spans="1:11" x14ac:dyDescent="0.3">
      <c r="A29" t="s">
        <v>18</v>
      </c>
      <c r="G29" s="35"/>
      <c r="H29" s="35">
        <f>SUM(Tabla13[TOTAL])</f>
        <v>0</v>
      </c>
    </row>
    <row r="30" spans="1:11" x14ac:dyDescent="0.3">
      <c r="G30"/>
      <c r="H30"/>
    </row>
    <row r="31" spans="1:11" x14ac:dyDescent="0.3">
      <c r="G31"/>
      <c r="H31"/>
    </row>
    <row r="32" spans="1:11" x14ac:dyDescent="0.3">
      <c r="G32"/>
      <c r="H32"/>
    </row>
    <row r="33" spans="7:8" x14ac:dyDescent="0.3">
      <c r="G33"/>
      <c r="H33"/>
    </row>
    <row r="34" spans="7:8" x14ac:dyDescent="0.3">
      <c r="G34"/>
      <c r="H34"/>
    </row>
    <row r="35" spans="7:8" x14ac:dyDescent="0.3">
      <c r="G35"/>
      <c r="H35"/>
    </row>
    <row r="36" spans="7:8" x14ac:dyDescent="0.3">
      <c r="G36"/>
      <c r="H36"/>
    </row>
    <row r="37" spans="7:8" x14ac:dyDescent="0.3">
      <c r="G37"/>
      <c r="H37"/>
    </row>
    <row r="38" spans="7:8" x14ac:dyDescent="0.3">
      <c r="G38"/>
      <c r="H38"/>
    </row>
    <row r="39" spans="7:8" x14ac:dyDescent="0.3">
      <c r="G39"/>
      <c r="H39"/>
    </row>
    <row r="40" spans="7:8" x14ac:dyDescent="0.3">
      <c r="G40"/>
      <c r="H40"/>
    </row>
    <row r="41" spans="7:8" x14ac:dyDescent="0.3">
      <c r="G41"/>
      <c r="H41"/>
    </row>
    <row r="42" spans="7:8" x14ac:dyDescent="0.3">
      <c r="G42"/>
      <c r="H42"/>
    </row>
    <row r="43" spans="7:8" x14ac:dyDescent="0.3">
      <c r="G43"/>
      <c r="H43"/>
    </row>
    <row r="44" spans="7:8" x14ac:dyDescent="0.3">
      <c r="G44"/>
      <c r="H44"/>
    </row>
    <row r="45" spans="7:8" x14ac:dyDescent="0.3">
      <c r="G45"/>
      <c r="H45"/>
    </row>
    <row r="46" spans="7:8" x14ac:dyDescent="0.3">
      <c r="G46"/>
      <c r="H46"/>
    </row>
    <row r="47" spans="7:8" x14ac:dyDescent="0.3">
      <c r="G47"/>
      <c r="H47"/>
    </row>
    <row r="48" spans="7:8" x14ac:dyDescent="0.3">
      <c r="G48"/>
      <c r="H48"/>
    </row>
    <row r="49" spans="7:8" x14ac:dyDescent="0.3">
      <c r="G49"/>
      <c r="H49"/>
    </row>
    <row r="50" spans="7:8" x14ac:dyDescent="0.3">
      <c r="G50"/>
      <c r="H50"/>
    </row>
    <row r="51" spans="7:8" x14ac:dyDescent="0.3">
      <c r="G51"/>
      <c r="H51"/>
    </row>
    <row r="52" spans="7:8" x14ac:dyDescent="0.3">
      <c r="G52"/>
      <c r="H52"/>
    </row>
    <row r="53" spans="7:8" x14ac:dyDescent="0.3">
      <c r="G53"/>
      <c r="H53"/>
    </row>
    <row r="54" spans="7:8" x14ac:dyDescent="0.3">
      <c r="G54"/>
      <c r="H54"/>
    </row>
    <row r="55" spans="7:8" x14ac:dyDescent="0.3">
      <c r="G55"/>
      <c r="H55"/>
    </row>
    <row r="56" spans="7:8" x14ac:dyDescent="0.3">
      <c r="G56"/>
      <c r="H56"/>
    </row>
    <row r="57" spans="7:8" x14ac:dyDescent="0.3">
      <c r="G57"/>
      <c r="H57"/>
    </row>
    <row r="58" spans="7:8" x14ac:dyDescent="0.3">
      <c r="G58"/>
      <c r="H58"/>
    </row>
    <row r="59" spans="7:8" x14ac:dyDescent="0.3">
      <c r="G59"/>
      <c r="H59"/>
    </row>
    <row r="60" spans="7:8" x14ac:dyDescent="0.3">
      <c r="G60"/>
      <c r="H60"/>
    </row>
    <row r="61" spans="7:8" x14ac:dyDescent="0.3">
      <c r="G61"/>
      <c r="H61"/>
    </row>
    <row r="62" spans="7:8" x14ac:dyDescent="0.3">
      <c r="G62"/>
      <c r="H62"/>
    </row>
    <row r="63" spans="7:8" x14ac:dyDescent="0.3">
      <c r="G63"/>
      <c r="H63"/>
    </row>
    <row r="64" spans="7:8" x14ac:dyDescent="0.3">
      <c r="G64"/>
      <c r="H64"/>
    </row>
    <row r="65" spans="7:8" x14ac:dyDescent="0.3">
      <c r="G65"/>
      <c r="H65"/>
    </row>
    <row r="66" spans="7:8" x14ac:dyDescent="0.3">
      <c r="G66"/>
      <c r="H66"/>
    </row>
    <row r="67" spans="7:8" x14ac:dyDescent="0.3">
      <c r="G67"/>
      <c r="H67"/>
    </row>
    <row r="68" spans="7:8" x14ac:dyDescent="0.3">
      <c r="G68"/>
      <c r="H68"/>
    </row>
    <row r="69" spans="7:8" x14ac:dyDescent="0.3">
      <c r="G69"/>
      <c r="H69"/>
    </row>
    <row r="70" spans="7:8" x14ac:dyDescent="0.3">
      <c r="G70"/>
      <c r="H70"/>
    </row>
    <row r="71" spans="7:8" x14ac:dyDescent="0.3">
      <c r="G71"/>
      <c r="H71"/>
    </row>
    <row r="72" spans="7:8" x14ac:dyDescent="0.3">
      <c r="G72"/>
      <c r="H72"/>
    </row>
    <row r="73" spans="7:8" x14ac:dyDescent="0.3">
      <c r="G73"/>
      <c r="H73"/>
    </row>
    <row r="74" spans="7:8" x14ac:dyDescent="0.3">
      <c r="G74"/>
      <c r="H74"/>
    </row>
    <row r="75" spans="7:8" x14ac:dyDescent="0.3">
      <c r="G75"/>
      <c r="H75"/>
    </row>
    <row r="76" spans="7:8" x14ac:dyDescent="0.3">
      <c r="G76"/>
      <c r="H76"/>
    </row>
    <row r="77" spans="7:8" x14ac:dyDescent="0.3">
      <c r="G77"/>
      <c r="H77"/>
    </row>
    <row r="78" spans="7:8" x14ac:dyDescent="0.3">
      <c r="G78"/>
      <c r="H78"/>
    </row>
    <row r="79" spans="7:8" x14ac:dyDescent="0.3">
      <c r="G79"/>
      <c r="H79"/>
    </row>
    <row r="80" spans="7:8" x14ac:dyDescent="0.3">
      <c r="G80"/>
      <c r="H80"/>
    </row>
    <row r="81" spans="7:8" x14ac:dyDescent="0.3">
      <c r="G81"/>
      <c r="H81"/>
    </row>
    <row r="82" spans="7:8" x14ac:dyDescent="0.3">
      <c r="G82"/>
      <c r="H82"/>
    </row>
  </sheetData>
  <mergeCells count="4">
    <mergeCell ref="B23:G23"/>
    <mergeCell ref="A1:H1"/>
    <mergeCell ref="B3:G3"/>
    <mergeCell ref="B13:G13"/>
  </mergeCells>
  <dataValidations count="2">
    <dataValidation type="list" allowBlank="1" showInputMessage="1" showErrorMessage="1" sqref="A15:A19 A25:A28 A5:A9" xr:uid="{E6404BFF-D194-4B9A-83FD-DC09C4548847}">
      <formula1>"MATERIALES,EQUIPOS,MANO DE OBRA,TRANSPORTE,SUBCONTRATOS,ACTIVIDADES,OTROS"</formula1>
    </dataValidation>
    <dataValidation type="list" allowBlank="1" showInputMessage="1" showErrorMessage="1" sqref="C5:C8" xr:uid="{061A93BB-738C-4D90-A9BC-F66A14F214D8}">
      <formula1>MATERIALES</formula1>
    </dataValidation>
  </dataValidations>
  <pageMargins left="0.7" right="0.7" top="0.75" bottom="0.75" header="0.3" footer="0.3"/>
  <pageSetup paperSize="9" scale="73" fitToHeight="0" orientation="portrait" cellComments="atEnd" r:id="rId1"/>
  <colBreaks count="1" manualBreakCount="1">
    <brk id="8" max="1048575" man="1"/>
  </colBreaks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AC56"/>
    <outlinePr summaryBelow="0"/>
    <pageSetUpPr fitToPage="1"/>
  </sheetPr>
  <dimension ref="A1:P66"/>
  <sheetViews>
    <sheetView showGridLines="0" showWhiteSpace="0" zoomScale="110" zoomScaleNormal="110" zoomScaleSheetLayoutView="110" workbookViewId="0">
      <selection activeCell="A33" sqref="A33"/>
    </sheetView>
  </sheetViews>
  <sheetFormatPr baseColWidth="10" defaultColWidth="11.44140625" defaultRowHeight="14.4" outlineLevelRow="1" x14ac:dyDescent="0.3"/>
  <cols>
    <col min="1" max="1" width="12" bestFit="1" customWidth="1"/>
    <col min="2" max="2" width="8" bestFit="1" customWidth="1"/>
    <col min="3" max="3" width="40.77734375" customWidth="1"/>
    <col min="4" max="4" width="7.88671875" bestFit="1" customWidth="1"/>
    <col min="5" max="5" width="7.6640625" bestFit="1" customWidth="1"/>
    <col min="6" max="6" width="9.88671875" bestFit="1" customWidth="1"/>
    <col min="7" max="7" width="8.77734375" style="19" bestFit="1" customWidth="1"/>
    <col min="8" max="8" width="10.21875" style="19" bestFit="1" customWidth="1"/>
    <col min="9" max="9" width="1.33203125" customWidth="1"/>
    <col min="10" max="10" width="15.77734375" customWidth="1"/>
    <col min="11" max="11" width="10.5546875" bestFit="1" customWidth="1"/>
    <col min="12" max="12" width="11" bestFit="1" customWidth="1"/>
    <col min="13" max="13" width="7.77734375" customWidth="1"/>
    <col min="14" max="14" width="23.77734375" customWidth="1"/>
    <col min="15" max="15" width="15.77734375" customWidth="1"/>
    <col min="16" max="16" width="6" bestFit="1" customWidth="1"/>
    <col min="17" max="17" width="7.77734375" customWidth="1"/>
    <col min="18" max="18" width="23.77734375" customWidth="1"/>
  </cols>
  <sheetData>
    <row r="1" spans="1:16" ht="30" customHeight="1" x14ac:dyDescent="0.3">
      <c r="A1" s="77" t="s">
        <v>36</v>
      </c>
      <c r="B1" s="77"/>
      <c r="C1" s="77"/>
      <c r="D1" s="77"/>
      <c r="E1" s="77"/>
      <c r="F1" s="77"/>
      <c r="G1" s="77"/>
      <c r="H1" s="77"/>
    </row>
    <row r="2" spans="1:16" ht="15" thickBot="1" x14ac:dyDescent="0.35">
      <c r="A2" s="33"/>
      <c r="B2" s="34"/>
      <c r="C2" s="48"/>
      <c r="D2" s="48"/>
      <c r="E2" s="33"/>
      <c r="F2" s="33"/>
      <c r="G2" s="33"/>
      <c r="H2" s="49"/>
    </row>
    <row r="3" spans="1:16" ht="15" thickBot="1" x14ac:dyDescent="0.35">
      <c r="A3" s="57" t="s">
        <v>19</v>
      </c>
      <c r="B3" s="84" t="s">
        <v>59</v>
      </c>
      <c r="C3" s="85"/>
      <c r="D3" s="85"/>
      <c r="E3" s="85"/>
      <c r="F3" s="85"/>
      <c r="G3" s="86"/>
      <c r="H3" s="58" t="s">
        <v>38</v>
      </c>
      <c r="J3" s="94" t="s">
        <v>66</v>
      </c>
      <c r="K3" s="94"/>
      <c r="L3" s="94"/>
      <c r="O3" s="97" t="s">
        <v>68</v>
      </c>
      <c r="P3" s="97"/>
    </row>
    <row r="4" spans="1:16" outlineLevel="1" x14ac:dyDescent="0.3">
      <c r="A4" t="s">
        <v>14</v>
      </c>
      <c r="B4" t="s">
        <v>0</v>
      </c>
      <c r="C4" t="s">
        <v>1</v>
      </c>
      <c r="D4" t="s">
        <v>11</v>
      </c>
      <c r="E4" t="s">
        <v>15</v>
      </c>
      <c r="F4" t="s">
        <v>16</v>
      </c>
      <c r="G4" t="s">
        <v>12</v>
      </c>
      <c r="H4" t="s">
        <v>17</v>
      </c>
      <c r="J4" s="95" t="s">
        <v>14</v>
      </c>
      <c r="K4" s="95" t="s">
        <v>17</v>
      </c>
      <c r="L4" s="95" t="s">
        <v>67</v>
      </c>
      <c r="O4" s="95" t="s">
        <v>23</v>
      </c>
      <c r="P4" s="95" t="s">
        <v>69</v>
      </c>
    </row>
    <row r="5" spans="1:16" outlineLevel="1" x14ac:dyDescent="0.3">
      <c r="A5" t="s">
        <v>5</v>
      </c>
      <c r="B5">
        <f>VLOOKUP(Tabla8[[#This Row],[DESCRIPCIÓN]],T_equipos[[DESCRIPCIÓN]:[PRECIO]],2,FALSE)</f>
        <v>0</v>
      </c>
      <c r="C5" t="s">
        <v>40</v>
      </c>
      <c r="D5" s="18" t="str">
        <f>VLOOKUP(Tabla8[[#This Row],[DESCRIPCIÓN]],T_equipos[[DESCRIPCIÓN]:[PRECIO]],3,FALSE)</f>
        <v>gl</v>
      </c>
      <c r="E5" s="72">
        <f>1</f>
        <v>1</v>
      </c>
      <c r="F5" s="72">
        <v>2</v>
      </c>
      <c r="G5" s="35">
        <f>VLOOKUP(Tabla8[[#This Row],[DESCRIPCIÓN]],T_equipos[[DESCRIPCIÓN]:[PRECIO]],4,FALSE)</f>
        <v>100000</v>
      </c>
      <c r="H5" s="35">
        <f>Tabla8[[#This Row],[CANTIDAD]]*Tabla8[[#This Row],[PRECIO]]*Tabla8[[#This Row],[FACTOR]]</f>
        <v>200000</v>
      </c>
      <c r="J5" t="s">
        <v>5</v>
      </c>
      <c r="K5" s="93">
        <f>H5+H11</f>
        <v>420430</v>
      </c>
      <c r="L5" s="96">
        <f>Tabla18[[#This Row],[TOTAL]]/SUM(Tabla18[TOTAL])</f>
        <v>0.32963784762785886</v>
      </c>
      <c r="O5" t="s">
        <v>40</v>
      </c>
      <c r="P5" s="98">
        <f>(H5)/(H15)</f>
        <v>0.15680986020400964</v>
      </c>
    </row>
    <row r="6" spans="1:16" outlineLevel="1" x14ac:dyDescent="0.3">
      <c r="D6" s="18"/>
      <c r="E6" s="72">
        <f>1</f>
        <v>1</v>
      </c>
      <c r="F6" s="72"/>
      <c r="G6" s="35"/>
      <c r="H6" s="35">
        <f>Tabla8[[#This Row],[CANTIDAD]]*Tabla8[[#This Row],[PRECIO]]*Tabla8[[#This Row],[FACTOR]]</f>
        <v>0</v>
      </c>
      <c r="K6" s="93"/>
      <c r="L6" s="96"/>
      <c r="P6" s="98"/>
    </row>
    <row r="7" spans="1:16" outlineLevel="1" x14ac:dyDescent="0.3">
      <c r="D7" s="18"/>
      <c r="E7" s="72">
        <f>1</f>
        <v>1</v>
      </c>
      <c r="F7" s="72"/>
      <c r="G7" s="35"/>
      <c r="H7" s="35">
        <f>Tabla8[[#This Row],[CANTIDAD]]*Tabla8[[#This Row],[PRECIO]]*Tabla8[[#This Row],[FACTOR]]</f>
        <v>0</v>
      </c>
      <c r="K7" s="93"/>
      <c r="L7" s="96"/>
      <c r="P7" s="98"/>
    </row>
    <row r="8" spans="1:16" outlineLevel="1" x14ac:dyDescent="0.3">
      <c r="A8" t="s">
        <v>4</v>
      </c>
      <c r="B8">
        <f>VLOOKUP(Tabla8[[#This Row],[DESCRIPCIÓN]],T_mat[[DESCRIPCIÓN]:[PRECIO]],2,FALSE)</f>
        <v>0</v>
      </c>
      <c r="C8" t="s">
        <v>50</v>
      </c>
      <c r="D8" s="18" t="str">
        <f>VLOOKUP(Tabla8[[#This Row],[DESCRIPCIÓN]],T_mat[[DESCRIPCIÓN]:[PRECIO]],3,FALSE)</f>
        <v>m3</v>
      </c>
      <c r="E8" s="72">
        <f>1</f>
        <v>1</v>
      </c>
      <c r="F8" s="72">
        <v>3</v>
      </c>
      <c r="G8" s="35">
        <f>VLOOKUP(Tabla8[[#This Row],[DESCRIPCIÓN]],T_mat[[DESCRIPCIÓN]:[PRECIO]],4,FALSE)</f>
        <v>285000</v>
      </c>
      <c r="H8" s="35">
        <f>Tabla8[[#This Row],[CANTIDAD]]*Tabla8[[#This Row],[PRECIO]]*Tabla8[[#This Row],[FACTOR]]</f>
        <v>855000</v>
      </c>
      <c r="J8" t="s">
        <v>4</v>
      </c>
      <c r="K8" s="93">
        <f>H8</f>
        <v>855000</v>
      </c>
      <c r="L8" s="96">
        <f>Tabla18[[#This Row],[TOTAL]]/SUM(Tabla18[TOTAL])</f>
        <v>0.67036215237214114</v>
      </c>
      <c r="O8" t="s">
        <v>50</v>
      </c>
      <c r="P8" s="98">
        <f>(H8)/(H15)</f>
        <v>0.67036215237214114</v>
      </c>
    </row>
    <row r="9" spans="1:16" outlineLevel="1" x14ac:dyDescent="0.3">
      <c r="D9" s="18"/>
      <c r="E9" s="72">
        <f>1</f>
        <v>1</v>
      </c>
      <c r="F9" s="72"/>
      <c r="G9" s="35"/>
      <c r="H9" s="35">
        <f>Tabla8[[#This Row],[CANTIDAD]]*Tabla8[[#This Row],[PRECIO]]*Tabla8[[#This Row],[FACTOR]]</f>
        <v>0</v>
      </c>
      <c r="K9" s="93"/>
      <c r="L9" s="96"/>
      <c r="P9" s="98"/>
    </row>
    <row r="10" spans="1:16" outlineLevel="1" x14ac:dyDescent="0.3">
      <c r="D10" s="18"/>
      <c r="E10" s="72">
        <f>1</f>
        <v>1</v>
      </c>
      <c r="F10" s="72"/>
      <c r="G10" s="35"/>
      <c r="H10" s="35">
        <f>Tabla8[[#This Row],[CANTIDAD]]*Tabla8[[#This Row],[PRECIO]]*Tabla8[[#This Row],[FACTOR]]</f>
        <v>0</v>
      </c>
      <c r="K10" s="93"/>
      <c r="L10" s="96"/>
      <c r="P10" s="98"/>
    </row>
    <row r="11" spans="1:16" outlineLevel="1" x14ac:dyDescent="0.3">
      <c r="A11" t="s">
        <v>5</v>
      </c>
      <c r="B11">
        <f>VLOOKUP(Tabla8[[#This Row],[DESCRIPCIÓN]],T_equipos[[DESCRIPCIÓN]:[PRECIO]],2,FALSE)</f>
        <v>0</v>
      </c>
      <c r="C11" t="s">
        <v>55</v>
      </c>
      <c r="D11" s="18" t="str">
        <f>VLOOKUP(Tabla8[[#This Row],[DESCRIPCIÓN]],T_equipos[[DESCRIPCIÓN]:[PRECIO]],3,FALSE)</f>
        <v>d</v>
      </c>
      <c r="E11" s="72">
        <f>1</f>
        <v>1</v>
      </c>
      <c r="F11" s="72">
        <v>2</v>
      </c>
      <c r="G11" s="35">
        <f>VLOOKUP(Tabla8[[#This Row],[DESCRIPCIÓN]],T_equipos[[DESCRIPCIÓN]:[PRECIO]],4,FALSE)</f>
        <v>110215</v>
      </c>
      <c r="H11" s="35">
        <f>Tabla8[[#This Row],[CANTIDAD]]*Tabla8[[#This Row],[PRECIO]]*Tabla8[[#This Row],[FACTOR]]</f>
        <v>220430</v>
      </c>
      <c r="K11" s="93"/>
      <c r="L11" s="96"/>
      <c r="O11" t="s">
        <v>55</v>
      </c>
      <c r="P11" s="98">
        <f>(H11)/(H15)</f>
        <v>0.17282798742384922</v>
      </c>
    </row>
    <row r="12" spans="1:16" outlineLevel="1" x14ac:dyDescent="0.3">
      <c r="A12" s="25"/>
      <c r="D12" s="18"/>
      <c r="E12">
        <v>1</v>
      </c>
      <c r="G12" s="35"/>
      <c r="H12" s="35">
        <f>Tabla8[[#This Row],[CANTIDAD]]*Tabla8[[#This Row],[PRECIO]]*Tabla8[[#This Row],[FACTOR]]</f>
        <v>0</v>
      </c>
      <c r="K12" s="93"/>
      <c r="L12" s="96"/>
      <c r="P12" s="98">
        <f>(H12)/(H15)</f>
        <v>0</v>
      </c>
    </row>
    <row r="13" spans="1:16" outlineLevel="1" x14ac:dyDescent="0.3">
      <c r="D13" s="18"/>
      <c r="E13">
        <v>1</v>
      </c>
      <c r="G13" s="35"/>
      <c r="H13" s="35">
        <v>0</v>
      </c>
      <c r="K13" s="93"/>
      <c r="L13" s="96"/>
      <c r="P13" s="98">
        <f>(H13)/(H15)</f>
        <v>0</v>
      </c>
    </row>
    <row r="14" spans="1:16" outlineLevel="1" x14ac:dyDescent="0.3">
      <c r="D14" s="18"/>
      <c r="E14">
        <v>1</v>
      </c>
      <c r="G14" s="35"/>
      <c r="H14" s="35">
        <v>0</v>
      </c>
      <c r="K14" s="93"/>
      <c r="L14" s="96"/>
      <c r="P14" s="98">
        <f>(H14)/(H15)</f>
        <v>0</v>
      </c>
    </row>
    <row r="15" spans="1:16" x14ac:dyDescent="0.3">
      <c r="A15" t="s">
        <v>18</v>
      </c>
      <c r="G15" s="35"/>
      <c r="H15" s="35">
        <f>SUM(Tabla8[TOTAL])</f>
        <v>1275430</v>
      </c>
      <c r="K15" s="93"/>
    </row>
    <row r="16" spans="1:16" x14ac:dyDescent="0.3">
      <c r="G16"/>
      <c r="H16"/>
    </row>
    <row r="17" spans="1:11" ht="15" thickBot="1" x14ac:dyDescent="0.35">
      <c r="G17"/>
      <c r="H17"/>
    </row>
    <row r="18" spans="1:11" ht="15" thickBot="1" x14ac:dyDescent="0.35">
      <c r="A18" s="62" t="s">
        <v>19</v>
      </c>
      <c r="B18" s="81" t="s">
        <v>61</v>
      </c>
      <c r="C18" s="82"/>
      <c r="D18" s="82"/>
      <c r="E18" s="82"/>
      <c r="F18" s="82"/>
      <c r="G18" s="83"/>
      <c r="H18" s="63" t="s">
        <v>38</v>
      </c>
    </row>
    <row r="19" spans="1:11" outlineLevel="1" x14ac:dyDescent="0.3">
      <c r="A19" s="25" t="s">
        <v>14</v>
      </c>
      <c r="B19" s="25" t="s">
        <v>0</v>
      </c>
      <c r="C19" s="25" t="s">
        <v>1</v>
      </c>
      <c r="D19" s="25" t="s">
        <v>11</v>
      </c>
      <c r="E19" s="25" t="s">
        <v>15</v>
      </c>
      <c r="F19" s="25" t="s">
        <v>16</v>
      </c>
      <c r="G19" s="25" t="s">
        <v>12</v>
      </c>
      <c r="H19" s="25" t="s">
        <v>17</v>
      </c>
    </row>
    <row r="20" spans="1:11" outlineLevel="1" x14ac:dyDescent="0.3">
      <c r="A20" t="s">
        <v>45</v>
      </c>
      <c r="C20" t="s">
        <v>58</v>
      </c>
      <c r="D20" s="18"/>
      <c r="E20">
        <v>1</v>
      </c>
      <c r="F20">
        <v>4</v>
      </c>
      <c r="G20" s="35"/>
      <c r="H20" s="35">
        <f>Tabla10[[#This Row],[CANTIDAD]]*Tabla10[[#This Row],[PRECIO]]*Tabla10[[#This Row],[FACTOR]]</f>
        <v>0</v>
      </c>
      <c r="K20" s="93"/>
    </row>
    <row r="21" spans="1:11" outlineLevel="1" x14ac:dyDescent="0.3">
      <c r="A21" t="s">
        <v>45</v>
      </c>
      <c r="C21" t="s">
        <v>60</v>
      </c>
      <c r="D21" s="18"/>
      <c r="E21">
        <v>1</v>
      </c>
      <c r="F21">
        <v>5</v>
      </c>
      <c r="G21" s="35"/>
      <c r="H21" s="35">
        <f>Tabla10[[#This Row],[CANTIDAD]]*Tabla10[[#This Row],[PRECIO]]*Tabla10[[#This Row],[FACTOR]]</f>
        <v>0</v>
      </c>
      <c r="K21" s="93"/>
    </row>
    <row r="22" spans="1:11" outlineLevel="1" x14ac:dyDescent="0.3">
      <c r="D22" s="18"/>
      <c r="E22" s="72">
        <f>1</f>
        <v>1</v>
      </c>
      <c r="F22" s="72"/>
      <c r="G22" s="35"/>
      <c r="H22" s="35">
        <f>Tabla10[[#This Row],[CANTIDAD]]*Tabla10[[#This Row],[PRECIO]]*Tabla10[[#This Row],[FACTOR]]</f>
        <v>0</v>
      </c>
      <c r="K22" s="93"/>
    </row>
    <row r="23" spans="1:11" outlineLevel="1" x14ac:dyDescent="0.3">
      <c r="D23" s="18"/>
      <c r="E23" s="72">
        <f>1</f>
        <v>1</v>
      </c>
      <c r="F23" s="72"/>
      <c r="G23" s="35"/>
      <c r="H23" s="35">
        <f>Tabla10[[#This Row],[CANTIDAD]]*Tabla10[[#This Row],[PRECIO]]*Tabla10[[#This Row],[FACTOR]]</f>
        <v>0</v>
      </c>
      <c r="K23" s="93"/>
    </row>
    <row r="24" spans="1:11" outlineLevel="1" x14ac:dyDescent="0.3">
      <c r="D24" s="18"/>
      <c r="E24" s="72">
        <f>1</f>
        <v>1</v>
      </c>
      <c r="F24" s="72"/>
      <c r="G24" s="35"/>
      <c r="H24" s="35">
        <f>Tabla10[[#This Row],[CANTIDAD]]*Tabla10[[#This Row],[PRECIO]]*Tabla10[[#This Row],[FACTOR]]</f>
        <v>0</v>
      </c>
      <c r="K24" s="93"/>
    </row>
    <row r="25" spans="1:11" outlineLevel="1" x14ac:dyDescent="0.3">
      <c r="D25" s="18"/>
      <c r="E25">
        <v>1</v>
      </c>
      <c r="G25" s="35"/>
      <c r="H25" s="35">
        <f>Tabla10[[#This Row],[CANTIDAD]]*Tabla10[[#This Row],[PRECIO]]*Tabla10[[#This Row],[FACTOR]]</f>
        <v>0</v>
      </c>
    </row>
    <row r="26" spans="1:11" outlineLevel="1" x14ac:dyDescent="0.3">
      <c r="D26" s="18"/>
      <c r="E26">
        <v>1</v>
      </c>
      <c r="G26" s="35"/>
      <c r="H26" s="35">
        <v>0</v>
      </c>
    </row>
    <row r="27" spans="1:11" outlineLevel="1" x14ac:dyDescent="0.3">
      <c r="D27" s="18"/>
      <c r="E27">
        <v>1</v>
      </c>
      <c r="G27" s="35"/>
      <c r="H27" s="35">
        <v>0</v>
      </c>
    </row>
    <row r="28" spans="1:11" x14ac:dyDescent="0.3">
      <c r="A28" s="25" t="s">
        <v>18</v>
      </c>
      <c r="G28" s="35"/>
      <c r="H28" s="36">
        <f>SUM(Tabla10[TOTAL])</f>
        <v>0</v>
      </c>
    </row>
    <row r="29" spans="1:11" x14ac:dyDescent="0.3">
      <c r="G29"/>
      <c r="H29"/>
    </row>
    <row r="30" spans="1:11" ht="15" thickBot="1" x14ac:dyDescent="0.35">
      <c r="G30"/>
      <c r="H30"/>
    </row>
    <row r="31" spans="1:11" ht="15" thickBot="1" x14ac:dyDescent="0.35">
      <c r="A31" s="57" t="s">
        <v>19</v>
      </c>
      <c r="B31" s="84" t="s">
        <v>70</v>
      </c>
      <c r="C31" s="85"/>
      <c r="D31" s="85"/>
      <c r="E31" s="85"/>
      <c r="F31" s="85"/>
      <c r="G31" s="86"/>
      <c r="H31" s="58" t="s">
        <v>38</v>
      </c>
    </row>
    <row r="32" spans="1:11" outlineLevel="1" x14ac:dyDescent="0.3">
      <c r="A32" t="s">
        <v>14</v>
      </c>
      <c r="B32" t="s">
        <v>0</v>
      </c>
      <c r="C32" t="s">
        <v>1</v>
      </c>
      <c r="D32" t="s">
        <v>11</v>
      </c>
      <c r="E32" t="s">
        <v>15</v>
      </c>
      <c r="F32" t="s">
        <v>16</v>
      </c>
      <c r="G32" t="s">
        <v>12</v>
      </c>
      <c r="H32" t="s">
        <v>17</v>
      </c>
    </row>
    <row r="33" spans="1:8" outlineLevel="1" x14ac:dyDescent="0.3">
      <c r="A33" s="25"/>
      <c r="D33" s="18"/>
      <c r="E33" s="72">
        <f>1</f>
        <v>1</v>
      </c>
      <c r="F33" s="72"/>
      <c r="G33" s="35"/>
      <c r="H33" s="35">
        <f>Tabla21[[#This Row],[CANTIDAD]]*Tabla21[[#This Row],[PRECIO]]*Tabla21[[#This Row],[FACTOR]]</f>
        <v>0</v>
      </c>
    </row>
    <row r="34" spans="1:8" outlineLevel="1" x14ac:dyDescent="0.3">
      <c r="D34" s="18"/>
      <c r="E34" s="72">
        <f>1</f>
        <v>1</v>
      </c>
      <c r="F34" s="72"/>
      <c r="G34" s="35"/>
      <c r="H34" s="35">
        <f>Tabla21[[#This Row],[CANTIDAD]]*Tabla21[[#This Row],[PRECIO]]*Tabla21[[#This Row],[FACTOR]]</f>
        <v>0</v>
      </c>
    </row>
    <row r="35" spans="1:8" outlineLevel="1" x14ac:dyDescent="0.3">
      <c r="D35" s="18"/>
      <c r="E35" s="72">
        <f>1</f>
        <v>1</v>
      </c>
      <c r="F35" s="72"/>
      <c r="G35" s="35"/>
      <c r="H35" s="35">
        <f>Tabla21[[#This Row],[CANTIDAD]]*Tabla21[[#This Row],[PRECIO]]*Tabla21[[#This Row],[FACTOR]]</f>
        <v>0</v>
      </c>
    </row>
    <row r="36" spans="1:8" x14ac:dyDescent="0.3">
      <c r="A36" t="s">
        <v>18</v>
      </c>
      <c r="G36" s="35"/>
      <c r="H36" s="35">
        <f>SUM(Tabla21[TOTAL])</f>
        <v>0</v>
      </c>
    </row>
    <row r="37" spans="1:8" x14ac:dyDescent="0.3">
      <c r="G37"/>
      <c r="H37"/>
    </row>
    <row r="38" spans="1:8" x14ac:dyDescent="0.3">
      <c r="G38"/>
      <c r="H38"/>
    </row>
    <row r="39" spans="1:8" x14ac:dyDescent="0.3">
      <c r="G39"/>
      <c r="H39"/>
    </row>
    <row r="40" spans="1:8" x14ac:dyDescent="0.3">
      <c r="G40"/>
      <c r="H40"/>
    </row>
    <row r="41" spans="1:8" x14ac:dyDescent="0.3">
      <c r="G41"/>
      <c r="H41"/>
    </row>
    <row r="42" spans="1:8" x14ac:dyDescent="0.3">
      <c r="G42"/>
      <c r="H42"/>
    </row>
    <row r="43" spans="1:8" x14ac:dyDescent="0.3">
      <c r="G43"/>
      <c r="H43"/>
    </row>
    <row r="44" spans="1:8" x14ac:dyDescent="0.3">
      <c r="G44"/>
      <c r="H44"/>
    </row>
    <row r="45" spans="1:8" x14ac:dyDescent="0.3">
      <c r="G45"/>
      <c r="H45"/>
    </row>
    <row r="46" spans="1:8" x14ac:dyDescent="0.3">
      <c r="G46"/>
      <c r="H46"/>
    </row>
    <row r="47" spans="1:8" x14ac:dyDescent="0.3">
      <c r="G47"/>
      <c r="H47"/>
    </row>
    <row r="48" spans="1:8" x14ac:dyDescent="0.3">
      <c r="G48"/>
      <c r="H48"/>
    </row>
    <row r="49" spans="1:8" x14ac:dyDescent="0.3">
      <c r="G49"/>
      <c r="H49"/>
    </row>
    <row r="50" spans="1:8" x14ac:dyDescent="0.3">
      <c r="G50"/>
      <c r="H50"/>
    </row>
    <row r="51" spans="1:8" x14ac:dyDescent="0.3">
      <c r="A51" s="33"/>
      <c r="B51" s="34"/>
      <c r="C51" s="48"/>
      <c r="D51" s="48"/>
      <c r="E51" s="33"/>
      <c r="F51" s="33"/>
      <c r="G51" s="33"/>
      <c r="H51" s="49"/>
    </row>
    <row r="52" spans="1:8" x14ac:dyDescent="0.3">
      <c r="A52" s="33"/>
      <c r="B52" s="34"/>
      <c r="C52" s="48"/>
      <c r="D52" s="48"/>
      <c r="E52" s="33"/>
      <c r="F52" s="33"/>
      <c r="G52" s="33"/>
      <c r="H52" s="49"/>
    </row>
    <row r="53" spans="1:8" x14ac:dyDescent="0.3">
      <c r="G53"/>
      <c r="H53"/>
    </row>
    <row r="54" spans="1:8" x14ac:dyDescent="0.3">
      <c r="A54" s="33"/>
      <c r="B54" s="34"/>
      <c r="C54" s="48"/>
      <c r="D54" s="48"/>
      <c r="E54" s="33"/>
      <c r="F54" s="33"/>
      <c r="G54" s="33"/>
      <c r="H54" s="49"/>
    </row>
    <row r="55" spans="1:8" x14ac:dyDescent="0.3">
      <c r="A55" s="33"/>
      <c r="B55" s="34"/>
      <c r="C55" s="48"/>
      <c r="D55" s="48"/>
      <c r="E55" s="33"/>
      <c r="F55" s="33"/>
      <c r="G55" s="33"/>
      <c r="H55" s="49"/>
    </row>
    <row r="65" spans="11:11" x14ac:dyDescent="0.3">
      <c r="K65" s="93"/>
    </row>
    <row r="66" spans="11:11" x14ac:dyDescent="0.3">
      <c r="K66" s="93"/>
    </row>
  </sheetData>
  <mergeCells count="6">
    <mergeCell ref="B31:G31"/>
    <mergeCell ref="B18:G18"/>
    <mergeCell ref="A1:H1"/>
    <mergeCell ref="B3:G3"/>
    <mergeCell ref="J3:L3"/>
    <mergeCell ref="O3:P3"/>
  </mergeCells>
  <dataValidations count="4">
    <dataValidation type="list" allowBlank="1" showInputMessage="1" showErrorMessage="1" sqref="A33:A35 A5:A14 A20:A27" xr:uid="{216C5BB0-6CA7-41C0-B931-ED51F434248E}">
      <formula1>"MATERIALES,EQUIPOS,MANO DE OBRA,TRANSPORTE,SUBCONTRATOS,ACTIVIDADES,OTROS,APU BÁSICOS"</formula1>
    </dataValidation>
    <dataValidation type="list" allowBlank="1" showInputMessage="1" showErrorMessage="1" sqref="C11 C5:C7" xr:uid="{84ADB258-F000-43AB-A0A5-2BD26A14872D}">
      <formula1>EQUIPOS</formula1>
    </dataValidation>
    <dataValidation type="list" allowBlank="1" showInputMessage="1" showErrorMessage="1" sqref="C8:C10" xr:uid="{AF27FCD3-FFE9-49F1-944E-3CFCC52ADAC2}">
      <formula1>MATERIALES</formula1>
    </dataValidation>
    <dataValidation type="list" allowBlank="1" showInputMessage="1" showErrorMessage="1" sqref="C20:C24" xr:uid="{D39A97F2-7BEC-43CB-8E0D-1A9C0ABAD1D6}">
      <formula1>BÁSICOS</formula1>
    </dataValidation>
  </dataValidations>
  <pageMargins left="0.7" right="0.7" top="0.75" bottom="0.75" header="0.3" footer="0.3"/>
  <pageSetup paperSize="9" scale="84" fitToHeight="0" orientation="portrait" cellComments="atEnd" r:id="rId1"/>
  <colBreaks count="1" manualBreakCount="1">
    <brk id="8" max="1048575" man="1"/>
  </colBreaks>
  <drawing r:id="rId2"/>
  <legacyDrawing r:id="rId3"/>
  <tableParts count="5">
    <tablePart r:id="rId4"/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1">
    <tabColor rgb="FF0088CC"/>
    <outlinePr summaryBelow="0"/>
    <pageSetUpPr fitToPage="1"/>
  </sheetPr>
  <dimension ref="A1:H57"/>
  <sheetViews>
    <sheetView showGridLines="0" topLeftCell="B10" zoomScale="90" zoomScaleNormal="90" zoomScaleSheetLayoutView="90" workbookViewId="0">
      <selection activeCell="C51" sqref="C51:E51"/>
    </sheetView>
  </sheetViews>
  <sheetFormatPr baseColWidth="10" defaultColWidth="11.44140625" defaultRowHeight="15" outlineLevelRow="1" x14ac:dyDescent="0.25"/>
  <cols>
    <col min="1" max="1" width="1.44140625" style="50" hidden="1" customWidth="1"/>
    <col min="2" max="2" width="11.5546875" style="37" bestFit="1" customWidth="1"/>
    <col min="3" max="3" width="40.77734375" style="51" customWidth="1"/>
    <col min="4" max="4" width="23" style="37" bestFit="1" customWidth="1"/>
    <col min="5" max="5" width="16.88671875" style="38" bestFit="1" customWidth="1"/>
    <col min="6" max="6" width="14.21875" style="38" bestFit="1" customWidth="1"/>
    <col min="7" max="7" width="13.6640625" style="38" bestFit="1" customWidth="1"/>
    <col min="8" max="8" width="16.88671875" style="38" bestFit="1" customWidth="1"/>
    <col min="9" max="9" width="1.33203125" style="50" customWidth="1"/>
    <col min="10" max="16384" width="11.44140625" style="50"/>
  </cols>
  <sheetData>
    <row r="1" spans="2:8" ht="30" customHeight="1" x14ac:dyDescent="0.25">
      <c r="B1" s="91" t="s">
        <v>37</v>
      </c>
      <c r="C1" s="91"/>
      <c r="D1" s="91"/>
      <c r="E1" s="91"/>
      <c r="F1" s="91"/>
      <c r="G1" s="91"/>
      <c r="H1" s="91"/>
    </row>
    <row r="2" spans="2:8" ht="15.6" thickBot="1" x14ac:dyDescent="0.3"/>
    <row r="3" spans="2:8" ht="16.2" thickBot="1" x14ac:dyDescent="0.3">
      <c r="B3" s="87" t="s">
        <v>63</v>
      </c>
      <c r="C3" s="88"/>
      <c r="D3" s="88"/>
      <c r="E3" s="88"/>
      <c r="F3" s="88"/>
      <c r="G3" s="89"/>
      <c r="H3" s="39" t="s">
        <v>19</v>
      </c>
    </row>
    <row r="4" spans="2:8" ht="15.6" outlineLevel="1" x14ac:dyDescent="0.3">
      <c r="B4" s="40" t="s">
        <v>0</v>
      </c>
      <c r="C4" s="52" t="s">
        <v>1</v>
      </c>
      <c r="D4" s="40" t="s">
        <v>11</v>
      </c>
      <c r="E4" s="41" t="s">
        <v>15</v>
      </c>
      <c r="F4" s="41" t="s">
        <v>16</v>
      </c>
      <c r="G4" s="41" t="s">
        <v>3</v>
      </c>
      <c r="H4" s="41" t="s">
        <v>17</v>
      </c>
    </row>
    <row r="5" spans="2:8" outlineLevel="1" x14ac:dyDescent="0.25">
      <c r="B5" s="37" t="str">
        <f>VLOOKUP(Tabla7[[#This Row],[DESCRIPCIÓN]],T_apus[[DESCRIPCIÓN]:[COSTO]],2,FALSE)</f>
        <v>CÓD</v>
      </c>
      <c r="C5" s="59" t="s">
        <v>61</v>
      </c>
      <c r="D5" s="37" t="str">
        <f>VLOOKUP(Tabla7[[#This Row],[DESCRIPCIÓN]],T_apus[[DESCRIPCIÓN]:[COSTO]],3,FALSE)</f>
        <v>UND</v>
      </c>
      <c r="E5" s="38">
        <v>1</v>
      </c>
      <c r="F5" s="38">
        <v>4</v>
      </c>
      <c r="G5" s="38">
        <f>VLOOKUP(Tabla7[[#This Row],[DESCRIPCIÓN]],T_apus[[DESCRIPCIÓN]:[COSTO]],4,FALSE)</f>
        <v>0</v>
      </c>
      <c r="H5" s="38">
        <f>Tabla7[[#This Row],[FACTOR]]*Tabla7[[#This Row],[CANTIDAD]]*Tabla7[[#This Row],[COSTO]]</f>
        <v>0</v>
      </c>
    </row>
    <row r="6" spans="2:8" outlineLevel="1" x14ac:dyDescent="0.25">
      <c r="B6" s="37" t="str">
        <f>VLOOKUP(Tabla7[[#This Row],[DESCRIPCIÓN]],T_apus[[DESCRIPCIÓN]:[COSTO]],2,FALSE)</f>
        <v>CÓD</v>
      </c>
      <c r="C6" s="59" t="s">
        <v>59</v>
      </c>
      <c r="D6" s="37" t="str">
        <f>VLOOKUP(Tabla7[[#This Row],[DESCRIPCIÓN]],T_apus[[DESCRIPCIÓN]:[COSTO]],3,FALSE)</f>
        <v>UND</v>
      </c>
      <c r="E6" s="38">
        <v>1</v>
      </c>
      <c r="F6" s="38">
        <v>2</v>
      </c>
      <c r="G6" s="38">
        <f>VLOOKUP(Tabla7[[#This Row],[DESCRIPCIÓN]],T_apus[[DESCRIPCIÓN]:[COSTO]],4,FALSE)</f>
        <v>1275430</v>
      </c>
      <c r="H6" s="38">
        <f>Tabla7[[#This Row],[FACTOR]]*Tabla7[[#This Row],[CANTIDAD]]*Tabla7[[#This Row],[COSTO]]</f>
        <v>2550860</v>
      </c>
    </row>
    <row r="7" spans="2:8" outlineLevel="1" x14ac:dyDescent="0.25">
      <c r="B7" s="37" t="str">
        <f>VLOOKUP(Tabla7[[#This Row],[DESCRIPCIÓN]],T_apus[[DESCRIPCIÓN]:[COSTO]],2,FALSE)</f>
        <v>CÓD</v>
      </c>
      <c r="C7" s="59" t="s">
        <v>61</v>
      </c>
      <c r="D7" s="37" t="str">
        <f>VLOOKUP(Tabla7[[#This Row],[DESCRIPCIÓN]],T_apus[[DESCRIPCIÓN]:[COSTO]],3,FALSE)</f>
        <v>UND</v>
      </c>
      <c r="E7" s="38">
        <v>1</v>
      </c>
      <c r="F7" s="38">
        <v>1</v>
      </c>
      <c r="G7" s="38">
        <f>VLOOKUP(Tabla7[[#This Row],[DESCRIPCIÓN]],T_apus[[DESCRIPCIÓN]:[COSTO]],4,FALSE)</f>
        <v>0</v>
      </c>
      <c r="H7" s="38">
        <f>Tabla7[[#This Row],[FACTOR]]*Tabla7[[#This Row],[CANTIDAD]]*Tabla7[[#This Row],[COSTO]]</f>
        <v>0</v>
      </c>
    </row>
    <row r="8" spans="2:8" outlineLevel="1" x14ac:dyDescent="0.25">
      <c r="B8" s="37" t="str">
        <f>VLOOKUP(Tabla7[[#This Row],[DESCRIPCIÓN]],T_apus[[DESCRIPCIÓN]:[COSTO]],2,FALSE)</f>
        <v>CÓD</v>
      </c>
      <c r="C8" s="59" t="s">
        <v>61</v>
      </c>
      <c r="D8" s="37" t="str">
        <f>VLOOKUP(Tabla7[[#This Row],[DESCRIPCIÓN]],T_apus[[DESCRIPCIÓN]:[COSTO]],3,FALSE)</f>
        <v>UND</v>
      </c>
      <c r="E8" s="38">
        <v>1</v>
      </c>
      <c r="G8" s="38">
        <f>VLOOKUP(Tabla7[[#This Row],[DESCRIPCIÓN]],T_apus[[DESCRIPCIÓN]:[COSTO]],4,FALSE)</f>
        <v>0</v>
      </c>
      <c r="H8" s="38">
        <f>Tabla7[[#This Row],[FACTOR]]*Tabla7[[#This Row],[CANTIDAD]]*Tabla7[[#This Row],[COSTO]]</f>
        <v>0</v>
      </c>
    </row>
    <row r="9" spans="2:8" outlineLevel="1" x14ac:dyDescent="0.25">
      <c r="B9" s="37" t="str">
        <f>VLOOKUP(Tabla7[[#This Row],[DESCRIPCIÓN]],T_apus[[DESCRIPCIÓN]:[COSTO]],2,FALSE)</f>
        <v>CÓD</v>
      </c>
      <c r="C9" s="59" t="s">
        <v>61</v>
      </c>
      <c r="D9" s="37" t="str">
        <f>VLOOKUP(Tabla7[[#This Row],[DESCRIPCIÓN]],T_apus[[DESCRIPCIÓN]:[COSTO]],3,FALSE)</f>
        <v>UND</v>
      </c>
      <c r="E9" s="38">
        <v>1</v>
      </c>
      <c r="F9" s="38">
        <v>5</v>
      </c>
      <c r="G9" s="38">
        <f>VLOOKUP(Tabla7[[#This Row],[DESCRIPCIÓN]],T_apus[[DESCRIPCIÓN]:[COSTO]],4,FALSE)</f>
        <v>0</v>
      </c>
      <c r="H9" s="38">
        <f>Tabla7[[#This Row],[FACTOR]]*Tabla7[[#This Row],[CANTIDAD]]*Tabla7[[#This Row],[COSTO]]</f>
        <v>0</v>
      </c>
    </row>
    <row r="10" spans="2:8" outlineLevel="1" x14ac:dyDescent="0.25">
      <c r="B10" s="37" t="str">
        <f>VLOOKUP(Tabla7[[#This Row],[DESCRIPCIÓN]],T_apus[[DESCRIPCIÓN]:[COSTO]],2,FALSE)</f>
        <v>CÓD</v>
      </c>
      <c r="C10" s="59" t="s">
        <v>59</v>
      </c>
      <c r="D10" s="37" t="str">
        <f>VLOOKUP(Tabla7[[#This Row],[DESCRIPCIÓN]],T_apus[[DESCRIPCIÓN]:[COSTO]],3,FALSE)</f>
        <v>UND</v>
      </c>
      <c r="E10" s="38">
        <v>1</v>
      </c>
      <c r="F10" s="38">
        <v>5</v>
      </c>
      <c r="G10" s="38">
        <f>VLOOKUP(Tabla7[[#This Row],[DESCRIPCIÓN]],T_apus[[DESCRIPCIÓN]:[COSTO]],4,FALSE)</f>
        <v>1275430</v>
      </c>
      <c r="H10" s="38">
        <f>Tabla7[[#This Row],[FACTOR]]*Tabla7[[#This Row],[CANTIDAD]]*Tabla7[[#This Row],[COSTO]]</f>
        <v>6377150</v>
      </c>
    </row>
    <row r="11" spans="2:8" outlineLevel="1" x14ac:dyDescent="0.25">
      <c r="B11" s="37" t="str">
        <f>VLOOKUP(Tabla7[[#This Row],[DESCRIPCIÓN]],T_apus[[DESCRIPCIÓN]:[COSTO]],2,FALSE)</f>
        <v>CÓD</v>
      </c>
      <c r="C11" s="59" t="s">
        <v>59</v>
      </c>
      <c r="D11" s="37" t="str">
        <f>VLOOKUP(Tabla7[[#This Row],[DESCRIPCIÓN]],T_apus[[DESCRIPCIÓN]:[COSTO]],3,FALSE)</f>
        <v>UND</v>
      </c>
      <c r="E11" s="38">
        <v>1</v>
      </c>
      <c r="F11" s="38">
        <v>1</v>
      </c>
      <c r="G11" s="38">
        <f>VLOOKUP(Tabla7[[#This Row],[DESCRIPCIÓN]],T_apus[[DESCRIPCIÓN]:[COSTO]],4,FALSE)</f>
        <v>1275430</v>
      </c>
      <c r="H11" s="38">
        <f>Tabla7[[#This Row],[FACTOR]]*Tabla7[[#This Row],[CANTIDAD]]*Tabla7[[#This Row],[COSTO]]</f>
        <v>1275430</v>
      </c>
    </row>
    <row r="12" spans="2:8" outlineLevel="1" x14ac:dyDescent="0.25">
      <c r="C12" s="59"/>
      <c r="E12" s="38">
        <v>1</v>
      </c>
      <c r="H12" s="38">
        <v>0</v>
      </c>
    </row>
    <row r="13" spans="2:8" ht="15.6" x14ac:dyDescent="0.3">
      <c r="B13" s="40" t="s">
        <v>18</v>
      </c>
      <c r="H13" s="41">
        <f>SUM(Tabla7[TOTAL])</f>
        <v>10203440</v>
      </c>
    </row>
    <row r="15" spans="2:8" ht="15.6" thickBot="1" x14ac:dyDescent="0.3"/>
    <row r="16" spans="2:8" ht="16.2" thickBot="1" x14ac:dyDescent="0.3">
      <c r="B16" s="87" t="s">
        <v>64</v>
      </c>
      <c r="C16" s="88"/>
      <c r="D16" s="88"/>
      <c r="E16" s="88"/>
      <c r="F16" s="88"/>
      <c r="G16" s="89"/>
      <c r="H16" s="39" t="s">
        <v>19</v>
      </c>
    </row>
    <row r="17" spans="2:8" ht="15.6" outlineLevel="1" x14ac:dyDescent="0.3">
      <c r="B17" s="40" t="s">
        <v>0</v>
      </c>
      <c r="C17" s="52" t="s">
        <v>1</v>
      </c>
      <c r="D17" s="40" t="s">
        <v>11</v>
      </c>
      <c r="E17" s="41" t="s">
        <v>15</v>
      </c>
      <c r="F17" s="41" t="s">
        <v>16</v>
      </c>
      <c r="G17" s="41" t="s">
        <v>3</v>
      </c>
      <c r="H17" s="41" t="s">
        <v>17</v>
      </c>
    </row>
    <row r="18" spans="2:8" outlineLevel="1" x14ac:dyDescent="0.25">
      <c r="B18" s="37" t="str">
        <f>VLOOKUP(Tabla14[[#This Row],[DESCRIPCIÓN]],T_apus[[DESCRIPCIÓN]:[COSTO]],2,FALSE)</f>
        <v>CÓD</v>
      </c>
      <c r="C18" s="59" t="s">
        <v>59</v>
      </c>
      <c r="D18" s="37" t="str">
        <f>VLOOKUP(Tabla14[[#This Row],[DESCRIPCIÓN]],T_apus[[DESCRIPCIÓN]:[COSTO]],3,FALSE)</f>
        <v>UND</v>
      </c>
      <c r="E18" s="38">
        <v>1</v>
      </c>
      <c r="F18" s="38">
        <v>3</v>
      </c>
      <c r="G18" s="38">
        <f>VLOOKUP(Tabla14[[#This Row],[DESCRIPCIÓN]],T_apus[[DESCRIPCIÓN]:[COSTO]],4,FALSE)</f>
        <v>1275430</v>
      </c>
      <c r="H18" s="38">
        <f>Tabla14[[#This Row],[FACTOR]]*Tabla14[[#This Row],[CANTIDAD]]*Tabla14[[#This Row],[COSTO]]</f>
        <v>3826290</v>
      </c>
    </row>
    <row r="19" spans="2:8" outlineLevel="1" x14ac:dyDescent="0.25">
      <c r="B19" s="37" t="str">
        <f>VLOOKUP(Tabla14[[#This Row],[DESCRIPCIÓN]],T_apus[[DESCRIPCIÓN]:[COSTO]],2,FALSE)</f>
        <v>CÓD</v>
      </c>
      <c r="C19" s="59" t="s">
        <v>59</v>
      </c>
      <c r="D19" s="37" t="str">
        <f>VLOOKUP(Tabla14[[#This Row],[DESCRIPCIÓN]],T_apus[[DESCRIPCIÓN]:[COSTO]],3,FALSE)</f>
        <v>UND</v>
      </c>
      <c r="E19" s="38">
        <v>1</v>
      </c>
      <c r="F19" s="38">
        <v>3</v>
      </c>
      <c r="G19" s="38">
        <f>VLOOKUP(Tabla14[[#This Row],[DESCRIPCIÓN]],T_apus[[DESCRIPCIÓN]:[COSTO]],4,FALSE)</f>
        <v>1275430</v>
      </c>
      <c r="H19" s="38">
        <f>Tabla14[[#This Row],[FACTOR]]*Tabla14[[#This Row],[CANTIDAD]]*Tabla14[[#This Row],[COSTO]]</f>
        <v>3826290</v>
      </c>
    </row>
    <row r="20" spans="2:8" outlineLevel="1" x14ac:dyDescent="0.25">
      <c r="B20" s="37" t="str">
        <f>VLOOKUP(Tabla14[[#This Row],[DESCRIPCIÓN]],T_apus[[DESCRIPCIÓN]:[COSTO]],2,FALSE)</f>
        <v>CÓD</v>
      </c>
      <c r="C20" s="59" t="s">
        <v>61</v>
      </c>
      <c r="D20" s="37" t="str">
        <f>VLOOKUP(Tabla14[[#This Row],[DESCRIPCIÓN]],T_apus[[DESCRIPCIÓN]:[COSTO]],3,FALSE)</f>
        <v>UND</v>
      </c>
      <c r="E20" s="38">
        <v>1</v>
      </c>
      <c r="F20" s="38">
        <v>2</v>
      </c>
      <c r="G20" s="38">
        <f>VLOOKUP(Tabla14[[#This Row],[DESCRIPCIÓN]],T_apus[[DESCRIPCIÓN]:[COSTO]],4,FALSE)</f>
        <v>0</v>
      </c>
      <c r="H20" s="38">
        <f>Tabla14[[#This Row],[FACTOR]]*Tabla14[[#This Row],[CANTIDAD]]*Tabla14[[#This Row],[COSTO]]</f>
        <v>0</v>
      </c>
    </row>
    <row r="21" spans="2:8" outlineLevel="1" x14ac:dyDescent="0.25">
      <c r="C21" s="59"/>
      <c r="E21" s="38">
        <v>1</v>
      </c>
      <c r="H21" s="38">
        <f>Tabla14[[#This Row],[FACTOR]]*Tabla14[[#This Row],[CANTIDAD]]*Tabla14[[#This Row],[COSTO]]</f>
        <v>0</v>
      </c>
    </row>
    <row r="22" spans="2:8" outlineLevel="1" x14ac:dyDescent="0.25">
      <c r="C22" s="59"/>
      <c r="E22" s="38">
        <v>1</v>
      </c>
      <c r="H22" s="38">
        <f>Tabla14[[#This Row],[FACTOR]]*Tabla14[[#This Row],[CANTIDAD]]*Tabla14[[#This Row],[COSTO]]</f>
        <v>0</v>
      </c>
    </row>
    <row r="23" spans="2:8" outlineLevel="1" x14ac:dyDescent="0.25">
      <c r="B23" s="37" t="str">
        <f>VLOOKUP(Tabla14[[#This Row],[DESCRIPCIÓN]],T_apus[[DESCRIPCIÓN]:[COSTO]],2,FALSE)</f>
        <v>CÓD</v>
      </c>
      <c r="C23" s="59" t="s">
        <v>61</v>
      </c>
      <c r="D23" s="37" t="str">
        <f>VLOOKUP(Tabla14[[#This Row],[DESCRIPCIÓN]],T_apus[[DESCRIPCIÓN]:[COSTO]],3,FALSE)</f>
        <v>UND</v>
      </c>
      <c r="E23" s="38">
        <v>1</v>
      </c>
      <c r="F23" s="38">
        <v>5</v>
      </c>
      <c r="G23" s="38">
        <f>VLOOKUP(Tabla14[[#This Row],[DESCRIPCIÓN]],T_apus[[DESCRIPCIÓN]:[COSTO]],4,FALSE)</f>
        <v>0</v>
      </c>
      <c r="H23" s="38">
        <f>Tabla14[[#This Row],[FACTOR]]*Tabla14[[#This Row],[CANTIDAD]]*Tabla14[[#This Row],[COSTO]]</f>
        <v>0</v>
      </c>
    </row>
    <row r="24" spans="2:8" outlineLevel="1" x14ac:dyDescent="0.25">
      <c r="B24" s="37" t="str">
        <f>VLOOKUP(Tabla14[[#This Row],[DESCRIPCIÓN]],T_apus[[DESCRIPCIÓN]:[COSTO]],2,FALSE)</f>
        <v>CÓD</v>
      </c>
      <c r="C24" s="59" t="s">
        <v>59</v>
      </c>
      <c r="D24" s="37" t="str">
        <f>VLOOKUP(Tabla14[[#This Row],[DESCRIPCIÓN]],T_apus[[DESCRIPCIÓN]:[COSTO]],3,FALSE)</f>
        <v>UND</v>
      </c>
      <c r="E24" s="38">
        <v>1</v>
      </c>
      <c r="F24" s="38">
        <v>1</v>
      </c>
      <c r="G24" s="38">
        <f>VLOOKUP(Tabla14[[#This Row],[DESCRIPCIÓN]],T_apus[[DESCRIPCIÓN]:[COSTO]],4,FALSE)</f>
        <v>1275430</v>
      </c>
      <c r="H24" s="38">
        <f>Tabla14[[#This Row],[FACTOR]]*Tabla14[[#This Row],[CANTIDAD]]*Tabla14[[#This Row],[COSTO]]</f>
        <v>1275430</v>
      </c>
    </row>
    <row r="25" spans="2:8" outlineLevel="1" x14ac:dyDescent="0.25">
      <c r="B25" s="37" t="str">
        <f>VLOOKUP(Tabla14[[#This Row],[DESCRIPCIÓN]],T_apus[[DESCRIPCIÓN]:[COSTO]],2,FALSE)</f>
        <v>CÓD</v>
      </c>
      <c r="C25" s="59" t="s">
        <v>61</v>
      </c>
      <c r="D25" s="37" t="str">
        <f>VLOOKUP(Tabla14[[#This Row],[DESCRIPCIÓN]],T_apus[[DESCRIPCIÓN]:[COSTO]],3,FALSE)</f>
        <v>UND</v>
      </c>
      <c r="E25" s="38">
        <v>1</v>
      </c>
      <c r="F25" s="38">
        <v>1</v>
      </c>
      <c r="G25" s="38">
        <f>VLOOKUP(Tabla14[[#This Row],[DESCRIPCIÓN]],T_apus[[DESCRIPCIÓN]:[COSTO]],4,FALSE)</f>
        <v>0</v>
      </c>
      <c r="H25" s="38">
        <f>Tabla14[[#This Row],[FACTOR]]*Tabla14[[#This Row],[CANTIDAD]]*Tabla14[[#This Row],[COSTO]]</f>
        <v>0</v>
      </c>
    </row>
    <row r="26" spans="2:8" outlineLevel="1" x14ac:dyDescent="0.25">
      <c r="C26" s="59"/>
      <c r="E26" s="38">
        <v>1</v>
      </c>
      <c r="H26" s="38">
        <v>0</v>
      </c>
    </row>
    <row r="27" spans="2:8" ht="15.6" x14ac:dyDescent="0.3">
      <c r="B27" s="40" t="s">
        <v>18</v>
      </c>
      <c r="H27" s="41">
        <f>SUM(Tabla14[TOTAL])</f>
        <v>8928010</v>
      </c>
    </row>
    <row r="29" spans="2:8" ht="15.6" thickBot="1" x14ac:dyDescent="0.3"/>
    <row r="30" spans="2:8" ht="16.2" thickBot="1" x14ac:dyDescent="0.3">
      <c r="B30" s="87" t="s">
        <v>20</v>
      </c>
      <c r="C30" s="88"/>
      <c r="D30" s="88"/>
      <c r="E30" s="88"/>
      <c r="F30" s="88"/>
      <c r="G30" s="89"/>
      <c r="H30" s="39" t="s">
        <v>19</v>
      </c>
    </row>
    <row r="31" spans="2:8" ht="15.6" outlineLevel="1" x14ac:dyDescent="0.3">
      <c r="B31" s="40" t="s">
        <v>0</v>
      </c>
      <c r="C31" s="52" t="s">
        <v>1</v>
      </c>
      <c r="D31" s="40" t="s">
        <v>11</v>
      </c>
      <c r="E31" s="41" t="s">
        <v>15</v>
      </c>
      <c r="F31" s="41" t="s">
        <v>16</v>
      </c>
      <c r="G31" s="41" t="s">
        <v>3</v>
      </c>
      <c r="H31" s="41" t="s">
        <v>17</v>
      </c>
    </row>
    <row r="32" spans="2:8" outlineLevel="1" x14ac:dyDescent="0.25">
      <c r="B32" s="37" t="str">
        <f>VLOOKUP(Tabla89[[#This Row],[DESCRIPCIÓN]],T_apus[[DESCRIPCIÓN]:[COSTO]],2,FALSE)</f>
        <v>CÓD</v>
      </c>
      <c r="C32" s="59" t="s">
        <v>59</v>
      </c>
      <c r="D32" s="37" t="str">
        <f>VLOOKUP(Tabla89[[#This Row],[DESCRIPCIÓN]],T_apus[[DESCRIPCIÓN]:[COSTO]],3,FALSE)</f>
        <v>UND</v>
      </c>
      <c r="E32" s="38">
        <v>1</v>
      </c>
      <c r="F32" s="38">
        <v>3</v>
      </c>
      <c r="G32" s="38">
        <f>VLOOKUP(Tabla89[[#This Row],[DESCRIPCIÓN]],T_apus[[DESCRIPCIÓN]:[COSTO]],4,FALSE)</f>
        <v>1275430</v>
      </c>
      <c r="H32" s="38">
        <f>Tabla89[[#This Row],[FACTOR]]*Tabla89[[#This Row],[CANTIDAD]]*Tabla89[[#This Row],[COSTO]]</f>
        <v>3826290</v>
      </c>
    </row>
    <row r="33" spans="2:8" outlineLevel="1" x14ac:dyDescent="0.25">
      <c r="B33" s="37" t="str">
        <f>VLOOKUP(Tabla89[[#This Row],[DESCRIPCIÓN]],T_apus[[DESCRIPCIÓN]:[COSTO]],2,FALSE)</f>
        <v>CÓD</v>
      </c>
      <c r="C33" s="59" t="s">
        <v>59</v>
      </c>
      <c r="D33" s="37" t="str">
        <f>VLOOKUP(Tabla89[[#This Row],[DESCRIPCIÓN]],T_apus[[DESCRIPCIÓN]:[COSTO]],3,FALSE)</f>
        <v>UND</v>
      </c>
      <c r="E33" s="38">
        <v>1</v>
      </c>
      <c r="F33" s="38">
        <v>232</v>
      </c>
      <c r="G33" s="38">
        <f>VLOOKUP(Tabla89[[#This Row],[DESCRIPCIÓN]],T_apus[[DESCRIPCIÓN]:[COSTO]],4,FALSE)</f>
        <v>1275430</v>
      </c>
      <c r="H33" s="38">
        <f>Tabla89[[#This Row],[FACTOR]]*Tabla89[[#This Row],[CANTIDAD]]*Tabla89[[#This Row],[COSTO]]</f>
        <v>295899760</v>
      </c>
    </row>
    <row r="34" spans="2:8" outlineLevel="1" x14ac:dyDescent="0.25">
      <c r="B34" s="37" t="str">
        <f>VLOOKUP(Tabla89[[#This Row],[DESCRIPCIÓN]],T_apus[[DESCRIPCIÓN]:[COSTO]],2,FALSE)</f>
        <v>CÓD</v>
      </c>
      <c r="C34" s="59" t="s">
        <v>61</v>
      </c>
      <c r="D34" s="37" t="str">
        <f>VLOOKUP(Tabla89[[#This Row],[DESCRIPCIÓN]],T_apus[[DESCRIPCIÓN]:[COSTO]],3,FALSE)</f>
        <v>UND</v>
      </c>
      <c r="E34" s="38">
        <v>1</v>
      </c>
      <c r="F34" s="38">
        <v>32</v>
      </c>
      <c r="G34" s="38">
        <f>VLOOKUP(Tabla89[[#This Row],[DESCRIPCIÓN]],T_apus[[DESCRIPCIÓN]:[COSTO]],4,FALSE)</f>
        <v>0</v>
      </c>
      <c r="H34" s="38">
        <f>Tabla89[[#This Row],[FACTOR]]*Tabla89[[#This Row],[CANTIDAD]]*Tabla89[[#This Row],[COSTO]]</f>
        <v>0</v>
      </c>
    </row>
    <row r="35" spans="2:8" outlineLevel="1" x14ac:dyDescent="0.25">
      <c r="B35" s="37" t="str">
        <f>VLOOKUP(Tabla89[[#This Row],[DESCRIPCIÓN]],T_apus[[DESCRIPCIÓN]:[COSTO]],2,FALSE)</f>
        <v>CÓD</v>
      </c>
      <c r="C35" s="59" t="s">
        <v>59</v>
      </c>
      <c r="D35" s="37" t="str">
        <f>VLOOKUP(Tabla89[[#This Row],[DESCRIPCIÓN]],T_apus[[DESCRIPCIÓN]:[COSTO]],3,FALSE)</f>
        <v>UND</v>
      </c>
      <c r="E35" s="38">
        <v>1</v>
      </c>
      <c r="F35" s="38">
        <v>21</v>
      </c>
      <c r="G35" s="38">
        <f>VLOOKUP(Tabla89[[#This Row],[DESCRIPCIÓN]],T_apus[[DESCRIPCIÓN]:[COSTO]],4,FALSE)</f>
        <v>1275430</v>
      </c>
      <c r="H35" s="38">
        <f>Tabla89[[#This Row],[FACTOR]]*Tabla89[[#This Row],[CANTIDAD]]*Tabla89[[#This Row],[COSTO]]</f>
        <v>26784030</v>
      </c>
    </row>
    <row r="36" spans="2:8" outlineLevel="1" x14ac:dyDescent="0.25">
      <c r="C36" s="59"/>
      <c r="E36" s="38">
        <v>1</v>
      </c>
      <c r="H36" s="38">
        <f>Tabla89[[#This Row],[FACTOR]]*Tabla89[[#This Row],[CANTIDAD]]*Tabla89[[#This Row],[COSTO]]</f>
        <v>0</v>
      </c>
    </row>
    <row r="37" spans="2:8" ht="15.6" x14ac:dyDescent="0.3">
      <c r="B37" s="66" t="s">
        <v>18</v>
      </c>
      <c r="C37" s="65"/>
      <c r="D37" s="64"/>
      <c r="E37" s="50"/>
      <c r="F37" s="50"/>
      <c r="G37" s="50"/>
      <c r="H37" s="41">
        <f>SUM(Tabla89[TOTAL])</f>
        <v>326510080</v>
      </c>
    </row>
    <row r="40" spans="2:8" ht="15.6" x14ac:dyDescent="0.3">
      <c r="F40" s="40"/>
      <c r="G40" s="40"/>
      <c r="H40" s="41"/>
    </row>
    <row r="41" spans="2:8" ht="15.6" x14ac:dyDescent="0.3">
      <c r="B41" s="40" t="s">
        <v>19</v>
      </c>
      <c r="C41" s="52" t="s">
        <v>20</v>
      </c>
      <c r="D41" s="40" t="s">
        <v>21</v>
      </c>
      <c r="E41" s="41" t="s">
        <v>22</v>
      </c>
      <c r="F41" s="37"/>
      <c r="G41" s="37"/>
    </row>
    <row r="42" spans="2:8" x14ac:dyDescent="0.25">
      <c r="B42" s="37" t="str">
        <f>$H$3</f>
        <v>CÓD</v>
      </c>
      <c r="C42" s="51" t="str">
        <f>$B$3</f>
        <v>CAPÍTULO 1</v>
      </c>
      <c r="D42" s="67">
        <f>(E42)/(E47)</f>
        <v>2.9520295202952029E-2</v>
      </c>
      <c r="E42" s="38">
        <f>$H$13</f>
        <v>10203440</v>
      </c>
      <c r="F42" s="37"/>
      <c r="G42" s="37"/>
    </row>
    <row r="43" spans="2:8" x14ac:dyDescent="0.25">
      <c r="B43" s="37" t="str">
        <f>$H$16</f>
        <v>CÓD</v>
      </c>
      <c r="C43" s="51" t="str">
        <f>$B$16</f>
        <v>CAPÍTULO 2</v>
      </c>
      <c r="D43" s="67">
        <f>(E43)/(E47)</f>
        <v>2.5830258302583026E-2</v>
      </c>
      <c r="E43" s="38">
        <f>$H$27</f>
        <v>8928010</v>
      </c>
      <c r="F43" s="37"/>
      <c r="G43" s="37"/>
    </row>
    <row r="44" spans="2:8" x14ac:dyDescent="0.25">
      <c r="B44" s="37" t="str">
        <f>$H$30</f>
        <v>CÓD</v>
      </c>
      <c r="C44" s="51" t="str">
        <f>$B$30</f>
        <v>CAPÍTULO</v>
      </c>
      <c r="D44" s="67">
        <f>(E44)/(E47)</f>
        <v>0.94464944649446492</v>
      </c>
      <c r="E44" s="38">
        <f>$H$37</f>
        <v>326510080</v>
      </c>
      <c r="F44" s="37"/>
      <c r="G44" s="37"/>
    </row>
    <row r="47" spans="2:8" ht="15.6" x14ac:dyDescent="0.3">
      <c r="B47" s="42"/>
      <c r="C47" s="53"/>
      <c r="D47" s="43" t="s">
        <v>30</v>
      </c>
      <c r="E47" s="54">
        <f>SUM(E42:E46)</f>
        <v>345641530</v>
      </c>
    </row>
    <row r="48" spans="2:8" x14ac:dyDescent="0.25">
      <c r="B48" s="90" t="s">
        <v>62</v>
      </c>
      <c r="C48" s="90"/>
      <c r="D48" s="90"/>
      <c r="E48" s="90"/>
    </row>
    <row r="50" spans="3:5" ht="15.6" x14ac:dyDescent="0.3">
      <c r="C50" s="52" t="s">
        <v>1</v>
      </c>
      <c r="D50" s="40" t="s">
        <v>21</v>
      </c>
      <c r="E50" s="41" t="s">
        <v>22</v>
      </c>
    </row>
    <row r="51" spans="3:5" x14ac:dyDescent="0.25">
      <c r="C51" s="51" t="s">
        <v>26</v>
      </c>
      <c r="D51" s="68">
        <v>0.05</v>
      </c>
      <c r="E51" s="69">
        <f>Tabla91[[#This Row],[PORCENTAJE]]*E47</f>
        <v>17282076.5</v>
      </c>
    </row>
    <row r="52" spans="3:5" x14ac:dyDescent="0.25">
      <c r="C52" s="51" t="s">
        <v>27</v>
      </c>
      <c r="D52" s="68">
        <v>0.05</v>
      </c>
      <c r="E52" s="69">
        <f>Tabla91[[#This Row],[PORCENTAJE]]*E47</f>
        <v>17282076.5</v>
      </c>
    </row>
    <row r="53" spans="3:5" x14ac:dyDescent="0.25">
      <c r="C53" s="51" t="s">
        <v>28</v>
      </c>
      <c r="D53" s="68">
        <v>0.1</v>
      </c>
      <c r="E53" s="69">
        <f>Tabla91[[#This Row],[PORCENTAJE]]*E47</f>
        <v>34564153</v>
      </c>
    </row>
    <row r="54" spans="3:5" x14ac:dyDescent="0.25">
      <c r="C54" s="51" t="s">
        <v>25</v>
      </c>
      <c r="D54" s="68">
        <v>0.19</v>
      </c>
      <c r="E54" s="69">
        <f>Tabla91[[#This Row],[PORCENTAJE]]*E53</f>
        <v>6567189.0700000003</v>
      </c>
    </row>
    <row r="55" spans="3:5" ht="15.6" x14ac:dyDescent="0.3">
      <c r="D55" s="70" t="s">
        <v>29</v>
      </c>
      <c r="E55" s="71">
        <f>SUM(E51:E54)</f>
        <v>75695495.069999993</v>
      </c>
    </row>
    <row r="56" spans="3:5" x14ac:dyDescent="0.25">
      <c r="E56" s="69"/>
    </row>
    <row r="57" spans="3:5" ht="15.6" x14ac:dyDescent="0.3">
      <c r="D57" s="40" t="s">
        <v>24</v>
      </c>
      <c r="E57" s="71">
        <f>E47+E55</f>
        <v>421337025.06999999</v>
      </c>
    </row>
  </sheetData>
  <dataConsolidate/>
  <mergeCells count="5">
    <mergeCell ref="B30:G30"/>
    <mergeCell ref="B48:E48"/>
    <mergeCell ref="B1:H1"/>
    <mergeCell ref="B3:G3"/>
    <mergeCell ref="B16:G16"/>
  </mergeCells>
  <dataValidations count="1">
    <dataValidation type="list" allowBlank="1" showInputMessage="1" showErrorMessage="1" sqref="C18:C26 C32:C36 C5:C12" xr:uid="{D610AE7E-8CF7-4CA0-BAAE-C8D5899D339D}">
      <formula1>BD_APUS</formula1>
    </dataValidation>
  </dataValidations>
  <pageMargins left="0.7" right="0.7" top="0.75" bottom="0.75" header="0.3" footer="0.3"/>
  <pageSetup paperSize="9" scale="62" fitToHeight="0" orientation="portrait" cellComments="atEnd" r:id="rId1"/>
  <colBreaks count="1" manualBreakCount="1">
    <brk id="8" max="1048575" man="1"/>
  </colBreaks>
  <drawing r:id="rId2"/>
  <tableParts count="5">
    <tablePart r:id="rId3"/>
    <tablePart r:id="rId4"/>
    <tablePart r:id="rId5"/>
    <tablePart r:id="rId6"/>
    <tablePart r:id="rId7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rgb="FF00AC56"/>
    <pageSetUpPr fitToPage="1"/>
  </sheetPr>
  <dimension ref="A1:WYB7"/>
  <sheetViews>
    <sheetView showGridLines="0" topLeftCell="B1" zoomScale="110" zoomScaleNormal="110" zoomScaleSheetLayoutView="130" workbookViewId="0">
      <selection activeCell="A2" sqref="A2"/>
    </sheetView>
  </sheetViews>
  <sheetFormatPr baseColWidth="10" defaultColWidth="11.44140625" defaultRowHeight="14.4" x14ac:dyDescent="0.3"/>
  <cols>
    <col min="1" max="1" width="0.88671875" style="3" hidden="1" customWidth="1"/>
    <col min="2" max="2" width="40.77734375" style="4" customWidth="1"/>
    <col min="3" max="3" width="11" style="4" bestFit="1" customWidth="1"/>
    <col min="4" max="4" width="15" style="1" bestFit="1" customWidth="1"/>
    <col min="5" max="5" width="11.77734375" style="7" bestFit="1" customWidth="1"/>
    <col min="6" max="16384" width="11.44140625" style="3"/>
  </cols>
  <sheetData>
    <row r="1" spans="2:7 16200:16200" ht="30" customHeight="1" x14ac:dyDescent="0.3">
      <c r="B1" s="92" t="s">
        <v>31</v>
      </c>
      <c r="C1" s="92"/>
      <c r="D1" s="92"/>
      <c r="E1" s="92"/>
    </row>
    <row r="2" spans="2:7 16200:16200" ht="15.6" x14ac:dyDescent="0.3">
      <c r="B2" s="10" t="s">
        <v>1</v>
      </c>
      <c r="C2" s="11" t="s">
        <v>0</v>
      </c>
      <c r="D2" s="13" t="s">
        <v>2</v>
      </c>
      <c r="E2" s="12" t="s">
        <v>3</v>
      </c>
      <c r="G2" s="9"/>
      <c r="WYB2" s="9"/>
    </row>
    <row r="3" spans="2:7 16200:16200" x14ac:dyDescent="0.3">
      <c r="B3" s="2" t="e">
        <f>BÁSICOS!#REF!</f>
        <v>#REF!</v>
      </c>
      <c r="C3" s="4" t="e">
        <f>BÁSICOS!#REF!</f>
        <v>#REF!</v>
      </c>
      <c r="D3" s="1" t="e">
        <f>BÁSICOS!#REF!</f>
        <v>#REF!</v>
      </c>
      <c r="E3" s="5" t="e">
        <f>BÁSICOS!#REF!</f>
        <v>#REF!</v>
      </c>
    </row>
    <row r="4" spans="2:7 16200:16200" x14ac:dyDescent="0.3">
      <c r="B4" s="2" t="e">
        <f>BÁSICOS!#REF!</f>
        <v>#REF!</v>
      </c>
      <c r="C4" s="4" t="e">
        <f>BÁSICOS!#REF!</f>
        <v>#REF!</v>
      </c>
      <c r="D4" s="1" t="e">
        <f>BÁSICOS!#REF!</f>
        <v>#REF!</v>
      </c>
      <c r="E4" s="5" t="e">
        <f>BÁSICOS!#REF!</f>
        <v>#REF!</v>
      </c>
    </row>
    <row r="5" spans="2:7 16200:16200" x14ac:dyDescent="0.3">
      <c r="B5" s="2" t="e">
        <f>BÁSICOS!#REF!</f>
        <v>#REF!</v>
      </c>
      <c r="C5" s="4" t="e">
        <f>BÁSICOS!#REF!</f>
        <v>#REF!</v>
      </c>
      <c r="D5" s="1" t="e">
        <f>BÁSICOS!#REF!</f>
        <v>#REF!</v>
      </c>
      <c r="E5" s="5" t="e">
        <f>BÁSICOS!#REF!</f>
        <v>#REF!</v>
      </c>
    </row>
    <row r="6" spans="2:7 16200:16200" x14ac:dyDescent="0.3">
      <c r="B6" s="2"/>
      <c r="E6" s="5"/>
    </row>
    <row r="7" spans="2:7 16200:16200" x14ac:dyDescent="0.3">
      <c r="B7" s="2"/>
      <c r="E7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>
    <tabColor rgb="FF0088CC"/>
    <pageSetUpPr fitToPage="1"/>
  </sheetPr>
  <dimension ref="A1:E6"/>
  <sheetViews>
    <sheetView showGridLines="0" topLeftCell="B1" zoomScale="110" zoomScaleNormal="110" zoomScaleSheetLayoutView="110" workbookViewId="0">
      <selection activeCell="A2" sqref="A2"/>
    </sheetView>
  </sheetViews>
  <sheetFormatPr baseColWidth="10" defaultColWidth="11.44140625" defaultRowHeight="14.4" x14ac:dyDescent="0.3"/>
  <cols>
    <col min="1" max="1" width="1.109375" style="3" hidden="1" customWidth="1"/>
    <col min="2" max="2" width="40.77734375" style="2" customWidth="1"/>
    <col min="3" max="3" width="10" style="4" bestFit="1" customWidth="1"/>
    <col min="4" max="4" width="14.109375" style="1" bestFit="1" customWidth="1"/>
    <col min="5" max="5" width="12.77734375" style="6" bestFit="1" customWidth="1"/>
    <col min="6" max="16384" width="11.44140625" style="3"/>
  </cols>
  <sheetData>
    <row r="1" spans="2:5" s="8" customFormat="1" ht="30" customHeight="1" x14ac:dyDescent="0.3">
      <c r="B1" s="92" t="s">
        <v>33</v>
      </c>
      <c r="C1" s="92"/>
      <c r="D1" s="92"/>
      <c r="E1" s="92"/>
    </row>
    <row r="2" spans="2:5" ht="15" customHeight="1" x14ac:dyDescent="0.3">
      <c r="B2" s="14" t="s">
        <v>1</v>
      </c>
      <c r="C2" s="14" t="s">
        <v>0</v>
      </c>
      <c r="D2" s="15" t="s">
        <v>2</v>
      </c>
      <c r="E2" s="16" t="s">
        <v>3</v>
      </c>
    </row>
    <row r="3" spans="2:5" ht="15" customHeight="1" x14ac:dyDescent="0.3">
      <c r="B3" s="2" t="str">
        <f>APU!B3</f>
        <v>Apu 01</v>
      </c>
      <c r="C3" s="4" t="str">
        <f>APU!A3</f>
        <v>CÓD</v>
      </c>
      <c r="D3" s="1" t="str">
        <f>APU!H3</f>
        <v>UND</v>
      </c>
      <c r="E3" s="5">
        <f>APU!H15</f>
        <v>1275430</v>
      </c>
    </row>
    <row r="4" spans="2:5" x14ac:dyDescent="0.3">
      <c r="B4" s="2" t="str">
        <f>APU!B18</f>
        <v>Apu 02</v>
      </c>
      <c r="C4" s="4" t="str">
        <f>APU!A18</f>
        <v>CÓD</v>
      </c>
      <c r="D4" s="1" t="str">
        <f>APU!H18</f>
        <v>UND</v>
      </c>
      <c r="E4" s="5">
        <f>APU!H28</f>
        <v>0</v>
      </c>
    </row>
    <row r="5" spans="2:5" x14ac:dyDescent="0.3">
      <c r="E5" s="5"/>
    </row>
    <row r="6" spans="2:5" x14ac:dyDescent="0.3">
      <c r="E6" s="5"/>
    </row>
  </sheetData>
  <mergeCells count="1">
    <mergeCell ref="B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>
    <tabColor rgb="FF00AC56"/>
    <pageSetUpPr fitToPage="1"/>
  </sheetPr>
  <dimension ref="A1:F8"/>
  <sheetViews>
    <sheetView showGridLines="0" zoomScale="110" zoomScaleNormal="110" workbookViewId="0">
      <selection activeCell="A3" sqref="A3"/>
    </sheetView>
  </sheetViews>
  <sheetFormatPr baseColWidth="10" defaultRowHeight="14.4" x14ac:dyDescent="0.3"/>
  <cols>
    <col min="1" max="1" width="30.77734375" customWidth="1"/>
    <col min="2" max="2" width="12.21875" style="18" bestFit="1" customWidth="1"/>
    <col min="3" max="3" width="12.88671875" style="19" bestFit="1" customWidth="1"/>
    <col min="4" max="4" width="14.109375" style="29" bestFit="1" customWidth="1"/>
    <col min="5" max="5" width="15.44140625" style="19" bestFit="1" customWidth="1"/>
    <col min="8" max="8" width="15.6640625" customWidth="1"/>
  </cols>
  <sheetData>
    <row r="1" spans="1:6" ht="30" customHeight="1" x14ac:dyDescent="0.3">
      <c r="A1" s="92" t="s">
        <v>32</v>
      </c>
      <c r="B1" s="92"/>
      <c r="C1" s="92"/>
      <c r="D1" s="92"/>
      <c r="E1" s="92"/>
    </row>
    <row r="2" spans="1:6" x14ac:dyDescent="0.3">
      <c r="A2" s="18" t="s">
        <v>23</v>
      </c>
      <c r="B2" s="18" t="s">
        <v>11</v>
      </c>
      <c r="C2" s="26" t="s">
        <v>12</v>
      </c>
      <c r="D2" s="30" t="s">
        <v>16</v>
      </c>
      <c r="E2" s="26" t="s">
        <v>17</v>
      </c>
      <c r="F2" s="18"/>
    </row>
    <row r="3" spans="1:6" x14ac:dyDescent="0.3">
      <c r="A3" t="s">
        <v>50</v>
      </c>
      <c r="B3" s="18" t="s">
        <v>39</v>
      </c>
      <c r="C3" s="19">
        <v>285000</v>
      </c>
      <c r="D3" s="29">
        <v>4984</v>
      </c>
      <c r="E3" s="19">
        <f>T_materiales[[#This Row],[PRECIO]]*T_materiales[[#This Row],[CANTIDAD]]</f>
        <v>1420440000</v>
      </c>
    </row>
    <row r="4" spans="1:6" x14ac:dyDescent="0.3">
      <c r="A4" t="s">
        <v>51</v>
      </c>
      <c r="B4" s="18" t="s">
        <v>48</v>
      </c>
      <c r="C4" s="19">
        <v>486</v>
      </c>
      <c r="D4" s="29">
        <v>6785</v>
      </c>
      <c r="E4" s="19">
        <f>T_materiales[[#This Row],[PRECIO]]*T_materiales[[#This Row],[CANTIDAD]]</f>
        <v>3297510</v>
      </c>
    </row>
    <row r="5" spans="1:6" x14ac:dyDescent="0.3">
      <c r="A5" t="s">
        <v>52</v>
      </c>
      <c r="B5" s="18" t="s">
        <v>39</v>
      </c>
      <c r="C5" s="19">
        <v>72500</v>
      </c>
      <c r="D5" s="29">
        <v>8586</v>
      </c>
      <c r="E5" s="19">
        <f>T_materiales[[#This Row],[PRECIO]]*T_materiales[[#This Row],[CANTIDAD]]</f>
        <v>622485000</v>
      </c>
    </row>
    <row r="6" spans="1:6" x14ac:dyDescent="0.3">
      <c r="A6" t="s">
        <v>40</v>
      </c>
      <c r="B6" s="18" t="s">
        <v>41</v>
      </c>
      <c r="C6" s="19">
        <v>100000</v>
      </c>
      <c r="D6" s="29">
        <v>1480</v>
      </c>
      <c r="E6" s="19">
        <f>T_materiales[[#This Row],[PRECIO]]*T_materiales[[#This Row],[CANTIDAD]]</f>
        <v>148000000</v>
      </c>
    </row>
    <row r="7" spans="1:6" x14ac:dyDescent="0.3">
      <c r="E7" s="19">
        <f>T_materiales[[#This Row],[PRECIO]]*T_materiales[[#This Row],[CANTIDAD]]</f>
        <v>0</v>
      </c>
    </row>
    <row r="8" spans="1:6" x14ac:dyDescent="0.3">
      <c r="A8" s="60" t="s">
        <v>18</v>
      </c>
      <c r="B8" s="27"/>
      <c r="C8" s="28"/>
      <c r="D8" s="31"/>
      <c r="E8" s="61">
        <f>SUBTOTAL(109,T_materiales[TOTAL])</f>
        <v>2194222510</v>
      </c>
    </row>
  </sheetData>
  <mergeCells count="1">
    <mergeCell ref="A1:E1"/>
  </mergeCells>
  <pageMargins left="0.7" right="0.7" top="0.75" bottom="0.75" header="0.3" footer="0.3"/>
  <pageSetup paperSize="9" fitToHeight="0" orientation="portrait" cellComments="atEnd" r:id="rId1"/>
  <colBreaks count="1" manualBreakCount="1">
    <brk id="5" max="1048575" man="1"/>
  </colBreaks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183BD-DCD0-44AB-943A-67C9C309A6CB}">
  <sheetPr codeName="Hoja6"/>
  <dimension ref="A2:A4"/>
  <sheetViews>
    <sheetView workbookViewId="0">
      <selection activeCell="A5" sqref="A5"/>
    </sheetView>
  </sheetViews>
  <sheetFormatPr baseColWidth="10" defaultRowHeight="14.4" x14ac:dyDescent="0.3"/>
  <sheetData>
    <row r="2" spans="1:1" x14ac:dyDescent="0.3">
      <c r="A2" t="s">
        <v>44</v>
      </c>
    </row>
    <row r="3" spans="1:1" x14ac:dyDescent="0.3">
      <c r="A3" t="s">
        <v>46</v>
      </c>
    </row>
    <row r="4" spans="1:1" x14ac:dyDescent="0.3">
      <c r="A4" t="s">
        <v>57</v>
      </c>
    </row>
  </sheetData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duplicar_32" Type="http://schemas.openxmlformats.org/officeDocument/2006/relationships/image" Target="images/duplicar_32.png"/><Relationship Id="duplicar_16" Type="http://schemas.openxmlformats.org/officeDocument/2006/relationships/image" Target="images/duplicar_16.png"/><Relationship Id="copiar_16" Type="http://schemas.openxmlformats.org/officeDocument/2006/relationships/image" Target="images/copiar_16.png"/><Relationship Id="buscar_32" Type="http://schemas.openxmlformats.org/officeDocument/2006/relationships/image" Target="images/buscar_32.png"/><Relationship Id="buscar_16" Type="http://schemas.openxmlformats.org/officeDocument/2006/relationships/image" Target="images/buscar_16.png"/><Relationship Id="materiales_32" Type="http://schemas.openxmlformats.org/officeDocument/2006/relationships/image" Target="images/materiales_32.png"/><Relationship Id="pegar_16" Type="http://schemas.openxmlformats.org/officeDocument/2006/relationships/image" Target="images/pegar_16.png"/><Relationship Id="nuevo_16" Type="http://schemas.openxmlformats.org/officeDocument/2006/relationships/image" Target="images/nuevo_16.png"/><Relationship Id="analisis_16" Type="http://schemas.openxmlformats.org/officeDocument/2006/relationships/image" Target="images/analisis_16.png"/><Relationship Id="analisis_32" Type="http://schemas.openxmlformats.org/officeDocument/2006/relationships/image" Target="images/analisis_32.png"/><Relationship Id="actualizar2_32" Type="http://schemas.openxmlformats.org/officeDocument/2006/relationships/image" Target="images/actualizar2_32.png"/><Relationship Id="guardar_32" Type="http://schemas.openxmlformats.org/officeDocument/2006/relationships/image" Target="images/guardar_32.png"/><Relationship Id="guardar_16" Type="http://schemas.openxmlformats.org/officeDocument/2006/relationships/image" Target="images/guardar_16.png"/><Relationship Id="ocultar_16" Type="http://schemas.openxmlformats.org/officeDocument/2006/relationships/image" Target="images/ocultar_16.png"/><Relationship Id="nuevo_32" Type="http://schemas.openxmlformats.org/officeDocument/2006/relationships/image" Target="images/nuevo_32.png"/><Relationship Id="ocultar_32" Type="http://schemas.openxmlformats.org/officeDocument/2006/relationships/image" Target="images/ocultar_32.png"/><Relationship Id="cargar_16" Type="http://schemas.openxmlformats.org/officeDocument/2006/relationships/image" Target="images/cargar_16.png"/><Relationship Id="cargar_32" Type="http://schemas.openxmlformats.org/officeDocument/2006/relationships/image" Target="images/cargar_32.png"/><Relationship Id="menos_16" Type="http://schemas.openxmlformats.org/officeDocument/2006/relationships/image" Target="images/menos_16.png"/><Relationship Id="editar_16" Type="http://schemas.openxmlformats.org/officeDocument/2006/relationships/image" Target="images/editar_16.png"/><Relationship Id="resumen_32" Type="http://schemas.openxmlformats.org/officeDocument/2006/relationships/image" Target="images/resumen_32.png"/><Relationship Id="eliminar_16" Type="http://schemas.openxmlformats.org/officeDocument/2006/relationships/image" Target="images/eliminar_16.png"/><Relationship Id="resumen_16" Type="http://schemas.openxmlformats.org/officeDocument/2006/relationships/image" Target="images/resumen_16.png"/><Relationship Id="eliminar_32" Type="http://schemas.openxmlformats.org/officeDocument/2006/relationships/image" Target="images/eliminar_32.png"/><Relationship Id="mas_32" Type="http://schemas.openxmlformats.org/officeDocument/2006/relationships/image" Target="images/mas_32.png"/><Relationship Id="menos_32" Type="http://schemas.openxmlformats.org/officeDocument/2006/relationships/image" Target="images/menos_32.png"/><Relationship Id="mas_16" Type="http://schemas.openxmlformats.org/officeDocument/2006/relationships/image" Target="images/mas_16.png"/><Relationship Id="actualizar_32" Type="http://schemas.openxmlformats.org/officeDocument/2006/relationships/image" Target="images/actualizar_32.png"/><Relationship Id="actualizar_16" Type="http://schemas.openxmlformats.org/officeDocument/2006/relationships/image" Target="images/actualizar_16.png"/><Relationship Id="guardar2_32" Type="http://schemas.openxmlformats.org/officeDocument/2006/relationships/image" Target="images/guardar2_32.png"/></Relationships>
</file>

<file path=customUI/customUI14.xml><?xml version="1.0" encoding="utf-8"?>
<customUI xmlns="http://schemas.microsoft.com/office/2009/07/customui" onLoad="Módulo11_RIBBON.alcargarRibbon">
  <ribbon startFromScratch="false">
    <tabs>
      <tab id="presupuesto" label="S5S Presupuestos">
        <group id="grupoinsumos" label="INSUMOS">
          <button id="botmasfilasins" label="Insertar fila" size="normal" image="mas_32" onAction="Módulo02_INSUMOS.InsMasFilas" getEnabled="Módulo11_RIBBON.hojainsumos" screentip="Insertar filas" supertip="Crea una nueva fila en la tabla de insumos."/>
          <button id="botmenosfilasins" label="Eliminar fila" size="normal" image="menos_32" onAction="Módulo02_INSUMOS.InsMenosFilas" getEnabled="Módulo11_RIBBON.hojainsumos" screentip="Eliminar filas" supertip="Elimina una fila en la tabla de insumos."/>
          <button id="botEditDesc" label="Editar Desc" size="normal" image="editar_16" onAction="Módulo02_INSUMOS.InsActualizaInsumo" getEnabled="Módulo11_RIBBON.hojainsumos" screentip="Editar Descripción" supertip="Edita la descripción de una fila."/>
        </group>
        <group id="grupoapu" label="A.P.U">
          <button id="botnuevoapu2" label="Nuevo APU." size="large" image="nuevo_32" onAction="Módulo03_APU.ApuNuevoApu" getEnabled="Módulo11_RIBBON.hojaapu" screentip="Nueva tabla A.P.U" supertip="Crea una nueva tabla de A.P.U."/>
          <button id="boteliminaapu2" label="Eliminar APU." size="large" image="eliminar_32" onAction="Módulo03_APU.CH2M2" getEnabled="Módulo11_RIBBON.hojaapu" screentip="Eliminar tabla A.P.U." supertip="Elimina la tabla A.P.U. seleccionada."/>
          <button id="botmasfilas2" label="fila" size="normal" image="mas_16" onAction="Módulo03_APU.GR1M3" getEnabled="Módulo11_RIBBON.hojaapu" screentip="Insertar filas" supertip="Crea una nueva fila en la tabla A.P.U. seleccionada."/>
          <button id="botmenosfilas2" label="fila" size="normal" image="menos_16" onAction="Módulo03_APU.GR1M10" getEnabled="Módulo11_RIBBON.hojaapu" screentip="Eliminar filas" supertip="Elimina una fila en la tabla A.P.U. seleccionada."/>
          <button id="botactualizar2" label="listas" size="normal" image="actualizar_16" onAction="Módulo03_APU.GR1M7" getEnabled="Módulo11_RIBBON.hojaapu" screentip="Actualizar listado" supertip="Crea una nueva lista con las tablas A.P.U. existentes."/>
          <button id="botcopiarapu" label="Copiar APU" size="normal" image="copiar_16" onAction="Módulo001_APUSPRUEBA.copiarapu" getEnabled="Módulo11_RIBBON.hojaapu" screentip="Copiar APU" supertip="Copiar APU seleccionado."/>
          <button id="botpegarapu" label="Pegar APU" size="normal" image="pegar_16" onAction="Módulo001_APUSPRUEBA.pegarapu" getEnabled="Módulo11_RIBBON.hojaapu" screentip="Pegar APU" supertip="Pegar APU seleccionado."/>
          <separator id="separador3"/>
          <button id="botbuscar2" label="Buscar insumo" size="normal" image="buscar_16" onAction="Módulo03_APU.GR1M5" getEnabled="Módulo11_RIBBON.hojaapu" screentip="Buscar insumo" supertip="Ubica el insumo seleccionado."/>
          <button id="botanalisis2" label="Incidencia" size="normal" image="analisis_16" onAction="Módulo03_APU.CH2M8" getEnabled="Módulo11_RIBBON.hojaapu" screentip="Incidencia" supertip="Crea las tablas y gráficos de análisis de datos para la tabla A.P.U. seleccionada."/>
          <button id="botocultar2" label="Ocultar Incidencia" size="normal" image="ocultar_16" onAction="Módulo03_APU.GR1M9" getEnabled="Módulo11_RIBBON.hojaapu" screentip="Ocultar Incidencia" supertip="Elimina los elementos de análisis de datos en la hoja."/>
        </group>
        <group id="grupopresupuesto" label="PRESUPUESTO">
          <button id="botnuevocapitulo" label="Nuevo capítulo" size="large" image="nuevo_32" onAction="Módulo08_PRESUPUESTO.CH6M1" getEnabled="Módulo11_RIBBON.hojapresupuestos" screentip="Nueva tabla capítulo" supertip="Crea una nueva tabla tipo capítulo."/>
          <button id="boteliminacapitulo" label="Eliminar capítulo" size="large" image="eliminar_32" onAction="Módulo08_PRESUPUESTO.CH6M8" getEnabled="Módulo11_RIBBON.hojapresupuestos" screentip="Eliminar tabla capítulo" supertip="Elimina la tabla capítulo seleccionada."/>
          <button id="botmasfilas3" label="fila" size="normal" image="mas_16" onAction="Módulo08_PRESUPUESTO.CH6M9" getEnabled="Módulo11_RIBBON.hojapresupuestos" screentip="Insertar filas" supertip="Crea una nueva fila en la tabla capítulo seleccionada."/>
          <button id="botmenosfilas3" label="fila" size="normal" image="menos_16" onAction="Módulo08_PRESUPUESTO.CH6M10" getEnabled="Módulo11_RIBBON.hojapresupuestos" screentip="Eliminar filas" supertip="Elimina una fila en la tabla capítulo seleccionada."/>
          <separator id="separador5"/>
          <button id="botbuscar3" label="Buscar A.P.U." size="normal" image="buscar_16" onAction="Módulo08_PRESUPUESTO.CH6M11" getEnabled="Módulo11_RIBBON.hojapresupuestos" screentip="Buscar A.P.U" supertip="Ubica la tabla A.P.U. seleccionada."/>
          <button id="botanalisis3" label="Incidencia" size="normal" image="analisis_16" onAction="Módulo08_PRESUPUESTO.CH6M12" getEnabled="Módulo11_RIBBON.hojapresupuestos" screentip="Incidencia" supertip="Crea las tablas y gráficos de análisis de datos para la hoja presupuesto."/>
          <button id="botocultar3" label="Ocultar Incidencia" size="normal" image="ocultar_16" onAction="Módulo08_PRESUPUESTO.CH6M13" getEnabled="Módulo11_RIBBON.hojapresupuestos" screentip="Ocultar Incidencia" supertip="Elimina los elementos de análisis de datos en la hoja presupuesto."/>
        </group>
        <group id="grupolistados" label="LISTAS A.P.U.">
          <button id="botonbuscarapulist" label="Buscar A.P.U." size="large" image="buscar_32" onAction="Módulo03_APU.GR2M1" getEnabled="Módulo11_RIBBON.hojalistaapus" screentip="Buscar A.P.U." supertip="Ubica la tabla A.P.U. seleccionada en la lista."/>
        </group>
        <group id="grupomateriales" label="CANTIDADES">
          <button id="botonmateriales" label="Cantidad de Materiales" size="large" image="materiales_32" onAction="Módulo12_MATERIALES.CH8M1" getEnabled="Módulo11_RIBBON.hojamateriales" screentip="Cantidad de materiales" supertip="Calcula la cantidad de cada insumo usado en el proyecto."/>
        </group>
        <group id="grupoguardar" label="ARCHIVO">
          <button id="botactutodo" label="Actualizar proyecto" size="large" image="actualizar2_32" onAction="Módulo10_GUARDAR.CH7M1" screentip="Actualizar proyecto" supertip="Actualiza todas las referencias del proyecto."/>
          <separator id="separador6"/>
          <button id="botgrapido" label="Guardar" size="large" image="guardar_32" onAction="Módulo10_GUARDAR.CH6M32" screentip="Guardar rápido" supertip="Guardar progreso."/>
          <button id="botguardar" label="Guardar como" size="large" image="guardar2_32" onAction="Módulo10_GUARDAR.CH6M28" screentip="Guardar como" supertip="Guarda una copia del proyecto en la ubicación seleccionada."/>
          <button id="botcargar" label="Cargar" size="large" image="cargar_32" onAction="Módulo10_GUARDAR.CH6M29" screentip="Cargar copia" supertip="Cierra el proyecto actual y carga una copia seleccionada."/>
          <button id="botexportar" label="Exportar resumen" size="large" image="resumen_32" onAction="Módulo09_RESUMEN.CH6M21" screentip="Exportar resumen" supertip="Crea un resumen de los A.P.U. y presupuesto en un archivo nuevo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10</vt:i4>
      </vt:variant>
    </vt:vector>
  </HeadingPairs>
  <TitlesOfParts>
    <vt:vector size="18" baseType="lpstr">
      <vt:lpstr>INSUMOS</vt:lpstr>
      <vt:lpstr>BÁSICOS</vt:lpstr>
      <vt:lpstr>APU</vt:lpstr>
      <vt:lpstr>PRESUPUESTO</vt:lpstr>
      <vt:lpstr>LISTA_BÁSICOS</vt:lpstr>
      <vt:lpstr>LISTA_APU</vt:lpstr>
      <vt:lpstr>MATERIALES</vt:lpstr>
      <vt:lpstr>Bugs</vt:lpstr>
      <vt:lpstr>ACTIVIDADES</vt:lpstr>
      <vt:lpstr>BÁSICOS</vt:lpstr>
      <vt:lpstr>BD_APUS</vt:lpstr>
      <vt:lpstr>BD_APUS_B</vt:lpstr>
      <vt:lpstr>EQUIPOS</vt:lpstr>
      <vt:lpstr>MANO_DE_OBRA</vt:lpstr>
      <vt:lpstr>MATERIALES</vt:lpstr>
      <vt:lpstr>OTROS</vt:lpstr>
      <vt:lpstr>SUBCONTRATOS</vt:lpstr>
      <vt:lpstr>TRANSPORTE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- Ciao -</dc:title>
  <dc:creator/>
  <cp:lastModifiedBy/>
  <dcterms:created xsi:type="dcterms:W3CDTF">2006-09-16T00:00:00Z</dcterms:created>
  <dcterms:modified xsi:type="dcterms:W3CDTF">2024-09-27T17:41:15Z</dcterms:modified>
</cp:coreProperties>
</file>