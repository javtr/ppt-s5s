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a4fc35ed2b1480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004C8670-C482-430E-85DF-FE29DB170BEC}" xr6:coauthVersionLast="47" xr6:coauthVersionMax="47" xr10:uidLastSave="{00000000-0000-0000-0000-000000000000}"/>
  <workbookProtection workbookAlgorithmName="SHA-512" workbookHashValue="2leMPptWgGc0bWR+WowGWwK1AjY506Uo3PRuO8aFKLEdXpd43dzQk7sr1T/P1xzs8vJSuJsdLGNp03bVr+mG2A==" workbookSaltValue="qWURcjhVNe6d0iCTymvL7g==" workbookSpinCount="100000" lockStructure="1"/>
  <bookViews>
    <workbookView xWindow="6288" yWindow="372" windowWidth="17280" windowHeight="8880" tabRatio="681" firstSheet="1" activeTab="2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</sheets>
  <definedNames>
    <definedName name="ACTIVIDADES">T_act[DESCRIPCIÓN]</definedName>
    <definedName name="_xlnm.Print_Area" localSheetId="0">INSUMOS!$A$3:$E$13,INSUMOS!$G$3:$K$11,INSUMOS!$M$3:$Q$10,INSUMOS!$S$3:$W$9,INSUMOS!$Y$3:$AC$8,INSUMOS!$AE$3:$AI$7,INSUMOS!$AK$3:$AO$6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_apu">#REF!</definedName>
    <definedName name="tab_apu">#REF!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03" l="1"/>
  <c r="H15" i="103" s="1"/>
  <c r="E14" i="103"/>
  <c r="H14" i="103" s="1"/>
  <c r="E13" i="103"/>
  <c r="H13" i="103"/>
  <c r="E15" i="102"/>
  <c r="H15" i="102"/>
  <c r="E14" i="102"/>
  <c r="H14" i="102"/>
  <c r="E13" i="102"/>
  <c r="H13" i="102"/>
  <c r="H16" i="102"/>
  <c r="E23" i="102"/>
  <c r="H23" i="102"/>
  <c r="E22" i="102"/>
  <c r="H22" i="102"/>
  <c r="E21" i="102"/>
  <c r="H21" i="102"/>
  <c r="E7" i="102"/>
  <c r="H7" i="102" s="1"/>
  <c r="E6" i="102"/>
  <c r="H6" i="102" s="1"/>
  <c r="E5" i="102"/>
  <c r="H5" i="102" s="1"/>
  <c r="E7" i="103"/>
  <c r="H7" i="103" s="1"/>
  <c r="E6" i="103"/>
  <c r="H6" i="103" s="1"/>
  <c r="E5" i="103"/>
  <c r="H5" i="103" s="1"/>
  <c r="D4" i="4"/>
  <c r="C4" i="4"/>
  <c r="B4" i="4"/>
  <c r="D3" i="4"/>
  <c r="C3" i="4"/>
  <c r="B3" i="4"/>
  <c r="D3" i="10"/>
  <c r="C3" i="10"/>
  <c r="B3" i="10"/>
  <c r="C15" i="104"/>
  <c r="B15" i="104"/>
  <c r="H9" i="104"/>
  <c r="H8" i="104"/>
  <c r="H7" i="104"/>
  <c r="H6" i="104"/>
  <c r="H10" i="104" s="1"/>
  <c r="E15" i="104" s="1"/>
  <c r="H5" i="104"/>
  <c r="H16" i="103" l="1"/>
  <c r="H24" i="102"/>
  <c r="H8" i="103"/>
  <c r="H8" i="102"/>
  <c r="E3" i="4"/>
  <c r="E4" i="4"/>
  <c r="E3" i="10"/>
  <c r="E18" i="104"/>
  <c r="E4" i="106"/>
  <c r="E24" i="104" l="1"/>
  <c r="E25" i="104" s="1"/>
  <c r="E23" i="104"/>
  <c r="E22" i="104"/>
  <c r="E26" i="104" s="1"/>
  <c r="E28" i="104" s="1"/>
  <c r="D15" i="104"/>
</calcChain>
</file>

<file path=xl/sharedStrings.xml><?xml version="1.0" encoding="utf-8"?>
<sst xmlns="http://schemas.openxmlformats.org/spreadsheetml/2006/main" count="145" uniqueCount="42">
  <si>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</si>
  <si>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</si>
  <si>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</si>
  <si>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</si>
  <si>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</si>
  <si>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</si>
  <si>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</si>
  <si>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</si>
  <si>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</si>
  <si>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</si>
  <si>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</si>
  <si>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</si>
  <si>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</si>
  <si>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</si>
  <si>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</si>
  <si>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</si>
  <si>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</si>
  <si>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</si>
  <si>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</si>
  <si>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</si>
  <si>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</si>
  <si>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</si>
  <si>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</si>
  <si>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</si>
  <si>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</si>
  <si>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</si>
  <si>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</si>
  <si>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</si>
  <si>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</si>
  <si>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</si>
  <si>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</si>
  <si>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</si>
  <si>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</si>
  <si>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</si>
  <si>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</si>
  <si>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</si>
  <si>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</si>
  <si>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</si>
  <si>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</si>
  <si>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</si>
  <si>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cemento</t>
  </si>
  <si>
    <t>NOMBRE A.P.U. BÁSICO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</si>
</sst>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\ _€_-;\-* #,##0\ _€_-;_-* &quot;-&quot;\ _€_-;_-@_-"/>
    <numFmt numFmtId="165" formatCode="#,##0.00_ ;\-#,##0.0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scheme val="minor"/>
    </font>
    <font>
      <b/>
      <sz val="18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</fills>
  <borders count="20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107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10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0" fillId="0" borderId="0" xfId="0" applyNumberFormat="1"/>
    <xf numFmtId="0" fontId="8" fillId="0" borderId="0" xfId="9"/>
    <xf numFmtId="0" fontId="7" fillId="0" borderId="0" xfId="11"/>
    <xf numFmtId="0" fontId="10" fillId="2" borderId="0" xfId="0" applyFont="1" applyFill="1"/>
    <xf numFmtId="164" fontId="10" fillId="2" borderId="0" xfId="0" applyNumberFormat="1" applyFont="1" applyFill="1"/>
    <xf numFmtId="9" fontId="6" fillId="0" borderId="0" xfId="13" applyFont="1" applyAlignment="1">
      <alignment horizontal="center"/>
    </xf>
    <xf numFmtId="0" fontId="9" fillId="0" borderId="13" xfId="9" applyFont="1" applyBorder="1" applyAlignment="1">
      <alignment horizontal="left" vertical="top"/>
    </xf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9" fillId="0" borderId="0" xfId="9" applyFont="1"/>
    <xf numFmtId="0" fontId="2" fillId="0" borderId="0" xfId="11" applyFont="1"/>
    <xf numFmtId="0" fontId="9" fillId="0" borderId="0" xfId="9" applyFont="1" applyAlignment="1">
      <alignment vertical="center"/>
    </xf>
    <xf numFmtId="41" fontId="8" fillId="0" borderId="0" xfId="9" applyNumberFormat="1"/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164" fontId="2" fillId="0" borderId="14" xfId="11" applyNumberFormat="1" applyFont="1" applyBorder="1" applyAlignment="1">
      <alignment horizontal="left" vertical="top"/>
    </xf>
    <xf numFmtId="164" fontId="2" fillId="0" borderId="0" xfId="11" applyNumberFormat="1" applyFont="1"/>
    <xf numFmtId="41" fontId="7" fillId="0" borderId="0" xfId="11" applyNumberFormat="1"/>
    <xf numFmtId="0" fontId="8" fillId="0" borderId="0" xfId="9" applyAlignment="1">
      <alignment horizontal="center" vertical="center"/>
    </xf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0" xfId="0" applyNumberFormat="1"/>
    <xf numFmtId="0" fontId="8" fillId="0" borderId="0" xfId="9" applyNumberFormat="1"/>
    <xf numFmtId="0" fontId="8" fillId="0" borderId="0" xfId="0" applyNumberFormat="1" applyFont="1" applyFill="1" applyBorder="1" applyAlignment="1" applyProtection="1"/>
    <xf numFmtId="0" fontId="7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vertical="center"/>
    </xf>
    <xf numFmtId="0" fontId="9" fillId="0" borderId="0" xfId="0" applyNumberFormat="1" applyFont="1" applyFill="1" applyBorder="1" applyAlignment="1" applyProtection="1"/>
    <xf numFmtId="41" fontId="8" fillId="0" borderId="0" xfId="0" applyNumberFormat="1" applyFont="1" applyFill="1" applyBorder="1" applyAlignment="1" applyProtection="1"/>
    <xf numFmtId="41" fontId="2" fillId="0" borderId="0" xfId="0" applyNumberFormat="1" applyFont="1" applyFill="1" applyBorder="1" applyAlignment="1" applyProtection="1"/>
    <xf numFmtId="41" fontId="6" fillId="0" borderId="0" xfId="0" applyNumberFormat="1" applyFont="1" applyFill="1" applyAlignment="1">
      <alignment horizontal="left"/>
    </xf>
    <xf numFmtId="0" fontId="0" fillId="0" borderId="11" xfId="0" applyBorder="1"/>
    <xf numFmtId="0" fontId="0" fillId="0" borderId="18" xfId="0" applyBorder="1"/>
    <xf numFmtId="0" fontId="0" fillId="0" borderId="12" xfId="0" applyBorder="1"/>
    <xf numFmtId="0" fontId="8" fillId="0" borderId="13" xfId="9" applyBorder="1"/>
    <xf numFmtId="0" fontId="7" fillId="0" borderId="19" xfId="11" applyBorder="1"/>
    <xf numFmtId="0" fontId="8" fillId="0" borderId="19" xfId="9" applyBorder="1" applyAlignment="1">
      <alignment vertical="center"/>
    </xf>
    <xf numFmtId="0" fontId="8" fillId="0" borderId="19" xfId="9" applyBorder="1"/>
    <xf numFmtId="164" fontId="7" fillId="0" borderId="14" xfId="11" applyNumberFormat="1" applyBorder="1"/>
    <xf numFmtId="41" fontId="7" fillId="0" borderId="0" xfId="0" applyNumberFormat="1" applyFont="1" applyFill="1" applyBorder="1" applyAlignment="1" applyProtection="1"/>
    <xf numFmtId="0" fontId="11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1" fillId="3" borderId="0" xfId="0" applyFont="1" applyFill="1" applyAlignment="1">
      <alignment horizontal="center" vertical="center"/>
    </xf>
    <xf numFmtId="0" fontId="2" fillId="0" borderId="15" xfId="11" applyFont="1" applyBorder="1" applyAlignment="1">
      <alignment horizontal="left" vertical="top"/>
    </xf>
    <xf numFmtId="0" fontId="2" fillId="0" borderId="16" xfId="11" applyFont="1" applyBorder="1" applyAlignment="1">
      <alignment horizontal="left" vertical="top"/>
    </xf>
    <xf numFmtId="0" fontId="2" fillId="0" borderId="17" xfId="11" applyFont="1" applyBorder="1" applyAlignment="1">
      <alignment horizontal="left" vertical="top"/>
    </xf>
    <xf numFmtId="41" fontId="11" fillId="3" borderId="0" xfId="0" applyNumberFormat="1" applyFont="1" applyFill="1" applyAlignment="1">
      <alignment horizontal="center" vertical="center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0" fontId="11" fillId="0" borderId="0" xfId="0" applyFont="1" applyFill="1" applyAlignment="1">
      <alignment horizontal="center" vertical="center"/>
    </xf>
    <xf numFmtId="164" fontId="0" fillId="0" borderId="18" xfId="0" applyNumberFormat="1" applyBorder="1"/>
    <xf numFmtId="164" fontId="0" fillId="0" borderId="12" xfId="0" applyNumberFormat="1" applyBorder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41"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40"/>
      <tableStyleElement type="headerRow" dxfId="139"/>
    </tableStyle>
    <tableStyle name="S5S Green" pivot="0" count="2" xr9:uid="{00000000-0011-0000-FFFF-FFFF02000000}">
      <tableStyleElement type="wholeTable" dxfId="138"/>
      <tableStyleElement type="headerRow" dxfId="137"/>
    </tableStyle>
    <tableStyle name="S5S Greenblue" pivot="0" count="2" xr9:uid="{00000000-0011-0000-FFFF-FFFF03000000}">
      <tableStyleElement type="wholeTable" dxfId="136"/>
      <tableStyleElement type="headerRow" dxfId="135"/>
    </tableStyle>
    <tableStyle name="S5S2" pivot="0" count="2" xr9:uid="{00000000-0011-0000-FFFF-FFFF04000000}">
      <tableStyleElement type="wholeTable" dxfId="134"/>
      <tableStyleElement type="headerRow" dxfId="133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F4120EB6-ECA4-4F57-A23F-FE9B826CE76D}" name="T_mat" displayName="T_mat" ref="A4:E13" totalsRowShown="0" headerRowDxfId="132">
  <autoFilter ref="A4:E13" xr:uid="{F4120EB6-ECA4-4F57-A23F-FE9B826CE76D}"/>
  <sortState xmlns:xlrd2="http://schemas.microsoft.com/office/spreadsheetml/2017/richdata2" ref="A5:E91">
    <sortCondition ref="A3:A90"/>
  </sortState>
  <tableColumns count="5">
    <tableColumn id="1" xr3:uid="{F9C18923-EFC9-4A76-826C-F43D152EAF7E}" name="DESCRIPCIÓN" dataDxfId="131"/>
    <tableColumn id="2" xr3:uid="{AB928117-3A66-4BCA-8762-845DD99C5482}" name="CÓDIGO" dataDxfId="130"/>
    <tableColumn id="3" xr3:uid="{6BF16BE8-4A47-4C40-B67C-39C9099A111B}" name="UNIDAD" dataDxfId="129"/>
    <tableColumn id="4" xr3:uid="{71482479-7FDE-4F55-95B1-FB08822E9AB2}" name="PRECIO" dataDxfId="128"/>
    <tableColumn id="5" xr3:uid="{7E8EB704-760B-4170-B6BB-A1CDEE560604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5B9190B0-B752-46E3-80F8-BE5A7E24BD29}" name="T_equipos" displayName="T_equipos" ref="G4:K11" totalsRowShown="0" headerRowDxfId="127">
  <autoFilter ref="G4:K11" xr:uid="{5B9190B0-B752-46E3-80F8-BE5A7E24BD29}"/>
  <tableColumns count="5">
    <tableColumn id="1" xr3:uid="{13C2E315-417C-4800-A8F5-16B5CB429BB1}" name="DESCRIPCIÓN" dataDxfId="126"/>
    <tableColumn id="2" xr3:uid="{F3F04FBC-70DE-4419-8D29-5CF658AC4656}" name="CÓDIGO" dataDxfId="125"/>
    <tableColumn id="3" xr3:uid="{9FBE096F-5E37-43E9-BE6D-38A50F51CC5D}" name="UNIDAD" dataDxfId="124"/>
    <tableColumn id="4" xr3:uid="{C4FBBC91-D58E-49AF-A1E3-460BA2D14AAA}" name="PRECIO" dataDxfId="123"/>
    <tableColumn id="5" xr3:uid="{142C52F1-9383-4E0E-AABD-4812414F1135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11DAA87F-5B99-4CF8-9EE0-EF0D52121994}" name="T_mano" displayName="T_mano" ref="M4:Q11" totalsRowShown="0" headerRowDxfId="122">
  <autoFilter ref="M4:Q11" xr:uid="{11DAA87F-5B99-4CF8-9EE0-EF0D52121994}"/>
  <sortState xmlns:xlrd2="http://schemas.microsoft.com/office/spreadsheetml/2017/richdata2" ref="M5:Q19">
    <sortCondition ref="N4"/>
  </sortState>
  <tableColumns count="5">
    <tableColumn id="1" xr3:uid="{5894FAED-B981-4BAD-B4DA-409DB57C6CDB}" name="DESCRIPCIÓN" dataDxfId="121"/>
    <tableColumn id="2" xr3:uid="{63C76935-AE39-4044-B5D4-423F277597FD}" name="CÓDIGO" dataDxfId="120"/>
    <tableColumn id="3" xr3:uid="{410417DD-9D95-447B-B6C3-48EAF7E20AA3}" name="UNIDAD" dataDxfId="119"/>
    <tableColumn id="4" xr3:uid="{00B35FB4-4262-4415-A2A7-130BB6998478}" name="PRECIO" dataDxfId="118"/>
    <tableColumn id="5" xr3:uid="{E3823583-966C-4CA4-84FD-F84D3013AAA9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CBDBED94-7E27-4AED-A432-79485D486F80}" name="T_trans" displayName="T_trans" ref="S4:W11" totalsRowShown="0" headerRowDxfId="117">
  <autoFilter ref="S4:W11" xr:uid="{CBDBED94-7E27-4AED-A432-79485D486F80}"/>
  <sortState xmlns:xlrd2="http://schemas.microsoft.com/office/spreadsheetml/2017/richdata2" ref="S5:W15">
    <sortCondition ref="T4:T15"/>
  </sortState>
  <tableColumns count="5">
    <tableColumn id="1" xr3:uid="{809FEC4E-AA8A-49AE-8459-08B7A218DD1D}" name="DESCRIPCIÓN" dataDxfId="116"/>
    <tableColumn id="2" xr3:uid="{B622DE67-7229-49BE-8E66-2A7127EC61CC}" name="CÓDIGO" dataDxfId="115"/>
    <tableColumn id="3" xr3:uid="{E0B40BA5-D4C8-47D6-966A-ACB60EA84422}" name="UNIDAD" dataDxfId="114"/>
    <tableColumn id="4" xr3:uid="{EC715D59-0144-472F-ABA4-312A916A0A4F}" name="PRECIO" dataDxfId="113"/>
    <tableColumn id="5" xr3:uid="{F16E93D5-7277-484B-B554-A31AAC166648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4D0D67D-268D-40D0-9D85-03C001CBDB63}" name="T_sub" displayName="T_sub" ref="Y4:AC11" totalsRowShown="0" headerRowDxfId="112">
  <autoFilter ref="Y4:AC11" xr:uid="{04D0D67D-268D-40D0-9D85-03C001CBDB63}"/>
  <sortState xmlns:xlrd2="http://schemas.microsoft.com/office/spreadsheetml/2017/richdata2" ref="Y5:AC18">
    <sortCondition ref="Z4"/>
  </sortState>
  <tableColumns count="5">
    <tableColumn id="1" xr3:uid="{CCFB6385-711D-4A9A-A041-1A3641B72227}" name="DESCRIPCIÓN" dataDxfId="111"/>
    <tableColumn id="2" xr3:uid="{1D175FB4-9FAC-46FA-B3DD-0EF5BCCDDFAF}" name="CÓDIGO" dataDxfId="110"/>
    <tableColumn id="3" xr3:uid="{7A2D0E70-02AD-4A69-80E2-219D3EB50788}" name="UNIDAD" dataDxfId="109"/>
    <tableColumn id="4" xr3:uid="{91CA978C-BC23-4567-9248-2388C7772019}" name="PRECIO" dataDxfId="108"/>
    <tableColumn id="5" xr3:uid="{F4387914-CDDD-48D9-AE71-8D80847FA551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EB6C47F-5FC7-4F99-9A83-12D759F7BF6A}" name="T_otros" displayName="T_otros" ref="AK4:AO11" totalsRowShown="0" headerRowDxfId="107">
  <autoFilter ref="AK4:AO11" xr:uid="{5EB6C47F-5FC7-4F99-9A83-12D759F7BF6A}"/>
  <sortState xmlns:xlrd2="http://schemas.microsoft.com/office/spreadsheetml/2017/richdata2" ref="AK5:AO18">
    <sortCondition ref="AL4"/>
  </sortState>
  <tableColumns count="5">
    <tableColumn id="1" xr3:uid="{9AE2E51A-E004-4612-B08A-E652B634E9B8}" name="DESCRIPCIÓN" dataDxfId="106"/>
    <tableColumn id="2" xr3:uid="{AC5381CE-A1D4-4F89-BC93-E386C6765069}" name="CÓDIGO" dataDxfId="105"/>
    <tableColumn id="3" xr3:uid="{1B22182B-8A8F-4CE0-B053-56B7CD8D9A09}" name="UNIDAD" dataDxfId="104"/>
    <tableColumn id="4" xr3:uid="{2DFF4140-B4E0-4EA9-A700-9C6AA7EDB80A}" name="PRECIO" dataDxfId="103"/>
    <tableColumn id="5" xr3:uid="{EAD44E17-9B76-424C-AFAF-54D4741339DB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34D3849C-BCA4-420A-A686-B711BDC38126}" name="T_act" displayName="T_act" ref="AE4:AI11" totalsRowShown="0" headerRowDxfId="102">
  <autoFilter ref="AE4:AI11" xr:uid="{34D3849C-BCA4-420A-A686-B711BDC38126}"/>
  <sortState xmlns:xlrd2="http://schemas.microsoft.com/office/spreadsheetml/2017/richdata2" ref="AE5:AI15">
    <sortCondition ref="AE4:AE15"/>
  </sortState>
  <tableColumns count="5">
    <tableColumn id="1" xr3:uid="{1B2E9B26-8063-496C-885B-372BC1142D1B}" name="DESCRIPCIÓN" dataDxfId="101"/>
    <tableColumn id="2" xr3:uid="{04BD72A7-AD71-4DEA-BB2B-A236735C0B38}" name="CÓDIGO" dataDxfId="100"/>
    <tableColumn id="3" xr3:uid="{919E8E88-7D7E-4481-A426-49887B4053D4}" name="UNIDAD" dataDxfId="99"/>
    <tableColumn id="4" xr3:uid="{98589C23-B6AD-4142-B2A5-E667511BC4F7}" name="PRECIO" dataDxfId="98"/>
    <tableColumn id="5" xr3:uid="{42D26663-D80C-4F74-BB70-DC2EDB0A7ED5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8E147B-817C-48A7-B95D-9295FE688907}" name="Tabla15" displayName="Tabla15" ref="A4:H8" totalsRowCount="1">
  <autoFilter ref="A4:H7" xr:uid="{1E8E147B-817C-48A7-B95D-9295FE6889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F4354D-7FAB-454C-A0D5-4B97569BD206}" name="TIPO" totalsRowLabel="Total"/>
    <tableColumn id="2" xr3:uid="{53846272-3A1C-467A-8ADB-2C6A0AC769F8}" name="CÓDIGO"/>
    <tableColumn id="3" xr3:uid="{413A5FD6-D529-47B7-B26D-3F2C1096B365}" name="DESCRIPCIÓN"/>
    <tableColumn id="4" xr3:uid="{CB0643B1-0D51-4B8C-B25B-03B21D46A048}" name="UNIDAD" dataDxfId="97"/>
    <tableColumn id="5" xr3:uid="{080832E5-E63C-4758-9DAC-FFCA2B14A71E}" name="FACTOR" dataDxfId="96">
      <calculatedColumnFormula>1</calculatedColumnFormula>
    </tableColumn>
    <tableColumn id="6" xr3:uid="{66AABFB5-AB76-4386-9E15-77CF47AE223E}" name="CANTIDAD" dataDxfId="95"/>
    <tableColumn id="7" xr3:uid="{B529EA79-07F5-4622-B34F-FC2C6FC01592}" name="PRECIO" dataDxfId="94"/>
    <tableColumn id="8" xr3:uid="{5C24CF68-9654-4D72-8A95-8662E615527B}" name="TOTAL" totalsRowFunction="custom" dataDxfId="93">
      <calculatedColumnFormula>Tabla15[[#This Row],[CANTIDAD]]*Tabla15[[#This Row],[PRECIO]]*Tabla15[[#This Row],[FACTOR]]</calculatedColumnFormula>
      <totalsRowFormula>SUM(Tabla15[TOTAL])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A8E1468-CD76-4B74-A3F7-D8C3D7979B3F}" name="Tabla23" displayName="Tabla23" ref="A20:H24" totalsRowCount="1">
  <autoFilter ref="A20:H23" xr:uid="{CA8E1468-CD76-4B74-A3F7-D8C3D7979B3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77C3D8-2E5F-46DC-8EC9-A25423E537B8}" name="TIPO" totalsRowLabel="Total"/>
    <tableColumn id="2" xr3:uid="{D2239BCB-4393-4EE5-8816-485F52C72DC2}" name="CÓDIGO"/>
    <tableColumn id="3" xr3:uid="{FA91451E-0D3C-4CDB-855F-57C03A12B210}" name="DESCRIPCIÓN"/>
    <tableColumn id="4" xr3:uid="{66625D21-8DA1-493D-AFDE-AD961E9BADE8}" name="UNIDAD" dataDxfId="23"/>
    <tableColumn id="5" xr3:uid="{370B80A9-62F9-4C1A-BD84-CC2958282634}" name="FACTOR" dataDxfId="22">
      <calculatedColumnFormula>1</calculatedColumnFormula>
    </tableColumn>
    <tableColumn id="6" xr3:uid="{567FA227-77D9-492B-B763-4902967A4C6D}" name="CANTIDAD" dataDxfId="21"/>
    <tableColumn id="7" xr3:uid="{18537369-68F9-4897-85A3-FF11B239737C}" name="PRECIO" dataDxfId="20"/>
    <tableColumn id="8" xr3:uid="{017B4F83-E43B-4846-8933-3B0AA9DF0CDD}" name="TOTAL" totalsRowFunction="custom" dataDxfId="19">
      <calculatedColumnFormula>Tabla23[[#This Row],[CANTIDAD]]*Tabla23[[#This Row],[PRECIO]]*Tabla23[[#This Row],[FACTOR]]</calculatedColumnFormula>
      <totalsRowFormula>SUM(Tabla23[TOTAL])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595784B-F8B5-4302-973A-F966B13C868C}" name="Tabla24" displayName="Tabla24" ref="A12:H16" totalsRowCount="1">
  <autoFilter ref="A12:H15" xr:uid="{A595784B-F8B5-4302-973A-F966B13C868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79A97A1-C598-4F79-9150-BF1E00A30259}" name="TIPO" totalsRowLabel="Total"/>
    <tableColumn id="2" xr3:uid="{497DF94C-39CC-4EC3-AD19-D2D9B00D6139}" name="CÓDIGO"/>
    <tableColumn id="3" xr3:uid="{A628FE06-BAD3-4999-BD2F-822490EDB325}" name="DESCRIPCIÓN"/>
    <tableColumn id="4" xr3:uid="{3E15A518-AA6C-45D7-A211-45E6B8C6ABC9}" name="UNIDAD" dataDxfId="18"/>
    <tableColumn id="5" xr3:uid="{44C133C8-B041-4CDC-BC1E-B579C01144B5}" name="FACTOR" dataDxfId="17">
      <calculatedColumnFormula>1</calculatedColumnFormula>
    </tableColumn>
    <tableColumn id="6" xr3:uid="{15BD547D-C5D6-4CFB-8CE3-58CB7D9EC182}" name="CANTIDAD" dataDxfId="16"/>
    <tableColumn id="7" xr3:uid="{84604110-CFC4-4870-93FE-52A41E4951BC}" name="PRECIO" dataDxfId="15"/>
    <tableColumn id="8" xr3:uid="{1AF9E1EA-FD26-4103-95EA-1EABDA4B45E7}" name="TOTAL" totalsRowFunction="custom" dataDxfId="14">
      <calculatedColumnFormula>Tabla24[[#This Row],[CANTIDAD]]*Tabla24[[#This Row],[PRECIO]]*Tabla24[[#This Row],[FACTOR]]</calculatedColumnFormula>
      <totalsRowFormula>SUM(Tabla24[TOTAL])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3499F2-D1BA-4C2E-A7B4-32034B6FE502}" name="Tabla8" displayName="Tabla8" ref="A4:H8" totalsRowCount="1" headerRowDxfId="92" headerRowCellStyle="Normal 41" dataCellStyle="Normal 41">
  <autoFilter ref="A4:H7" xr:uid="{403499F2-D1BA-4C2E-A7B4-32034B6FE5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EEF3229-2CBD-4CC1-9D26-517BB828B74C}" name="TIPO" totalsRowLabel="Total" totalsRowDxfId="91" dataCellStyle="Normal 41"/>
    <tableColumn id="2" xr3:uid="{581118AB-B93F-46DB-B518-FA43A47BA528}" name="CÓDIGO" totalsRowDxfId="90" dataCellStyle="Normal 12 3"/>
    <tableColumn id="3" xr3:uid="{B1965483-3DBD-4094-B35E-0D01601E8B9E}" name="DESCRIPCIÓN" dataDxfId="89" totalsRowDxfId="88" dataCellStyle="Normal 41"/>
    <tableColumn id="4" xr3:uid="{CBE3A608-D1CF-4B55-8AA4-EC3EA7A6798C}" name="UNIDAD" dataDxfId="87" totalsRowDxfId="86" dataCellStyle="Normal 41"/>
    <tableColumn id="5" xr3:uid="{7E935AB2-8424-42C4-839E-9AF29C403885}" name="FACTOR" dataDxfId="85" totalsRowDxfId="84" dataCellStyle="Normal 41"/>
    <tableColumn id="6" xr3:uid="{FC266572-124F-4E89-AF0E-B8DAF26C6E4B}" name="CANTIDAD" dataDxfId="83" totalsRowDxfId="82" dataCellStyle="Normal 41"/>
    <tableColumn id="7" xr3:uid="{A485CEF0-B160-4870-A571-2539CC97E989}" name="PRECIO" dataDxfId="81" totalsRowDxfId="80" dataCellStyle="Normal 41"/>
    <tableColumn id="8" xr3:uid="{73C9AC8E-49DB-45E1-BB76-F4456B14F938}" name="TOTAL" totalsRowFunction="custom" dataDxfId="79" totalsRowDxfId="78" dataCellStyle="Normal 12 3"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62557FB-9D22-4721-BE09-B794197C20E0}" name="Tabla27" displayName="Tabla27" ref="A12:H16" totalsRowCount="1" headerRowCellStyle="Normal 41" dataCellStyle="Normal 41">
  <autoFilter ref="A12:H15" xr:uid="{662557FB-9D22-4721-BE09-B794197C20E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F4558F7-67D4-4726-8AE0-B74157A698D4}" name="TIPO" totalsRowLabel="Total" totalsRowDxfId="13" dataCellStyle="Normal 41"/>
    <tableColumn id="2" xr3:uid="{2B3A1C1C-E0D1-48AF-9B91-230BD4DB254A}" name="CÓDIGO" totalsRowDxfId="12" dataCellStyle="Normal 12 3"/>
    <tableColumn id="3" xr3:uid="{FDC786E2-4F6B-45AC-A853-7044D63884C7}" name="DESCRIPCIÓN" dataDxfId="5" totalsRowDxfId="11" dataCellStyle="Normal 41"/>
    <tableColumn id="4" xr3:uid="{1086E1C5-69B5-4B57-BE87-8E186C67632B}" name="UNIDAD" dataDxfId="4" totalsRowDxfId="10" dataCellStyle="Normal 41"/>
    <tableColumn id="5" xr3:uid="{21EDE710-0603-49B8-BF2F-43984FF1FAFD}" name="FACTOR" dataDxfId="3" totalsRowDxfId="9" dataCellStyle="Normal 41">
      <calculatedColumnFormula>1</calculatedColumnFormula>
    </tableColumn>
    <tableColumn id="6" xr3:uid="{6CDCCF55-791F-48CC-B23D-4759C5AA512C}" name="CANTIDAD" dataDxfId="2" totalsRowDxfId="8" dataCellStyle="Normal 41"/>
    <tableColumn id="7" xr3:uid="{B9DB0ED6-95EA-45C4-A959-AC948CC3C15D}" name="PRECIO" dataDxfId="1" totalsRowDxfId="7" dataCellStyle="Normal 41"/>
    <tableColumn id="8" xr3:uid="{482DB4A0-D07D-4EDD-A565-F41CF4F74AF3}" name="TOTAL" totalsRowFunction="custom" dataDxfId="0" totalsRowDxfId="6" dataCellStyle="Normal 12 3">
      <calculatedColumnFormula>Tabla27[[#This Row],[CANTIDAD]]*Tabla27[[#This Row],[PRECIO]]*Tabla27[[#This Row],[FACTOR]]</calculatedColumnFormula>
      <totalsRowFormula>SUM(Tabla27[TOTAL])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30900A7-D39B-4872-9602-43883C922564}" name="Tabla7" displayName="Tabla7" ref="B4:H10" totalsRowCount="1" headerRowDxfId="77" dataDxfId="76">
  <autoFilter ref="B4:H9" xr:uid="{D30900A7-D39B-4872-9602-43883C92256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395F8EA-1705-4C47-B1CE-9277B1D8EF75}" name="CÓDIGO" totalsRowLabel="Total" dataDxfId="75" totalsRowDxfId="74"/>
    <tableColumn id="2" xr3:uid="{E769958C-3E3F-4E00-B3A3-1F37ABB2830C}" name="DESCRIPCIÓN" dataDxfId="73" totalsRowDxfId="72"/>
    <tableColumn id="3" xr3:uid="{5CA17F95-88FD-486E-ADDD-C236F2B6C13F}" name="UNIDAD" dataDxfId="71" totalsRowDxfId="70"/>
    <tableColumn id="4" xr3:uid="{937D8281-632A-4B7A-81DC-B6016231B1C7}" name="FACTOR" dataDxfId="69" totalsRowDxfId="68"/>
    <tableColumn id="5" xr3:uid="{0314D798-7871-4A73-BD17-1914B2508606}" name="CANTIDAD" dataDxfId="67" totalsRowDxfId="66"/>
    <tableColumn id="6" xr3:uid="{CBFC3F17-F73E-4634-8EAD-56FF1D5B2B4A}" name="COSTO" dataDxfId="65" totalsRowDxfId="64"/>
    <tableColumn id="7" xr3:uid="{B3E7B329-E5D8-403D-AC86-CB89B666354B}" name="TOTAL" totalsRowFunction="custom" dataDxfId="63" totalsRowDxfId="62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20F082EE-A75A-4AD1-80EE-C670292780E1}" name="Tabla12" displayName="Tabla12" ref="B14:E18" totalsRowShown="0" headerRowDxfId="61">
  <autoFilter ref="B14:E18" xr:uid="{20F082EE-A75A-4AD1-80EE-C670292780E1}">
    <filterColumn colId="0" hiddenButton="1"/>
    <filterColumn colId="1" hiddenButton="1"/>
    <filterColumn colId="2" hiddenButton="1"/>
    <filterColumn colId="3" hiddenButton="1"/>
  </autoFilter>
  <tableColumns count="4">
    <tableColumn id="1" xr3:uid="{72A16AE9-9589-439B-AFA3-4A412DB58620}" name="CÓD" dataDxfId="60"/>
    <tableColumn id="2" xr3:uid="{FD59EA71-B4F3-49C8-82B1-23F885A19D19}" name="CAPÍTULO" dataDxfId="59"/>
    <tableColumn id="3" xr3:uid="{6606C5D2-665A-4CE5-83B1-B2E79ED579AA}" name="PORCENTAJE" dataDxfId="58"/>
    <tableColumn id="4" xr3:uid="{90F64AD0-29A4-4F22-864D-466EF04943DC}" name="SUBTOTAL" dataDxfId="57"/>
  </tableColumns>
  <tableStyleInfo name="S5S Greenblu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41583D01-43E1-4434-A772-52346F017FA1}" name="Tabla13" displayName="Tabla13" ref="C21:E28" totalsRowShown="0">
  <autoFilter ref="C21:E28" xr:uid="{41583D01-43E1-4434-A772-52346F017FA1}">
    <filterColumn colId="0" hiddenButton="1"/>
    <filterColumn colId="1" hiddenButton="1"/>
    <filterColumn colId="2" hiddenButton="1"/>
  </autoFilter>
  <tableColumns count="3">
    <tableColumn id="1" xr3:uid="{C1E0B82D-AC7E-4610-9740-B2396EFDC897}" name="DESCRIPCIÓN" dataDxfId="56"/>
    <tableColumn id="2" xr3:uid="{AC544CA8-2D36-4142-A18C-89BD8016CA86}" name="PORCENTAJE" dataDxfId="55"/>
    <tableColumn id="3" xr3:uid="{0A4656A0-ECB1-410F-AB26-069FF51C2118}" name="SUBTOTAL" dataDxfId="54"/>
  </tableColumns>
  <tableStyleInfo name="S5S Green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5" totalsRowShown="0" headerRowDxfId="53" dataDxfId="51" headerRowBorderDxfId="52" tableBorderDxfId="50">
  <autoFilter ref="B2:E5" xr:uid="{00000000-0009-0000-0100-00001C000000}"/>
  <sortState xmlns:xlrd2="http://schemas.microsoft.com/office/spreadsheetml/2017/richdata2" ref="B3:E5">
    <sortCondition ref="B2:B5"/>
  </sortState>
  <tableColumns count="4">
    <tableColumn id="1" xr3:uid="{00000000-0010-0000-0C00-000001000000}" name="DESCRIPCIÓN" dataDxfId="49" totalsRowDxfId="48"/>
    <tableColumn id="2" xr3:uid="{00000000-0010-0000-0C00-000002000000}" name="CÓDIGO" totalsRowDxfId="47"/>
    <tableColumn id="3" xr3:uid="{00000000-0010-0000-0C00-000003000000}" name="UNIDAD " totalsRowDxfId="46"/>
    <tableColumn id="4" xr3:uid="{00000000-0010-0000-0C00-000004000000}" name="COSTO" dataDxfId="45" totalsRowDxfId="44"/>
  </tableColumns>
  <tableStyleInfo name="S5S 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43" dataDxfId="42" tableBorderDxfId="41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40" totalsRowDxfId="39"/>
    <tableColumn id="2" xr3:uid="{00000000-0010-0000-0D00-000002000000}" name="CÓDIGO" totalsRowDxfId="38"/>
    <tableColumn id="3" xr3:uid="{00000000-0010-0000-0D00-000003000000}" name="UNIDAD " totalsRowDxfId="37"/>
    <tableColumn id="4" xr3:uid="{00000000-0010-0000-0D00-000004000000}" name="COSTO" dataDxfId="36" totalsRowDxfId="35"/>
  </tableColumns>
  <tableStyleInfo name="S5S 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4" insertRow="1" totalsRowCount="1" headerRowDxfId="34" totalsRowDxfId="33">
  <autoFilter ref="A2:E3" xr:uid="{00000000-0009-0000-0100-000001000000}"/>
  <sortState xmlns:xlrd2="http://schemas.microsoft.com/office/spreadsheetml/2017/richdata2" ref="A3:E73">
    <sortCondition ref="A2:A73"/>
  </sortState>
  <tableColumns count="5">
    <tableColumn id="1" xr3:uid="{00000000-0010-0000-0E00-000001000000}" name="INSUMO" totalsRowLabel="Total" totalsRowDxfId="32"/>
    <tableColumn id="2" xr3:uid="{00000000-0010-0000-0E00-000002000000}" name="UNIDAD" dataDxfId="31" totalsRowDxfId="30"/>
    <tableColumn id="3" xr3:uid="{00000000-0010-0000-0E00-000003000000}" name="PRECIO" dataDxfId="29" totalsRowDxfId="28"/>
    <tableColumn id="4" xr3:uid="{00000000-0010-0000-0E00-000004000000}" name="CANTIDAD" dataDxfId="27" totalsRowDxfId="26"/>
    <tableColumn id="5" xr3:uid="{00000000-0010-0000-0E00-000005000000}" name="TOTAL" totalsRowFunction="sum" dataDxfId="25" totalsRowDxfId="24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A6" sqref="A6"/>
    </sheetView>
  </sheetViews>
  <sheetFormatPr baseColWidth="10" defaultColWidth="8.6640625" defaultRowHeight="14.4" x14ac:dyDescent="0.3"/>
  <cols>
    <col min="1" max="1" width="30.5546875" style="17" customWidth="1"/>
    <col min="2" max="2" width="11.109375" style="17" bestFit="1" customWidth="1"/>
    <col min="3" max="3" width="13.88671875" style="18" bestFit="1" customWidth="1"/>
    <col min="4" max="4" width="11.6640625" style="36" bestFit="1" customWidth="1"/>
    <col min="5" max="5" width="12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43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43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43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43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43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43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92" t="s">
        <v>34</v>
      </c>
      <c r="B1" s="92"/>
      <c r="C1" s="92"/>
      <c r="D1" s="92"/>
      <c r="E1" s="92"/>
    </row>
    <row r="2" spans="1:43" ht="3" customHeight="1" thickBot="1" x14ac:dyDescent="0.35"/>
    <row r="3" spans="1:43" ht="18.600000000000001" thickBot="1" x14ac:dyDescent="0.4">
      <c r="A3" s="93" t="s">
        <v>4</v>
      </c>
      <c r="B3" s="94"/>
      <c r="C3" s="94"/>
      <c r="D3" s="94"/>
      <c r="E3" s="95"/>
      <c r="G3" s="93" t="s">
        <v>5</v>
      </c>
      <c r="H3" s="94"/>
      <c r="I3" s="94"/>
      <c r="J3" s="94"/>
      <c r="K3" s="95"/>
      <c r="M3" s="93" t="s">
        <v>6</v>
      </c>
      <c r="N3" s="94"/>
      <c r="O3" s="94"/>
      <c r="P3" s="94"/>
      <c r="Q3" s="95"/>
      <c r="S3" s="93" t="s">
        <v>7</v>
      </c>
      <c r="T3" s="94"/>
      <c r="U3" s="94"/>
      <c r="V3" s="94"/>
      <c r="W3" s="95"/>
      <c r="Y3" s="93" t="s">
        <v>8</v>
      </c>
      <c r="Z3" s="94"/>
      <c r="AA3" s="94"/>
      <c r="AB3" s="94"/>
      <c r="AC3" s="95"/>
      <c r="AD3" s="18"/>
      <c r="AE3" s="93" t="s">
        <v>9</v>
      </c>
      <c r="AF3" s="94"/>
      <c r="AG3" s="94"/>
      <c r="AH3" s="94"/>
      <c r="AI3" s="95"/>
      <c r="AK3" s="93" t="s">
        <v>10</v>
      </c>
      <c r="AL3" s="94"/>
      <c r="AM3" s="94"/>
      <c r="AN3" s="94"/>
      <c r="AO3" s="95"/>
      <c r="AP3" s="58"/>
      <c r="AQ3" s="58"/>
    </row>
    <row r="4" spans="1:43" ht="15.6" x14ac:dyDescent="0.3">
      <c r="A4" s="20" t="s">
        <v>1</v>
      </c>
      <c r="B4" s="20" t="s">
        <v>0</v>
      </c>
      <c r="C4" s="21" t="s">
        <v>11</v>
      </c>
      <c r="D4" s="59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60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44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44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44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44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44" t="s">
        <v>12</v>
      </c>
      <c r="AO4" s="25" t="s">
        <v>13</v>
      </c>
    </row>
    <row r="5" spans="1:43" ht="15.6" x14ac:dyDescent="0.3">
      <c r="A5" s="20"/>
      <c r="B5" s="20"/>
      <c r="C5" s="21"/>
      <c r="D5" s="59"/>
      <c r="E5" s="61"/>
      <c r="G5" s="20"/>
      <c r="H5" s="20"/>
      <c r="I5" s="21"/>
      <c r="J5" s="59"/>
      <c r="K5" s="61"/>
      <c r="M5" s="20"/>
      <c r="N5" s="20"/>
      <c r="O5" s="21"/>
      <c r="P5" s="59"/>
      <c r="Q5" s="61"/>
      <c r="S5" s="23"/>
      <c r="T5" s="23"/>
      <c r="U5" s="24"/>
      <c r="V5" s="44"/>
      <c r="W5" s="25"/>
      <c r="Y5" s="23"/>
      <c r="Z5" s="23"/>
      <c r="AA5" s="24"/>
      <c r="AB5" s="44"/>
      <c r="AC5" s="25"/>
      <c r="AE5" s="23"/>
      <c r="AF5" s="23"/>
      <c r="AG5" s="24"/>
      <c r="AH5" s="44"/>
      <c r="AI5" s="25"/>
      <c r="AK5" s="23"/>
      <c r="AL5" s="23"/>
      <c r="AM5" s="24"/>
      <c r="AN5" s="44"/>
      <c r="AO5" s="25"/>
    </row>
    <row r="6" spans="1:43" ht="15.6" x14ac:dyDescent="0.3">
      <c r="A6" s="20" t="s">
        <v>40</v>
      </c>
      <c r="B6" s="20">
        <v>1</v>
      </c>
      <c r="C6" s="21" t="s">
        <v>39</v>
      </c>
      <c r="D6" s="59">
        <v>20</v>
      </c>
      <c r="E6" s="61"/>
      <c r="G6" s="20"/>
      <c r="H6" s="20"/>
      <c r="I6" s="21"/>
      <c r="J6" s="60"/>
      <c r="K6" s="22"/>
      <c r="M6" s="23"/>
      <c r="N6" s="23"/>
      <c r="O6" s="24"/>
      <c r="P6" s="44"/>
      <c r="Q6" s="25"/>
      <c r="S6" s="23"/>
      <c r="T6" s="23"/>
      <c r="U6" s="24"/>
      <c r="V6" s="44"/>
      <c r="W6" s="25"/>
      <c r="Y6" s="23"/>
      <c r="Z6" s="23"/>
      <c r="AA6" s="24"/>
      <c r="AB6" s="44"/>
      <c r="AC6" s="25"/>
      <c r="AE6" s="23"/>
      <c r="AF6" s="23"/>
      <c r="AG6" s="24"/>
      <c r="AH6" s="44"/>
      <c r="AI6" s="25"/>
      <c r="AK6" s="23"/>
      <c r="AL6" s="23"/>
      <c r="AM6" s="24"/>
      <c r="AN6" s="44"/>
      <c r="AO6" s="25"/>
    </row>
    <row r="7" spans="1:43" ht="15.6" x14ac:dyDescent="0.3">
      <c r="A7" s="20"/>
      <c r="B7" s="20"/>
      <c r="C7" s="21"/>
      <c r="D7" s="59"/>
      <c r="E7" s="61"/>
      <c r="G7" s="20"/>
      <c r="H7" s="20"/>
      <c r="I7" s="21"/>
      <c r="J7" s="60"/>
      <c r="K7" s="22"/>
      <c r="M7" s="23"/>
      <c r="N7" s="23"/>
      <c r="O7" s="24"/>
      <c r="P7" s="44"/>
      <c r="Q7" s="25"/>
      <c r="S7" s="23"/>
      <c r="T7" s="23"/>
      <c r="U7" s="24"/>
      <c r="V7" s="44"/>
      <c r="W7" s="25"/>
      <c r="Y7" s="23"/>
      <c r="Z7" s="23"/>
      <c r="AA7" s="24"/>
      <c r="AB7" s="44"/>
      <c r="AC7" s="25"/>
      <c r="AE7" s="23"/>
      <c r="AF7" s="23"/>
      <c r="AG7" s="24"/>
      <c r="AH7" s="44"/>
      <c r="AI7" s="25"/>
      <c r="AK7" s="23"/>
      <c r="AL7" s="23"/>
      <c r="AM7" s="24"/>
      <c r="AN7" s="44"/>
      <c r="AO7" s="25"/>
    </row>
    <row r="8" spans="1:43" ht="15.6" x14ac:dyDescent="0.3">
      <c r="A8" s="20"/>
      <c r="B8" s="20"/>
      <c r="C8" s="21"/>
      <c r="D8" s="59"/>
      <c r="E8" s="61"/>
      <c r="G8" s="20"/>
      <c r="H8" s="20"/>
      <c r="I8" s="21"/>
      <c r="J8" s="60"/>
      <c r="K8" s="22"/>
      <c r="M8" s="23"/>
      <c r="N8" s="23"/>
      <c r="O8" s="24"/>
      <c r="P8" s="44"/>
      <c r="Q8" s="25"/>
      <c r="S8" s="23"/>
      <c r="T8" s="23"/>
      <c r="U8" s="24"/>
      <c r="V8" s="44"/>
      <c r="W8" s="25"/>
      <c r="Y8" s="23"/>
      <c r="Z8" s="23"/>
      <c r="AA8" s="24"/>
      <c r="AB8" s="44"/>
      <c r="AC8" s="25"/>
      <c r="AE8" s="23"/>
      <c r="AF8" s="23"/>
      <c r="AG8" s="24"/>
      <c r="AH8" s="44"/>
      <c r="AI8" s="25"/>
      <c r="AK8" s="23"/>
      <c r="AL8" s="23"/>
      <c r="AM8" s="24"/>
      <c r="AN8" s="44"/>
      <c r="AO8" s="25"/>
    </row>
    <row r="9" spans="1:43" ht="15.6" x14ac:dyDescent="0.3">
      <c r="A9" s="20"/>
      <c r="B9" s="20"/>
      <c r="C9" s="21"/>
      <c r="D9" s="59"/>
      <c r="E9" s="22"/>
      <c r="G9" s="20"/>
      <c r="H9" s="20"/>
      <c r="I9" s="21"/>
      <c r="J9" s="60"/>
      <c r="K9" s="22"/>
      <c r="M9" s="23"/>
      <c r="N9" s="23"/>
      <c r="O9" s="24"/>
      <c r="P9" s="44"/>
      <c r="Q9" s="25"/>
      <c r="S9" s="23"/>
      <c r="T9" s="23"/>
      <c r="U9" s="24"/>
      <c r="V9" s="44"/>
      <c r="W9" s="25"/>
      <c r="Y9" s="23"/>
      <c r="Z9" s="23"/>
      <c r="AA9" s="24"/>
      <c r="AB9" s="44"/>
      <c r="AC9" s="25"/>
      <c r="AE9" s="23"/>
      <c r="AF9" s="23"/>
      <c r="AG9" s="24"/>
      <c r="AH9" s="44"/>
      <c r="AI9" s="25"/>
      <c r="AK9" s="23"/>
      <c r="AL9" s="23"/>
      <c r="AM9" s="24"/>
      <c r="AN9" s="44"/>
      <c r="AO9" s="25"/>
    </row>
    <row r="10" spans="1:43" ht="15.6" x14ac:dyDescent="0.3">
      <c r="A10" s="20"/>
      <c r="B10" s="20"/>
      <c r="C10" s="21"/>
      <c r="D10" s="59"/>
      <c r="E10" s="22"/>
      <c r="G10" s="20"/>
      <c r="H10" s="20"/>
      <c r="I10" s="21"/>
      <c r="J10" s="60"/>
      <c r="K10" s="22"/>
      <c r="M10" s="23"/>
      <c r="N10" s="23"/>
      <c r="O10" s="24"/>
      <c r="P10" s="44"/>
      <c r="Q10" s="25"/>
      <c r="S10" s="23"/>
      <c r="T10" s="23"/>
      <c r="U10" s="24"/>
      <c r="V10" s="44"/>
      <c r="W10" s="25"/>
      <c r="Y10" s="23"/>
      <c r="Z10" s="23"/>
      <c r="AA10" s="24"/>
      <c r="AB10" s="44"/>
      <c r="AC10" s="25"/>
      <c r="AE10" s="23"/>
      <c r="AF10" s="23"/>
      <c r="AG10" s="24"/>
      <c r="AH10" s="44"/>
      <c r="AI10" s="25"/>
      <c r="AK10" s="23"/>
      <c r="AL10" s="23"/>
      <c r="AM10" s="24"/>
      <c r="AN10" s="44"/>
      <c r="AO10" s="25"/>
    </row>
    <row r="11" spans="1:43" ht="15.6" x14ac:dyDescent="0.3">
      <c r="A11" s="20"/>
      <c r="B11" s="20"/>
      <c r="C11" s="21"/>
      <c r="D11" s="59"/>
      <c r="E11" s="22"/>
      <c r="G11" s="20"/>
      <c r="H11" s="20"/>
      <c r="I11" s="21"/>
      <c r="J11" s="60"/>
      <c r="K11" s="22"/>
      <c r="M11" s="23"/>
      <c r="N11" s="23"/>
      <c r="O11" s="24"/>
      <c r="P11" s="44"/>
      <c r="Q11" s="25"/>
      <c r="S11" s="23"/>
      <c r="T11" s="23"/>
      <c r="U11" s="24"/>
      <c r="V11" s="44"/>
      <c r="W11" s="25"/>
      <c r="Y11" s="23"/>
      <c r="Z11" s="23"/>
      <c r="AA11" s="24"/>
      <c r="AB11" s="44"/>
      <c r="AC11" s="25"/>
      <c r="AE11" s="23"/>
      <c r="AF11" s="23"/>
      <c r="AG11" s="24"/>
      <c r="AH11" s="44"/>
      <c r="AI11" s="25"/>
      <c r="AK11" s="23"/>
      <c r="AL11" s="23"/>
      <c r="AM11" s="24"/>
      <c r="AN11" s="44"/>
      <c r="AO11" s="25"/>
    </row>
    <row r="12" spans="1:43" ht="15.6" x14ac:dyDescent="0.3">
      <c r="A12" s="20"/>
      <c r="B12" s="20"/>
      <c r="C12" s="21"/>
      <c r="D12" s="59"/>
      <c r="E12" s="22"/>
    </row>
    <row r="13" spans="1:43" ht="15.6" x14ac:dyDescent="0.3">
      <c r="A13" s="20"/>
      <c r="B13" s="20"/>
      <c r="C13" s="21"/>
      <c r="D13" s="59"/>
      <c r="E13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H24"/>
  <sheetViews>
    <sheetView showGridLines="0" topLeftCell="A4" zoomScale="110" zoomScaleNormal="110" zoomScaleSheetLayoutView="110" workbookViewId="0">
      <selection activeCell="A21" sqref="A21"/>
    </sheetView>
  </sheetViews>
  <sheetFormatPr baseColWidth="10" defaultRowHeight="14.4" outlineLevelRow="1" x14ac:dyDescent="0.3"/>
  <cols>
    <col min="1" max="1" width="11.77734375" bestFit="1" customWidth="1"/>
    <col min="2" max="2" width="20.77734375" bestFit="1" customWidth="1"/>
    <col min="3" max="3" width="40.77734375" customWidth="1"/>
    <col min="4" max="6" width="11.21875" customWidth="1"/>
    <col min="7" max="8" width="12.44140625" style="19" customWidth="1"/>
    <col min="9" max="9" width="1.33203125" customWidth="1"/>
  </cols>
  <sheetData>
    <row r="1" spans="1:8" ht="30" customHeight="1" x14ac:dyDescent="0.3">
      <c r="A1" s="96" t="s">
        <v>35</v>
      </c>
      <c r="B1" s="96"/>
      <c r="C1" s="96"/>
      <c r="D1" s="96"/>
      <c r="E1" s="96"/>
      <c r="F1" s="96"/>
      <c r="G1" s="96"/>
      <c r="H1" s="96"/>
    </row>
    <row r="2" spans="1:8" ht="15" thickBot="1" x14ac:dyDescent="0.35">
      <c r="G2"/>
      <c r="H2"/>
    </row>
    <row r="3" spans="1:8" ht="15" thickBot="1" x14ac:dyDescent="0.35">
      <c r="A3" s="83" t="s">
        <v>19</v>
      </c>
      <c r="B3" s="84" t="s">
        <v>41</v>
      </c>
      <c r="C3" s="84"/>
      <c r="D3" s="84"/>
      <c r="E3" s="84"/>
      <c r="F3" s="84"/>
      <c r="G3" s="84"/>
      <c r="H3" s="85" t="s">
        <v>38</v>
      </c>
    </row>
    <row r="4" spans="1:8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8" outlineLevel="1" x14ac:dyDescent="0.3">
      <c r="A5" s="25"/>
      <c r="D5" s="18"/>
      <c r="E5" s="74">
        <f>1</f>
        <v>1</v>
      </c>
      <c r="F5" s="74"/>
      <c r="G5" s="43"/>
      <c r="H5" s="43">
        <f>Tabla15[[#This Row],[CANTIDAD]]*Tabla15[[#This Row],[PRECIO]]*Tabla15[[#This Row],[FACTOR]]</f>
        <v>0</v>
      </c>
    </row>
    <row r="6" spans="1:8" outlineLevel="1" x14ac:dyDescent="0.3">
      <c r="D6" s="18"/>
      <c r="E6" s="74">
        <f>1</f>
        <v>1</v>
      </c>
      <c r="F6" s="74"/>
      <c r="G6" s="43"/>
      <c r="H6" s="43">
        <f>Tabla15[[#This Row],[CANTIDAD]]*Tabla15[[#This Row],[PRECIO]]*Tabla15[[#This Row],[FACTOR]]</f>
        <v>0</v>
      </c>
    </row>
    <row r="7" spans="1:8" outlineLevel="1" x14ac:dyDescent="0.3">
      <c r="D7" s="18"/>
      <c r="E7" s="74">
        <f>1</f>
        <v>1</v>
      </c>
      <c r="F7" s="74"/>
      <c r="G7" s="43"/>
      <c r="H7" s="43">
        <f>Tabla15[[#This Row],[CANTIDAD]]*Tabla15[[#This Row],[PRECIO]]*Tabla15[[#This Row],[FACTOR]]</f>
        <v>0</v>
      </c>
    </row>
    <row r="8" spans="1:8" x14ac:dyDescent="0.3">
      <c r="A8" t="s">
        <v>18</v>
      </c>
      <c r="G8" s="43"/>
      <c r="H8" s="43">
        <f>SUM(Tabla15[TOTAL])</f>
        <v>0</v>
      </c>
    </row>
    <row r="10" spans="1:8" ht="15" thickBot="1" x14ac:dyDescent="0.35"/>
    <row r="11" spans="1:8" ht="15" thickBot="1" x14ac:dyDescent="0.35">
      <c r="A11" s="83" t="s">
        <v>19</v>
      </c>
      <c r="B11" s="84">
        <v>1</v>
      </c>
      <c r="C11" s="84"/>
      <c r="D11" s="84"/>
      <c r="E11" s="84"/>
      <c r="F11" s="84"/>
      <c r="G11" s="105"/>
      <c r="H11" s="106" t="s">
        <v>38</v>
      </c>
    </row>
    <row r="12" spans="1:8" outlineLevel="1" x14ac:dyDescent="0.3">
      <c r="A12" t="s">
        <v>14</v>
      </c>
      <c r="B12" t="s">
        <v>0</v>
      </c>
      <c r="C12" t="s">
        <v>1</v>
      </c>
      <c r="D12" t="s">
        <v>11</v>
      </c>
      <c r="E12" t="s">
        <v>15</v>
      </c>
      <c r="F12" t="s">
        <v>16</v>
      </c>
      <c r="G12" s="19" t="s">
        <v>12</v>
      </c>
      <c r="H12" s="19" t="s">
        <v>17</v>
      </c>
    </row>
    <row r="13" spans="1:8" outlineLevel="1" x14ac:dyDescent="0.3">
      <c r="A13" s="25"/>
      <c r="D13" s="18"/>
      <c r="E13" s="74">
        <f>1</f>
        <v>1</v>
      </c>
      <c r="F13" s="74"/>
      <c r="G13" s="43"/>
      <c r="H13" s="43">
        <f>Tabla24[[#This Row],[CANTIDAD]]*Tabla24[[#This Row],[PRECIO]]*Tabla24[[#This Row],[FACTOR]]</f>
        <v>0</v>
      </c>
    </row>
    <row r="14" spans="1:8" outlineLevel="1" x14ac:dyDescent="0.3">
      <c r="D14" s="18"/>
      <c r="E14" s="74">
        <f>1</f>
        <v>1</v>
      </c>
      <c r="F14" s="74"/>
      <c r="G14" s="43"/>
      <c r="H14" s="43">
        <f>Tabla24[[#This Row],[CANTIDAD]]*Tabla24[[#This Row],[PRECIO]]*Tabla24[[#This Row],[FACTOR]]</f>
        <v>0</v>
      </c>
    </row>
    <row r="15" spans="1:8" outlineLevel="1" x14ac:dyDescent="0.3">
      <c r="D15" s="18"/>
      <c r="E15" s="74">
        <f>1</f>
        <v>1</v>
      </c>
      <c r="F15" s="74"/>
      <c r="G15" s="43"/>
      <c r="H15" s="43">
        <f>Tabla24[[#This Row],[CANTIDAD]]*Tabla24[[#This Row],[PRECIO]]*Tabla24[[#This Row],[FACTOR]]</f>
        <v>0</v>
      </c>
    </row>
    <row r="16" spans="1:8" x14ac:dyDescent="0.3">
      <c r="A16" t="s">
        <v>18</v>
      </c>
      <c r="G16" s="43"/>
      <c r="H16" s="43">
        <f>SUM(Tabla24[TOTAL])</f>
        <v>0</v>
      </c>
    </row>
    <row r="18" spans="1:8" ht="15" thickBot="1" x14ac:dyDescent="0.35"/>
    <row r="19" spans="1:8" ht="15" thickBot="1" x14ac:dyDescent="0.35">
      <c r="A19" s="83" t="s">
        <v>19</v>
      </c>
      <c r="B19" s="84">
        <v>3</v>
      </c>
      <c r="C19" s="84"/>
      <c r="D19" s="84"/>
      <c r="E19" s="84"/>
      <c r="F19" s="84"/>
      <c r="G19" s="105"/>
      <c r="H19" s="106" t="s">
        <v>38</v>
      </c>
    </row>
    <row r="20" spans="1:8" outlineLevel="1" x14ac:dyDescent="0.3">
      <c r="A20" t="s">
        <v>14</v>
      </c>
      <c r="B20" t="s">
        <v>0</v>
      </c>
      <c r="C20" t="s">
        <v>1</v>
      </c>
      <c r="D20" t="s">
        <v>11</v>
      </c>
      <c r="E20" t="s">
        <v>15</v>
      </c>
      <c r="F20" t="s">
        <v>16</v>
      </c>
      <c r="G20" s="19" t="s">
        <v>12</v>
      </c>
      <c r="H20" s="19" t="s">
        <v>17</v>
      </c>
    </row>
    <row r="21" spans="1:8" outlineLevel="1" x14ac:dyDescent="0.3">
      <c r="A21" s="25"/>
      <c r="D21" s="18"/>
      <c r="E21" s="74">
        <f>1</f>
        <v>1</v>
      </c>
      <c r="F21" s="74"/>
      <c r="G21" s="43"/>
      <c r="H21" s="43">
        <f>Tabla23[[#This Row],[CANTIDAD]]*Tabla23[[#This Row],[PRECIO]]*Tabla23[[#This Row],[FACTOR]]</f>
        <v>0</v>
      </c>
    </row>
    <row r="22" spans="1:8" outlineLevel="1" x14ac:dyDescent="0.3">
      <c r="D22" s="18"/>
      <c r="E22" s="74">
        <f>1</f>
        <v>1</v>
      </c>
      <c r="F22" s="74"/>
      <c r="G22" s="43"/>
      <c r="H22" s="43">
        <f>Tabla23[[#This Row],[CANTIDAD]]*Tabla23[[#This Row],[PRECIO]]*Tabla23[[#This Row],[FACTOR]]</f>
        <v>0</v>
      </c>
    </row>
    <row r="23" spans="1:8" outlineLevel="1" x14ac:dyDescent="0.3">
      <c r="D23" s="18"/>
      <c r="E23" s="74">
        <f>1</f>
        <v>1</v>
      </c>
      <c r="F23" s="74"/>
      <c r="G23" s="43"/>
      <c r="H23" s="43">
        <f>Tabla23[[#This Row],[CANTIDAD]]*Tabla23[[#This Row],[PRECIO]]*Tabla23[[#This Row],[FACTOR]]</f>
        <v>0</v>
      </c>
    </row>
    <row r="24" spans="1:8" x14ac:dyDescent="0.3">
      <c r="A24" t="s">
        <v>18</v>
      </c>
      <c r="G24" s="43"/>
      <c r="H24" s="43">
        <f>SUM(Tabla23[TOTAL])</f>
        <v>0</v>
      </c>
    </row>
  </sheetData>
  <mergeCells count="1">
    <mergeCell ref="A1:H1"/>
  </mergeCells>
  <dataValidations count="1">
    <dataValidation type="list" allowBlank="1" showInputMessage="1" showErrorMessage="1" sqref="A5:A7 A21 A22 A23 A13 A14 A15" xr:uid="{B533F6AF-CF9E-48BC-95BF-88AC15CC56E7}">
      <formula1>"MATERIALES,EQUIPOS,MANO DE OBRA,TRANSPORTE,SUBCONTRATOS,ACTIVIDADES,OTROS"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H18"/>
  <sheetViews>
    <sheetView showGridLines="0" tabSelected="1" showWhiteSpace="0" zoomScale="110" zoomScaleNormal="110" zoomScaleSheetLayoutView="110" workbookViewId="0">
      <selection activeCell="A13" sqref="A13"/>
    </sheetView>
  </sheetViews>
  <sheetFormatPr baseColWidth="10" defaultColWidth="11.44140625" defaultRowHeight="14.4" outlineLevelRow="1" x14ac:dyDescent="0.3"/>
  <cols>
    <col min="1" max="1" width="12.33203125" bestFit="1" customWidth="1"/>
    <col min="2" max="2" width="11.21875" customWidth="1"/>
    <col min="3" max="3" width="40.77734375" customWidth="1"/>
    <col min="4" max="6" width="11.5546875" customWidth="1"/>
    <col min="7" max="7" width="11.5546875" style="19" customWidth="1"/>
    <col min="8" max="8" width="12.44140625" style="19" customWidth="1"/>
    <col min="9" max="9" width="1.33203125" customWidth="1"/>
  </cols>
  <sheetData>
    <row r="1" spans="1:8" ht="30" customHeight="1" x14ac:dyDescent="0.3">
      <c r="A1" s="96" t="s">
        <v>36</v>
      </c>
      <c r="B1" s="96"/>
      <c r="C1" s="96"/>
      <c r="D1" s="96"/>
      <c r="E1" s="96"/>
      <c r="F1" s="96"/>
      <c r="G1" s="96"/>
      <c r="H1" s="96"/>
    </row>
    <row r="2" spans="1:8" ht="15" thickBot="1" x14ac:dyDescent="0.35">
      <c r="A2" s="37"/>
      <c r="B2" s="38"/>
      <c r="C2" s="62"/>
      <c r="D2" s="62"/>
      <c r="E2" s="37"/>
      <c r="F2" s="37"/>
      <c r="G2" s="37"/>
      <c r="H2" s="63"/>
    </row>
    <row r="3" spans="1:8" ht="15" thickBot="1" x14ac:dyDescent="0.35">
      <c r="A3" s="42" t="s">
        <v>19</v>
      </c>
      <c r="B3" s="97">
        <v>1</v>
      </c>
      <c r="C3" s="98"/>
      <c r="D3" s="98"/>
      <c r="E3" s="98"/>
      <c r="F3" s="98"/>
      <c r="G3" s="99"/>
      <c r="H3" s="64" t="s">
        <v>38</v>
      </c>
    </row>
    <row r="4" spans="1:8" outlineLevel="1" x14ac:dyDescent="0.3">
      <c r="A4" s="52" t="s">
        <v>14</v>
      </c>
      <c r="B4" s="53" t="s">
        <v>0</v>
      </c>
      <c r="C4" s="54" t="s">
        <v>1</v>
      </c>
      <c r="D4" s="54" t="s">
        <v>11</v>
      </c>
      <c r="E4" s="52" t="s">
        <v>15</v>
      </c>
      <c r="F4" s="52" t="s">
        <v>16</v>
      </c>
      <c r="G4" s="52" t="s">
        <v>12</v>
      </c>
      <c r="H4" s="65" t="s">
        <v>17</v>
      </c>
    </row>
    <row r="5" spans="1:8" outlineLevel="1" x14ac:dyDescent="0.3">
      <c r="A5" s="37"/>
      <c r="B5" s="38"/>
      <c r="C5" s="62"/>
      <c r="D5" s="67"/>
      <c r="E5" s="75">
        <f xml:space="preserve"> 1</f>
        <v>1</v>
      </c>
      <c r="F5" s="75"/>
      <c r="G5" s="55"/>
      <c r="H5" s="66">
        <f>Tabla8[[#This Row],[CANTIDAD]]*Tabla8[[#This Row],[PRECIO]]*Tabla8[[#This Row],[FACTOR]]</f>
        <v>0</v>
      </c>
    </row>
    <row r="6" spans="1:8" outlineLevel="1" x14ac:dyDescent="0.3">
      <c r="A6" s="37"/>
      <c r="B6" s="38"/>
      <c r="C6" s="62"/>
      <c r="D6" s="67"/>
      <c r="E6" s="75">
        <f xml:space="preserve"> 1</f>
        <v>1</v>
      </c>
      <c r="F6" s="75"/>
      <c r="G6" s="55"/>
      <c r="H6" s="66">
        <f>Tabla8[[#This Row],[CANTIDAD]]*Tabla8[[#This Row],[PRECIO]]*Tabla8[[#This Row],[FACTOR]]</f>
        <v>0</v>
      </c>
    </row>
    <row r="7" spans="1:8" outlineLevel="1" x14ac:dyDescent="0.3">
      <c r="A7" s="37"/>
      <c r="B7" s="38"/>
      <c r="C7" s="62"/>
      <c r="D7" s="67"/>
      <c r="E7" s="75">
        <f xml:space="preserve"> 1</f>
        <v>1</v>
      </c>
      <c r="F7" s="75"/>
      <c r="G7" s="55"/>
      <c r="H7" s="66">
        <f>Tabla8[[#This Row],[CANTIDAD]]*Tabla8[[#This Row],[PRECIO]]*Tabla8[[#This Row],[FACTOR]]</f>
        <v>0</v>
      </c>
    </row>
    <row r="8" spans="1:8" x14ac:dyDescent="0.3">
      <c r="A8" s="79" t="s">
        <v>18</v>
      </c>
      <c r="B8" s="77"/>
      <c r="C8" s="78"/>
      <c r="D8" s="78"/>
      <c r="E8" s="76"/>
      <c r="F8" s="76"/>
      <c r="G8" s="80"/>
      <c r="H8" s="81">
        <f>SUM(Tabla8[TOTAL])</f>
        <v>0</v>
      </c>
    </row>
    <row r="9" spans="1:8" x14ac:dyDescent="0.3">
      <c r="A9" s="37"/>
      <c r="B9" s="38"/>
      <c r="C9" s="62"/>
      <c r="D9" s="62"/>
      <c r="E9" s="37"/>
      <c r="F9" s="37"/>
      <c r="G9" s="37"/>
      <c r="H9" s="63"/>
    </row>
    <row r="10" spans="1:8" ht="15" thickBot="1" x14ac:dyDescent="0.35">
      <c r="A10" s="37"/>
      <c r="B10" s="38"/>
      <c r="C10" s="62"/>
      <c r="D10" s="62"/>
      <c r="E10" s="37"/>
      <c r="F10" s="37"/>
      <c r="G10" s="37"/>
      <c r="H10" s="63"/>
    </row>
    <row r="11" spans="1:8" ht="15" thickBot="1" x14ac:dyDescent="0.35">
      <c r="A11" s="86" t="s">
        <v>19</v>
      </c>
      <c r="B11" s="87">
        <v>3</v>
      </c>
      <c r="C11" s="88"/>
      <c r="D11" s="88"/>
      <c r="E11" s="89"/>
      <c r="F11" s="89"/>
      <c r="G11" s="89"/>
      <c r="H11" s="90" t="s">
        <v>38</v>
      </c>
    </row>
    <row r="12" spans="1:8" outlineLevel="1" x14ac:dyDescent="0.3">
      <c r="A12" s="37" t="s">
        <v>14</v>
      </c>
      <c r="B12" s="38" t="s">
        <v>0</v>
      </c>
      <c r="C12" s="62" t="s">
        <v>1</v>
      </c>
      <c r="D12" s="62" t="s">
        <v>11</v>
      </c>
      <c r="E12" s="37" t="s">
        <v>15</v>
      </c>
      <c r="F12" s="37" t="s">
        <v>16</v>
      </c>
      <c r="G12" s="37" t="s">
        <v>12</v>
      </c>
      <c r="H12" s="63" t="s">
        <v>17</v>
      </c>
    </row>
    <row r="13" spans="1:8" outlineLevel="1" x14ac:dyDescent="0.3">
      <c r="A13" s="52"/>
      <c r="B13" s="38"/>
      <c r="C13" s="62"/>
      <c r="D13" s="67"/>
      <c r="E13" s="75">
        <f>1</f>
        <v>1</v>
      </c>
      <c r="F13" s="75"/>
      <c r="G13" s="55"/>
      <c r="H13" s="66">
        <f>Tabla27[[#This Row],[CANTIDAD]]*Tabla27[[#This Row],[PRECIO]]*Tabla27[[#This Row],[FACTOR]]</f>
        <v>0</v>
      </c>
    </row>
    <row r="14" spans="1:8" outlineLevel="1" x14ac:dyDescent="0.3">
      <c r="A14" s="37"/>
      <c r="B14" s="38"/>
      <c r="C14" s="62"/>
      <c r="D14" s="67"/>
      <c r="E14" s="75">
        <f>1</f>
        <v>1</v>
      </c>
      <c r="F14" s="75"/>
      <c r="G14" s="55"/>
      <c r="H14" s="66">
        <f>Tabla27[[#This Row],[CANTIDAD]]*Tabla27[[#This Row],[PRECIO]]*Tabla27[[#This Row],[FACTOR]]</f>
        <v>0</v>
      </c>
    </row>
    <row r="15" spans="1:8" outlineLevel="1" x14ac:dyDescent="0.3">
      <c r="A15" s="37"/>
      <c r="B15" s="38"/>
      <c r="C15" s="62"/>
      <c r="D15" s="67"/>
      <c r="E15" s="75">
        <f>1</f>
        <v>1</v>
      </c>
      <c r="F15" s="75"/>
      <c r="G15" s="55"/>
      <c r="H15" s="66">
        <f>Tabla27[[#This Row],[CANTIDAD]]*Tabla27[[#This Row],[PRECIO]]*Tabla27[[#This Row],[FACTOR]]</f>
        <v>0</v>
      </c>
    </row>
    <row r="16" spans="1:8" x14ac:dyDescent="0.3">
      <c r="A16" s="76" t="s">
        <v>18</v>
      </c>
      <c r="B16" s="77"/>
      <c r="C16" s="78"/>
      <c r="D16" s="78"/>
      <c r="E16" s="76"/>
      <c r="F16" s="76"/>
      <c r="G16" s="80"/>
      <c r="H16" s="91">
        <f>SUM(Tabla27[TOTAL])</f>
        <v>0</v>
      </c>
    </row>
    <row r="17" spans="1:8" x14ac:dyDescent="0.3">
      <c r="A17" s="37"/>
      <c r="B17" s="38"/>
      <c r="C17" s="62"/>
      <c r="D17" s="62"/>
      <c r="E17" s="37"/>
      <c r="F17" s="37"/>
      <c r="G17" s="37"/>
      <c r="H17" s="63"/>
    </row>
    <row r="18" spans="1:8" x14ac:dyDescent="0.3">
      <c r="A18" s="37"/>
      <c r="B18" s="38"/>
      <c r="C18" s="62"/>
      <c r="D18" s="62"/>
      <c r="E18" s="37"/>
      <c r="F18" s="37"/>
      <c r="G18" s="37"/>
      <c r="H18" s="63"/>
    </row>
  </sheetData>
  <mergeCells count="2">
    <mergeCell ref="A1:H1"/>
    <mergeCell ref="B3:G3"/>
  </mergeCells>
  <dataValidations count="1">
    <dataValidation type="list" allowBlank="1" showInputMessage="1" showErrorMessage="1" sqref="A5 A6 A7 A13 A14 A15" xr:uid="{F9816CE6-1BB9-4415-884E-DCFAD0CF10B2}">
      <formula1>"MATERIALES,EQUIPOS,MANO DE OBRA,TRANSPORTE,SUBCONTRATOS,ACTIVIDADES,OTROS,APU BÁSICOS"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28"/>
  <sheetViews>
    <sheetView showGridLines="0" topLeftCell="B1" zoomScale="90" zoomScaleNormal="90" zoomScaleSheetLayoutView="90" workbookViewId="0">
      <selection activeCell="C22" sqref="C22"/>
    </sheetView>
  </sheetViews>
  <sheetFormatPr baseColWidth="10" defaultColWidth="11.44140625" defaultRowHeight="15" outlineLevelRow="1" x14ac:dyDescent="0.25"/>
  <cols>
    <col min="1" max="1" width="1.44140625" style="68" hidden="1" customWidth="1"/>
    <col min="2" max="2" width="15.33203125" style="45" customWidth="1"/>
    <col min="3" max="3" width="40.77734375" style="69" customWidth="1"/>
    <col min="4" max="4" width="23" style="45" bestFit="1" customWidth="1"/>
    <col min="5" max="5" width="15.33203125" style="46" customWidth="1"/>
    <col min="6" max="6" width="14.21875" style="46" bestFit="1" customWidth="1"/>
    <col min="7" max="8" width="15.33203125" style="46" customWidth="1"/>
    <col min="9" max="9" width="1.33203125" style="68" customWidth="1"/>
    <col min="10" max="16384" width="11.44140625" style="68"/>
  </cols>
  <sheetData>
    <row r="1" spans="2:8" ht="30" customHeight="1" x14ac:dyDescent="0.25">
      <c r="B1" s="100" t="s">
        <v>37</v>
      </c>
      <c r="C1" s="100"/>
      <c r="D1" s="100"/>
      <c r="E1" s="100"/>
      <c r="F1" s="100"/>
      <c r="G1" s="100"/>
      <c r="H1" s="100"/>
    </row>
    <row r="2" spans="2:8" ht="15.6" thickBot="1" x14ac:dyDescent="0.3"/>
    <row r="3" spans="2:8" ht="16.2" thickBot="1" x14ac:dyDescent="0.3">
      <c r="B3" s="101" t="s">
        <v>20</v>
      </c>
      <c r="C3" s="102"/>
      <c r="D3" s="102"/>
      <c r="E3" s="102"/>
      <c r="F3" s="102"/>
      <c r="G3" s="103"/>
      <c r="H3" s="47" t="s">
        <v>19</v>
      </c>
    </row>
    <row r="4" spans="2:8" ht="15.6" outlineLevel="1" x14ac:dyDescent="0.3">
      <c r="B4" s="48" t="s">
        <v>0</v>
      </c>
      <c r="C4" s="70" t="s">
        <v>1</v>
      </c>
      <c r="D4" s="48" t="s">
        <v>11</v>
      </c>
      <c r="E4" s="49" t="s">
        <v>15</v>
      </c>
      <c r="F4" s="49" t="s">
        <v>16</v>
      </c>
      <c r="G4" s="49" t="s">
        <v>3</v>
      </c>
      <c r="H4" s="49" t="s">
        <v>17</v>
      </c>
    </row>
    <row r="5" spans="2:8" outlineLevel="1" x14ac:dyDescent="0.25">
      <c r="C5" s="82"/>
      <c r="E5" s="46">
        <v>1</v>
      </c>
      <c r="H5" s="46">
        <f>Tabla7[[#This Row],[FACTOR]]*Tabla7[[#This Row],[CANTIDAD]]*Tabla7[[#This Row],[COSTO]]</f>
        <v>0</v>
      </c>
    </row>
    <row r="6" spans="2:8" outlineLevel="1" x14ac:dyDescent="0.25">
      <c r="C6" s="82"/>
      <c r="E6" s="46">
        <v>1</v>
      </c>
      <c r="H6" s="46">
        <f>Tabla7[[#This Row],[FACTOR]]*Tabla7[[#This Row],[CANTIDAD]]*Tabla7[[#This Row],[COSTO]]</f>
        <v>0</v>
      </c>
    </row>
    <row r="7" spans="2:8" outlineLevel="1" x14ac:dyDescent="0.25">
      <c r="C7" s="82"/>
      <c r="E7" s="46">
        <v>1</v>
      </c>
      <c r="H7" s="46">
        <f>Tabla7[[#This Row],[FACTOR]]*Tabla7[[#This Row],[CANTIDAD]]*Tabla7[[#This Row],[COSTO]]</f>
        <v>0</v>
      </c>
    </row>
    <row r="8" spans="2:8" outlineLevel="1" x14ac:dyDescent="0.25">
      <c r="C8" s="82"/>
      <c r="E8" s="46">
        <v>1</v>
      </c>
      <c r="H8" s="46">
        <f>Tabla7[[#This Row],[FACTOR]]*Tabla7[[#This Row],[CANTIDAD]]*Tabla7[[#This Row],[COSTO]]</f>
        <v>0</v>
      </c>
    </row>
    <row r="9" spans="2:8" outlineLevel="1" x14ac:dyDescent="0.25">
      <c r="C9" s="82"/>
      <c r="E9" s="46">
        <v>1</v>
      </c>
      <c r="H9" s="46">
        <f>Tabla7[[#This Row],[FACTOR]]*Tabla7[[#This Row],[CANTIDAD]]*Tabla7[[#This Row],[COSTO]]</f>
        <v>0</v>
      </c>
    </row>
    <row r="10" spans="2:8" ht="15.6" x14ac:dyDescent="0.3">
      <c r="B10" s="57" t="s">
        <v>18</v>
      </c>
      <c r="C10" s="71"/>
      <c r="D10" s="56"/>
      <c r="E10" s="68"/>
      <c r="F10" s="68"/>
      <c r="G10" s="68"/>
      <c r="H10" s="49">
        <f>SUM(Tabla7[TOTAL])</f>
        <v>0</v>
      </c>
    </row>
    <row r="13" spans="2:8" ht="15.6" x14ac:dyDescent="0.3">
      <c r="F13" s="48"/>
      <c r="G13" s="48"/>
      <c r="H13" s="49"/>
    </row>
    <row r="14" spans="2:8" ht="15.6" x14ac:dyDescent="0.3">
      <c r="B14" s="48" t="s">
        <v>19</v>
      </c>
      <c r="C14" s="70" t="s">
        <v>20</v>
      </c>
      <c r="D14" s="48" t="s">
        <v>21</v>
      </c>
      <c r="E14" s="49" t="s">
        <v>22</v>
      </c>
      <c r="F14" s="45"/>
      <c r="G14" s="45"/>
    </row>
    <row r="15" spans="2:8" x14ac:dyDescent="0.25">
      <c r="B15" s="45" t="str">
        <f>$H$3</f>
        <v>CÓD</v>
      </c>
      <c r="C15" s="69" t="str">
        <f>$B$3</f>
        <v>CAPÍTULO</v>
      </c>
      <c r="D15" s="32" t="e">
        <f>(E15)/(E18)</f>
        <v>#DIV/0!</v>
      </c>
      <c r="E15" s="46">
        <f>$H$10</f>
        <v>0</v>
      </c>
      <c r="F15" s="45"/>
      <c r="G15" s="45"/>
    </row>
    <row r="16" spans="2:8" x14ac:dyDescent="0.25">
      <c r="F16" s="45"/>
      <c r="G16" s="45"/>
    </row>
    <row r="17" spans="2:7" x14ac:dyDescent="0.25">
      <c r="F17" s="45"/>
      <c r="G17" s="45"/>
    </row>
    <row r="18" spans="2:7" ht="15.6" x14ac:dyDescent="0.3">
      <c r="B18" s="50"/>
      <c r="C18" s="72"/>
      <c r="D18" s="51" t="s">
        <v>30</v>
      </c>
      <c r="E18" s="73">
        <f>SUM(E15:E17)</f>
        <v>0</v>
      </c>
    </row>
    <row r="21" spans="2:7" ht="15.6" x14ac:dyDescent="0.3">
      <c r="C21" s="70" t="s">
        <v>1</v>
      </c>
      <c r="D21" s="48" t="s">
        <v>21</v>
      </c>
      <c r="E21" s="49" t="s">
        <v>22</v>
      </c>
    </row>
    <row r="22" spans="2:7" x14ac:dyDescent="0.25">
      <c r="C22" s="69" t="s">
        <v>26</v>
      </c>
      <c r="D22" s="41">
        <v>0</v>
      </c>
      <c r="E22" s="35">
        <f>Tabla13[[#This Row],[PORCENTAJE]]*E18</f>
        <v>0</v>
      </c>
    </row>
    <row r="23" spans="2:7" x14ac:dyDescent="0.25">
      <c r="C23" s="69" t="s">
        <v>27</v>
      </c>
      <c r="D23" s="41">
        <v>0</v>
      </c>
      <c r="E23" s="35">
        <f>Tabla13[[#This Row],[PORCENTAJE]]*E18</f>
        <v>0</v>
      </c>
    </row>
    <row r="24" spans="2:7" x14ac:dyDescent="0.25">
      <c r="C24" s="69" t="s">
        <v>28</v>
      </c>
      <c r="D24" s="41">
        <v>0</v>
      </c>
      <c r="E24" s="35">
        <f>Tabla13[[#This Row],[PORCENTAJE]]*E18</f>
        <v>0</v>
      </c>
    </row>
    <row r="25" spans="2:7" x14ac:dyDescent="0.25">
      <c r="C25" s="69" t="s">
        <v>25</v>
      </c>
      <c r="D25" s="41">
        <v>0</v>
      </c>
      <c r="E25" s="35">
        <f>Tabla13[[#This Row],[PORCENTAJE]]*E24</f>
        <v>0</v>
      </c>
    </row>
    <row r="26" spans="2:7" ht="15.6" x14ac:dyDescent="0.3">
      <c r="D26" s="33" t="s">
        <v>29</v>
      </c>
      <c r="E26" s="34">
        <f>SUM(E22:E25)</f>
        <v>0</v>
      </c>
    </row>
    <row r="27" spans="2:7" x14ac:dyDescent="0.25">
      <c r="E27" s="35"/>
    </row>
    <row r="28" spans="2:7" ht="15.6" x14ac:dyDescent="0.3">
      <c r="D28" s="48" t="s">
        <v>24</v>
      </c>
      <c r="E28" s="34">
        <f>E18+E26</f>
        <v>0</v>
      </c>
    </row>
  </sheetData>
  <dataConsolidate/>
  <mergeCells count="2">
    <mergeCell ref="B1:H1"/>
    <mergeCell ref="B3:G3"/>
  </mergeCells>
  <dataValidations count="1">
    <dataValidation type="list" allowBlank="1" showInputMessage="1" showErrorMessage="1" sqref="C5:C9" xr:uid="{BE5D8776-E380-4EB8-A305-4C48CDC1C98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5"/>
  <sheetViews>
    <sheetView showGridLines="0" topLeftCell="B1" zoomScale="110" zoomScaleNormal="110" zoomScaleSheetLayoutView="130" workbookViewId="0">
      <selection activeCell="AK5" sqref="AK5:AO5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" style="7" bestFit="1" customWidth="1"/>
    <col min="6" max="16384" width="11.44140625" style="3"/>
  </cols>
  <sheetData>
    <row r="1" spans="2:7 16200:16200" ht="30" customHeight="1" x14ac:dyDescent="0.3">
      <c r="B1" s="104" t="s">
        <v>31</v>
      </c>
      <c r="C1" s="104"/>
      <c r="D1" s="104"/>
      <c r="E1" s="104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e">
        <f>BÁSICOS!#REF!</f>
        <v>#REF!</v>
      </c>
      <c r="C3" s="4" t="e">
        <f>BÁSICOS!#REF!</f>
        <v>#REF!</v>
      </c>
      <c r="D3" s="1" t="e">
        <f>BÁSICOS!#REF!</f>
        <v>#REF!</v>
      </c>
      <c r="E3" s="5" t="e">
        <f>BÁSICOS!#REF!</f>
        <v>#REF!</v>
      </c>
    </row>
    <row r="4" spans="2:7 16200:16200" x14ac:dyDescent="0.3">
      <c r="B4" s="2"/>
      <c r="E4" s="5"/>
    </row>
    <row r="5" spans="2:7 16200:16200" x14ac:dyDescent="0.3">
      <c r="B5" s="2"/>
      <c r="E5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K5" sqref="AK5:AO5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0.33203125" style="6" bestFit="1" customWidth="1"/>
    <col min="6" max="16384" width="11.44140625" style="3"/>
  </cols>
  <sheetData>
    <row r="1" spans="2:5" s="8" customFormat="1" ht="30" customHeight="1" x14ac:dyDescent="0.3">
      <c r="B1" s="104" t="s">
        <v>33</v>
      </c>
      <c r="C1" s="104"/>
      <c r="D1" s="104"/>
      <c r="E1" s="104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e">
        <f>APU!#REF!</f>
        <v>#REF!</v>
      </c>
      <c r="C3" s="4" t="e">
        <f>APU!#REF!</f>
        <v>#REF!</v>
      </c>
      <c r="D3" s="1" t="e">
        <f>APU!#REF!</f>
        <v>#REF!</v>
      </c>
      <c r="E3" s="5" t="e">
        <f>APU!#REF!</f>
        <v>#REF!</v>
      </c>
    </row>
    <row r="4" spans="2:5" x14ac:dyDescent="0.3">
      <c r="B4" s="2" t="e">
        <f>APU!#REF!</f>
        <v>#REF!</v>
      </c>
      <c r="C4" s="4" t="e">
        <f>APU!#REF!</f>
        <v>#REF!</v>
      </c>
      <c r="D4" s="1" t="e">
        <f>APU!#REF!</f>
        <v>#REF!</v>
      </c>
      <c r="E4" s="5" t="e">
        <f>APU!#REF!</f>
        <v>#REF!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4"/>
  <sheetViews>
    <sheetView showGridLines="0" zoomScale="110" zoomScaleNormal="110" workbookViewId="0">
      <selection activeCell="AK5" sqref="AK5:AO5"/>
    </sheetView>
  </sheetViews>
  <sheetFormatPr baseColWidth="10" defaultRowHeight="14.4" x14ac:dyDescent="0.3"/>
  <cols>
    <col min="1" max="1" width="30.6640625" customWidth="1"/>
    <col min="2" max="2" width="12.6640625" style="18" bestFit="1" customWidth="1"/>
    <col min="3" max="3" width="13.44140625" style="19" bestFit="1" customWidth="1"/>
    <col min="4" max="4" width="14.88671875" style="29" bestFit="1" customWidth="1"/>
    <col min="5" max="5" width="15.5546875" style="19" bestFit="1" customWidth="1"/>
    <col min="8" max="8" width="15.6640625" customWidth="1"/>
  </cols>
  <sheetData>
    <row r="1" spans="1:6" ht="30" customHeight="1" x14ac:dyDescent="0.3">
      <c r="A1" s="104" t="s">
        <v>32</v>
      </c>
      <c r="B1" s="104"/>
      <c r="C1" s="104"/>
      <c r="D1" s="104"/>
      <c r="E1" s="104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4" spans="1:6" x14ac:dyDescent="0.3">
      <c r="A4" s="39" t="s">
        <v>18</v>
      </c>
      <c r="B4" s="27"/>
      <c r="C4" s="28"/>
      <c r="D4" s="31"/>
      <c r="E4" s="40">
        <f>SUBTOTAL(109,T_materiales[TOTAL])</f>
        <v>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APU" size="normal" image="copiar_16" onAction="Módulo001_APUSPRUEBA.copiarapu" getEnabled="Módulo11_RIBBON.hojaapu" screentip="Copiar APU" supertip="Copiar APU seleccionado."/>
          <button id="botpegarapu" label="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11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ACTIVIDADES</vt:lpstr>
      <vt:lpstr>INSUMOS!Área_de_impresión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2024-08-28T17:11:54Z</dcterms:modified>
</cp:coreProperties>
</file>