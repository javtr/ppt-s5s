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a69b0f1dc1248f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9010B5FF-D019-42AD-830D-2879D82415BC}" xr6:coauthVersionLast="47" xr6:coauthVersionMax="47" xr10:uidLastSave="{00000000-0000-0000-0000-000000000000}"/>
  <workbookProtection workbookAlgorithmName="SHA-512" workbookHashValue="+MocAU8K0aAosg1nZYJFlTstrajbm/Q+AfH/kKUjpJtpOgDPFtEqa7rY1VF6eV0MUs/X006L/ql/nvYkJultdw==" workbookSaltValue="4AvDNWr479xTelxbvChrNQ==" workbookSpinCount="100000" lockStructure="1"/>
  <bookViews>
    <workbookView xWindow="-108" yWindow="-108" windowWidth="23256" windowHeight="12456" tabRatio="606" firstSheet="1" activeTab="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03" l="1"/>
  <c r="H17" i="103"/>
  <c r="B35" i="104"/>
  <c r="D35" i="104"/>
  <c r="B34" i="104"/>
  <c r="D34" i="104"/>
  <c r="B33" i="104"/>
  <c r="D33" i="104"/>
  <c r="B32" i="104"/>
  <c r="D32" i="104"/>
  <c r="B25" i="104"/>
  <c r="D25" i="104"/>
  <c r="B24" i="104"/>
  <c r="D24" i="104"/>
  <c r="B23" i="104"/>
  <c r="D23" i="104"/>
  <c r="B20" i="104"/>
  <c r="D20" i="104"/>
  <c r="B19" i="104"/>
  <c r="D19" i="104"/>
  <c r="B18" i="104"/>
  <c r="D18" i="104"/>
  <c r="B11" i="104"/>
  <c r="D11" i="104"/>
  <c r="B10" i="104"/>
  <c r="D10" i="104"/>
  <c r="B9" i="104"/>
  <c r="D9" i="104"/>
  <c r="B8" i="104"/>
  <c r="D8" i="104"/>
  <c r="B7" i="104"/>
  <c r="D7" i="104"/>
  <c r="B6" i="104"/>
  <c r="D6" i="104"/>
  <c r="B5" i="104"/>
  <c r="D5" i="104"/>
  <c r="D4" i="4"/>
  <c r="C4" i="4"/>
  <c r="B4" i="4"/>
  <c r="D3" i="4"/>
  <c r="C3" i="4"/>
  <c r="B3" i="4"/>
  <c r="B16" i="103"/>
  <c r="D16" i="103"/>
  <c r="G16" i="103"/>
  <c r="H16" i="103" s="1"/>
  <c r="B15" i="103"/>
  <c r="D15" i="103"/>
  <c r="G15" i="103"/>
  <c r="H15" i="103"/>
  <c r="B6" i="103"/>
  <c r="D6" i="103"/>
  <c r="G6" i="103"/>
  <c r="H6" i="103" s="1"/>
  <c r="B5" i="103"/>
  <c r="D5" i="103"/>
  <c r="G5" i="103"/>
  <c r="H5" i="103"/>
  <c r="E5" i="10"/>
  <c r="D5" i="10"/>
  <c r="C5" i="10"/>
  <c r="B5" i="10"/>
  <c r="E4" i="10"/>
  <c r="D4" i="10"/>
  <c r="C4" i="10"/>
  <c r="B4" i="10"/>
  <c r="E3" i="10"/>
  <c r="D3" i="10"/>
  <c r="C3" i="10"/>
  <c r="B3" i="10"/>
  <c r="B17" i="102"/>
  <c r="D17" i="102"/>
  <c r="G17" i="102"/>
  <c r="H17" i="102"/>
  <c r="B16" i="102"/>
  <c r="D16" i="102"/>
  <c r="G16" i="102"/>
  <c r="H16" i="102" s="1"/>
  <c r="B15" i="102"/>
  <c r="D15" i="102"/>
  <c r="G15" i="102"/>
  <c r="H15" i="102" s="1"/>
  <c r="B8" i="102"/>
  <c r="D8" i="102"/>
  <c r="G8" i="102"/>
  <c r="H8" i="102"/>
  <c r="B7" i="102"/>
  <c r="D7" i="102"/>
  <c r="G7" i="102"/>
  <c r="H7" i="102" s="1"/>
  <c r="B6" i="102"/>
  <c r="D6" i="102"/>
  <c r="G6" i="102"/>
  <c r="H6" i="102" s="1"/>
  <c r="B5" i="102"/>
  <c r="D5" i="102"/>
  <c r="G5" i="102"/>
  <c r="H5" i="102" s="1"/>
  <c r="H7" i="103"/>
  <c r="E27" i="102"/>
  <c r="H27" i="102"/>
  <c r="E26" i="102"/>
  <c r="H26" i="102"/>
  <c r="E25" i="102"/>
  <c r="H25" i="102"/>
  <c r="H28" i="102"/>
  <c r="E7" i="106"/>
  <c r="E6" i="106"/>
  <c r="E5" i="106"/>
  <c r="E4" i="106"/>
  <c r="E3" i="106"/>
  <c r="C44" i="104"/>
  <c r="B44" i="104"/>
  <c r="C43" i="104"/>
  <c r="B43" i="104"/>
  <c r="C42" i="104"/>
  <c r="B42" i="104"/>
  <c r="H36" i="104"/>
  <c r="H21" i="104"/>
  <c r="H22" i="104"/>
  <c r="H20" i="102" l="1"/>
  <c r="H10" i="102"/>
  <c r="E8" i="106"/>
  <c r="H20" i="103" l="1"/>
  <c r="E4" i="4" s="1"/>
  <c r="H10" i="103"/>
  <c r="E3" i="4" s="1"/>
  <c r="G18" i="104" l="1"/>
  <c r="H18" i="104" s="1"/>
  <c r="G11" i="104"/>
  <c r="H11" i="104" s="1"/>
  <c r="G24" i="104"/>
  <c r="H24" i="104" s="1"/>
  <c r="G10" i="104"/>
  <c r="H10" i="104" s="1"/>
  <c r="G6" i="104"/>
  <c r="H6" i="104" s="1"/>
  <c r="G35" i="104"/>
  <c r="H35" i="104" s="1"/>
  <c r="G19" i="104"/>
  <c r="H19" i="104" s="1"/>
  <c r="G33" i="104"/>
  <c r="H33" i="104" s="1"/>
  <c r="G32" i="104"/>
  <c r="H32" i="104" s="1"/>
  <c r="G8" i="104"/>
  <c r="H8" i="104" s="1"/>
  <c r="G7" i="104"/>
  <c r="H7" i="104" s="1"/>
  <c r="G25" i="104"/>
  <c r="H25" i="104" s="1"/>
  <c r="G9" i="104"/>
  <c r="H9" i="104" s="1"/>
  <c r="G20" i="104"/>
  <c r="H20" i="104" s="1"/>
  <c r="H27" i="104" s="1"/>
  <c r="E43" i="104" s="1"/>
  <c r="G34" i="104"/>
  <c r="H34" i="104" s="1"/>
  <c r="H37" i="104" s="1"/>
  <c r="E44" i="104" s="1"/>
  <c r="G23" i="104"/>
  <c r="H23" i="104" s="1"/>
  <c r="G5" i="104"/>
  <c r="H5" i="104" s="1"/>
  <c r="H13" i="104" l="1"/>
  <c r="E42" i="104" s="1"/>
  <c r="E47" i="104" s="1"/>
  <c r="E52" i="104" l="1"/>
  <c r="E53" i="104"/>
  <c r="E54" i="104" s="1"/>
  <c r="D43" i="104"/>
  <c r="D44" i="104"/>
  <c r="E51" i="104"/>
  <c r="D42" i="104"/>
  <c r="E55" i="104"/>
  <c r="E57" i="104" s="1"/>
</calcChain>
</file>

<file path=xl/sharedStrings.xml><?xml version="1.0" encoding="utf-8"?>
<sst xmlns="http://schemas.openxmlformats.org/spreadsheetml/2006/main" count="236" uniqueCount="66">
  <si>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</si>
  <si>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</si>
  <si>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</si>
  <si>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</si>
  <si>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</si>
  <si>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</si>
  <si>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</si>
  <si>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</si>
  <si>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</si>
  <si>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</si>
  <si>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</si>
  <si>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</si>
  <si>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</si>
  <si>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</si>
  <si>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</si>
  <si>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</si>
  <si>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</si>
  <si>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</si>
  <si>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</si>
  <si>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</si>
  <si>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</si>
  <si>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</si>
  <si>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</si>
  <si>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</si>
  <si>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</si>
  <si>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</si>
  <si>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</si>
  <si>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</si>
  <si>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</si>
  <si>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</si>
  <si>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</si>
  <si>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</si>
  <si>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</si>
  <si>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</si>
  <si>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</si>
  <si>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</si>
  <si>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</si>
  <si>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</si>
  <si>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</si>
  <si>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</si>
  <si>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herramienta menor</t>
  </si>
  <si>
    <t>gl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</si>
  <si>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</si>
  <si>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</si>
  <si>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</si>
  <si>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</si>
  <si>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</si>
  <si>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</si>
  <si>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</si>
  <si>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</si>
  <si>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</si>
  <si>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</si>
  <si>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</si>
  <si>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</si>
  <si>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</si>
  <si>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</si>
  <si>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</si>
  <si>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</si>
  <si>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Apu basico 01</t>
  </si>
  <si>
    <t>Apu 01</t>
  </si>
  <si>
    <t>Apu basico 02</t>
  </si>
  <si>
    <t>Apu 02</t>
  </si>
  <si>
    <t>OK</t>
  </si>
  <si>
    <t>CAPÍTULO 1</t>
  </si>
  <si>
    <t>CAPÍTULO 2</t>
  </si>
  <si>
    <t>NOMBRE A.P.U. BÁSICO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</si>
</sst>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164" formatCode="_-* #,##0\ _€_-;\-* #,##0\ _€_-;_-* &quot;-&quot;\ _€_-;_-@_-"/>
    <numFmt numFmtId="165" formatCode="#,##0.00_ ;\-#,##0.00\ "/>
    <numFmt numFmtId="166" formatCode="[$$-240A]\ #,##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FF66"/>
        <bgColor indexed="64"/>
      </patternFill>
    </fill>
  </fills>
  <borders count="26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A4F3"/>
      </left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/>
      <right/>
      <top style="thin">
        <color rgb="FF009999"/>
      </top>
      <bottom/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0" fontId="2" fillId="2" borderId="0" xfId="0" applyFont="1" applyFill="1"/>
    <xf numFmtId="164" fontId="2" fillId="2" borderId="0" xfId="0" applyNumberFormat="1" applyFont="1" applyFill="1"/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166" fontId="0" fillId="0" borderId="0" xfId="0" applyNumberFormat="1"/>
    <xf numFmtId="0" fontId="2" fillId="0" borderId="21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9" fontId="6" fillId="0" borderId="0" xfId="13" applyFont="1" applyAlignment="1">
      <alignment horizontal="center"/>
    </xf>
    <xf numFmtId="3" fontId="6" fillId="0" borderId="0" xfId="0" applyNumberFormat="1" applyFont="1" applyAlignment="1">
      <alignment horizontal="center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0" fontId="0" fillId="0" borderId="0" xfId="0" applyNumberFormat="1"/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  <xf numFmtId="0" fontId="2" fillId="0" borderId="2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41" fontId="6" fillId="4" borderId="25" xfId="0" applyNumberFormat="1" applyFont="1" applyFill="1" applyBorder="1" applyAlignment="1">
      <alignment horizontal="center"/>
    </xf>
    <xf numFmtId="41" fontId="9" fillId="3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6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67"/>
      <tableStyleElement type="headerRow" dxfId="166"/>
    </tableStyle>
    <tableStyle name="S5S Green" pivot="0" count="2" xr9:uid="{00000000-0011-0000-FFFF-FFFF02000000}">
      <tableStyleElement type="wholeTable" dxfId="165"/>
      <tableStyleElement type="headerRow" dxfId="164"/>
    </tableStyle>
    <tableStyle name="S5S Greenblue" pivot="0" count="2" xr9:uid="{00000000-0011-0000-FFFF-FFFF03000000}">
      <tableStyleElement type="wholeTable" dxfId="163"/>
      <tableStyleElement type="headerRow" dxfId="162"/>
    </tableStyle>
    <tableStyle name="S5S2" pivot="0" count="2" xr9:uid="{00000000-0011-0000-FFFF-FFFF04000000}">
      <tableStyleElement type="wholeTable" dxfId="161"/>
      <tableStyleElement type="headerRow" dxfId="160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8852BB9-CF29-4EB4-B850-8A7BDB31F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263D54B0-7955-4136-A48F-117E2F9D9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940E9305-1933-43C2-B280-381B3CF6C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E43D4DA7-A462-4BC1-8FB1-FC9C1D1A0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32EB8D7A-3760-45D0-AAA9-4AB5C90AD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167FB88A-FAAC-4A81-9CB9-DCB3CB0B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8EC3E64-3743-4DC1-B920-C82415B6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699157F-AA30-4426-A388-511852270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10DB8A65-B59E-4F6B-A5E3-15C773FF5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33BD149B-EB24-4796-A786-2F0EBDFEB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557A6F8-DA3C-4167-94E9-6DC35F81D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1C0F655D-128A-4847-986F-C04098D1F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63F5800F-72B3-4173-BD46-AB5D8C75C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E26302-E4F5-4FE0-9296-D1C71E330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4B595F1A-6A48-4909-9280-D76C4F81D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EC286C4D-59FC-496B-BA05-6DD751EC5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FCC344E8-E8CD-4024-80A6-B5C26BA9D8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92C6910C-B922-4688-887B-EA5D62362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3EBF20B9-5EB5-4BEA-B994-E31B6D0E2D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5A5DDDA9-6D91-4A08-AEA1-0729047EF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375C4C-1B27-4E31-843A-FF3B06D0F9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1880FFB7-4C55-4151-BA1E-94357B369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6F2B1016-9F3F-4CDA-8019-5F412C171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5163C49-06DD-41AC-87F0-95B6056BF27D}" name="T_mat" displayName="T_mat" ref="A4:E15" totalsRowShown="0" headerRowDxfId="159">
  <autoFilter ref="A4:E15" xr:uid="{35163C49-06DD-41AC-87F0-95B6056BF27D}"/>
  <sortState xmlns:xlrd2="http://schemas.microsoft.com/office/spreadsheetml/2017/richdata2" ref="A5:E15">
    <sortCondition ref="A4:A15"/>
  </sortState>
  <tableColumns count="5">
    <tableColumn id="1" xr3:uid="{66B6A4FC-04B9-46B1-9A60-8B4235B01FB1}" name="DESCRIPCIÓN" dataDxfId="158"/>
    <tableColumn id="2" xr3:uid="{590D80B6-266A-40AE-96E2-4B8C49A0ED2D}" name="CÓDIGO" dataDxfId="157"/>
    <tableColumn id="3" xr3:uid="{19A5DD5B-76DF-412C-B456-961C17712F44}" name="UNIDAD" dataDxfId="156"/>
    <tableColumn id="4" xr3:uid="{A5C9AC68-4573-46E5-9519-6D1125A0C35F}" name="PRECIO" dataDxfId="155"/>
    <tableColumn id="5" xr3:uid="{F6096676-2E8B-429F-A8D7-161439AD8C0C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C432AD-E3FE-4AF6-8C30-AA847C0BBC39}" name="T_equipos" displayName="T_equipos" ref="G4:K11" totalsRowShown="0" headerRowDxfId="154">
  <autoFilter ref="G4:K11" xr:uid="{3EC432AD-E3FE-4AF6-8C30-AA847C0BBC39}"/>
  <tableColumns count="5">
    <tableColumn id="1" xr3:uid="{1D3C53CE-0CF7-4BE4-B9E2-9FA5A48A7FE1}" name="DESCRIPCIÓN" dataDxfId="153"/>
    <tableColumn id="2" xr3:uid="{B929374C-D65D-4AEC-98CD-C5375CD07C26}" name="CÓDIGO" dataDxfId="152"/>
    <tableColumn id="3" xr3:uid="{51C9E9F3-E289-464F-B582-BF64E576D1FB}" name="UNIDAD" dataDxfId="151"/>
    <tableColumn id="4" xr3:uid="{1DAED865-92E7-4746-95F7-EF29DD6C80EE}" name="PRECIO" dataDxfId="150"/>
    <tableColumn id="5" xr3:uid="{CDC791B4-28F4-42D6-9987-96F7A20104D1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8AA1A2E9-8F33-427A-926F-B1C96BC7066F}" name="T_mano" displayName="T_mano" ref="M4:Q11" totalsRowShown="0" headerRowDxfId="149">
  <autoFilter ref="M4:Q11" xr:uid="{8AA1A2E9-8F33-427A-926F-B1C96BC7066F}"/>
  <sortState xmlns:xlrd2="http://schemas.microsoft.com/office/spreadsheetml/2017/richdata2" ref="M5:Q19">
    <sortCondition ref="N4"/>
  </sortState>
  <tableColumns count="5">
    <tableColumn id="1" xr3:uid="{ABFFDB0E-0706-4014-BD8E-016A0915F601}" name="DESCRIPCIÓN" dataDxfId="148"/>
    <tableColumn id="2" xr3:uid="{FB67F346-D0B1-4202-AE10-5EBDF4B9ADA2}" name="CÓDIGO" dataDxfId="147"/>
    <tableColumn id="3" xr3:uid="{61447079-C2DA-467E-8F4E-CB2D3B62E402}" name="UNIDAD" dataDxfId="146"/>
    <tableColumn id="4" xr3:uid="{827DC2EB-289E-4D5D-AF01-CA9E16107176}" name="PRECIO" dataDxfId="145"/>
    <tableColumn id="5" xr3:uid="{C6BC718B-60E5-417B-B413-5DE8995550F7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3AF20191-D16C-4181-9765-B0241B47704D}" name="T_trans" displayName="T_trans" ref="S4:W11" totalsRowShown="0" headerRowDxfId="144">
  <autoFilter ref="S4:W11" xr:uid="{3AF20191-D16C-4181-9765-B0241B47704D}"/>
  <sortState xmlns:xlrd2="http://schemas.microsoft.com/office/spreadsheetml/2017/richdata2" ref="S5:W15">
    <sortCondition ref="T4:T15"/>
  </sortState>
  <tableColumns count="5">
    <tableColumn id="1" xr3:uid="{483C3CD7-5480-4A69-9EAA-D6095EEFC776}" name="DESCRIPCIÓN" dataDxfId="143"/>
    <tableColumn id="2" xr3:uid="{C93FF0F3-5C51-4E52-A7FD-0A97B94261FA}" name="CÓDIGO" dataDxfId="142"/>
    <tableColumn id="3" xr3:uid="{DF323099-BE87-475A-A71B-25EACA6CB3A7}" name="UNIDAD" dataDxfId="141"/>
    <tableColumn id="4" xr3:uid="{43CFAE15-C7AF-4CBA-B15F-CAB5946940D0}" name="PRECIO" dataDxfId="140"/>
    <tableColumn id="5" xr3:uid="{5C7CDC9B-06A3-49F8-B8CD-B9E3E1F10ECB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692394F0-56D9-4CDF-B128-169558E683C7}" name="T_sub" displayName="T_sub" ref="Y4:AC11" totalsRowShown="0" headerRowDxfId="139">
  <autoFilter ref="Y4:AC11" xr:uid="{692394F0-56D9-4CDF-B128-169558E683C7}"/>
  <sortState xmlns:xlrd2="http://schemas.microsoft.com/office/spreadsheetml/2017/richdata2" ref="Y5:AC18">
    <sortCondition ref="Z4"/>
  </sortState>
  <tableColumns count="5">
    <tableColumn id="1" xr3:uid="{681D5347-21F8-4437-8E39-12CA3DC47D71}" name="DESCRIPCIÓN" dataDxfId="138"/>
    <tableColumn id="2" xr3:uid="{BECD9356-A90A-4458-B2A6-C91CA57E3BF3}" name="CÓDIGO" dataDxfId="137"/>
    <tableColumn id="3" xr3:uid="{06850437-E874-4D8C-9ECA-54256C1C66F6}" name="UNIDAD" dataDxfId="136"/>
    <tableColumn id="4" xr3:uid="{65C0ED23-3E2A-492A-BCA2-FDF0692C8FFD}" name="PRECIO" dataDxfId="135"/>
    <tableColumn id="5" xr3:uid="{D38493F6-2EC3-4468-BE31-49044D748F9B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8883847-159C-4D69-9DC1-AB5E5A4E1F5D}" name="T_otros" displayName="T_otros" ref="AK4:AO11" totalsRowShown="0" headerRowDxfId="134">
  <autoFilter ref="AK4:AO11" xr:uid="{18883847-159C-4D69-9DC1-AB5E5A4E1F5D}"/>
  <sortState xmlns:xlrd2="http://schemas.microsoft.com/office/spreadsheetml/2017/richdata2" ref="AK5:AO18">
    <sortCondition ref="AL4"/>
  </sortState>
  <tableColumns count="5">
    <tableColumn id="1" xr3:uid="{FB94A2F0-2B63-4C96-8BF1-28C4B2F36A2C}" name="DESCRIPCIÓN" dataDxfId="133"/>
    <tableColumn id="2" xr3:uid="{9F8D2D16-7F2E-4007-B55E-8C176DFA54DF}" name="CÓDIGO" dataDxfId="132"/>
    <tableColumn id="3" xr3:uid="{D3D1120B-1558-4FCD-99D8-A5E29D3CDBFC}" name="UNIDAD" dataDxfId="131"/>
    <tableColumn id="4" xr3:uid="{862E80EA-6627-48D7-B8EB-7DB311EABE08}" name="PRECIO" dataDxfId="130"/>
    <tableColumn id="5" xr3:uid="{C548858A-1844-460E-A1CC-CD31642BFF12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429DDB-0CB6-4EEB-ADB5-66ECCA01DA73}" name="T_act" displayName="T_act" ref="AE4:AI11" totalsRowShown="0" headerRowDxfId="129">
  <autoFilter ref="AE4:AI11" xr:uid="{71429DDB-0CB6-4EEB-ADB5-66ECCA01DA73}"/>
  <sortState xmlns:xlrd2="http://schemas.microsoft.com/office/spreadsheetml/2017/richdata2" ref="AE5:AI15">
    <sortCondition ref="AE4:AE15"/>
  </sortState>
  <tableColumns count="5">
    <tableColumn id="1" xr3:uid="{C24F9771-B730-454A-B344-54C6AC857951}" name="DESCRIPCIÓN" dataDxfId="128"/>
    <tableColumn id="2" xr3:uid="{A4604D4F-CFC0-4F7E-90A4-827CF550A33E}" name="CÓDIGO" dataDxfId="127"/>
    <tableColumn id="3" xr3:uid="{59E31BB8-5436-4C08-9670-728BD258AC63}" name="UNIDAD" dataDxfId="126"/>
    <tableColumn id="4" xr3:uid="{9A9C7FC3-5F98-4C2A-8274-196411916C6E}" name="PRECIO" dataDxfId="125"/>
    <tableColumn id="5" xr3:uid="{0FA7E606-D7A7-43AC-B18A-0DA739BAF2A6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597E129E-1E53-4EEE-9409-B45B8422D497}" name="Tabla4" displayName="Tabla4" ref="A4:H10" totalsRowCount="1">
  <autoFilter ref="A4:H9" xr:uid="{597E129E-1E53-4EEE-9409-B45B8422D4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CC82BB4-04BA-410E-9ACA-59AA9861AAEA}" name="TIPO" totalsRowLabel="Total"/>
    <tableColumn id="2" xr3:uid="{546ED848-A602-43E1-B3AF-82CA35829946}" name="CÓDIGO"/>
    <tableColumn id="3" xr3:uid="{AA1C801F-2910-4C3C-BC11-0FC2293F8A66}" name="DESCRIPCIÓN"/>
    <tableColumn id="4" xr3:uid="{7DE0C73C-1C77-4898-BEC1-C4EEBD158D9A}" name="UNIDAD" dataDxfId="124"/>
    <tableColumn id="5" xr3:uid="{4DB5B3BA-8B32-45EF-B59F-7740E4600CBA}" name="FACTOR" dataDxfId="123">
      <calculatedColumnFormula>1</calculatedColumnFormula>
    </tableColumn>
    <tableColumn id="6" xr3:uid="{6DB902A3-A384-4A73-BC9B-E19A7BF027CC}" name="CANTIDAD" dataDxfId="122"/>
    <tableColumn id="7" xr3:uid="{0120936E-8A61-4D94-A78C-65221D0FAADC}" name="PRECIO" dataDxfId="121" totalsRowDxfId="120"/>
    <tableColumn id="8" xr3:uid="{3605FFE7-DD61-4498-BA90-550D04203DCC}" name="TOTAL" totalsRowFunction="custom" dataDxfId="119" totalsRowDxfId="118">
      <calculatedColumnFormula>Tabla4[[#This Row],[CANTIDAD]]*Tabla4[[#This Row],[PRECIO]]*Tabla4[[#This Row],[FACTOR]]</calculatedColumnFormula>
      <totalsRowFormula>SUM(Tabla4[TOTAL])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F3FE8319-1280-41AD-A483-C8254B3179FC}" name="Tabla6" displayName="Tabla6" ref="A14:H20" totalsRowCount="1" headerRowDxfId="117">
  <autoFilter ref="A14:H19" xr:uid="{F3FE8319-1280-41AD-A483-C8254B3179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7CFD9C6-648B-4DDF-97A8-2582A3E10F2A}" name="TIPO" totalsRowLabel="Total" totalsRowDxfId="116"/>
    <tableColumn id="2" xr3:uid="{98BA0343-CD27-425C-A43D-FA061A7276E1}" name="CÓDIGO"/>
    <tableColumn id="3" xr3:uid="{EB25FF9C-7060-4126-85F0-8007B552D2AB}" name="DESCRIPCIÓN"/>
    <tableColumn id="4" xr3:uid="{0B13DFA8-95EC-4854-BD46-BABEFF1BE430}" name="UNIDAD" dataDxfId="115"/>
    <tableColumn id="5" xr3:uid="{DFE98C81-1FF8-4CF2-89BD-C61C5CFE3B16}" name="FACTOR" dataDxfId="114"/>
    <tableColumn id="6" xr3:uid="{CD10B0E5-BF14-4B9C-954F-23D7DBB64092}" name="CANTIDAD" dataDxfId="113"/>
    <tableColumn id="7" xr3:uid="{7B568271-860E-4489-99A5-E80863E73B04}" name="PRECIO" dataDxfId="112" totalsRowDxfId="111"/>
    <tableColumn id="8" xr3:uid="{85EB0F46-F7AB-42AF-9B6E-7D83A0E30828}" name="TOTAL" totalsRowFunction="custom" dataDxfId="110" totalsRowDxfId="109">
      <calculatedColumnFormula>Tabla6[[#This Row],[CANTIDAD]]*Tabla6[[#This Row],[PRECIO]]*Tabla6[[#This Row],[FACTOR]]</calculatedColumnFormula>
      <totalsRowFormula>SUM(Tabla6[TOTAL])</totalsRowFormula>
    </tableColumn>
  </tableColumns>
  <tableStyleInfo name="S5S Gre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3988AE-448C-4D5A-AFB8-2C4C80E6DF8B}" name="Tabla2" displayName="Tabla2" ref="A24:H28" totalsRowCount="1">
  <autoFilter ref="A24:H27" xr:uid="{173988AE-448C-4D5A-AFB8-2C4C80E6DF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6861715-9D77-49DD-BF29-AFBA25D85AEF}" name="TIPO" totalsRowLabel="Total"/>
    <tableColumn id="2" xr3:uid="{F7A6B7E1-D4C8-42BD-817F-D8F2F7B44E19}" name="CÓDIGO"/>
    <tableColumn id="3" xr3:uid="{E9E4A37E-AC62-499D-96FA-F28CF40E03FD}" name="DESCRIPCIÓN"/>
    <tableColumn id="4" xr3:uid="{8317135D-BDFA-4A28-9837-A27EE6701B9A}" name="UNIDAD" dataDxfId="108"/>
    <tableColumn id="5" xr3:uid="{3365607A-9A07-4DAD-B35B-D49E6D0DC3B0}" name="FACTOR" dataDxfId="107">
      <calculatedColumnFormula>1</calculatedColumnFormula>
    </tableColumn>
    <tableColumn id="6" xr3:uid="{E2159A65-22A1-4CBD-9356-35EC5151ABE8}" name="CANTIDAD" dataDxfId="106"/>
    <tableColumn id="7" xr3:uid="{2B0C9A71-8FA2-4A55-90AF-72D01CB0237A}" name="PRECIO" dataDxfId="105"/>
    <tableColumn id="8" xr3:uid="{C1E0B229-D5C6-433C-AAA1-4AF3AA7781B8}" name="TOTAL" totalsRowFunction="custom" dataDxfId="104">
      <calculatedColumnFormula>Tabla2[[#This Row],[CANTIDAD]]*Tabla2[[#This Row],[PRECIO]]*Tabla2[[#This Row],[FACTOR]]</calculatedColumnFormula>
      <totalsRowFormula>SUM(Tabla2[TOTAL])</totalsRowFormula>
    </tableColumn>
  </tableColumns>
  <tableStyleInfo name="S5S Gre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5ED42B0-1D7E-4492-934F-9E9B511D6280}" name="Tabla8" displayName="Tabla8" ref="A4:H10" totalsRowCount="1">
  <autoFilter ref="A4:H9" xr:uid="{05ED42B0-1D7E-4492-934F-9E9B511D6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522035-5509-4202-8969-F6F4EC4ADC53}" name="TIPO" totalsRowLabel="Total"/>
    <tableColumn id="2" xr3:uid="{C8E63652-0864-4A72-9F25-753EAC72DF81}" name="CÓDIGO"/>
    <tableColumn id="3" xr3:uid="{0CD374D4-E705-4180-AB8B-76CFEECF29FA}" name="DESCRIPCIÓN"/>
    <tableColumn id="4" xr3:uid="{AD5DD0FB-E49C-4640-9FA4-0E74FEB0C58C}" name="UNIDAD" dataDxfId="103"/>
    <tableColumn id="5" xr3:uid="{C34105AC-404D-40A3-8CB0-99A64376F644}" name="FACTOR" dataDxfId="102">
      <calculatedColumnFormula>1</calculatedColumnFormula>
    </tableColumn>
    <tableColumn id="6" xr3:uid="{E80257D3-6472-4C87-9960-309FECFC181C}" name="CANTIDAD" dataDxfId="101"/>
    <tableColumn id="7" xr3:uid="{2DAC665D-F927-441D-83C6-F6A308031674}" name="PRECIO" dataDxfId="100" totalsRowDxfId="99"/>
    <tableColumn id="8" xr3:uid="{C638DF3E-2A17-44E0-8EFC-246FF7997AF9}" name="TOTAL" totalsRowFunction="custom" dataDxfId="98" totalsRowDxfId="97">
      <calculatedColumnFormula>Tabla8[[#This Row],[CANTIDAD]]*Tabla8[[#This Row],[PRECIO]]*Tabla8[[#This Row],[FACTOR]]</calculatedColumnFormula>
      <totalsRowFormula>SUM(Tabla8[TOTAL])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E6933D8-67BA-40E6-AC2E-F6CCCBBCB257}" name="Tabla10" displayName="Tabla10" ref="A14:H20" totalsRowCount="1" headerRowDxfId="96">
  <autoFilter ref="A14:H19" xr:uid="{CE6933D8-67BA-40E6-AC2E-F6CCCBBCB2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332ED69-D8C4-4856-804F-111E83D807A6}" name="TIPO" totalsRowLabel="Total" totalsRowDxfId="95"/>
    <tableColumn id="2" xr3:uid="{9AE5C76D-E119-4199-8BEA-A6299CF795FD}" name="CÓDIGO"/>
    <tableColumn id="3" xr3:uid="{BE3F3F39-6581-46F7-BAE3-4405357AED73}" name="DESCRIPCIÓN"/>
    <tableColumn id="4" xr3:uid="{FBB85AF9-2387-4858-944E-4C15F84B2938}" name="UNIDAD" dataDxfId="94"/>
    <tableColumn id="5" xr3:uid="{C7727569-A9B1-489F-A59F-CA766CE2CF60}" name="FACTOR" dataDxfId="93"/>
    <tableColumn id="6" xr3:uid="{25242530-91B4-4B7E-9570-27531DDB0EDE}" name="CANTIDAD" dataDxfId="92"/>
    <tableColumn id="7" xr3:uid="{7167513A-3241-481A-9576-A994D60D5482}" name="PRECIO" dataDxfId="91" totalsRowDxfId="90"/>
    <tableColumn id="8" xr3:uid="{A5D1A74F-AD86-49D1-AAB0-CC3982FFCB2D}" name="TOTAL" totalsRowFunction="custom" dataDxfId="89" totalsRowDxfId="88">
      <calculatedColumnFormula>Tabla10[[#This Row],[CANTIDAD]]*Tabla10[[#This Row],[PRECIO]]*Tabla10[[#This Row],[FACTOR]]</calculatedColumnFormula>
      <totalsRowFormula>SUM(Tabla10[TOTAL])</totalsRowFormula>
    </tableColumn>
  </tableColumns>
  <tableStyleInfo name="S5S 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96FDAE66-6DBA-4699-BF50-D8546BA48B45}" name="Tabla7" displayName="Tabla7" ref="B4:H13" totalsRowCount="1" headerRowDxfId="87" dataDxfId="86" totalsRowDxfId="85">
  <autoFilter ref="B4:H12" xr:uid="{96FDAE66-6DBA-4699-BF50-D8546BA48B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2782E6E-ADBD-4264-9E19-07A74BF6707F}" name="CÓDIGO" totalsRowLabel="Total" dataDxfId="84" totalsRowDxfId="83"/>
    <tableColumn id="2" xr3:uid="{9E4A8911-B1F6-4798-B7A8-393CF0AC0087}" name="DESCRIPCIÓN" dataDxfId="82" totalsRowDxfId="81"/>
    <tableColumn id="3" xr3:uid="{A1AE07CE-2D7B-4A2B-96FB-56923B301155}" name="UNIDAD" dataDxfId="80" totalsRowDxfId="79"/>
    <tableColumn id="4" xr3:uid="{34B40167-98C6-43B4-ACE3-814B43CEEF4D}" name="FACTOR" dataDxfId="78" totalsRowDxfId="77"/>
    <tableColumn id="5" xr3:uid="{4774C47A-FCFE-4EFB-A37B-C782BBB55CD0}" name="CANTIDAD" dataDxfId="76" totalsRowDxfId="75"/>
    <tableColumn id="6" xr3:uid="{A7D9AF6D-518C-461D-AACA-AB4424887819}" name="COSTO" dataDxfId="74" totalsRowDxfId="73"/>
    <tableColumn id="7" xr3:uid="{42342F48-7E8C-4010-A99A-EA5943ADDBC7}" name="TOTAL" totalsRowFunction="custom" dataDxfId="72" totalsRowDxfId="71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3383F75-BB5A-443A-9E47-465B89ED8DA0}" name="Tabla14" displayName="Tabla14" ref="B17:H27" totalsRowCount="1" headerRowDxfId="70" dataDxfId="69" totalsRowDxfId="68">
  <autoFilter ref="B17:H26" xr:uid="{C3383F75-BB5A-443A-9E47-465B89ED8D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D35C1EC-88B8-4BE9-A8A3-2267E448A193}" name="CÓDIGO" totalsRowLabel="Total" dataDxfId="67" totalsRowDxfId="66"/>
    <tableColumn id="2" xr3:uid="{7B7026C8-5732-41EE-8015-AFFBBE29D398}" name="DESCRIPCIÓN" dataDxfId="65" totalsRowDxfId="64"/>
    <tableColumn id="3" xr3:uid="{4C38D328-722B-4A28-8CF5-30E68B140749}" name="UNIDAD" dataDxfId="63" totalsRowDxfId="62"/>
    <tableColumn id="4" xr3:uid="{BE8B3E57-1D68-47B5-A101-D68769928F3C}" name="FACTOR" dataDxfId="61" totalsRowDxfId="60"/>
    <tableColumn id="5" xr3:uid="{5B147115-067F-4462-8F12-6C1048890CC9}" name="CANTIDAD" dataDxfId="59" totalsRowDxfId="58"/>
    <tableColumn id="6" xr3:uid="{955A2662-8045-4115-857E-2647ED977388}" name="COSTO" dataDxfId="57" totalsRowDxfId="56"/>
    <tableColumn id="7" xr3:uid="{62DEB7EA-E79D-4A3F-9BE0-7F3BBCB43F23}" name="TOTAL" totalsRowFunction="custom" dataDxfId="55" totalsRowDxfId="54">
      <calculatedColumnFormula>Tabla14[[#This Row],[FACTOR]]*Tabla14[[#This Row],[CANTIDAD]]*Tabla14[[#This Row],[COSTO]]</calculatedColumnFormula>
      <totalsRowFormula>SUM(Tabla14[TOTAL])</totalsRowFormula>
    </tableColumn>
  </tableColumns>
  <tableStyleInfo name="S5S Green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AAA5DDD-AAE3-4D2B-99D4-DA45AAB4C61B}" name="Tabla89" displayName="Tabla89" ref="B31:H37" totalsRowCount="1" headerRowDxfId="53" dataDxfId="52">
  <autoFilter ref="B31:H36" xr:uid="{2AAA5DDD-AAE3-4D2B-99D4-DA45AAB4C6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E188C05-4790-41BB-9A7E-447570A9FEC5}" name="CÓDIGO" totalsRowLabel="Total" dataDxfId="51" totalsRowDxfId="50"/>
    <tableColumn id="2" xr3:uid="{63AB7991-3171-4CFC-B894-5591ADF27BD0}" name="DESCRIPCIÓN" dataDxfId="49" totalsRowDxfId="48"/>
    <tableColumn id="3" xr3:uid="{72B32921-1C76-4D87-B0A1-AC042005BE73}" name="UNIDAD" dataDxfId="47" totalsRowDxfId="46"/>
    <tableColumn id="4" xr3:uid="{CFCE981E-C0CD-4810-80AE-7487E1688532}" name="FACTOR" dataDxfId="45" totalsRowDxfId="44"/>
    <tableColumn id="5" xr3:uid="{14E91AA0-6A64-47EB-AE7D-50E5CE3ADE75}" name="CANTIDAD" dataDxfId="43" totalsRowDxfId="42"/>
    <tableColumn id="6" xr3:uid="{08CF8B6D-9475-4CC8-8403-E646267C1F75}" name="COSTO" dataDxfId="41" totalsRowDxfId="40"/>
    <tableColumn id="7" xr3:uid="{18657652-05A7-4B33-933A-7DC55F031EE2}" name="TOTAL" totalsRowFunction="custom" dataDxfId="39" totalsRowDxfId="38">
      <calculatedColumnFormula>Tabla89[[#This Row],[FACTOR]]*Tabla89[[#This Row],[CANTIDAD]]*Tabla89[[#This Row],[COSTO]]</calculatedColumnFormula>
      <totalsRowFormula>SUM(Tabla89[TOTAL])</totalsRowFormula>
    </tableColumn>
  </tableColumns>
  <tableStyleInfo name="S5S Green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9CD4F6C-A230-4D21-9B37-1CD499CBC774}" name="Tabla90" displayName="Tabla90" ref="B41:E47" totalsRowShown="0" headerRowDxfId="37">
  <autoFilter ref="B41:E47" xr:uid="{39CD4F6C-A230-4D21-9B37-1CD499CBC774}">
    <filterColumn colId="0" hiddenButton="1"/>
    <filterColumn colId="1" hiddenButton="1"/>
    <filterColumn colId="2" hiddenButton="1"/>
    <filterColumn colId="3" hiddenButton="1"/>
  </autoFilter>
  <tableColumns count="4">
    <tableColumn id="1" xr3:uid="{A45633BB-9CDD-4254-8C02-91640CC28DB7}" name="CÓD" dataDxfId="36"/>
    <tableColumn id="2" xr3:uid="{370B0231-4F9C-48C9-9F57-C90F8A632628}" name="CAPÍTULO" dataDxfId="35"/>
    <tableColumn id="3" xr3:uid="{4A4CC8D5-96D5-4282-A30A-1CC3A389B7B1}" name="PORCENTAJE" dataDxfId="34"/>
    <tableColumn id="4" xr3:uid="{41945A50-0A11-4145-893F-B2A711295293}" name="SUBTOTAL" dataDxfId="33"/>
  </tableColumns>
  <tableStyleInfo name="S5S Green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67E043A0-DF2C-4F80-AA82-7A03EB13D60E}" name="Tabla91" displayName="Tabla91" ref="C50:E57" totalsRowShown="0">
  <autoFilter ref="C50:E57" xr:uid="{67E043A0-DF2C-4F80-AA82-7A03EB13D60E}">
    <filterColumn colId="0" hiddenButton="1"/>
    <filterColumn colId="1" hiddenButton="1"/>
    <filterColumn colId="2" hiddenButton="1"/>
  </autoFilter>
  <tableColumns count="3">
    <tableColumn id="1" xr3:uid="{793212FD-D181-42CD-9259-2398524D98B9}" name="DESCRIPCIÓN" dataDxfId="32"/>
    <tableColumn id="2" xr3:uid="{29F24675-DB97-4EF0-BFFA-862DF3A82C23}" name="PORCENTAJE" dataDxfId="31"/>
    <tableColumn id="3" xr3:uid="{A8FB70AB-F141-461C-9C8C-442B5352E67A}" name="SUBTOTAL" dataDxfId="30"/>
  </tableColumns>
  <tableStyleInfo name="S5S Greenblu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7" totalsRowShown="0" headerRowDxfId="29" dataDxfId="27" headerRowBorderDxfId="28" tableBorderDxfId="26">
  <autoFilter ref="B2:E7" xr:uid="{00000000-0009-0000-0100-00001C000000}"/>
  <sortState xmlns:xlrd2="http://schemas.microsoft.com/office/spreadsheetml/2017/richdata2" ref="B3:E7">
    <sortCondition ref="B2:B7"/>
  </sortState>
  <tableColumns count="4">
    <tableColumn id="1" xr3:uid="{00000000-0010-0000-0C00-000001000000}" name="DESCRIPCIÓN" dataDxfId="25" totalsRowDxfId="24"/>
    <tableColumn id="2" xr3:uid="{00000000-0010-0000-0C00-000002000000}" name="CÓDIGO" totalsRowDxfId="23"/>
    <tableColumn id="3" xr3:uid="{00000000-0010-0000-0C00-000003000000}" name="UNIDAD " totalsRowDxfId="22"/>
    <tableColumn id="4" xr3:uid="{00000000-0010-0000-0C00-000004000000}" name="COSTO" dataDxfId="21" totalsRowDxfId="20"/>
  </tableColumns>
  <tableStyleInfo name="S5S Blu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6" headerRowDxfId="19" dataDxfId="18" tableBorderDxfId="17">
  <autoFilter ref="B2:E6" xr:uid="{00000000-0009-0000-0100-000006000000}"/>
  <sortState xmlns:xlrd2="http://schemas.microsoft.com/office/spreadsheetml/2017/richdata2" ref="B3:E6">
    <sortCondition ref="B2:B6"/>
  </sortState>
  <tableColumns count="4">
    <tableColumn id="1" xr3:uid="{00000000-0010-0000-0D00-000001000000}" name="DESCRIPCIÓN" dataDxfId="16" totalsRowDxfId="15"/>
    <tableColumn id="2" xr3:uid="{00000000-0010-0000-0D00-000002000000}" name="CÓDIGO" totalsRowDxfId="14"/>
    <tableColumn id="3" xr3:uid="{00000000-0010-0000-0D00-000003000000}" name="UNIDAD " totalsRowDxfId="13"/>
    <tableColumn id="4" xr3:uid="{00000000-0010-0000-0D00-000004000000}" name="COSTO" dataDxfId="12" totalsRowDxfId="11"/>
  </tableColumns>
  <tableStyleInfo name="S5S Blu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8" totalsRowCount="1" headerRowDxfId="10" totalsRowDxfId="9">
  <autoFilter ref="A2:E7" xr:uid="{00000000-0009-0000-0100-000001000000}"/>
  <sortState xmlns:xlrd2="http://schemas.microsoft.com/office/spreadsheetml/2017/richdata2" ref="A3:E77">
    <sortCondition ref="A2:A77"/>
  </sortState>
  <tableColumns count="5">
    <tableColumn id="1" xr3:uid="{00000000-0010-0000-0E00-000001000000}" name="INSUMO" totalsRowLabel="Total" totalsRowDxfId="8"/>
    <tableColumn id="2" xr3:uid="{00000000-0010-0000-0E00-000002000000}" name="UNIDAD" dataDxfId="7" totalsRowDxfId="6"/>
    <tableColumn id="3" xr3:uid="{00000000-0010-0000-0E00-000003000000}" name="PRECIO" dataDxfId="5" totalsRowDxfId="4"/>
    <tableColumn id="4" xr3:uid="{00000000-0010-0000-0E00-000004000000}" name="CANTIDAD" dataDxfId="3" totalsRowDxfId="2"/>
    <tableColumn id="5" xr3:uid="{00000000-0010-0000-0E00-000005000000}" name="TOTAL" totalsRowFunction="sum" dataDxfId="1" totalsRowDxfId="0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40.77734375" style="17" customWidth="1"/>
    <col min="3" max="3" width="13.6640625" style="18" bestFit="1" customWidth="1"/>
    <col min="4" max="4" width="10.44140625" style="32" bestFit="1" customWidth="1"/>
    <col min="5" max="5" width="9.6640625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6" t="s">
        <v>34</v>
      </c>
      <c r="B1" s="76"/>
      <c r="C1" s="76"/>
      <c r="D1" s="76"/>
      <c r="E1" s="76"/>
    </row>
    <row r="2" spans="1:43" ht="3" customHeight="1" thickBot="1" x14ac:dyDescent="0.35"/>
    <row r="3" spans="1:43" ht="18.600000000000001" thickBot="1" x14ac:dyDescent="0.4">
      <c r="A3" s="77" t="s">
        <v>4</v>
      </c>
      <c r="B3" s="78"/>
      <c r="C3" s="78"/>
      <c r="D3" s="78"/>
      <c r="E3" s="79"/>
      <c r="G3" s="77" t="s">
        <v>5</v>
      </c>
      <c r="H3" s="78"/>
      <c r="I3" s="78"/>
      <c r="J3" s="78"/>
      <c r="K3" s="79"/>
      <c r="M3" s="77" t="s">
        <v>6</v>
      </c>
      <c r="N3" s="78"/>
      <c r="O3" s="78"/>
      <c r="P3" s="78"/>
      <c r="Q3" s="79"/>
      <c r="S3" s="77" t="s">
        <v>7</v>
      </c>
      <c r="T3" s="78"/>
      <c r="U3" s="78"/>
      <c r="V3" s="78"/>
      <c r="W3" s="79"/>
      <c r="Y3" s="77" t="s">
        <v>8</v>
      </c>
      <c r="Z3" s="78"/>
      <c r="AA3" s="78"/>
      <c r="AB3" s="78"/>
      <c r="AC3" s="79"/>
      <c r="AD3" s="18"/>
      <c r="AE3" s="77" t="s">
        <v>9</v>
      </c>
      <c r="AF3" s="78"/>
      <c r="AG3" s="78"/>
      <c r="AH3" s="78"/>
      <c r="AI3" s="79"/>
      <c r="AK3" s="77" t="s">
        <v>10</v>
      </c>
      <c r="AL3" s="78"/>
      <c r="AM3" s="78"/>
      <c r="AN3" s="78"/>
      <c r="AO3" s="79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47</v>
      </c>
      <c r="B5" s="20"/>
      <c r="C5" s="21" t="s">
        <v>48</v>
      </c>
      <c r="D5" s="45">
        <v>2694</v>
      </c>
      <c r="E5" s="47"/>
      <c r="G5" s="20" t="s">
        <v>40</v>
      </c>
      <c r="H5" s="20"/>
      <c r="I5" s="21" t="s">
        <v>41</v>
      </c>
      <c r="J5" s="45">
        <v>100000</v>
      </c>
      <c r="K5" s="47"/>
      <c r="M5" s="20" t="s">
        <v>53</v>
      </c>
      <c r="N5" s="20"/>
      <c r="O5" s="21" t="s">
        <v>54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42</v>
      </c>
      <c r="B6" s="20"/>
      <c r="C6" s="21" t="s">
        <v>43</v>
      </c>
      <c r="D6" s="45">
        <v>25</v>
      </c>
      <c r="E6" s="22"/>
      <c r="G6" s="20" t="s">
        <v>55</v>
      </c>
      <c r="H6" s="20"/>
      <c r="I6" s="21" t="s">
        <v>56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49</v>
      </c>
      <c r="B7" s="20"/>
      <c r="C7" s="21" t="s">
        <v>48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50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51</v>
      </c>
      <c r="B9" s="20"/>
      <c r="C9" s="21" t="s">
        <v>48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52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K46"/>
  <sheetViews>
    <sheetView showGridLines="0" tabSelected="1" zoomScale="110" zoomScaleNormal="110" zoomScaleSheetLayoutView="110" workbookViewId="0">
      <selection activeCell="H17" sqref="H17"/>
    </sheetView>
  </sheetViews>
  <sheetFormatPr baseColWidth="10" defaultRowHeight="14.4" outlineLevelRow="1" x14ac:dyDescent="0.3"/>
  <cols>
    <col min="1" max="1" width="11.7773437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  <col min="10" max="10" width="11.44140625" bestFit="1" customWidth="1"/>
    <col min="11" max="12" width="11.21875" customWidth="1"/>
    <col min="13" max="13" width="7.77734375" customWidth="1"/>
    <col min="14" max="14" width="23.77734375" customWidth="1"/>
    <col min="15" max="15" width="19.33203125" bestFit="1" customWidth="1"/>
    <col min="16" max="16" width="6" bestFit="1" customWidth="1"/>
    <col min="17" max="17" width="7.77734375" customWidth="1"/>
    <col min="18" max="18" width="23.77734375" customWidth="1"/>
  </cols>
  <sheetData>
    <row r="1" spans="1:8" ht="30" customHeight="1" x14ac:dyDescent="0.3">
      <c r="A1" s="80" t="s">
        <v>35</v>
      </c>
      <c r="B1" s="80"/>
      <c r="C1" s="80"/>
      <c r="D1" s="80"/>
      <c r="E1" s="80"/>
      <c r="F1" s="80"/>
      <c r="G1" s="80"/>
      <c r="H1" s="80"/>
    </row>
    <row r="2" spans="1:8" ht="15" thickBot="1" x14ac:dyDescent="0.35">
      <c r="G2"/>
      <c r="H2"/>
    </row>
    <row r="3" spans="1:8" ht="15" thickBot="1" x14ac:dyDescent="0.35">
      <c r="A3" s="55" t="s">
        <v>19</v>
      </c>
      <c r="B3" s="81" t="s">
        <v>58</v>
      </c>
      <c r="C3" s="82"/>
      <c r="D3" s="82"/>
      <c r="E3" s="82"/>
      <c r="F3" s="82"/>
      <c r="G3" s="83"/>
      <c r="H3" s="56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</v>
      </c>
      <c r="B5">
        <f>VLOOKUP(Tabla4[[#This Row],[DESCRIPCIÓN]],T_mat[[DESCRIPCIÓN]:[PRECIO]],2,FALSE)</f>
        <v>0</v>
      </c>
      <c r="C5" t="s">
        <v>50</v>
      </c>
      <c r="D5" s="18" t="str">
        <f>VLOOKUP(Tabla4[[#This Row],[DESCRIPCIÓN]],T_mat[[DESCRIPCIÓN]:[PRECIO]],3,FALSE)</f>
        <v>m3</v>
      </c>
      <c r="E5">
        <v>1</v>
      </c>
      <c r="F5">
        <v>1</v>
      </c>
      <c r="G5" s="35">
        <f>VLOOKUP(Tabla4[[#This Row],[DESCRIPCIÓN]],T_mat[[DESCRIPCIÓN]:[PRECIO]],4,FALSE)</f>
        <v>285000</v>
      </c>
      <c r="H5" s="35">
        <f>Tabla4[[#This Row],[CANTIDAD]]*Tabla4[[#This Row],[PRECIO]]*Tabla4[[#This Row],[FACTOR]]</f>
        <v>285000</v>
      </c>
    </row>
    <row r="6" spans="1:8" outlineLevel="1" x14ac:dyDescent="0.3">
      <c r="A6" s="25" t="s">
        <v>4</v>
      </c>
      <c r="B6">
        <f>VLOOKUP(Tabla4[[#This Row],[DESCRIPCIÓN]],T_mat[[DESCRIPCIÓN]:[PRECIO]],2,FALSE)</f>
        <v>0</v>
      </c>
      <c r="C6" t="s">
        <v>51</v>
      </c>
      <c r="D6" s="18" t="str">
        <f>VLOOKUP(Tabla4[[#This Row],[DESCRIPCIÓN]],T_mat[[DESCRIPCIÓN]:[PRECIO]],3,FALSE)</f>
        <v>kg</v>
      </c>
      <c r="E6">
        <v>1</v>
      </c>
      <c r="F6">
        <v>2</v>
      </c>
      <c r="G6" s="35">
        <f>VLOOKUP(Tabla4[[#This Row],[DESCRIPCIÓN]],T_mat[[DESCRIPCIÓN]:[PRECIO]],4,FALSE)</f>
        <v>486</v>
      </c>
      <c r="H6" s="35">
        <f>Tabla4[[#This Row],[CANTIDAD]]*Tabla4[[#This Row],[PRECIO]]*Tabla4[[#This Row],[FACTOR]]</f>
        <v>972</v>
      </c>
    </row>
    <row r="7" spans="1:8" outlineLevel="1" x14ac:dyDescent="0.3">
      <c r="A7" s="25" t="s">
        <v>4</v>
      </c>
      <c r="B7">
        <f>VLOOKUP(Tabla4[[#This Row],[DESCRIPCIÓN]],T_mat[[DESCRIPCIÓN]:[PRECIO]],2,FALSE)</f>
        <v>0</v>
      </c>
      <c r="C7" t="s">
        <v>52</v>
      </c>
      <c r="D7" s="18" t="str">
        <f>VLOOKUP(Tabla4[[#This Row],[DESCRIPCIÓN]],T_mat[[DESCRIPCIÓN]:[PRECIO]],3,FALSE)</f>
        <v>m3</v>
      </c>
      <c r="E7">
        <v>1</v>
      </c>
      <c r="F7">
        <v>3</v>
      </c>
      <c r="G7" s="35">
        <f>VLOOKUP(Tabla4[[#This Row],[DESCRIPCIÓN]],T_mat[[DESCRIPCIÓN]:[PRECIO]],4,FALSE)</f>
        <v>72500</v>
      </c>
      <c r="H7" s="35">
        <f>Tabla4[[#This Row],[CANTIDAD]]*Tabla4[[#This Row],[PRECIO]]*Tabla4[[#This Row],[FACTOR]]</f>
        <v>217500</v>
      </c>
    </row>
    <row r="8" spans="1:8" outlineLevel="1" x14ac:dyDescent="0.3">
      <c r="A8" t="s">
        <v>5</v>
      </c>
      <c r="B8">
        <f>VLOOKUP(Tabla4[[#This Row],[DESCRIPCIÓN]],T_equipos[[DESCRIPCIÓN]:[PRECIO]],2,FALSE)</f>
        <v>0</v>
      </c>
      <c r="C8" t="s">
        <v>40</v>
      </c>
      <c r="D8" s="18" t="str">
        <f>VLOOKUP(Tabla4[[#This Row],[DESCRIPCIÓN]],T_equipos[[DESCRIPCIÓN]:[PRECIO]],3,FALSE)</f>
        <v>gl</v>
      </c>
      <c r="E8">
        <v>1</v>
      </c>
      <c r="F8">
        <v>2</v>
      </c>
      <c r="G8" s="35">
        <f>VLOOKUP(Tabla4[[#This Row],[DESCRIPCIÓN]],T_equipos[[DESCRIPCIÓN]:[PRECIO]],4,FALSE)</f>
        <v>100000</v>
      </c>
      <c r="H8" s="35">
        <f>Tabla4[[#This Row],[CANTIDAD]]*Tabla4[[#This Row],[PRECIO]]*Tabla4[[#This Row],[FACTOR]]</f>
        <v>200000</v>
      </c>
    </row>
    <row r="9" spans="1:8" outlineLevel="1" x14ac:dyDescent="0.3">
      <c r="D9" s="18"/>
      <c r="E9">
        <v>1</v>
      </c>
      <c r="G9" s="35"/>
      <c r="H9" s="35">
        <v>0</v>
      </c>
    </row>
    <row r="10" spans="1:8" x14ac:dyDescent="0.3">
      <c r="A10" t="s">
        <v>18</v>
      </c>
      <c r="G10" s="35"/>
      <c r="H10" s="35">
        <f>SUM(Tabla4[TOTAL])</f>
        <v>703472</v>
      </c>
    </row>
    <row r="11" spans="1:8" x14ac:dyDescent="0.3">
      <c r="G11"/>
      <c r="H11"/>
    </row>
    <row r="12" spans="1:8" ht="15" thickBot="1" x14ac:dyDescent="0.35">
      <c r="G12"/>
      <c r="H12"/>
    </row>
    <row r="13" spans="1:8" ht="15" thickBot="1" x14ac:dyDescent="0.35">
      <c r="A13" s="62" t="s">
        <v>19</v>
      </c>
      <c r="B13" s="84" t="s">
        <v>60</v>
      </c>
      <c r="C13" s="85"/>
      <c r="D13" s="85"/>
      <c r="E13" s="85"/>
      <c r="F13" s="85"/>
      <c r="G13" s="86"/>
      <c r="H13" s="63" t="s">
        <v>38</v>
      </c>
    </row>
    <row r="14" spans="1:8" outlineLevel="1" x14ac:dyDescent="0.3">
      <c r="A14" s="25" t="s">
        <v>14</v>
      </c>
      <c r="B14" s="25" t="s">
        <v>0</v>
      </c>
      <c r="C14" s="25" t="s">
        <v>1</v>
      </c>
      <c r="D14" s="25" t="s">
        <v>11</v>
      </c>
      <c r="E14" s="25" t="s">
        <v>15</v>
      </c>
      <c r="F14" s="25" t="s">
        <v>16</v>
      </c>
      <c r="G14" s="25" t="s">
        <v>12</v>
      </c>
      <c r="H14" s="25" t="s">
        <v>17</v>
      </c>
    </row>
    <row r="15" spans="1:8" outlineLevel="1" x14ac:dyDescent="0.3">
      <c r="A15" t="s">
        <v>4</v>
      </c>
      <c r="B15">
        <f>VLOOKUP(Tabla6[[#This Row],[DESCRIPCIÓN]],T_mat[[DESCRIPCIÓN]:[PRECIO]],2,FALSE)</f>
        <v>0</v>
      </c>
      <c r="C15" t="s">
        <v>50</v>
      </c>
      <c r="D15" s="18" t="str">
        <f>VLOOKUP(Tabla6[[#This Row],[DESCRIPCIÓN]],T_mat[[DESCRIPCIÓN]:[PRECIO]],3,FALSE)</f>
        <v>m3</v>
      </c>
      <c r="E15">
        <v>1</v>
      </c>
      <c r="F15">
        <v>4</v>
      </c>
      <c r="G15" s="35">
        <f>VLOOKUP(Tabla6[[#This Row],[DESCRIPCIÓN]],T_mat[[DESCRIPCIÓN]:[PRECIO]],4,FALSE)</f>
        <v>285000</v>
      </c>
      <c r="H15" s="35">
        <f>Tabla6[[#This Row],[CANTIDAD]]*Tabla6[[#This Row],[PRECIO]]*Tabla6[[#This Row],[FACTOR]]</f>
        <v>1140000</v>
      </c>
    </row>
    <row r="16" spans="1:8" outlineLevel="1" x14ac:dyDescent="0.3">
      <c r="A16" t="s">
        <v>4</v>
      </c>
      <c r="B16">
        <f>VLOOKUP(Tabla6[[#This Row],[DESCRIPCIÓN]],T_mat[[DESCRIPCIÓN]:[PRECIO]],2,FALSE)</f>
        <v>0</v>
      </c>
      <c r="C16" t="s">
        <v>51</v>
      </c>
      <c r="D16" s="18" t="str">
        <f>VLOOKUP(Tabla6[[#This Row],[DESCRIPCIÓN]],T_mat[[DESCRIPCIÓN]:[PRECIO]],3,FALSE)</f>
        <v>kg</v>
      </c>
      <c r="E16">
        <v>1</v>
      </c>
      <c r="F16">
        <v>5</v>
      </c>
      <c r="G16" s="35">
        <f>VLOOKUP(Tabla6[[#This Row],[DESCRIPCIÓN]],T_mat[[DESCRIPCIÓN]:[PRECIO]],4,FALSE)</f>
        <v>486</v>
      </c>
      <c r="H16" s="35">
        <f>Tabla6[[#This Row],[CANTIDAD]]*Tabla6[[#This Row],[PRECIO]]*Tabla6[[#This Row],[FACTOR]]</f>
        <v>2430</v>
      </c>
    </row>
    <row r="17" spans="1:11" outlineLevel="1" x14ac:dyDescent="0.3">
      <c r="A17" t="s">
        <v>4</v>
      </c>
      <c r="B17">
        <f>VLOOKUP(Tabla6[[#This Row],[DESCRIPCIÓN]],T_mat[[DESCRIPCIÓN]:[PRECIO]],2,FALSE)</f>
        <v>0</v>
      </c>
      <c r="C17" t="s">
        <v>52</v>
      </c>
      <c r="D17" s="18" t="str">
        <f>VLOOKUP(Tabla6[[#This Row],[DESCRIPCIÓN]],T_mat[[DESCRIPCIÓN]:[PRECIO]],3,FALSE)</f>
        <v>m3</v>
      </c>
      <c r="E17">
        <v>1</v>
      </c>
      <c r="F17">
        <v>6</v>
      </c>
      <c r="G17" s="35">
        <f>VLOOKUP(Tabla6[[#This Row],[DESCRIPCIÓN]],T_mat[[DESCRIPCIÓN]:[PRECIO]],4,FALSE)</f>
        <v>72500</v>
      </c>
      <c r="H17" s="35">
        <f>Tabla6[[#This Row],[CANTIDAD]]*Tabla6[[#This Row],[PRECIO]]*Tabla6[[#This Row],[FACTOR]]</f>
        <v>435000</v>
      </c>
    </row>
    <row r="18" spans="1:11" outlineLevel="1" x14ac:dyDescent="0.3">
      <c r="D18" s="18"/>
      <c r="E18">
        <v>1</v>
      </c>
      <c r="G18" s="35"/>
      <c r="H18" s="35">
        <v>0</v>
      </c>
    </row>
    <row r="19" spans="1:11" outlineLevel="1" x14ac:dyDescent="0.3">
      <c r="D19" s="18"/>
      <c r="E19">
        <v>1</v>
      </c>
      <c r="G19" s="35"/>
      <c r="H19" s="35">
        <v>0</v>
      </c>
    </row>
    <row r="20" spans="1:11" x14ac:dyDescent="0.3">
      <c r="A20" s="25" t="s">
        <v>18</v>
      </c>
      <c r="G20" s="35"/>
      <c r="H20" s="36">
        <f>SUM(Tabla6[TOTAL])</f>
        <v>1577430</v>
      </c>
    </row>
    <row r="21" spans="1:11" x14ac:dyDescent="0.3">
      <c r="G21"/>
      <c r="H21"/>
      <c r="K21" s="64"/>
    </row>
    <row r="22" spans="1:11" ht="15" thickBot="1" x14ac:dyDescent="0.35">
      <c r="G22"/>
      <c r="H22"/>
      <c r="K22" s="64"/>
    </row>
    <row r="23" spans="1:11" ht="15" thickBot="1" x14ac:dyDescent="0.35">
      <c r="A23" s="55" t="s">
        <v>19</v>
      </c>
      <c r="B23" s="81" t="s">
        <v>65</v>
      </c>
      <c r="C23" s="82"/>
      <c r="D23" s="82"/>
      <c r="E23" s="82"/>
      <c r="F23" s="82"/>
      <c r="G23" s="83"/>
      <c r="H23" s="56" t="s">
        <v>38</v>
      </c>
      <c r="K23" s="64"/>
    </row>
    <row r="24" spans="1:11" outlineLevel="1" x14ac:dyDescent="0.3">
      <c r="A24" t="s">
        <v>14</v>
      </c>
      <c r="B24" t="s">
        <v>0</v>
      </c>
      <c r="C24" t="s">
        <v>1</v>
      </c>
      <c r="D24" t="s">
        <v>11</v>
      </c>
      <c r="E24" t="s">
        <v>15</v>
      </c>
      <c r="F24" t="s">
        <v>16</v>
      </c>
      <c r="G24" t="s">
        <v>12</v>
      </c>
      <c r="H24" t="s">
        <v>17</v>
      </c>
      <c r="K24" s="64"/>
    </row>
    <row r="25" spans="1:11" outlineLevel="1" x14ac:dyDescent="0.3">
      <c r="A25" s="25"/>
      <c r="D25" s="18"/>
      <c r="E25" s="75">
        <f>1</f>
        <v>1</v>
      </c>
      <c r="F25" s="75"/>
      <c r="G25" s="35"/>
      <c r="H25" s="35">
        <f>Tabla2[[#This Row],[CANTIDAD]]*Tabla2[[#This Row],[PRECIO]]*Tabla2[[#This Row],[FACTOR]]</f>
        <v>0</v>
      </c>
      <c r="K25" s="64"/>
    </row>
    <row r="26" spans="1:11" outlineLevel="1" x14ac:dyDescent="0.3">
      <c r="D26" s="18"/>
      <c r="E26" s="75">
        <f>1</f>
        <v>1</v>
      </c>
      <c r="F26" s="75"/>
      <c r="G26" s="35"/>
      <c r="H26" s="35">
        <f>Tabla2[[#This Row],[CANTIDAD]]*Tabla2[[#This Row],[PRECIO]]*Tabla2[[#This Row],[FACTOR]]</f>
        <v>0</v>
      </c>
      <c r="K26" s="64"/>
    </row>
    <row r="27" spans="1:11" outlineLevel="1" x14ac:dyDescent="0.3">
      <c r="D27" s="18"/>
      <c r="E27" s="75">
        <f>1</f>
        <v>1</v>
      </c>
      <c r="F27" s="75"/>
      <c r="G27" s="35"/>
      <c r="H27" s="35">
        <f>Tabla2[[#This Row],[CANTIDAD]]*Tabla2[[#This Row],[PRECIO]]*Tabla2[[#This Row],[FACTOR]]</f>
        <v>0</v>
      </c>
      <c r="K27" s="64"/>
    </row>
    <row r="28" spans="1:11" x14ac:dyDescent="0.3">
      <c r="A28" t="s">
        <v>18</v>
      </c>
      <c r="G28" s="35"/>
      <c r="H28" s="35">
        <f>SUM(Tabla2[TOTAL])</f>
        <v>0</v>
      </c>
      <c r="K28" s="64"/>
    </row>
    <row r="29" spans="1:11" x14ac:dyDescent="0.3">
      <c r="G29"/>
      <c r="H29"/>
      <c r="K29" s="64"/>
    </row>
    <row r="30" spans="1:11" x14ac:dyDescent="0.3">
      <c r="G30"/>
      <c r="H30"/>
      <c r="K30" s="64"/>
    </row>
    <row r="31" spans="1:11" x14ac:dyDescent="0.3">
      <c r="G31"/>
      <c r="H31"/>
    </row>
    <row r="32" spans="1:11" x14ac:dyDescent="0.3">
      <c r="G32"/>
      <c r="H32"/>
    </row>
    <row r="33" spans="7:8" x14ac:dyDescent="0.3">
      <c r="G33"/>
      <c r="H33"/>
    </row>
    <row r="34" spans="7:8" x14ac:dyDescent="0.3">
      <c r="G34"/>
      <c r="H34"/>
    </row>
    <row r="35" spans="7:8" x14ac:dyDescent="0.3">
      <c r="G35"/>
      <c r="H35"/>
    </row>
    <row r="36" spans="7:8" x14ac:dyDescent="0.3">
      <c r="G36"/>
      <c r="H36"/>
    </row>
    <row r="37" spans="7:8" x14ac:dyDescent="0.3">
      <c r="G37"/>
      <c r="H37"/>
    </row>
    <row r="38" spans="7:8" x14ac:dyDescent="0.3">
      <c r="G38"/>
      <c r="H38"/>
    </row>
    <row r="39" spans="7:8" x14ac:dyDescent="0.3">
      <c r="G39"/>
      <c r="H39"/>
    </row>
    <row r="40" spans="7:8" x14ac:dyDescent="0.3">
      <c r="G40"/>
      <c r="H40"/>
    </row>
    <row r="41" spans="7:8" x14ac:dyDescent="0.3">
      <c r="G41"/>
      <c r="H41"/>
    </row>
    <row r="42" spans="7:8" x14ac:dyDescent="0.3">
      <c r="G42"/>
      <c r="H42"/>
    </row>
    <row r="43" spans="7:8" x14ac:dyDescent="0.3">
      <c r="G43"/>
      <c r="H43"/>
    </row>
    <row r="44" spans="7:8" x14ac:dyDescent="0.3">
      <c r="G44"/>
      <c r="H44"/>
    </row>
    <row r="45" spans="7:8" x14ac:dyDescent="0.3">
      <c r="G45"/>
      <c r="H45"/>
    </row>
    <row r="46" spans="7:8" x14ac:dyDescent="0.3">
      <c r="G46"/>
      <c r="H46"/>
    </row>
  </sheetData>
  <mergeCells count="4">
    <mergeCell ref="A1:H1"/>
    <mergeCell ref="B3:G3"/>
    <mergeCell ref="B13:G13"/>
    <mergeCell ref="B23:G23"/>
  </mergeCells>
  <dataValidations count="4">
    <dataValidation type="list" allowBlank="1" showInputMessage="1" showErrorMessage="1" sqref="A5:A9 A25 A26 A27" xr:uid="{E6404BFF-D194-4B9A-83FD-DC09C4548847}">
      <formula1>"MATERIALES,EQUIPOS,MANO DE OBRA,TRANSPORTE,SUBCONTRATOS,ACTIVIDADES,OTROS"</formula1>
    </dataValidation>
    <dataValidation type="list" allowBlank="1" showInputMessage="1" showErrorMessage="1" sqref="C5:C7 C15:C17" xr:uid="{268917B0-E7F8-4C0B-866E-E0324C35BB80}">
      <formula1>MATERIALES</formula1>
    </dataValidation>
    <dataValidation type="list" allowBlank="1" showInputMessage="1" showErrorMessage="1" sqref="A15:A19" xr:uid="{FADFDD4A-A975-47AC-9ABD-B1F47E48EE5D}">
      <formula1>"MATERIALES,EQUIPOS,MANO DE OBRA,TRANSPORTE,SUBCONTRATOS,ACTIVIDADES,OTROS,APU BÁSICOS"</formula1>
    </dataValidation>
    <dataValidation type="list" allowBlank="1" showInputMessage="1" showErrorMessage="1" sqref="C8" xr:uid="{1C66BCE9-8362-4161-90F1-0DD796CC2A7F}">
      <formula1>EQUIPOS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39"/>
  <sheetViews>
    <sheetView showGridLines="0" showWhiteSpace="0" zoomScale="110" zoomScaleNormal="110" zoomScaleSheetLayoutView="110" workbookViewId="0">
      <selection activeCell="F5" sqref="F5"/>
    </sheetView>
  </sheetViews>
  <sheetFormatPr baseColWidth="10" defaultColWidth="11.44140625" defaultRowHeight="14.4" outlineLevelRow="1" x14ac:dyDescent="0.3"/>
  <cols>
    <col min="1" max="1" width="12" bestFit="1" customWidth="1"/>
    <col min="2" max="2" width="9.6640625" customWidth="1"/>
    <col min="3" max="3" width="40.77734375" customWidth="1"/>
    <col min="4" max="4" width="9.5546875" customWidth="1"/>
    <col min="5" max="5" width="9.44140625" customWidth="1"/>
    <col min="6" max="6" width="11.6640625" customWidth="1"/>
    <col min="7" max="7" width="10.33203125" style="19" bestFit="1" customWidth="1"/>
    <col min="8" max="8" width="11.44140625" style="19" bestFit="1" customWidth="1"/>
    <col min="9" max="9" width="1.33203125" customWidth="1"/>
    <col min="10" max="10" width="15.77734375" customWidth="1"/>
    <col min="11" max="12" width="11.21875" customWidth="1"/>
    <col min="13" max="13" width="7.77734375" customWidth="1"/>
    <col min="14" max="14" width="23.77734375" customWidth="1"/>
    <col min="15" max="15" width="15.77734375" customWidth="1"/>
    <col min="16" max="16" width="6" bestFit="1" customWidth="1"/>
    <col min="17" max="17" width="7.77734375" customWidth="1"/>
    <col min="18" max="18" width="23.77734375" customWidth="1"/>
  </cols>
  <sheetData>
    <row r="1" spans="1:8" ht="30" customHeight="1" x14ac:dyDescent="0.3">
      <c r="A1" s="80" t="s">
        <v>36</v>
      </c>
      <c r="B1" s="80"/>
      <c r="C1" s="80"/>
      <c r="D1" s="80"/>
      <c r="E1" s="80"/>
      <c r="F1" s="80"/>
      <c r="G1" s="80"/>
      <c r="H1" s="80"/>
    </row>
    <row r="2" spans="1:8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8" ht="15" thickBot="1" x14ac:dyDescent="0.35">
      <c r="A3" s="57" t="s">
        <v>19</v>
      </c>
      <c r="B3" s="90" t="s">
        <v>59</v>
      </c>
      <c r="C3" s="91"/>
      <c r="D3" s="91"/>
      <c r="E3" s="91"/>
      <c r="F3" s="91"/>
      <c r="G3" s="92"/>
      <c r="H3" s="58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t="s">
        <v>45</v>
      </c>
      <c r="B5" t="str">
        <f>VLOOKUP(Tabla8[[#This Row],[DESCRIPCIÓN]],T_basico[[DESCRIPCIÓN]:[COSTO]],2,FALSE)</f>
        <v>CÓD</v>
      </c>
      <c r="C5" t="s">
        <v>58</v>
      </c>
      <c r="D5" s="18" t="str">
        <f>VLOOKUP(Tabla8[[#This Row],[DESCRIPCIÓN]],T_basico[[DESCRIPCIÓN]:[COSTO]],3,FALSE)</f>
        <v>UND</v>
      </c>
      <c r="E5">
        <f>1</f>
        <v>1</v>
      </c>
      <c r="F5">
        <v>2</v>
      </c>
      <c r="G5" s="35">
        <f>VLOOKUP(Tabla8[[#This Row],[DESCRIPCIÓN]],T_basico[[DESCRIPCIÓN]:[COSTO]],4,FALSE)</f>
        <v>703472</v>
      </c>
      <c r="H5" s="35">
        <f>Tabla8[[#This Row],[CANTIDAD]]*Tabla8[[#This Row],[PRECIO]]*Tabla8[[#This Row],[FACTOR]]</f>
        <v>1406944</v>
      </c>
    </row>
    <row r="6" spans="1:8" outlineLevel="1" x14ac:dyDescent="0.3">
      <c r="A6" t="s">
        <v>45</v>
      </c>
      <c r="B6" t="str">
        <f>VLOOKUP(Tabla8[[#This Row],[DESCRIPCIÓN]],T_basico[[DESCRIPCIÓN]:[COSTO]],2,FALSE)</f>
        <v>CÓD</v>
      </c>
      <c r="C6" t="s">
        <v>60</v>
      </c>
      <c r="D6" s="18" t="str">
        <f>VLOOKUP(Tabla8[[#This Row],[DESCRIPCIÓN]],T_basico[[DESCRIPCIÓN]:[COSTO]],3,FALSE)</f>
        <v>UND</v>
      </c>
      <c r="E6">
        <v>1</v>
      </c>
      <c r="F6">
        <v>3</v>
      </c>
      <c r="G6" s="35">
        <f>VLOOKUP(Tabla8[[#This Row],[DESCRIPCIÓN]],T_basico[[DESCRIPCIÓN]:[COSTO]],4,FALSE)</f>
        <v>1577430</v>
      </c>
      <c r="H6" s="35">
        <f>Tabla8[[#This Row],[CANTIDAD]]*Tabla8[[#This Row],[PRECIO]]*Tabla8[[#This Row],[FACTOR]]</f>
        <v>4732290</v>
      </c>
    </row>
    <row r="7" spans="1:8" outlineLevel="1" x14ac:dyDescent="0.3">
      <c r="A7" s="25"/>
      <c r="D7" s="18"/>
      <c r="E7">
        <v>1</v>
      </c>
      <c r="G7" s="35"/>
      <c r="H7" s="35">
        <f>Tabla8[[#This Row],[CANTIDAD]]*Tabla8[[#This Row],[PRECIO]]*Tabla8[[#This Row],[FACTOR]]</f>
        <v>0</v>
      </c>
    </row>
    <row r="8" spans="1:8" outlineLevel="1" x14ac:dyDescent="0.3">
      <c r="D8" s="18"/>
      <c r="E8">
        <v>1</v>
      </c>
      <c r="G8" s="35"/>
      <c r="H8" s="35">
        <v>0</v>
      </c>
    </row>
    <row r="9" spans="1:8" outlineLevel="1" x14ac:dyDescent="0.3">
      <c r="D9" s="18"/>
      <c r="E9">
        <v>1</v>
      </c>
      <c r="G9" s="35"/>
      <c r="H9" s="35">
        <v>0</v>
      </c>
    </row>
    <row r="10" spans="1:8" x14ac:dyDescent="0.3">
      <c r="A10" t="s">
        <v>18</v>
      </c>
      <c r="G10" s="35"/>
      <c r="H10" s="35">
        <f>SUM(Tabla8[TOTAL])</f>
        <v>6139234</v>
      </c>
    </row>
    <row r="11" spans="1:8" x14ac:dyDescent="0.3">
      <c r="G11"/>
      <c r="H11"/>
    </row>
    <row r="12" spans="1:8" ht="15" thickBot="1" x14ac:dyDescent="0.35">
      <c r="G12"/>
      <c r="H12"/>
    </row>
    <row r="13" spans="1:8" ht="15" thickBot="1" x14ac:dyDescent="0.35">
      <c r="A13" s="65" t="s">
        <v>19</v>
      </c>
      <c r="B13" s="87" t="s">
        <v>61</v>
      </c>
      <c r="C13" s="88"/>
      <c r="D13" s="88"/>
      <c r="E13" s="88"/>
      <c r="F13" s="88"/>
      <c r="G13" s="89"/>
      <c r="H13" s="66" t="s">
        <v>38</v>
      </c>
    </row>
    <row r="14" spans="1:8" outlineLevel="1" x14ac:dyDescent="0.3">
      <c r="A14" s="25" t="s">
        <v>14</v>
      </c>
      <c r="B14" s="25" t="s">
        <v>0</v>
      </c>
      <c r="C14" s="25" t="s">
        <v>1</v>
      </c>
      <c r="D14" s="25" t="s">
        <v>11</v>
      </c>
      <c r="E14" s="25" t="s">
        <v>15</v>
      </c>
      <c r="F14" s="25" t="s">
        <v>16</v>
      </c>
      <c r="G14" s="25" t="s">
        <v>12</v>
      </c>
      <c r="H14" s="25" t="s">
        <v>17</v>
      </c>
    </row>
    <row r="15" spans="1:8" outlineLevel="1" x14ac:dyDescent="0.3">
      <c r="A15" t="s">
        <v>45</v>
      </c>
      <c r="B15" t="str">
        <f>VLOOKUP(Tabla10[[#This Row],[DESCRIPCIÓN]],T_basico[[DESCRIPCIÓN]:[COSTO]],2,FALSE)</f>
        <v>CÓD</v>
      </c>
      <c r="C15" t="s">
        <v>58</v>
      </c>
      <c r="D15" s="18" t="str">
        <f>VLOOKUP(Tabla10[[#This Row],[DESCRIPCIÓN]],T_basico[[DESCRIPCIÓN]:[COSTO]],3,FALSE)</f>
        <v>UND</v>
      </c>
      <c r="E15">
        <v>1</v>
      </c>
      <c r="F15">
        <v>4</v>
      </c>
      <c r="G15" s="35">
        <f>VLOOKUP(Tabla10[[#This Row],[DESCRIPCIÓN]],T_basico[[DESCRIPCIÓN]:[COSTO]],4,FALSE)</f>
        <v>703472</v>
      </c>
      <c r="H15" s="35">
        <f>Tabla10[[#This Row],[CANTIDAD]]*Tabla10[[#This Row],[PRECIO]]*Tabla10[[#This Row],[FACTOR]]</f>
        <v>2813888</v>
      </c>
    </row>
    <row r="16" spans="1:8" outlineLevel="1" x14ac:dyDescent="0.3">
      <c r="A16" t="s">
        <v>45</v>
      </c>
      <c r="B16" t="str">
        <f>VLOOKUP(Tabla10[[#This Row],[DESCRIPCIÓN]],T_basico[[DESCRIPCIÓN]:[COSTO]],2,FALSE)</f>
        <v>CÓD</v>
      </c>
      <c r="C16" t="s">
        <v>60</v>
      </c>
      <c r="D16" s="18" t="str">
        <f>VLOOKUP(Tabla10[[#This Row],[DESCRIPCIÓN]],T_basico[[DESCRIPCIÓN]:[COSTO]],3,FALSE)</f>
        <v>UND</v>
      </c>
      <c r="E16">
        <v>1</v>
      </c>
      <c r="F16">
        <v>5</v>
      </c>
      <c r="G16" s="35">
        <f>VLOOKUP(Tabla10[[#This Row],[DESCRIPCIÓN]],T_basico[[DESCRIPCIÓN]:[COSTO]],4,FALSE)</f>
        <v>1577430</v>
      </c>
      <c r="H16" s="35">
        <f>Tabla10[[#This Row],[CANTIDAD]]*Tabla10[[#This Row],[PRECIO]]*Tabla10[[#This Row],[FACTOR]]</f>
        <v>7887150</v>
      </c>
    </row>
    <row r="17" spans="1:8" outlineLevel="1" x14ac:dyDescent="0.3">
      <c r="D17" s="18"/>
      <c r="E17">
        <v>1</v>
      </c>
      <c r="G17" s="35"/>
      <c r="H17" s="35">
        <f>Tabla10[[#This Row],[CANTIDAD]]*Tabla10[[#This Row],[PRECIO]]*Tabla10[[#This Row],[FACTOR]]</f>
        <v>0</v>
      </c>
    </row>
    <row r="18" spans="1:8" outlineLevel="1" x14ac:dyDescent="0.3">
      <c r="D18" s="18"/>
      <c r="E18">
        <v>1</v>
      </c>
      <c r="G18" s="35"/>
      <c r="H18" s="35">
        <v>0</v>
      </c>
    </row>
    <row r="19" spans="1:8" outlineLevel="1" x14ac:dyDescent="0.3">
      <c r="D19" s="18"/>
      <c r="E19">
        <v>1</v>
      </c>
      <c r="G19" s="35"/>
      <c r="H19" s="35">
        <v>0</v>
      </c>
    </row>
    <row r="20" spans="1:8" x14ac:dyDescent="0.3">
      <c r="A20" s="25" t="s">
        <v>18</v>
      </c>
      <c r="G20" s="35"/>
      <c r="H20" s="36">
        <f>SUM(Tabla10[TOTAL])</f>
        <v>10701038</v>
      </c>
    </row>
    <row r="21" spans="1:8" x14ac:dyDescent="0.3">
      <c r="G21"/>
      <c r="H21"/>
    </row>
    <row r="22" spans="1:8" x14ac:dyDescent="0.3">
      <c r="G22"/>
      <c r="H22"/>
    </row>
    <row r="23" spans="1:8" x14ac:dyDescent="0.3">
      <c r="G23"/>
      <c r="H23"/>
    </row>
    <row r="24" spans="1:8" x14ac:dyDescent="0.3">
      <c r="G24"/>
      <c r="H24"/>
    </row>
    <row r="25" spans="1:8" x14ac:dyDescent="0.3">
      <c r="G25"/>
      <c r="H25"/>
    </row>
    <row r="26" spans="1:8" x14ac:dyDescent="0.3">
      <c r="G26"/>
      <c r="H26"/>
    </row>
    <row r="27" spans="1:8" x14ac:dyDescent="0.3">
      <c r="G27"/>
      <c r="H27"/>
    </row>
    <row r="28" spans="1:8" x14ac:dyDescent="0.3">
      <c r="G28"/>
      <c r="H28"/>
    </row>
    <row r="29" spans="1:8" x14ac:dyDescent="0.3">
      <c r="G29"/>
      <c r="H29"/>
    </row>
    <row r="30" spans="1:8" x14ac:dyDescent="0.3">
      <c r="G30"/>
      <c r="H30"/>
    </row>
    <row r="31" spans="1:8" x14ac:dyDescent="0.3">
      <c r="G31"/>
      <c r="H31"/>
    </row>
    <row r="32" spans="1:8" x14ac:dyDescent="0.3">
      <c r="G32"/>
      <c r="H32"/>
    </row>
    <row r="33" spans="1:8" x14ac:dyDescent="0.3">
      <c r="G33"/>
      <c r="H33"/>
    </row>
    <row r="34" spans="1:8" x14ac:dyDescent="0.3">
      <c r="G34"/>
      <c r="H34"/>
    </row>
    <row r="35" spans="1:8" x14ac:dyDescent="0.3">
      <c r="A35" s="33"/>
      <c r="B35" s="34"/>
      <c r="C35" s="48"/>
      <c r="D35" s="48"/>
      <c r="E35" s="33"/>
      <c r="F35" s="33"/>
      <c r="G35" s="33"/>
      <c r="H35" s="49"/>
    </row>
    <row r="36" spans="1:8" x14ac:dyDescent="0.3">
      <c r="A36" s="33"/>
      <c r="B36" s="34"/>
      <c r="C36" s="48"/>
      <c r="D36" s="48"/>
      <c r="E36" s="33"/>
      <c r="F36" s="33"/>
      <c r="G36" s="33"/>
      <c r="H36" s="49"/>
    </row>
    <row r="37" spans="1:8" x14ac:dyDescent="0.3">
      <c r="G37"/>
      <c r="H37"/>
    </row>
    <row r="38" spans="1:8" x14ac:dyDescent="0.3">
      <c r="A38" s="33"/>
      <c r="B38" s="34"/>
      <c r="C38" s="48"/>
      <c r="D38" s="48"/>
      <c r="E38" s="33"/>
      <c r="F38" s="33"/>
      <c r="G38" s="33"/>
      <c r="H38" s="49"/>
    </row>
    <row r="39" spans="1:8" x14ac:dyDescent="0.3">
      <c r="A39" s="33"/>
      <c r="B39" s="34"/>
      <c r="C39" s="48"/>
      <c r="D39" s="48"/>
      <c r="E39" s="33"/>
      <c r="F39" s="33"/>
      <c r="G39" s="33"/>
      <c r="H39" s="49"/>
    </row>
  </sheetData>
  <mergeCells count="3">
    <mergeCell ref="B13:G13"/>
    <mergeCell ref="A1:H1"/>
    <mergeCell ref="B3:G3"/>
  </mergeCells>
  <dataValidations count="2">
    <dataValidation type="list" allowBlank="1" showInputMessage="1" showErrorMessage="1" sqref="A5:A9 A15:A19" xr:uid="{216C5BB0-6CA7-41C0-B931-ED51F434248E}">
      <formula1>"MATERIALES,EQUIPOS,MANO DE OBRA,TRANSPORTE,SUBCONTRATOS,ACTIVIDADES,OTROS,APU BÁSICOS"</formula1>
    </dataValidation>
    <dataValidation type="list" allowBlank="1" showInputMessage="1" showErrorMessage="1" sqref="C5:C6 C15:C16" xr:uid="{D39A97F2-7BEC-43CB-8E0D-1A9C0ABAD1D6}">
      <formula1>BÁSICOS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57"/>
  <sheetViews>
    <sheetView showGridLines="0" topLeftCell="B10" zoomScale="90" zoomScaleNormal="90" zoomScaleSheetLayoutView="90" workbookViewId="0">
      <selection activeCell="C51" sqref="C51:E51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3" style="37" bestFit="1" customWidth="1"/>
    <col min="5" max="5" width="16.88671875" style="38" bestFit="1" customWidth="1"/>
    <col min="6" max="6" width="14.21875" style="38" bestFit="1" customWidth="1"/>
    <col min="7" max="7" width="13.6640625" style="38" bestFit="1" customWidth="1"/>
    <col min="8" max="8" width="16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97" t="s">
        <v>37</v>
      </c>
      <c r="C1" s="97"/>
      <c r="D1" s="97"/>
      <c r="E1" s="97"/>
      <c r="F1" s="97"/>
      <c r="G1" s="97"/>
      <c r="H1" s="97"/>
    </row>
    <row r="2" spans="2:8" ht="15.6" thickBot="1" x14ac:dyDescent="0.3"/>
    <row r="3" spans="2:8" ht="16.2" thickBot="1" x14ac:dyDescent="0.3">
      <c r="B3" s="93" t="s">
        <v>63</v>
      </c>
      <c r="C3" s="94"/>
      <c r="D3" s="94"/>
      <c r="E3" s="94"/>
      <c r="F3" s="94"/>
      <c r="G3" s="95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59" t="s">
        <v>61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>
        <f>VLOOKUP(Tabla7[[#This Row],[DESCRIPCIÓN]],T_apus[[DESCRIPCIÓN]:[COSTO]],4,FALSE)</f>
        <v>10701038</v>
      </c>
      <c r="H5" s="38">
        <f>Tabla7[[#This Row],[FACTOR]]*Tabla7[[#This Row],[CANTIDAD]]*Tabla7[[#This Row],[COSTO]]</f>
        <v>42804152</v>
      </c>
    </row>
    <row r="6" spans="2:8" outlineLevel="1" x14ac:dyDescent="0.25">
      <c r="B6" s="37" t="str">
        <f>VLOOKUP(Tabla7[[#This Row],[DESCRIPCIÓN]],T_apus[[DESCRIPCIÓN]:[COSTO]],2,FALSE)</f>
        <v>CÓD</v>
      </c>
      <c r="C6" s="59" t="s">
        <v>59</v>
      </c>
      <c r="D6" s="37" t="str">
        <f>VLOOKUP(Tabla7[[#This Row],[DESCRIPCIÓN]],T_apus[[DESCRIPCIÓN]:[COSTO]],3,FALSE)</f>
        <v>UND</v>
      </c>
      <c r="E6" s="38">
        <v>1</v>
      </c>
      <c r="F6" s="38">
        <v>2</v>
      </c>
      <c r="G6" s="38">
        <f>VLOOKUP(Tabla7[[#This Row],[DESCRIPCIÓN]],T_apus[[DESCRIPCIÓN]:[COSTO]],4,FALSE)</f>
        <v>6139234</v>
      </c>
      <c r="H6" s="38">
        <f>Tabla7[[#This Row],[FACTOR]]*Tabla7[[#This Row],[CANTIDAD]]*Tabla7[[#This Row],[COSTO]]</f>
        <v>12278468</v>
      </c>
    </row>
    <row r="7" spans="2:8" outlineLevel="1" x14ac:dyDescent="0.25">
      <c r="B7" s="37" t="str">
        <f>VLOOKUP(Tabla7[[#This Row],[DESCRIPCIÓN]],T_apus[[DESCRIPCIÓN]:[COSTO]],2,FALSE)</f>
        <v>CÓD</v>
      </c>
      <c r="C7" s="59" t="s">
        <v>61</v>
      </c>
      <c r="D7" s="37" t="str">
        <f>VLOOKUP(Tabla7[[#This Row],[DESCRIPCIÓN]],T_apus[[DESCRIPCIÓN]:[COSTO]],3,FALSE)</f>
        <v>UND</v>
      </c>
      <c r="E7" s="38">
        <v>1</v>
      </c>
      <c r="F7" s="38">
        <v>1</v>
      </c>
      <c r="G7" s="38">
        <f>VLOOKUP(Tabla7[[#This Row],[DESCRIPCIÓN]],T_apus[[DESCRIPCIÓN]:[COSTO]],4,FALSE)</f>
        <v>10701038</v>
      </c>
      <c r="H7" s="38">
        <f>Tabla7[[#This Row],[FACTOR]]*Tabla7[[#This Row],[CANTIDAD]]*Tabla7[[#This Row],[COSTO]]</f>
        <v>10701038</v>
      </c>
    </row>
    <row r="8" spans="2:8" outlineLevel="1" x14ac:dyDescent="0.25">
      <c r="B8" s="37" t="str">
        <f>VLOOKUP(Tabla7[[#This Row],[DESCRIPCIÓN]],T_apus[[DESCRIPCIÓN]:[COSTO]],2,FALSE)</f>
        <v>CÓD</v>
      </c>
      <c r="C8" s="59" t="s">
        <v>61</v>
      </c>
      <c r="D8" s="37" t="str">
        <f>VLOOKUP(Tabla7[[#This Row],[DESCRIPCIÓN]],T_apus[[DESCRIPCIÓN]:[COSTO]],3,FALSE)</f>
        <v>UND</v>
      </c>
      <c r="E8" s="38">
        <v>1</v>
      </c>
      <c r="G8" s="38">
        <f>VLOOKUP(Tabla7[[#This Row],[DESCRIPCIÓN]],T_apus[[DESCRIPCIÓN]:[COSTO]],4,FALSE)</f>
        <v>10701038</v>
      </c>
      <c r="H8" s="38">
        <f>Tabla7[[#This Row],[FACTOR]]*Tabla7[[#This Row],[CANTIDAD]]*Tabla7[[#This Row],[COSTO]]</f>
        <v>0</v>
      </c>
    </row>
    <row r="9" spans="2:8" outlineLevel="1" x14ac:dyDescent="0.25">
      <c r="B9" s="37" t="str">
        <f>VLOOKUP(Tabla7[[#This Row],[DESCRIPCIÓN]],T_apus[[DESCRIPCIÓN]:[COSTO]],2,FALSE)</f>
        <v>CÓD</v>
      </c>
      <c r="C9" s="59" t="s">
        <v>61</v>
      </c>
      <c r="D9" s="37" t="str">
        <f>VLOOKUP(Tabla7[[#This Row],[DESCRIPCIÓN]],T_apus[[DESCRIPCIÓN]:[COSTO]],3,FALSE)</f>
        <v>UND</v>
      </c>
      <c r="E9" s="38">
        <v>1</v>
      </c>
      <c r="F9" s="38">
        <v>5</v>
      </c>
      <c r="G9" s="38">
        <f>VLOOKUP(Tabla7[[#This Row],[DESCRIPCIÓN]],T_apus[[DESCRIPCIÓN]:[COSTO]],4,FALSE)</f>
        <v>10701038</v>
      </c>
      <c r="H9" s="38">
        <f>Tabla7[[#This Row],[FACTOR]]*Tabla7[[#This Row],[CANTIDAD]]*Tabla7[[#This Row],[COSTO]]</f>
        <v>53505190</v>
      </c>
    </row>
    <row r="10" spans="2:8" outlineLevel="1" x14ac:dyDescent="0.25">
      <c r="B10" s="37" t="str">
        <f>VLOOKUP(Tabla7[[#This Row],[DESCRIPCIÓN]],T_apus[[DESCRIPCIÓN]:[COSTO]],2,FALSE)</f>
        <v>CÓD</v>
      </c>
      <c r="C10" s="59" t="s">
        <v>59</v>
      </c>
      <c r="D10" s="37" t="str">
        <f>VLOOKUP(Tabla7[[#This Row],[DESCRIPCIÓN]],T_apus[[DESCRIPCIÓN]:[COSTO]],3,FALSE)</f>
        <v>UND</v>
      </c>
      <c r="E10" s="38">
        <v>1</v>
      </c>
      <c r="F10" s="38">
        <v>5</v>
      </c>
      <c r="G10" s="38">
        <f>VLOOKUP(Tabla7[[#This Row],[DESCRIPCIÓN]],T_apus[[DESCRIPCIÓN]:[COSTO]],4,FALSE)</f>
        <v>6139234</v>
      </c>
      <c r="H10" s="38">
        <f>Tabla7[[#This Row],[FACTOR]]*Tabla7[[#This Row],[CANTIDAD]]*Tabla7[[#This Row],[COSTO]]</f>
        <v>30696170</v>
      </c>
    </row>
    <row r="11" spans="2:8" outlineLevel="1" x14ac:dyDescent="0.25">
      <c r="B11" s="37" t="str">
        <f>VLOOKUP(Tabla7[[#This Row],[DESCRIPCIÓN]],T_apus[[DESCRIPCIÓN]:[COSTO]],2,FALSE)</f>
        <v>CÓD</v>
      </c>
      <c r="C11" s="59" t="s">
        <v>59</v>
      </c>
      <c r="D11" s="37" t="str">
        <f>VLOOKUP(Tabla7[[#This Row],[DESCRIPCIÓN]],T_apus[[DESCRIPCIÓN]:[COSTO]],3,FALSE)</f>
        <v>UND</v>
      </c>
      <c r="E11" s="38">
        <v>1</v>
      </c>
      <c r="F11" s="38">
        <v>1</v>
      </c>
      <c r="G11" s="38">
        <f>VLOOKUP(Tabla7[[#This Row],[DESCRIPCIÓN]],T_apus[[DESCRIPCIÓN]:[COSTO]],4,FALSE)</f>
        <v>6139234</v>
      </c>
      <c r="H11" s="38">
        <f>Tabla7[[#This Row],[FACTOR]]*Tabla7[[#This Row],[CANTIDAD]]*Tabla7[[#This Row],[COSTO]]</f>
        <v>6139234</v>
      </c>
    </row>
    <row r="12" spans="2:8" outlineLevel="1" x14ac:dyDescent="0.25">
      <c r="C12" s="59"/>
      <c r="E12" s="38">
        <v>1</v>
      </c>
      <c r="H12" s="38">
        <v>0</v>
      </c>
    </row>
    <row r="13" spans="2:8" ht="15.6" x14ac:dyDescent="0.3">
      <c r="B13" s="40" t="s">
        <v>18</v>
      </c>
      <c r="H13" s="41">
        <f>SUM(Tabla7[TOTAL])</f>
        <v>156124252</v>
      </c>
    </row>
    <row r="15" spans="2:8" ht="15.6" thickBot="1" x14ac:dyDescent="0.3"/>
    <row r="16" spans="2:8" ht="16.2" thickBot="1" x14ac:dyDescent="0.3">
      <c r="B16" s="93" t="s">
        <v>64</v>
      </c>
      <c r="C16" s="94"/>
      <c r="D16" s="94"/>
      <c r="E16" s="94"/>
      <c r="F16" s="94"/>
      <c r="G16" s="95"/>
      <c r="H16" s="39" t="s">
        <v>19</v>
      </c>
    </row>
    <row r="17" spans="2:8" ht="15.6" outlineLevel="1" x14ac:dyDescent="0.3">
      <c r="B17" s="40" t="s">
        <v>0</v>
      </c>
      <c r="C17" s="52" t="s">
        <v>1</v>
      </c>
      <c r="D17" s="40" t="s">
        <v>11</v>
      </c>
      <c r="E17" s="41" t="s">
        <v>15</v>
      </c>
      <c r="F17" s="41" t="s">
        <v>16</v>
      </c>
      <c r="G17" s="41" t="s">
        <v>3</v>
      </c>
      <c r="H17" s="41" t="s">
        <v>17</v>
      </c>
    </row>
    <row r="18" spans="2:8" outlineLevel="1" x14ac:dyDescent="0.25">
      <c r="B18" s="37" t="str">
        <f>VLOOKUP(Tabla14[[#This Row],[DESCRIPCIÓN]],T_apus[[DESCRIPCIÓN]:[COSTO]],2,FALSE)</f>
        <v>CÓD</v>
      </c>
      <c r="C18" s="59" t="s">
        <v>59</v>
      </c>
      <c r="D18" s="37" t="str">
        <f>VLOOKUP(Tabla14[[#This Row],[DESCRIPCIÓN]],T_apus[[DESCRIPCIÓN]:[COSTO]],3,FALSE)</f>
        <v>UND</v>
      </c>
      <c r="E18" s="38">
        <v>1</v>
      </c>
      <c r="F18" s="38">
        <v>3</v>
      </c>
      <c r="G18" s="38">
        <f>VLOOKUP(Tabla14[[#This Row],[DESCRIPCIÓN]],T_apus[[DESCRIPCIÓN]:[COSTO]],4,FALSE)</f>
        <v>6139234</v>
      </c>
      <c r="H18" s="38">
        <f>Tabla14[[#This Row],[FACTOR]]*Tabla14[[#This Row],[CANTIDAD]]*Tabla14[[#This Row],[COSTO]]</f>
        <v>18417702</v>
      </c>
    </row>
    <row r="19" spans="2:8" outlineLevel="1" x14ac:dyDescent="0.25">
      <c r="B19" s="37" t="str">
        <f>VLOOKUP(Tabla14[[#This Row],[DESCRIPCIÓN]],T_apus[[DESCRIPCIÓN]:[COSTO]],2,FALSE)</f>
        <v>CÓD</v>
      </c>
      <c r="C19" s="59" t="s">
        <v>59</v>
      </c>
      <c r="D19" s="37" t="str">
        <f>VLOOKUP(Tabla14[[#This Row],[DESCRIPCIÓN]],T_apus[[DESCRIPCIÓN]:[COSTO]],3,FALSE)</f>
        <v>UND</v>
      </c>
      <c r="E19" s="38">
        <v>1</v>
      </c>
      <c r="F19" s="38">
        <v>3</v>
      </c>
      <c r="G19" s="38">
        <f>VLOOKUP(Tabla14[[#This Row],[DESCRIPCIÓN]],T_apus[[DESCRIPCIÓN]:[COSTO]],4,FALSE)</f>
        <v>6139234</v>
      </c>
      <c r="H19" s="38">
        <f>Tabla14[[#This Row],[FACTOR]]*Tabla14[[#This Row],[CANTIDAD]]*Tabla14[[#This Row],[COSTO]]</f>
        <v>18417702</v>
      </c>
    </row>
    <row r="20" spans="2:8" outlineLevel="1" x14ac:dyDescent="0.25">
      <c r="B20" s="37" t="str">
        <f>VLOOKUP(Tabla14[[#This Row],[DESCRIPCIÓN]],T_apus[[DESCRIPCIÓN]:[COSTO]],2,FALSE)</f>
        <v>CÓD</v>
      </c>
      <c r="C20" s="59" t="s">
        <v>61</v>
      </c>
      <c r="D20" s="37" t="str">
        <f>VLOOKUP(Tabla14[[#This Row],[DESCRIPCIÓN]],T_apus[[DESCRIPCIÓN]:[COSTO]],3,FALSE)</f>
        <v>UND</v>
      </c>
      <c r="E20" s="38">
        <v>1</v>
      </c>
      <c r="F20" s="38">
        <v>2</v>
      </c>
      <c r="G20" s="38">
        <f>VLOOKUP(Tabla14[[#This Row],[DESCRIPCIÓN]],T_apus[[DESCRIPCIÓN]:[COSTO]],4,FALSE)</f>
        <v>10701038</v>
      </c>
      <c r="H20" s="38">
        <f>Tabla14[[#This Row],[FACTOR]]*Tabla14[[#This Row],[CANTIDAD]]*Tabla14[[#This Row],[COSTO]]</f>
        <v>21402076</v>
      </c>
    </row>
    <row r="21" spans="2:8" outlineLevel="1" x14ac:dyDescent="0.25">
      <c r="C21" s="59"/>
      <c r="E21" s="38">
        <v>1</v>
      </c>
      <c r="H21" s="38">
        <f>Tabla14[[#This Row],[FACTOR]]*Tabla14[[#This Row],[CANTIDAD]]*Tabla14[[#This Row],[COSTO]]</f>
        <v>0</v>
      </c>
    </row>
    <row r="22" spans="2:8" outlineLevel="1" x14ac:dyDescent="0.25">
      <c r="C22" s="59"/>
      <c r="E22" s="38">
        <v>1</v>
      </c>
      <c r="H22" s="38">
        <f>Tabla14[[#This Row],[FACTOR]]*Tabla14[[#This Row],[CANTIDAD]]*Tabla14[[#This Row],[COSTO]]</f>
        <v>0</v>
      </c>
    </row>
    <row r="23" spans="2:8" outlineLevel="1" x14ac:dyDescent="0.25">
      <c r="B23" s="37" t="str">
        <f>VLOOKUP(Tabla14[[#This Row],[DESCRIPCIÓN]],T_apus[[DESCRIPCIÓN]:[COSTO]],2,FALSE)</f>
        <v>CÓD</v>
      </c>
      <c r="C23" s="59" t="s">
        <v>61</v>
      </c>
      <c r="D23" s="37" t="str">
        <f>VLOOKUP(Tabla14[[#This Row],[DESCRIPCIÓN]],T_apus[[DESCRIPCIÓN]:[COSTO]],3,FALSE)</f>
        <v>UND</v>
      </c>
      <c r="E23" s="38">
        <v>1</v>
      </c>
      <c r="F23" s="38">
        <v>5</v>
      </c>
      <c r="G23" s="38">
        <f>VLOOKUP(Tabla14[[#This Row],[DESCRIPCIÓN]],T_apus[[DESCRIPCIÓN]:[COSTO]],4,FALSE)</f>
        <v>10701038</v>
      </c>
      <c r="H23" s="38">
        <f>Tabla14[[#This Row],[FACTOR]]*Tabla14[[#This Row],[CANTIDAD]]*Tabla14[[#This Row],[COSTO]]</f>
        <v>53505190</v>
      </c>
    </row>
    <row r="24" spans="2:8" outlineLevel="1" x14ac:dyDescent="0.25">
      <c r="B24" s="37" t="str">
        <f>VLOOKUP(Tabla14[[#This Row],[DESCRIPCIÓN]],T_apus[[DESCRIPCIÓN]:[COSTO]],2,FALSE)</f>
        <v>CÓD</v>
      </c>
      <c r="C24" s="59" t="s">
        <v>59</v>
      </c>
      <c r="D24" s="37" t="str">
        <f>VLOOKUP(Tabla14[[#This Row],[DESCRIPCIÓN]],T_apus[[DESCRIPCIÓN]:[COSTO]],3,FALSE)</f>
        <v>UND</v>
      </c>
      <c r="E24" s="38">
        <v>1</v>
      </c>
      <c r="F24" s="38">
        <v>1</v>
      </c>
      <c r="G24" s="38">
        <f>VLOOKUP(Tabla14[[#This Row],[DESCRIPCIÓN]],T_apus[[DESCRIPCIÓN]:[COSTO]],4,FALSE)</f>
        <v>6139234</v>
      </c>
      <c r="H24" s="38">
        <f>Tabla14[[#This Row],[FACTOR]]*Tabla14[[#This Row],[CANTIDAD]]*Tabla14[[#This Row],[COSTO]]</f>
        <v>6139234</v>
      </c>
    </row>
    <row r="25" spans="2:8" outlineLevel="1" x14ac:dyDescent="0.25">
      <c r="B25" s="37" t="str">
        <f>VLOOKUP(Tabla14[[#This Row],[DESCRIPCIÓN]],T_apus[[DESCRIPCIÓN]:[COSTO]],2,FALSE)</f>
        <v>CÓD</v>
      </c>
      <c r="C25" s="59" t="s">
        <v>61</v>
      </c>
      <c r="D25" s="37" t="str">
        <f>VLOOKUP(Tabla14[[#This Row],[DESCRIPCIÓN]],T_apus[[DESCRIPCIÓN]:[COSTO]],3,FALSE)</f>
        <v>UND</v>
      </c>
      <c r="E25" s="38">
        <v>1</v>
      </c>
      <c r="F25" s="38">
        <v>1</v>
      </c>
      <c r="G25" s="38">
        <f>VLOOKUP(Tabla14[[#This Row],[DESCRIPCIÓN]],T_apus[[DESCRIPCIÓN]:[COSTO]],4,FALSE)</f>
        <v>10701038</v>
      </c>
      <c r="H25" s="38">
        <f>Tabla14[[#This Row],[FACTOR]]*Tabla14[[#This Row],[CANTIDAD]]*Tabla14[[#This Row],[COSTO]]</f>
        <v>10701038</v>
      </c>
    </row>
    <row r="26" spans="2:8" outlineLevel="1" x14ac:dyDescent="0.25">
      <c r="C26" s="59"/>
      <c r="E26" s="38">
        <v>1</v>
      </c>
      <c r="H26" s="38">
        <v>0</v>
      </c>
    </row>
    <row r="27" spans="2:8" ht="15.6" x14ac:dyDescent="0.3">
      <c r="B27" s="40" t="s">
        <v>18</v>
      </c>
      <c r="H27" s="41">
        <f>SUM(Tabla14[TOTAL])</f>
        <v>128582942</v>
      </c>
    </row>
    <row r="29" spans="2:8" ht="15.6" thickBot="1" x14ac:dyDescent="0.3"/>
    <row r="30" spans="2:8" ht="16.2" thickBot="1" x14ac:dyDescent="0.3">
      <c r="B30" s="93" t="s">
        <v>20</v>
      </c>
      <c r="C30" s="94"/>
      <c r="D30" s="94"/>
      <c r="E30" s="94"/>
      <c r="F30" s="94"/>
      <c r="G30" s="95"/>
      <c r="H30" s="39" t="s">
        <v>19</v>
      </c>
    </row>
    <row r="31" spans="2:8" ht="15.6" outlineLevel="1" x14ac:dyDescent="0.3">
      <c r="B31" s="40" t="s">
        <v>0</v>
      </c>
      <c r="C31" s="52" t="s">
        <v>1</v>
      </c>
      <c r="D31" s="40" t="s">
        <v>11</v>
      </c>
      <c r="E31" s="41" t="s">
        <v>15</v>
      </c>
      <c r="F31" s="41" t="s">
        <v>16</v>
      </c>
      <c r="G31" s="41" t="s">
        <v>3</v>
      </c>
      <c r="H31" s="41" t="s">
        <v>17</v>
      </c>
    </row>
    <row r="32" spans="2:8" outlineLevel="1" x14ac:dyDescent="0.25">
      <c r="B32" s="37" t="str">
        <f>VLOOKUP(Tabla89[[#This Row],[DESCRIPCIÓN]],T_apus[[DESCRIPCIÓN]:[COSTO]],2,FALSE)</f>
        <v>CÓD</v>
      </c>
      <c r="C32" s="59" t="s">
        <v>59</v>
      </c>
      <c r="D32" s="37" t="str">
        <f>VLOOKUP(Tabla89[[#This Row],[DESCRIPCIÓN]],T_apus[[DESCRIPCIÓN]:[COSTO]],3,FALSE)</f>
        <v>UND</v>
      </c>
      <c r="E32" s="38">
        <v>1</v>
      </c>
      <c r="F32" s="38">
        <v>3</v>
      </c>
      <c r="G32" s="38">
        <f>VLOOKUP(Tabla89[[#This Row],[DESCRIPCIÓN]],T_apus[[DESCRIPCIÓN]:[COSTO]],4,FALSE)</f>
        <v>6139234</v>
      </c>
      <c r="H32" s="38">
        <f>Tabla89[[#This Row],[FACTOR]]*Tabla89[[#This Row],[CANTIDAD]]*Tabla89[[#This Row],[COSTO]]</f>
        <v>18417702</v>
      </c>
    </row>
    <row r="33" spans="2:8" outlineLevel="1" x14ac:dyDescent="0.25">
      <c r="B33" s="37" t="str">
        <f>VLOOKUP(Tabla89[[#This Row],[DESCRIPCIÓN]],T_apus[[DESCRIPCIÓN]:[COSTO]],2,FALSE)</f>
        <v>CÓD</v>
      </c>
      <c r="C33" s="59" t="s">
        <v>59</v>
      </c>
      <c r="D33" s="37" t="str">
        <f>VLOOKUP(Tabla89[[#This Row],[DESCRIPCIÓN]],T_apus[[DESCRIPCIÓN]:[COSTO]],3,FALSE)</f>
        <v>UND</v>
      </c>
      <c r="E33" s="38">
        <v>1</v>
      </c>
      <c r="F33" s="38">
        <v>232</v>
      </c>
      <c r="G33" s="38">
        <f>VLOOKUP(Tabla89[[#This Row],[DESCRIPCIÓN]],T_apus[[DESCRIPCIÓN]:[COSTO]],4,FALSE)</f>
        <v>6139234</v>
      </c>
      <c r="H33" s="38">
        <f>Tabla89[[#This Row],[FACTOR]]*Tabla89[[#This Row],[CANTIDAD]]*Tabla89[[#This Row],[COSTO]]</f>
        <v>1424302288</v>
      </c>
    </row>
    <row r="34" spans="2:8" outlineLevel="1" x14ac:dyDescent="0.25">
      <c r="B34" s="37" t="str">
        <f>VLOOKUP(Tabla89[[#This Row],[DESCRIPCIÓN]],T_apus[[DESCRIPCIÓN]:[COSTO]],2,FALSE)</f>
        <v>CÓD</v>
      </c>
      <c r="C34" s="59" t="s">
        <v>61</v>
      </c>
      <c r="D34" s="37" t="str">
        <f>VLOOKUP(Tabla89[[#This Row],[DESCRIPCIÓN]],T_apus[[DESCRIPCIÓN]:[COSTO]],3,FALSE)</f>
        <v>UND</v>
      </c>
      <c r="E34" s="38">
        <v>1</v>
      </c>
      <c r="F34" s="38">
        <v>32</v>
      </c>
      <c r="G34" s="38">
        <f>VLOOKUP(Tabla89[[#This Row],[DESCRIPCIÓN]],T_apus[[DESCRIPCIÓN]:[COSTO]],4,FALSE)</f>
        <v>10701038</v>
      </c>
      <c r="H34" s="38">
        <f>Tabla89[[#This Row],[FACTOR]]*Tabla89[[#This Row],[CANTIDAD]]*Tabla89[[#This Row],[COSTO]]</f>
        <v>342433216</v>
      </c>
    </row>
    <row r="35" spans="2:8" outlineLevel="1" x14ac:dyDescent="0.25">
      <c r="B35" s="37" t="str">
        <f>VLOOKUP(Tabla89[[#This Row],[DESCRIPCIÓN]],T_apus[[DESCRIPCIÓN]:[COSTO]],2,FALSE)</f>
        <v>CÓD</v>
      </c>
      <c r="C35" s="59" t="s">
        <v>59</v>
      </c>
      <c r="D35" s="37" t="str">
        <f>VLOOKUP(Tabla89[[#This Row],[DESCRIPCIÓN]],T_apus[[DESCRIPCIÓN]:[COSTO]],3,FALSE)</f>
        <v>UND</v>
      </c>
      <c r="E35" s="38">
        <v>1</v>
      </c>
      <c r="F35" s="38">
        <v>21</v>
      </c>
      <c r="G35" s="38">
        <f>VLOOKUP(Tabla89[[#This Row],[DESCRIPCIÓN]],T_apus[[DESCRIPCIÓN]:[COSTO]],4,FALSE)</f>
        <v>6139234</v>
      </c>
      <c r="H35" s="38">
        <f>Tabla89[[#This Row],[FACTOR]]*Tabla89[[#This Row],[CANTIDAD]]*Tabla89[[#This Row],[COSTO]]</f>
        <v>128923914</v>
      </c>
    </row>
    <row r="36" spans="2:8" outlineLevel="1" x14ac:dyDescent="0.25">
      <c r="C36" s="59"/>
      <c r="E36" s="38">
        <v>1</v>
      </c>
      <c r="H36" s="38">
        <f>Tabla89[[#This Row],[FACTOR]]*Tabla89[[#This Row],[CANTIDAD]]*Tabla89[[#This Row],[COSTO]]</f>
        <v>0</v>
      </c>
    </row>
    <row r="37" spans="2:8" ht="15.6" x14ac:dyDescent="0.3">
      <c r="B37" s="69" t="s">
        <v>18</v>
      </c>
      <c r="C37" s="68"/>
      <c r="D37" s="67"/>
      <c r="E37" s="50"/>
      <c r="F37" s="50"/>
      <c r="G37" s="50"/>
      <c r="H37" s="41">
        <f>SUM(Tabla89[TOTAL])</f>
        <v>1914077120</v>
      </c>
    </row>
    <row r="40" spans="2:8" ht="15.6" x14ac:dyDescent="0.3">
      <c r="F40" s="40"/>
      <c r="G40" s="40"/>
      <c r="H40" s="41"/>
    </row>
    <row r="41" spans="2:8" ht="15.6" x14ac:dyDescent="0.3">
      <c r="B41" s="40" t="s">
        <v>19</v>
      </c>
      <c r="C41" s="52" t="s">
        <v>20</v>
      </c>
      <c r="D41" s="40" t="s">
        <v>21</v>
      </c>
      <c r="E41" s="41" t="s">
        <v>22</v>
      </c>
      <c r="F41" s="37"/>
      <c r="G41" s="37"/>
    </row>
    <row r="42" spans="2:8" x14ac:dyDescent="0.25">
      <c r="B42" s="37" t="str">
        <f>$H$3</f>
        <v>CÓD</v>
      </c>
      <c r="C42" s="51" t="str">
        <f>$B$3</f>
        <v>CAPÍTULO 1</v>
      </c>
      <c r="D42" s="70">
        <f>(E42)/(E47)</f>
        <v>7.1004805248942662E-2</v>
      </c>
      <c r="E42" s="38">
        <f>$H$13</f>
        <v>156124252</v>
      </c>
      <c r="F42" s="37"/>
      <c r="G42" s="37"/>
    </row>
    <row r="43" spans="2:8" x14ac:dyDescent="0.25">
      <c r="B43" s="37" t="str">
        <f>$H$16</f>
        <v>CÓD</v>
      </c>
      <c r="C43" s="51" t="str">
        <f>$B$16</f>
        <v>CAPÍTULO 2</v>
      </c>
      <c r="D43" s="70">
        <f>(E43)/(E47)</f>
        <v>5.8479106468648387E-2</v>
      </c>
      <c r="E43" s="38">
        <f>$H$27</f>
        <v>128582942</v>
      </c>
      <c r="F43" s="37"/>
      <c r="G43" s="37"/>
    </row>
    <row r="44" spans="2:8" x14ac:dyDescent="0.25">
      <c r="B44" s="37" t="str">
        <f>$H$30</f>
        <v>CÓD</v>
      </c>
      <c r="C44" s="51" t="str">
        <f>$B$30</f>
        <v>CAPÍTULO</v>
      </c>
      <c r="D44" s="70">
        <f>(E44)/(E47)</f>
        <v>0.8705160882824089</v>
      </c>
      <c r="E44" s="38">
        <f>$H$37</f>
        <v>1914077120</v>
      </c>
      <c r="F44" s="37"/>
      <c r="G44" s="37"/>
    </row>
    <row r="47" spans="2:8" ht="15.6" x14ac:dyDescent="0.3">
      <c r="B47" s="42"/>
      <c r="C47" s="53"/>
      <c r="D47" s="43" t="s">
        <v>30</v>
      </c>
      <c r="E47" s="54">
        <f>SUM(E42:E46)</f>
        <v>2198784314</v>
      </c>
    </row>
    <row r="48" spans="2:8" x14ac:dyDescent="0.25">
      <c r="B48" s="96" t="s">
        <v>62</v>
      </c>
      <c r="C48" s="96"/>
      <c r="D48" s="96"/>
      <c r="E48" s="96"/>
    </row>
    <row r="50" spans="3:5" ht="15.6" x14ac:dyDescent="0.3">
      <c r="C50" s="52" t="s">
        <v>1</v>
      </c>
      <c r="D50" s="40" t="s">
        <v>21</v>
      </c>
      <c r="E50" s="41" t="s">
        <v>22</v>
      </c>
    </row>
    <row r="51" spans="3:5" x14ac:dyDescent="0.25">
      <c r="C51" s="51" t="s">
        <v>26</v>
      </c>
      <c r="D51" s="71">
        <v>0.05</v>
      </c>
      <c r="E51" s="72">
        <f>Tabla91[[#This Row],[PORCENTAJE]]*E47</f>
        <v>109939215.7</v>
      </c>
    </row>
    <row r="52" spans="3:5" x14ac:dyDescent="0.25">
      <c r="C52" s="51" t="s">
        <v>27</v>
      </c>
      <c r="D52" s="71">
        <v>0.05</v>
      </c>
      <c r="E52" s="72">
        <f>Tabla91[[#This Row],[PORCENTAJE]]*E47</f>
        <v>109939215.7</v>
      </c>
    </row>
    <row r="53" spans="3:5" x14ac:dyDescent="0.25">
      <c r="C53" s="51" t="s">
        <v>28</v>
      </c>
      <c r="D53" s="71">
        <v>0.1</v>
      </c>
      <c r="E53" s="72">
        <f>Tabla91[[#This Row],[PORCENTAJE]]*E47</f>
        <v>219878431.40000001</v>
      </c>
    </row>
    <row r="54" spans="3:5" x14ac:dyDescent="0.25">
      <c r="C54" s="51" t="s">
        <v>25</v>
      </c>
      <c r="D54" s="71">
        <v>0.19</v>
      </c>
      <c r="E54" s="72">
        <f>Tabla91[[#This Row],[PORCENTAJE]]*E53</f>
        <v>41776901.965999998</v>
      </c>
    </row>
    <row r="55" spans="3:5" ht="15.6" x14ac:dyDescent="0.3">
      <c r="D55" s="73" t="s">
        <v>29</v>
      </c>
      <c r="E55" s="74">
        <f>SUM(E51:E54)</f>
        <v>481533764.76600003</v>
      </c>
    </row>
    <row r="56" spans="3:5" x14ac:dyDescent="0.25">
      <c r="E56" s="72"/>
    </row>
    <row r="57" spans="3:5" ht="15.6" x14ac:dyDescent="0.3">
      <c r="D57" s="40" t="s">
        <v>24</v>
      </c>
      <c r="E57" s="74">
        <f>E47+E55</f>
        <v>2680318078.7659998</v>
      </c>
    </row>
  </sheetData>
  <dataConsolidate/>
  <mergeCells count="5">
    <mergeCell ref="B30:G30"/>
    <mergeCell ref="B48:E48"/>
    <mergeCell ref="B1:H1"/>
    <mergeCell ref="B3:G3"/>
    <mergeCell ref="B16:G16"/>
  </mergeCells>
  <dataValidations count="1">
    <dataValidation type="list" allowBlank="1" showInputMessage="1" showErrorMessage="1" sqref="C18:C26 C32:C36 C5:C12" xr:uid="{D610AE7E-8CF7-4CA0-BAAE-C8D5899D339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7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7" bestFit="1" customWidth="1"/>
    <col min="6" max="16384" width="11.44140625" style="3"/>
  </cols>
  <sheetData>
    <row r="1" spans="2:7 16200:16200" ht="30" customHeight="1" x14ac:dyDescent="0.3">
      <c r="B1" s="98" t="s">
        <v>31</v>
      </c>
      <c r="C1" s="98"/>
      <c r="D1" s="98"/>
      <c r="E1" s="98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Apu basico 01</v>
      </c>
      <c r="C3" s="4" t="str">
        <f>BÁSICOS!A3</f>
        <v>CÓD</v>
      </c>
      <c r="D3" s="1" t="str">
        <f>BÁSICOS!H3</f>
        <v>UND</v>
      </c>
      <c r="E3" s="5">
        <f>BÁSICOS!H10</f>
        <v>703472</v>
      </c>
    </row>
    <row r="4" spans="2:7 16200:16200" x14ac:dyDescent="0.3">
      <c r="B4" s="2" t="str">
        <f>BÁSICOS!B13</f>
        <v>Apu basico 02</v>
      </c>
      <c r="C4" s="4" t="str">
        <f>BÁSICOS!A13</f>
        <v>CÓD</v>
      </c>
      <c r="D4" s="1" t="str">
        <f>BÁSICOS!H13</f>
        <v>UND</v>
      </c>
      <c r="E4" s="5">
        <f>BÁSICOS!H20</f>
        <v>1577430</v>
      </c>
    </row>
    <row r="5" spans="2:7 16200:16200" x14ac:dyDescent="0.3">
      <c r="B5" s="2" t="str">
        <f>BÁSICOS!B23</f>
        <v>NOMBRE A.P.U. BÁSICO</v>
      </c>
      <c r="C5" s="4" t="str">
        <f>BÁSICOS!A23</f>
        <v>CÓD</v>
      </c>
      <c r="D5" s="1" t="str">
        <f>BÁSICOS!H23</f>
        <v>UND</v>
      </c>
      <c r="E5" s="5">
        <f>BÁSICOS!H28</f>
        <v>0</v>
      </c>
    </row>
    <row r="6" spans="2:7 16200:16200" x14ac:dyDescent="0.3">
      <c r="B6" s="2"/>
      <c r="E6" s="5"/>
    </row>
    <row r="7" spans="2:7 16200:16200" x14ac:dyDescent="0.3">
      <c r="B7" s="2"/>
      <c r="E7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6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2.77734375" style="6" bestFit="1" customWidth="1"/>
    <col min="6" max="16384" width="11.44140625" style="3"/>
  </cols>
  <sheetData>
    <row r="1" spans="2:5" s="8" customFormat="1" ht="30" customHeight="1" x14ac:dyDescent="0.3">
      <c r="B1" s="98" t="s">
        <v>33</v>
      </c>
      <c r="C1" s="98"/>
      <c r="D1" s="98"/>
      <c r="E1" s="98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Apu 01</v>
      </c>
      <c r="C3" s="4" t="str">
        <f>APU!A3</f>
        <v>CÓD</v>
      </c>
      <c r="D3" s="1" t="str">
        <f>APU!H3</f>
        <v>UND</v>
      </c>
      <c r="E3" s="5">
        <f>APU!H10</f>
        <v>6139234</v>
      </c>
    </row>
    <row r="4" spans="2:5" x14ac:dyDescent="0.3">
      <c r="B4" s="2" t="str">
        <f>APU!B13</f>
        <v>Apu 02</v>
      </c>
      <c r="C4" s="4" t="str">
        <f>APU!A13</f>
        <v>CÓD</v>
      </c>
      <c r="D4" s="1" t="str">
        <f>APU!H13</f>
        <v>UND</v>
      </c>
      <c r="E4" s="5">
        <f>APU!H20</f>
        <v>10701038</v>
      </c>
    </row>
    <row r="5" spans="2:5" x14ac:dyDescent="0.3">
      <c r="E5" s="5"/>
    </row>
    <row r="6" spans="2:5" x14ac:dyDescent="0.3">
      <c r="E6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8"/>
  <sheetViews>
    <sheetView showGridLines="0" zoomScale="110" zoomScaleNormal="110" workbookViewId="0">
      <selection activeCell="A3" sqref="A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5.44140625" style="19" bestFit="1" customWidth="1"/>
    <col min="8" max="8" width="15.6640625" customWidth="1"/>
  </cols>
  <sheetData>
    <row r="1" spans="1:6" ht="30" customHeight="1" x14ac:dyDescent="0.3">
      <c r="A1" s="98" t="s">
        <v>32</v>
      </c>
      <c r="B1" s="98"/>
      <c r="C1" s="98"/>
      <c r="D1" s="98"/>
      <c r="E1" s="98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3" spans="1:6" x14ac:dyDescent="0.3">
      <c r="A3" t="s">
        <v>50</v>
      </c>
      <c r="B3" s="18" t="s">
        <v>39</v>
      </c>
      <c r="C3" s="19">
        <v>285000</v>
      </c>
      <c r="D3" s="29">
        <v>4984</v>
      </c>
      <c r="E3" s="19">
        <f>T_materiales[[#This Row],[PRECIO]]*T_materiales[[#This Row],[CANTIDAD]]</f>
        <v>1420440000</v>
      </c>
    </row>
    <row r="4" spans="1:6" x14ac:dyDescent="0.3">
      <c r="A4" t="s">
        <v>51</v>
      </c>
      <c r="B4" s="18" t="s">
        <v>48</v>
      </c>
      <c r="C4" s="19">
        <v>486</v>
      </c>
      <c r="D4" s="29">
        <v>6785</v>
      </c>
      <c r="E4" s="19">
        <f>T_materiales[[#This Row],[PRECIO]]*T_materiales[[#This Row],[CANTIDAD]]</f>
        <v>3297510</v>
      </c>
    </row>
    <row r="5" spans="1:6" x14ac:dyDescent="0.3">
      <c r="A5" t="s">
        <v>52</v>
      </c>
      <c r="B5" s="18" t="s">
        <v>39</v>
      </c>
      <c r="C5" s="19">
        <v>72500</v>
      </c>
      <c r="D5" s="29">
        <v>8586</v>
      </c>
      <c r="E5" s="19">
        <f>T_materiales[[#This Row],[PRECIO]]*T_materiales[[#This Row],[CANTIDAD]]</f>
        <v>622485000</v>
      </c>
    </row>
    <row r="6" spans="1:6" x14ac:dyDescent="0.3">
      <c r="A6" t="s">
        <v>40</v>
      </c>
      <c r="B6" s="18" t="s">
        <v>41</v>
      </c>
      <c r="C6" s="19">
        <v>100000</v>
      </c>
      <c r="D6" s="29">
        <v>1480</v>
      </c>
      <c r="E6" s="19">
        <f>T_materiales[[#This Row],[PRECIO]]*T_materiales[[#This Row],[CANTIDAD]]</f>
        <v>148000000</v>
      </c>
    </row>
    <row r="7" spans="1:6" x14ac:dyDescent="0.3">
      <c r="E7" s="19">
        <f>T_materiales[[#This Row],[PRECIO]]*T_materiales[[#This Row],[CANTIDAD]]</f>
        <v>0</v>
      </c>
    </row>
    <row r="8" spans="1:6" x14ac:dyDescent="0.3">
      <c r="A8" s="60" t="s">
        <v>18</v>
      </c>
      <c r="B8" s="27"/>
      <c r="C8" s="28"/>
      <c r="D8" s="31"/>
      <c r="E8" s="61">
        <f>SUBTOTAL(109,T_materiales[TOTAL])</f>
        <v>2194222510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44</v>
      </c>
    </row>
    <row r="3" spans="1:1" x14ac:dyDescent="0.3">
      <c r="A3" t="s">
        <v>46</v>
      </c>
    </row>
    <row r="4" spans="1:1" x14ac:dyDescent="0.3">
      <c r="A4" t="s">
        <v>57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Copiar APU" size="normal" image="copiar_16" onAction="Módulo001_APUSPRUEBA.copiarapu" getEnabled="Módulo11_RIBBON.hojaapu" screentip="Copiar APU" supertip="Copiar APU seleccionado."/>
          <button id="botpegarapu" label="Pegar 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2024-09-27T15:27:06Z</dcterms:modified>
</cp:coreProperties>
</file>