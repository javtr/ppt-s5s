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2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2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2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264becb77a74b6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7261B13B-9B6D-49D6-84D5-9423A250144B}" xr6:coauthVersionLast="47" xr6:coauthVersionMax="47" xr10:uidLastSave="{00000000-0000-0000-0000-000000000000}"/>
  <workbookProtection workbookAlgorithmName="SHA-512" workbookHashValue="OXjy8kESbx4lOZTmvtWdui+gfGBYPzXYZbheIKhfADKE89Jm03LngEksafgHRCWCCDYt1Z7PffwRjd2iA7ahag==" workbookSaltValue="Yxqhkr18O0j+bs1QkMzFVA==" workbookSpinCount="100000" lockStructure="1"/>
  <bookViews>
    <workbookView xWindow="-108" yWindow="-108" windowWidth="23256" windowHeight="12456" tabRatio="799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_xlnm.Print_Area" localSheetId="0">INSUMOS!$A$3:$E$11,INSUMOS!$G$3:$K$11,INSUMOS!$M$3:$Q$10,INSUMOS!$S$3:$W$9,INSUMOS!$Y$3:$AC$8,INSUMOS!$AE$3:$AI$7,INSUMOS!$AK$3:$AO$6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3" l="1"/>
  <c r="D5" i="103"/>
  <c r="G5" i="103"/>
  <c r="H5" i="103" s="1"/>
  <c r="B5" i="102"/>
  <c r="D5" i="102"/>
  <c r="G5" i="102"/>
  <c r="H5" i="102" s="1"/>
  <c r="H8" i="102" s="1"/>
  <c r="E3" i="10" s="1"/>
  <c r="D3" i="4"/>
  <c r="C3" i="4"/>
  <c r="B3" i="4"/>
  <c r="D3" i="10"/>
  <c r="C3" i="10"/>
  <c r="B3" i="10"/>
  <c r="C15" i="104"/>
  <c r="B15" i="104"/>
  <c r="H9" i="104"/>
  <c r="H8" i="104"/>
  <c r="H7" i="104"/>
  <c r="H6" i="104"/>
  <c r="H5" i="104"/>
  <c r="E7" i="103"/>
  <c r="H7" i="103"/>
  <c r="E6" i="103"/>
  <c r="H6" i="103"/>
  <c r="E5" i="103"/>
  <c r="E7" i="102"/>
  <c r="H7" i="102"/>
  <c r="E6" i="102"/>
  <c r="H6" i="102"/>
  <c r="E5" i="102"/>
  <c r="H8" i="103" l="1"/>
  <c r="E3" i="4" s="1"/>
  <c r="H10" i="104"/>
  <c r="E15" i="104" s="1"/>
  <c r="E4" i="106"/>
  <c r="E18" i="104" l="1"/>
  <c r="D15" i="104" l="1"/>
  <c r="E24" i="104"/>
  <c r="E25" i="104" s="1"/>
  <c r="E23" i="104"/>
  <c r="E22" i="104"/>
  <c r="E26" i="104" l="1"/>
  <c r="E28" i="104" s="1"/>
</calcChain>
</file>

<file path=xl/sharedStrings.xml><?xml version="1.0" encoding="utf-8"?>
<sst xmlns="http://schemas.openxmlformats.org/spreadsheetml/2006/main" count="119" uniqueCount="45">
  <si>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</si>
  <si>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</si>
  <si>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</si>
  <si>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</si>
  <si>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</si>
  <si>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</si>
  <si>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</si>
  <si>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</si>
  <si>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</si>
  <si>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</si>
  <si>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</si>
  <si>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</si>
  <si>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</si>
  <si>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</si>
  <si>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</si>
  <si>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</si>
  <si>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</si>
  <si>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</si>
  <si>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</si>
  <si>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</si>
  <si>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</si>
  <si>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</si>
  <si>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</si>
  <si>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</si>
  <si>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</si>
  <si>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</si>
  <si>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</si>
  <si>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</si>
  <si>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</si>
  <si>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</si>
  <si>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</si>
  <si>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</si>
  <si>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</si>
  <si>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</si>
  <si>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</si>
  <si>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</si>
  <si>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</si>
  <si>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</si>
  <si>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</si>
  <si>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</si>
  <si>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</si>
  <si>
    <t>kg</t>
  </si>
  <si>
    <t>t001</t>
  </si>
  <si>
    <t>TRANSPORTE</t>
  </si>
  <si>
    <t>otro insumo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</si>
</sst>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164" formatCode="_(* #,##0_);_(* \(#,##0\);_(* &quot;-&quot;_);_(@_)"/>
    <numFmt numFmtId="165" formatCode="_-* #,##0\ _€_-;\-* #,##0\ _€_-;_-* &quot;-&quot;\ _€_-;_-@_-"/>
    <numFmt numFmtId="166" formatCode="#,##0.00_ ;\-#,##0.00\ "/>
    <numFmt numFmtId="167" formatCode="[$$-240A]\ #,##0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5" fontId="0" fillId="0" borderId="0" xfId="0" applyNumberFormat="1" applyBorder="1"/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5" fontId="3" fillId="0" borderId="0" xfId="0" applyNumberFormat="1" applyFont="1" applyBorder="1" applyAlignment="1">
      <alignment horizontal="left"/>
    </xf>
    <xf numFmtId="165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4" fillId="0" borderId="0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Fill="1"/>
    <xf numFmtId="0" fontId="6" fillId="0" borderId="0" xfId="0" applyNumberFormat="1" applyFont="1" applyFill="1"/>
    <xf numFmtId="0" fontId="6" fillId="0" borderId="0" xfId="0" applyNumberFormat="1" applyFont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164" fontId="0" fillId="0" borderId="0" xfId="0" applyNumberFormat="1"/>
    <xf numFmtId="164" fontId="2" fillId="0" borderId="0" xfId="0" applyNumberFormat="1" applyFont="1"/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164" fontId="3" fillId="0" borderId="0" xfId="0" applyNumberFormat="1" applyFont="1"/>
    <xf numFmtId="3" fontId="0" fillId="0" borderId="0" xfId="0" applyNumberFormat="1"/>
    <xf numFmtId="3" fontId="3" fillId="0" borderId="0" xfId="0" applyNumberFormat="1" applyFont="1" applyFill="1"/>
    <xf numFmtId="165" fontId="0" fillId="0" borderId="0" xfId="0" applyNumberFormat="1" applyFill="1"/>
    <xf numFmtId="0" fontId="8" fillId="0" borderId="0" xfId="9"/>
    <xf numFmtId="0" fontId="8" fillId="0" borderId="0" xfId="9" applyFont="1" applyAlignment="1">
      <alignment vertical="center"/>
    </xf>
    <xf numFmtId="0" fontId="8" fillId="0" borderId="0" xfId="9" applyFont="1" applyAlignment="1">
      <alignment horizontal="center" vertical="center"/>
    </xf>
    <xf numFmtId="0" fontId="8" fillId="0" borderId="0" xfId="9" applyNumberFormat="1"/>
    <xf numFmtId="165" fontId="7" fillId="0" borderId="0" xfId="11" applyNumberFormat="1" applyFill="1"/>
    <xf numFmtId="0" fontId="7" fillId="0" borderId="0" xfId="11"/>
    <xf numFmtId="0" fontId="9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0" fontId="10" fillId="2" borderId="0" xfId="0" applyFont="1" applyFill="1"/>
    <xf numFmtId="165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165" fontId="2" fillId="0" borderId="17" xfId="11" applyNumberFormat="1" applyFont="1" applyFill="1" applyBorder="1" applyAlignment="1">
      <alignment horizontal="left" vertical="top"/>
    </xf>
    <xf numFmtId="14" fontId="3" fillId="0" borderId="0" xfId="0" applyNumberFormat="1" applyFont="1" applyFill="1"/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7" fillId="0" borderId="0" xfId="11" applyNumberFormat="1" applyFill="1"/>
    <xf numFmtId="41" fontId="6" fillId="0" borderId="0" xfId="0" applyNumberFormat="1" applyFont="1" applyAlignment="1">
      <alignment horizontal="center"/>
    </xf>
    <xf numFmtId="41" fontId="6" fillId="0" borderId="0" xfId="0" applyNumberFormat="1" applyFont="1" applyFill="1" applyBorder="1" applyAlignment="1">
      <alignment horizontal="left"/>
    </xf>
    <xf numFmtId="41" fontId="6" fillId="0" borderId="0" xfId="0" applyNumberFormat="1" applyFont="1" applyAlignment="1"/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 applyFill="1" applyBorder="1" applyAlignment="1">
      <alignment horizontal="left"/>
    </xf>
    <xf numFmtId="41" fontId="5" fillId="0" borderId="0" xfId="0" applyNumberFormat="1" applyFont="1" applyAlignment="1"/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6" fillId="0" borderId="5" xfId="0" applyNumberFormat="1" applyFont="1" applyFill="1" applyBorder="1" applyAlignment="1">
      <alignment horizontal="left"/>
    </xf>
    <xf numFmtId="41" fontId="5" fillId="0" borderId="5" xfId="0" applyNumberFormat="1" applyFont="1" applyBorder="1" applyAlignment="1">
      <alignment horizontal="center"/>
    </xf>
    <xf numFmtId="41" fontId="5" fillId="0" borderId="6" xfId="0" applyNumberFormat="1" applyFont="1" applyBorder="1" applyAlignment="1"/>
    <xf numFmtId="167" fontId="0" fillId="0" borderId="0" xfId="0" applyNumberFormat="1" applyFill="1"/>
    <xf numFmtId="167" fontId="0" fillId="0" borderId="0" xfId="0" applyNumberFormat="1"/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165" fontId="2" fillId="0" borderId="0" xfId="11" applyNumberFormat="1" applyFont="1" applyFill="1"/>
    <xf numFmtId="41" fontId="8" fillId="0" borderId="0" xfId="9" applyNumberFormat="1"/>
    <xf numFmtId="41" fontId="8" fillId="0" borderId="0" xfId="0" applyNumberFormat="1" applyFont="1" applyFill="1" applyBorder="1" applyAlignment="1" applyProtection="1"/>
    <xf numFmtId="41" fontId="2" fillId="0" borderId="0" xfId="0" applyNumberFormat="1" applyFont="1" applyFill="1" applyBorder="1" applyAlignment="1" applyProtection="1"/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Alignmen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numFmt numFmtId="166" formatCode="#,##0.00_ ;\-#,##0.00\ "/>
      <fill>
        <patternFill patternType="solid">
          <fgColor indexed="64"/>
          <bgColor theme="8" tint="0.79998168889431442"/>
        </patternFill>
      </fill>
    </dxf>
    <dxf>
      <numFmt numFmtId="166" formatCode="#,##0.00_ ;\-#,##0.00\ "/>
    </dxf>
    <dxf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0"/>
      <tableStyleElement type="headerRow" dxfId="119"/>
    </tableStyle>
    <tableStyle name="S5S Green" pivot="0" count="2" xr9:uid="{00000000-0011-0000-FFFF-FFFF02000000}">
      <tableStyleElement type="wholeTable" dxfId="118"/>
      <tableStyleElement type="headerRow" dxfId="117"/>
    </tableStyle>
    <tableStyle name="S5S Greenblue" pivot="0" count="2" xr9:uid="{00000000-0011-0000-FFFF-FFFF03000000}">
      <tableStyleElement type="wholeTable" dxfId="116"/>
      <tableStyleElement type="headerRow" dxfId="115"/>
    </tableStyle>
    <tableStyle name="S5S2" pivot="0" count="2" xr9:uid="{00000000-0011-0000-FFFF-FFFF04000000}">
      <tableStyleElement type="wholeTable" dxfId="114"/>
      <tableStyleElement type="headerRow" dxfId="113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[0]!EditarDescripcion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0</xdr:col>
      <xdr:colOff>432954</xdr:colOff>
      <xdr:row>0</xdr:row>
      <xdr:rowOff>51955</xdr:rowOff>
    </xdr:from>
    <xdr:to>
      <xdr:col>0</xdr:col>
      <xdr:colOff>718704</xdr:colOff>
      <xdr:row>0</xdr:row>
      <xdr:rowOff>337705</xdr:rowOff>
    </xdr:to>
    <xdr:sp macro="[0]!copiarapu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32954" y="51955"/>
          <a:ext cx="285750" cy="2857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C</a:t>
          </a:r>
        </a:p>
      </xdr:txBody>
    </xdr:sp>
    <xdr:clientData/>
  </xdr:twoCellAnchor>
  <xdr:twoCellAnchor>
    <xdr:from>
      <xdr:col>1</xdr:col>
      <xdr:colOff>60613</xdr:colOff>
      <xdr:row>0</xdr:row>
      <xdr:rowOff>72736</xdr:rowOff>
    </xdr:from>
    <xdr:to>
      <xdr:col>1</xdr:col>
      <xdr:colOff>367145</xdr:colOff>
      <xdr:row>0</xdr:row>
      <xdr:rowOff>358486</xdr:rowOff>
    </xdr:to>
    <xdr:sp macro="[0]!pegarapu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75013" y="72736"/>
          <a:ext cx="306532" cy="285750"/>
        </a:xfrm>
        <a:prstGeom prst="ellipse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00000000}" name="T_mat" displayName="T_mat" ref="A4:E11" totalsRowShown="0" headerRowDxfId="112">
  <autoFilter ref="A4:E11" xr:uid="{00000000-0009-0000-0100-0000DA000000}"/>
  <sortState xmlns:xlrd2="http://schemas.microsoft.com/office/spreadsheetml/2017/richdata2" ref="A5:E89">
    <sortCondition ref="A3:A88"/>
  </sortState>
  <tableColumns count="5">
    <tableColumn id="1" xr3:uid="{00000000-0010-0000-0000-000001000000}" name="DESCRIPCIÓN" dataDxfId="111"/>
    <tableColumn id="2" xr3:uid="{00000000-0010-0000-0000-000002000000}" name="CÓDIGO" dataDxfId="110"/>
    <tableColumn id="3" xr3:uid="{00000000-0010-0000-0000-000003000000}" name="UNIDAD" dataDxfId="109"/>
    <tableColumn id="4" xr3:uid="{00000000-0010-0000-0000-000004000000}" name="PRECIO" dataDxfId="108"/>
    <tableColumn id="5" xr3:uid="{00000000-0010-0000-0000-000005000000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01000000}" name="T_equipos" displayName="T_equipos" ref="G4:K11" totalsRowShown="0" headerRowDxfId="107">
  <autoFilter ref="G4:K11" xr:uid="{00000000-0009-0000-0100-0000DB000000}"/>
  <tableColumns count="5">
    <tableColumn id="1" xr3:uid="{00000000-0010-0000-0100-000001000000}" name="DESCRIPCIÓN" dataDxfId="106"/>
    <tableColumn id="2" xr3:uid="{00000000-0010-0000-0100-000002000000}" name="CÓDIGO" dataDxfId="105"/>
    <tableColumn id="3" xr3:uid="{00000000-0010-0000-0100-000003000000}" name="UNIDAD" dataDxfId="104"/>
    <tableColumn id="4" xr3:uid="{00000000-0010-0000-0100-000004000000}" name="PRECIO" dataDxfId="103"/>
    <tableColumn id="5" xr3:uid="{00000000-0010-0000-0100-000005000000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02000000}" name="T_mano" displayName="T_mano" ref="M4:Q11" totalsRowShown="0" headerRowDxfId="102">
  <autoFilter ref="M4:Q11" xr:uid="{00000000-0009-0000-0100-0000DC000000}"/>
  <sortState xmlns:xlrd2="http://schemas.microsoft.com/office/spreadsheetml/2017/richdata2" ref="M5:Q19">
    <sortCondition ref="N4"/>
  </sortState>
  <tableColumns count="5">
    <tableColumn id="1" xr3:uid="{00000000-0010-0000-0200-000001000000}" name="DESCRIPCIÓN" dataDxfId="101"/>
    <tableColumn id="2" xr3:uid="{00000000-0010-0000-0200-000002000000}" name="CÓDIGO" dataDxfId="100"/>
    <tableColumn id="3" xr3:uid="{00000000-0010-0000-0200-000003000000}" name="UNIDAD" dataDxfId="99"/>
    <tableColumn id="4" xr3:uid="{00000000-0010-0000-0200-000004000000}" name="PRECIO" dataDxfId="98"/>
    <tableColumn id="5" xr3:uid="{00000000-0010-0000-0200-000005000000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03000000}" name="T_trans" displayName="T_trans" ref="S4:W11" totalsRowShown="0" headerRowDxfId="97">
  <autoFilter ref="S4:W11" xr:uid="{00000000-0009-0000-0100-0000DD000000}"/>
  <sortState xmlns:xlrd2="http://schemas.microsoft.com/office/spreadsheetml/2017/richdata2" ref="S5:W15">
    <sortCondition ref="T4:T15"/>
  </sortState>
  <tableColumns count="5">
    <tableColumn id="1" xr3:uid="{00000000-0010-0000-0300-000001000000}" name="DESCRIPCIÓN" dataDxfId="96"/>
    <tableColumn id="2" xr3:uid="{00000000-0010-0000-0300-000002000000}" name="CÓDIGO" dataDxfId="95"/>
    <tableColumn id="3" xr3:uid="{00000000-0010-0000-0300-000003000000}" name="UNIDAD" dataDxfId="94"/>
    <tableColumn id="4" xr3:uid="{00000000-0010-0000-0300-000004000000}" name="PRECIO" dataDxfId="93"/>
    <tableColumn id="5" xr3:uid="{00000000-0010-0000-0300-000005000000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04000000}" name="T_sub" displayName="T_sub" ref="Y4:AC11" totalsRowShown="0" headerRowDxfId="92">
  <autoFilter ref="Y4:AC11" xr:uid="{00000000-0009-0000-0100-0000DE000000}"/>
  <sortState xmlns:xlrd2="http://schemas.microsoft.com/office/spreadsheetml/2017/richdata2" ref="Y5:AC18">
    <sortCondition ref="Z4"/>
  </sortState>
  <tableColumns count="5">
    <tableColumn id="1" xr3:uid="{00000000-0010-0000-0400-000001000000}" name="DESCRIPCIÓN" dataDxfId="91"/>
    <tableColumn id="2" xr3:uid="{00000000-0010-0000-0400-000002000000}" name="CÓDIGO" dataDxfId="90"/>
    <tableColumn id="3" xr3:uid="{00000000-0010-0000-0400-000003000000}" name="UNIDAD" dataDxfId="89"/>
    <tableColumn id="4" xr3:uid="{00000000-0010-0000-0400-000004000000}" name="PRECIO" dataDxfId="88"/>
    <tableColumn id="5" xr3:uid="{00000000-0010-0000-0400-000005000000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05000000}" name="T_otros" displayName="T_otros" ref="AK4:AO11" totalsRowShown="0" headerRowDxfId="87">
  <autoFilter ref="AK4:AO11" xr:uid="{00000000-0009-0000-0100-0000DF000000}"/>
  <sortState xmlns:xlrd2="http://schemas.microsoft.com/office/spreadsheetml/2017/richdata2" ref="AK5:AO18">
    <sortCondition ref="AL4"/>
  </sortState>
  <tableColumns count="5">
    <tableColumn id="1" xr3:uid="{00000000-0010-0000-0500-000001000000}" name="DESCRIPCIÓN" dataDxfId="86"/>
    <tableColumn id="2" xr3:uid="{00000000-0010-0000-0500-000002000000}" name="CÓDIGO" dataDxfId="85"/>
    <tableColumn id="3" xr3:uid="{00000000-0010-0000-0500-000003000000}" name="UNIDAD" dataDxfId="84"/>
    <tableColumn id="4" xr3:uid="{00000000-0010-0000-0500-000004000000}" name="PRECIO" dataDxfId="83"/>
    <tableColumn id="5" xr3:uid="{00000000-0010-0000-0500-000005000000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06000000}" name="T_act" displayName="T_act" ref="AE4:AI11" totalsRowShown="0" headerRowDxfId="82">
  <autoFilter ref="AE4:AI11" xr:uid="{00000000-0009-0000-0100-0000E0000000}"/>
  <sortState xmlns:xlrd2="http://schemas.microsoft.com/office/spreadsheetml/2017/richdata2" ref="AE5:AI15">
    <sortCondition ref="AE4:AE15"/>
  </sortState>
  <tableColumns count="5">
    <tableColumn id="1" xr3:uid="{00000000-0010-0000-0600-000001000000}" name="DESCRIPCIÓN" dataDxfId="81"/>
    <tableColumn id="2" xr3:uid="{00000000-0010-0000-0600-000002000000}" name="CÓDIGO" dataDxfId="80"/>
    <tableColumn id="3" xr3:uid="{00000000-0010-0000-0600-000003000000}" name="UNIDAD" dataDxfId="79"/>
    <tableColumn id="4" xr3:uid="{00000000-0010-0000-0600-000004000000}" name="PRECIO" dataDxfId="78"/>
    <tableColumn id="5" xr3:uid="{00000000-0010-0000-0600-000005000000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7969B6-5844-41DB-99EE-74E1952A9EB4}" name="Tabla3" displayName="Tabla3" ref="A4:H8" totalsRowCount="1" headerRowDxfId="77">
  <autoFilter ref="A4:H7" xr:uid="{DF7969B6-5844-41DB-99EE-74E1952A9E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44A5C6C-C8B0-4FDA-9DF8-4AC2EDF52FB3}" name="TIPO" totalsRowLabel="Total" totalsRowDxfId="10"/>
    <tableColumn id="2" xr3:uid="{874466F6-FB65-4CAC-9D28-BAEA9A5E876E}" name="CÓDIGO"/>
    <tableColumn id="3" xr3:uid="{0D8CD603-1B6A-4181-B81B-9CD2DB292854}" name="DESCRIPCIÓN"/>
    <tableColumn id="4" xr3:uid="{97AD09E5-2FE3-4F2F-8C07-F9BFDED1F09F}" name="UNIDAD" dataDxfId="76"/>
    <tableColumn id="5" xr3:uid="{156330B0-09B9-4EAC-8CAC-8FC5A006C7A1}" name="FACTOR" dataDxfId="75"/>
    <tableColumn id="6" xr3:uid="{AFB05978-3E26-4CB6-9F2C-B1E24935718D}" name="CANTIDAD" dataDxfId="74"/>
    <tableColumn id="7" xr3:uid="{07FBEB0E-8394-402D-8448-35D0C8D58762}" name="PRECIO" dataDxfId="73" totalsRowDxfId="9"/>
    <tableColumn id="8" xr3:uid="{175E4DB5-F400-4670-9665-0209DBE2EFAE}" name="TOTAL" totalsRowFunction="custom" dataDxfId="72" totalsRowDxfId="8"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DC2D28-71BF-4684-AEC3-7547E6F14303}" name="Tabla5" displayName="Tabla5" ref="A4:H8" totalsRowCount="1" headerRowDxfId="71" headerRowCellStyle="Normal 41" dataCellStyle="Normal 41">
  <autoFilter ref="A4:H7" xr:uid="{5EDC2D28-71BF-4684-AEC3-7547E6F143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926AD9-4A93-4232-8E1E-C6FE83122C10}" name="TIPO" totalsRowLabel="Total" totalsRowDxfId="7" dataCellStyle="Normal 41"/>
    <tableColumn id="2" xr3:uid="{BCC15320-DBE2-4849-862B-9829238F4DC2}" name="CÓDIGO" totalsRowDxfId="6" dataCellStyle="Normal 12 3"/>
    <tableColumn id="3" xr3:uid="{C31A3E8D-73DA-40EE-92EA-B39842A87C84}" name="DESCRIPCIÓN" dataDxfId="70" totalsRowDxfId="5" dataCellStyle="Normal 41"/>
    <tableColumn id="4" xr3:uid="{F2030644-67E8-4CBF-B503-685A0EAB4D5E}" name="UNIDAD" dataDxfId="69" totalsRowDxfId="4" dataCellStyle="Normal 41"/>
    <tableColumn id="5" xr3:uid="{B665F612-FB37-4077-B993-A6B99FF4395D}" name="FACTOR" dataDxfId="68" totalsRowDxfId="3" dataCellStyle="Normal 41"/>
    <tableColumn id="6" xr3:uid="{4B4102FB-DE36-43C9-8DED-6F1B31B6CDBE}" name="CANTIDAD" dataDxfId="67" totalsRowDxfId="2" dataCellStyle="Normal 41"/>
    <tableColumn id="7" xr3:uid="{84EFFCAE-0484-467A-B54B-77426ACA09D1}" name="PRECIO" dataDxfId="66" totalsRowDxfId="1" dataCellStyle="Normal 41"/>
    <tableColumn id="8" xr3:uid="{7962E994-21AA-454C-8CE5-8FD2E623BB01}" name="TOTAL" totalsRowFunction="custom" dataDxfId="65" totalsRowDxfId="0" dataCellStyle="Normal 12 3"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EB6C77-3D19-4809-A909-91CEED9A554C}" name="Tabla7" displayName="Tabla7" ref="B4:H10" totalsRowCount="1" headerRowDxfId="64" dataDxfId="63">
  <autoFilter ref="B4:H9" xr:uid="{A8EB6C77-3D19-4809-A909-91CEED9A55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6036406-F9A5-4979-96A3-5D28C1C6429D}" name="CÓDIGO" totalsRowLabel="Total" dataDxfId="62" totalsRowDxfId="61"/>
    <tableColumn id="2" xr3:uid="{5D17DC0B-7A92-4D73-B28B-1D9A59EC5FD0}" name="DESCRIPCIÓN" dataDxfId="60" totalsRowDxfId="59"/>
    <tableColumn id="3" xr3:uid="{C5D2C263-569B-4FAA-9630-35A47AC7452A}" name="UNIDAD" dataDxfId="58" totalsRowDxfId="57"/>
    <tableColumn id="4" xr3:uid="{A8CB5FD9-D969-4033-A6BD-1DA43115F981}" name="FACTOR" dataDxfId="56" totalsRowDxfId="55"/>
    <tableColumn id="5" xr3:uid="{5EAD8F12-9DCD-4A0B-AC08-5E173F8D4F9A}" name="CANTIDAD" dataDxfId="54" totalsRowDxfId="53"/>
    <tableColumn id="6" xr3:uid="{19D3DC3C-9693-4B96-BAC5-B11801488BF5}" name="COSTO" dataDxfId="52" totalsRowDxfId="51"/>
    <tableColumn id="7" xr3:uid="{1F177648-8B60-4454-8165-F9ED2E1A508B}" name="TOTAL" totalsRowFunction="custom" dataDxfId="50" totalsRowDxfId="49"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CA9E5-CCE2-435C-8105-9C8B53C870F9}" name="Tabla12" displayName="Tabla12" ref="B14:E18" totalsRowShown="0" headerRowDxfId="48">
  <autoFilter ref="B14:E18" xr:uid="{2B0CA9E5-CCE2-435C-8105-9C8B53C870F9}">
    <filterColumn colId="0" hiddenButton="1"/>
    <filterColumn colId="1" hiddenButton="1"/>
    <filterColumn colId="2" hiddenButton="1"/>
    <filterColumn colId="3" hiddenButton="1"/>
  </autoFilter>
  <tableColumns count="4">
    <tableColumn id="1" xr3:uid="{0241C7E9-CA6F-4CF5-BA86-96229411EAA5}" name="CÓD" dataDxfId="47"/>
    <tableColumn id="2" xr3:uid="{CF19ACDD-A16E-499E-AFEA-2E556248CA11}" name="CAPÍTULO" dataDxfId="46"/>
    <tableColumn id="3" xr3:uid="{02B5AA4A-36E6-43E6-A2CD-766B6A811505}" name="PORCENTAJE" dataDxfId="45"/>
    <tableColumn id="4" xr3:uid="{A48B93C8-BDEB-4711-B941-BAC74AB7806C}" name="SUBTOTAL" dataDxfId="44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031A8C-B4A8-4E83-9E27-14D9F5E51AF4}" name="Tabla13" displayName="Tabla13" ref="C21:E28" totalsRowShown="0">
  <autoFilter ref="C21:E28" xr:uid="{17031A8C-B4A8-4E83-9E27-14D9F5E51AF4}">
    <filterColumn colId="0" hiddenButton="1"/>
    <filterColumn colId="1" hiddenButton="1"/>
    <filterColumn colId="2" hiddenButton="1"/>
  </autoFilter>
  <tableColumns count="3">
    <tableColumn id="1" xr3:uid="{42C2AE8D-A5E2-45AD-9958-7A0A64704C8D}" name="DESCRIPCIÓN" dataDxfId="43"/>
    <tableColumn id="2" xr3:uid="{B97CAA66-D28A-4D9C-9209-797C17992E3C}" name="PORCENTAJE" dataDxfId="42"/>
    <tableColumn id="3" xr3:uid="{87A00125-0B46-4909-842A-50D3B3648F72}" name="SUBTOTAL" dataDxfId="41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40" dataDxfId="38" headerRowBorderDxfId="39" tableBorderDxfId="37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36" totalsRowDxfId="35"/>
    <tableColumn id="2" xr3:uid="{00000000-0010-0000-0C00-000002000000}" name="CÓDIGO" totalsRowDxfId="34"/>
    <tableColumn id="3" xr3:uid="{00000000-0010-0000-0C00-000003000000}" name="UNIDAD " totalsRowDxfId="33"/>
    <tableColumn id="4" xr3:uid="{00000000-0010-0000-0C00-000004000000}" name="COSTO" dataDxfId="32" totalsRowDxfId="31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5" headerRowDxfId="30" dataDxfId="29" tableBorderDxfId="28">
  <autoFilter ref="B2:E5" xr:uid="{00000000-0009-0000-0100-000006000000}"/>
  <sortState xmlns:xlrd2="http://schemas.microsoft.com/office/spreadsheetml/2017/richdata2" ref="B3:E5">
    <sortCondition ref="B2:B5"/>
  </sortState>
  <tableColumns count="4">
    <tableColumn id="1" xr3:uid="{00000000-0010-0000-0D00-000001000000}" name="DESCRIPCIÓN" dataDxfId="27" totalsRowDxfId="26"/>
    <tableColumn id="2" xr3:uid="{00000000-0010-0000-0D00-000002000000}" name="CÓDIGO" totalsRowDxfId="25"/>
    <tableColumn id="3" xr3:uid="{00000000-0010-0000-0D00-000003000000}" name="UNIDAD " totalsRowDxfId="24"/>
    <tableColumn id="4" xr3:uid="{00000000-0010-0000-0D00-000004000000}" name="COSTO" dataDxfId="23" totalsRowDxfId="22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21" totalsRowDxfId="20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19"/>
    <tableColumn id="2" xr3:uid="{00000000-0010-0000-0E00-000002000000}" name="UNIDAD" dataDxfId="18" totalsRowDxfId="17"/>
    <tableColumn id="3" xr3:uid="{00000000-0010-0000-0E00-000003000000}" name="PRECIO" dataDxfId="16" totalsRowDxfId="15"/>
    <tableColumn id="4" xr3:uid="{00000000-0010-0000-0E00-000004000000}" name="CANTIDAD" dataDxfId="14" totalsRowDxfId="13"/>
    <tableColumn id="5" xr3:uid="{00000000-0010-0000-0E00-000005000000}" name="TOTAL" totalsRowFunction="sum" dataDxfId="12" totalsRowDxfId="11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C16" sqref="C16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48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2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2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2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2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2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2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97" t="s">
        <v>34</v>
      </c>
      <c r="B1" s="97"/>
      <c r="C1" s="97"/>
      <c r="D1" s="97"/>
      <c r="E1" s="97"/>
    </row>
    <row r="2" spans="1:43" ht="3" customHeight="1" thickBot="1" x14ac:dyDescent="0.35"/>
    <row r="3" spans="1:43" ht="18.600000000000001" thickBot="1" x14ac:dyDescent="0.4">
      <c r="A3" s="98" t="s">
        <v>4</v>
      </c>
      <c r="B3" s="99"/>
      <c r="C3" s="99"/>
      <c r="D3" s="99"/>
      <c r="E3" s="100"/>
      <c r="G3" s="98" t="s">
        <v>5</v>
      </c>
      <c r="H3" s="99"/>
      <c r="I3" s="99"/>
      <c r="J3" s="99"/>
      <c r="K3" s="100"/>
      <c r="M3" s="98" t="s">
        <v>6</v>
      </c>
      <c r="N3" s="99"/>
      <c r="O3" s="99"/>
      <c r="P3" s="99"/>
      <c r="Q3" s="100"/>
      <c r="S3" s="98" t="s">
        <v>7</v>
      </c>
      <c r="T3" s="99"/>
      <c r="U3" s="99"/>
      <c r="V3" s="99"/>
      <c r="W3" s="100"/>
      <c r="Y3" s="98" t="s">
        <v>8</v>
      </c>
      <c r="Z3" s="99"/>
      <c r="AA3" s="99"/>
      <c r="AB3" s="99"/>
      <c r="AC3" s="100"/>
      <c r="AD3" s="1"/>
      <c r="AE3" s="98" t="s">
        <v>9</v>
      </c>
      <c r="AF3" s="99"/>
      <c r="AG3" s="99"/>
      <c r="AH3" s="99"/>
      <c r="AI3" s="100"/>
      <c r="AK3" s="98" t="s">
        <v>10</v>
      </c>
      <c r="AL3" s="99"/>
      <c r="AM3" s="99"/>
      <c r="AN3" s="99"/>
      <c r="AO3" s="100"/>
      <c r="AP3" s="20"/>
      <c r="AQ3" s="20"/>
    </row>
    <row r="4" spans="1:43" ht="15.6" x14ac:dyDescent="0.3">
      <c r="A4" s="21" t="s">
        <v>1</v>
      </c>
      <c r="B4" s="21" t="s">
        <v>0</v>
      </c>
      <c r="C4" s="22" t="s">
        <v>11</v>
      </c>
      <c r="D4" s="49" t="s">
        <v>12</v>
      </c>
      <c r="E4" s="23" t="s">
        <v>13</v>
      </c>
      <c r="G4" s="24" t="s">
        <v>1</v>
      </c>
      <c r="H4" s="24" t="s">
        <v>0</v>
      </c>
      <c r="I4" s="25" t="s">
        <v>11</v>
      </c>
      <c r="J4" s="47" t="s">
        <v>12</v>
      </c>
      <c r="K4" s="26" t="s">
        <v>13</v>
      </c>
      <c r="M4" s="27" t="s">
        <v>1</v>
      </c>
      <c r="N4" s="27" t="s">
        <v>0</v>
      </c>
      <c r="O4" s="28" t="s">
        <v>11</v>
      </c>
      <c r="P4" s="43" t="s">
        <v>12</v>
      </c>
      <c r="Q4" s="29" t="s">
        <v>13</v>
      </c>
      <c r="S4" s="27" t="s">
        <v>1</v>
      </c>
      <c r="T4" s="27" t="s">
        <v>0</v>
      </c>
      <c r="U4" s="28" t="s">
        <v>11</v>
      </c>
      <c r="V4" s="43" t="s">
        <v>12</v>
      </c>
      <c r="W4" s="29" t="s">
        <v>13</v>
      </c>
      <c r="Y4" s="27" t="s">
        <v>1</v>
      </c>
      <c r="Z4" s="27" t="s">
        <v>0</v>
      </c>
      <c r="AA4" s="28" t="s">
        <v>11</v>
      </c>
      <c r="AB4" s="43" t="s">
        <v>12</v>
      </c>
      <c r="AC4" s="29" t="s">
        <v>13</v>
      </c>
      <c r="AE4" s="27" t="s">
        <v>1</v>
      </c>
      <c r="AF4" s="27" t="s">
        <v>0</v>
      </c>
      <c r="AG4" s="28" t="s">
        <v>11</v>
      </c>
      <c r="AH4" s="43" t="s">
        <v>12</v>
      </c>
      <c r="AI4" s="29" t="s">
        <v>13</v>
      </c>
      <c r="AK4" s="27" t="s">
        <v>1</v>
      </c>
      <c r="AL4" s="27" t="s">
        <v>0</v>
      </c>
      <c r="AM4" s="28" t="s">
        <v>11</v>
      </c>
      <c r="AN4" s="43" t="s">
        <v>12</v>
      </c>
      <c r="AO4" s="29" t="s">
        <v>13</v>
      </c>
    </row>
    <row r="5" spans="1:43" ht="15.6" x14ac:dyDescent="0.3">
      <c r="A5" s="21"/>
      <c r="B5" s="21"/>
      <c r="C5" s="22"/>
      <c r="D5" s="49"/>
      <c r="E5" s="66"/>
      <c r="G5" s="21"/>
      <c r="H5" s="21"/>
      <c r="I5" s="22"/>
      <c r="J5" s="49"/>
      <c r="K5" s="66"/>
      <c r="M5" s="21"/>
      <c r="N5" s="21"/>
      <c r="O5" s="22"/>
      <c r="P5" s="49"/>
      <c r="Q5" s="66"/>
      <c r="S5" s="27"/>
      <c r="T5" s="27"/>
      <c r="U5" s="28"/>
      <c r="V5" s="43"/>
      <c r="W5" s="29"/>
      <c r="Y5" s="27"/>
      <c r="Z5" s="27"/>
      <c r="AA5" s="28"/>
      <c r="AB5" s="43"/>
      <c r="AC5" s="29"/>
      <c r="AE5" s="27"/>
      <c r="AF5" s="27"/>
      <c r="AG5" s="28"/>
      <c r="AH5" s="43"/>
      <c r="AI5" s="29"/>
      <c r="AK5" s="27"/>
      <c r="AL5" s="27"/>
      <c r="AM5" s="28"/>
      <c r="AN5" s="43"/>
      <c r="AO5" s="29"/>
    </row>
    <row r="6" spans="1:43" ht="15.6" x14ac:dyDescent="0.3">
      <c r="A6" s="21" t="s">
        <v>44</v>
      </c>
      <c r="B6" s="21" t="s">
        <v>42</v>
      </c>
      <c r="C6" s="22" t="s">
        <v>41</v>
      </c>
      <c r="D6" s="49">
        <v>224.52</v>
      </c>
      <c r="E6" s="66"/>
      <c r="G6" s="24"/>
      <c r="H6" s="24"/>
      <c r="I6" s="25"/>
      <c r="J6" s="47"/>
      <c r="K6" s="26"/>
      <c r="M6" s="27"/>
      <c r="N6" s="27"/>
      <c r="O6" s="28"/>
      <c r="P6" s="43"/>
      <c r="Q6" s="29"/>
      <c r="S6" s="27"/>
      <c r="T6" s="27"/>
      <c r="U6" s="28"/>
      <c r="V6" s="43"/>
      <c r="W6" s="29"/>
      <c r="Y6" s="27"/>
      <c r="Z6" s="27"/>
      <c r="AA6" s="28"/>
      <c r="AB6" s="43"/>
      <c r="AC6" s="29"/>
      <c r="AE6" s="27"/>
      <c r="AF6" s="27"/>
      <c r="AG6" s="28"/>
      <c r="AH6" s="43"/>
      <c r="AI6" s="29"/>
      <c r="AK6" s="27"/>
      <c r="AL6" s="27"/>
      <c r="AM6" s="28"/>
      <c r="AN6" s="43"/>
      <c r="AO6" s="29"/>
    </row>
    <row r="7" spans="1:43" ht="15.6" x14ac:dyDescent="0.3">
      <c r="A7" s="21"/>
      <c r="B7" s="21"/>
      <c r="C7" s="22"/>
      <c r="D7" s="49"/>
      <c r="E7" s="23"/>
      <c r="G7" s="24"/>
      <c r="H7" s="24"/>
      <c r="I7" s="25"/>
      <c r="J7" s="47"/>
      <c r="K7" s="26"/>
      <c r="M7" s="27"/>
      <c r="N7" s="27"/>
      <c r="O7" s="28"/>
      <c r="P7" s="43"/>
      <c r="Q7" s="29"/>
      <c r="S7" s="27"/>
      <c r="T7" s="27"/>
      <c r="U7" s="28"/>
      <c r="V7" s="43"/>
      <c r="W7" s="29"/>
      <c r="Y7" s="27"/>
      <c r="Z7" s="27"/>
      <c r="AA7" s="28"/>
      <c r="AB7" s="43"/>
      <c r="AC7" s="29"/>
      <c r="AE7" s="27"/>
      <c r="AF7" s="27"/>
      <c r="AG7" s="28"/>
      <c r="AH7" s="43"/>
      <c r="AI7" s="29"/>
      <c r="AK7" s="27"/>
      <c r="AL7" s="27"/>
      <c r="AM7" s="28"/>
      <c r="AN7" s="43"/>
      <c r="AO7" s="29"/>
    </row>
    <row r="8" spans="1:43" ht="15.6" x14ac:dyDescent="0.3">
      <c r="A8" s="21"/>
      <c r="B8" s="21"/>
      <c r="C8" s="22"/>
      <c r="D8" s="49"/>
      <c r="E8" s="23"/>
      <c r="G8" s="24"/>
      <c r="H8" s="24"/>
      <c r="I8" s="25"/>
      <c r="J8" s="47"/>
      <c r="K8" s="26"/>
      <c r="M8" s="27"/>
      <c r="N8" s="27"/>
      <c r="O8" s="28"/>
      <c r="P8" s="43"/>
      <c r="Q8" s="29"/>
      <c r="S8" s="27"/>
      <c r="T8" s="27"/>
      <c r="U8" s="28"/>
      <c r="V8" s="43"/>
      <c r="W8" s="29"/>
      <c r="Y8" s="27"/>
      <c r="Z8" s="27"/>
      <c r="AA8" s="28"/>
      <c r="AB8" s="43"/>
      <c r="AC8" s="29"/>
      <c r="AE8" s="27"/>
      <c r="AF8" s="27"/>
      <c r="AG8" s="28"/>
      <c r="AH8" s="43"/>
      <c r="AI8" s="29"/>
      <c r="AK8" s="27"/>
      <c r="AL8" s="27"/>
      <c r="AM8" s="28"/>
      <c r="AN8" s="43"/>
      <c r="AO8" s="29"/>
    </row>
    <row r="9" spans="1:43" ht="15.6" x14ac:dyDescent="0.3">
      <c r="A9" s="21"/>
      <c r="B9" s="21"/>
      <c r="C9" s="22"/>
      <c r="D9" s="49"/>
      <c r="E9" s="23"/>
      <c r="G9" s="24"/>
      <c r="H9" s="24"/>
      <c r="I9" s="25"/>
      <c r="J9" s="47"/>
      <c r="K9" s="26"/>
      <c r="M9" s="27"/>
      <c r="N9" s="27"/>
      <c r="O9" s="28"/>
      <c r="P9" s="43"/>
      <c r="Q9" s="29"/>
      <c r="S9" s="27"/>
      <c r="T9" s="27"/>
      <c r="U9" s="28"/>
      <c r="V9" s="43"/>
      <c r="W9" s="29"/>
      <c r="Y9" s="27"/>
      <c r="Z9" s="27"/>
      <c r="AA9" s="28"/>
      <c r="AB9" s="43"/>
      <c r="AC9" s="29"/>
      <c r="AE9" s="27"/>
      <c r="AF9" s="27"/>
      <c r="AG9" s="28"/>
      <c r="AH9" s="43"/>
      <c r="AI9" s="29"/>
      <c r="AK9" s="27"/>
      <c r="AL9" s="27"/>
      <c r="AM9" s="28"/>
      <c r="AN9" s="43"/>
      <c r="AO9" s="29"/>
    </row>
    <row r="10" spans="1:43" ht="15.6" x14ac:dyDescent="0.3">
      <c r="A10" s="21"/>
      <c r="B10" s="21"/>
      <c r="C10" s="22"/>
      <c r="D10" s="49"/>
      <c r="E10" s="23"/>
      <c r="G10" s="24"/>
      <c r="H10" s="24"/>
      <c r="I10" s="25"/>
      <c r="J10" s="47"/>
      <c r="K10" s="26"/>
      <c r="M10" s="27"/>
      <c r="N10" s="27"/>
      <c r="O10" s="28"/>
      <c r="P10" s="43"/>
      <c r="Q10" s="29"/>
      <c r="S10" s="27"/>
      <c r="T10" s="27"/>
      <c r="U10" s="28"/>
      <c r="V10" s="43"/>
      <c r="W10" s="29"/>
      <c r="Y10" s="27"/>
      <c r="Z10" s="27"/>
      <c r="AA10" s="28"/>
      <c r="AB10" s="43"/>
      <c r="AC10" s="29"/>
      <c r="AE10" s="27"/>
      <c r="AF10" s="27"/>
      <c r="AG10" s="28"/>
      <c r="AH10" s="43"/>
      <c r="AI10" s="29"/>
      <c r="AK10" s="27"/>
      <c r="AL10" s="27"/>
      <c r="AM10" s="28"/>
      <c r="AN10" s="43"/>
      <c r="AO10" s="29"/>
    </row>
    <row r="11" spans="1:43" ht="15.6" x14ac:dyDescent="0.3">
      <c r="A11" s="21"/>
      <c r="B11" s="21"/>
      <c r="C11" s="22"/>
      <c r="D11" s="49"/>
      <c r="E11" s="23"/>
      <c r="G11" s="24"/>
      <c r="H11" s="24"/>
      <c r="I11" s="25"/>
      <c r="J11" s="47"/>
      <c r="K11" s="26"/>
      <c r="M11" s="27"/>
      <c r="N11" s="27"/>
      <c r="O11" s="28"/>
      <c r="P11" s="43"/>
      <c r="Q11" s="29"/>
      <c r="S11" s="27"/>
      <c r="T11" s="27"/>
      <c r="U11" s="28"/>
      <c r="V11" s="43"/>
      <c r="W11" s="29"/>
      <c r="Y11" s="27"/>
      <c r="Z11" s="27"/>
      <c r="AA11" s="28"/>
      <c r="AB11" s="43"/>
      <c r="AC11" s="29"/>
      <c r="AE11" s="27"/>
      <c r="AF11" s="27"/>
      <c r="AG11" s="28"/>
      <c r="AH11" s="43"/>
      <c r="AI11" s="29"/>
      <c r="AK11" s="27"/>
      <c r="AL11" s="27"/>
      <c r="AM11" s="28"/>
      <c r="AN11" s="43"/>
      <c r="AO11" s="29"/>
    </row>
    <row r="22" spans="12:39" x14ac:dyDescent="0.3">
      <c r="O22" s="30"/>
    </row>
    <row r="23" spans="12:39" x14ac:dyDescent="0.3">
      <c r="O23" s="30"/>
      <c r="T23" s="18"/>
      <c r="U23" s="19"/>
    </row>
    <row r="24" spans="12:39" x14ac:dyDescent="0.3">
      <c r="O24" s="30"/>
      <c r="AL24" s="18"/>
      <c r="AM24" s="19"/>
    </row>
    <row r="25" spans="12:39" x14ac:dyDescent="0.3">
      <c r="O25" s="30"/>
    </row>
    <row r="26" spans="12:39" x14ac:dyDescent="0.3">
      <c r="O26" s="30"/>
    </row>
    <row r="27" spans="12:39" x14ac:dyDescent="0.3">
      <c r="O27" s="30"/>
    </row>
    <row r="28" spans="12:39" x14ac:dyDescent="0.3">
      <c r="L28" s="17"/>
      <c r="O28" s="30"/>
      <c r="R28" s="17"/>
      <c r="X28" s="17"/>
      <c r="AD28" s="17"/>
      <c r="AJ28" s="17"/>
    </row>
    <row r="29" spans="12:39" x14ac:dyDescent="0.3">
      <c r="O29" s="30"/>
    </row>
    <row r="30" spans="12:39" x14ac:dyDescent="0.3">
      <c r="O30" s="30"/>
    </row>
    <row r="31" spans="12:39" x14ac:dyDescent="0.3">
      <c r="O31" s="30"/>
    </row>
    <row r="32" spans="12:39" x14ac:dyDescent="0.3">
      <c r="O32" s="30"/>
    </row>
    <row r="33" spans="15:33" x14ac:dyDescent="0.3">
      <c r="O33" s="30"/>
    </row>
    <row r="34" spans="15:33" x14ac:dyDescent="0.3">
      <c r="O34" s="30"/>
    </row>
    <row r="35" spans="15:33" x14ac:dyDescent="0.3">
      <c r="O35" s="30"/>
    </row>
    <row r="36" spans="15:33" x14ac:dyDescent="0.3">
      <c r="O36" s="30"/>
    </row>
    <row r="37" spans="15:33" x14ac:dyDescent="0.3">
      <c r="O37" s="30"/>
    </row>
    <row r="38" spans="15:33" x14ac:dyDescent="0.3">
      <c r="O38" s="30"/>
    </row>
    <row r="39" spans="15:33" x14ac:dyDescent="0.3">
      <c r="O39" s="30"/>
    </row>
    <row r="40" spans="15:33" x14ac:dyDescent="0.3">
      <c r="O40" s="30"/>
      <c r="AG40" s="30"/>
    </row>
    <row r="41" spans="15:33" x14ac:dyDescent="0.3">
      <c r="O41" s="30"/>
      <c r="AG41" s="30"/>
    </row>
    <row r="42" spans="15:33" x14ac:dyDescent="0.3">
      <c r="O42" s="30"/>
      <c r="AG42" s="30"/>
    </row>
    <row r="43" spans="15:33" x14ac:dyDescent="0.3">
      <c r="O43" s="30"/>
      <c r="AG43" s="30"/>
    </row>
    <row r="44" spans="15:33" x14ac:dyDescent="0.3">
      <c r="O44" s="30"/>
      <c r="AG44" s="30"/>
    </row>
    <row r="45" spans="15:33" x14ac:dyDescent="0.3">
      <c r="O45" s="30"/>
      <c r="AG45" s="30"/>
    </row>
    <row r="46" spans="15:33" x14ac:dyDescent="0.3">
      <c r="O46" s="30"/>
      <c r="AG46" s="30"/>
    </row>
    <row r="47" spans="15:33" x14ac:dyDescent="0.3">
      <c r="O47" s="30"/>
      <c r="AG47" s="30"/>
    </row>
    <row r="48" spans="15:33" x14ac:dyDescent="0.3">
      <c r="O48" s="30"/>
      <c r="AG48" s="30"/>
    </row>
    <row r="49" spans="9:33" x14ac:dyDescent="0.3">
      <c r="O49" s="30"/>
      <c r="AA49" s="30"/>
      <c r="AG49" s="30"/>
    </row>
    <row r="50" spans="9:33" x14ac:dyDescent="0.3">
      <c r="I50" s="30"/>
      <c r="O50" s="30"/>
      <c r="AA50" s="30"/>
      <c r="AG50" s="30"/>
    </row>
    <row r="51" spans="9:33" x14ac:dyDescent="0.3">
      <c r="I51" s="30"/>
      <c r="O51" s="30"/>
      <c r="AA51" s="30"/>
      <c r="AG51" s="30"/>
    </row>
    <row r="52" spans="9:33" x14ac:dyDescent="0.3">
      <c r="I52" s="30"/>
      <c r="O52" s="30"/>
      <c r="AA52" s="30"/>
      <c r="AG52" s="30"/>
    </row>
    <row r="53" spans="9:33" x14ac:dyDescent="0.3">
      <c r="I53" s="30"/>
      <c r="O53" s="30"/>
      <c r="AA53" s="30"/>
      <c r="AG53" s="30"/>
    </row>
    <row r="54" spans="9:33" x14ac:dyDescent="0.3">
      <c r="I54" s="30"/>
      <c r="O54" s="30"/>
      <c r="AA54" s="30"/>
      <c r="AG54" s="30"/>
    </row>
    <row r="55" spans="9:33" x14ac:dyDescent="0.3">
      <c r="I55" s="30"/>
      <c r="O55" s="30"/>
      <c r="AA55" s="30"/>
      <c r="AG55" s="30"/>
    </row>
    <row r="56" spans="9:33" x14ac:dyDescent="0.3">
      <c r="I56" s="30"/>
      <c r="O56" s="30"/>
      <c r="AA56" s="30"/>
      <c r="AG56" s="30"/>
    </row>
    <row r="57" spans="9:33" x14ac:dyDescent="0.3">
      <c r="I57" s="30"/>
      <c r="O57" s="30"/>
      <c r="AA57" s="30"/>
      <c r="AG57" s="30"/>
    </row>
    <row r="58" spans="9:33" x14ac:dyDescent="0.3">
      <c r="I58" s="30"/>
      <c r="O58" s="30"/>
      <c r="AA58" s="30"/>
      <c r="AG58" s="30"/>
    </row>
    <row r="59" spans="9:33" x14ac:dyDescent="0.3">
      <c r="I59" s="30"/>
      <c r="O59" s="30"/>
      <c r="AA59" s="30"/>
      <c r="AG59" s="30"/>
    </row>
    <row r="60" spans="9:33" x14ac:dyDescent="0.3">
      <c r="I60" s="30"/>
      <c r="O60" s="30"/>
      <c r="AA60" s="30"/>
      <c r="AG60" s="30"/>
    </row>
    <row r="61" spans="9:33" x14ac:dyDescent="0.3">
      <c r="I61" s="30"/>
      <c r="O61" s="30"/>
      <c r="AA61" s="30"/>
      <c r="AG61" s="30"/>
    </row>
    <row r="62" spans="9:33" x14ac:dyDescent="0.3">
      <c r="I62" s="30"/>
      <c r="O62" s="30"/>
      <c r="AA62" s="30"/>
      <c r="AG62" s="30"/>
    </row>
    <row r="63" spans="9:33" x14ac:dyDescent="0.3">
      <c r="I63" s="30"/>
      <c r="O63" s="30"/>
      <c r="AA63" s="30"/>
      <c r="AG63" s="30"/>
    </row>
    <row r="64" spans="9:33" x14ac:dyDescent="0.3">
      <c r="I64" s="30"/>
      <c r="O64" s="30"/>
      <c r="AA64" s="30"/>
      <c r="AG64" s="30"/>
    </row>
    <row r="65" spans="9:33" x14ac:dyDescent="0.3">
      <c r="I65" s="30"/>
      <c r="O65" s="30"/>
      <c r="AA65" s="30"/>
      <c r="AG65" s="30"/>
    </row>
    <row r="66" spans="9:33" x14ac:dyDescent="0.3">
      <c r="I66" s="30"/>
      <c r="O66" s="30"/>
      <c r="AA66" s="30"/>
      <c r="AG66" s="30"/>
    </row>
    <row r="67" spans="9:33" x14ac:dyDescent="0.3">
      <c r="I67" s="30"/>
      <c r="O67" s="30"/>
      <c r="AA67" s="30"/>
      <c r="AG67" s="30"/>
    </row>
    <row r="68" spans="9:33" x14ac:dyDescent="0.3">
      <c r="I68" s="30"/>
      <c r="O68" s="30"/>
      <c r="AA68" s="30"/>
      <c r="AG68" s="30"/>
    </row>
    <row r="69" spans="9:33" x14ac:dyDescent="0.3">
      <c r="I69" s="30"/>
      <c r="O69" s="30"/>
      <c r="AA69" s="30"/>
      <c r="AG69" s="30"/>
    </row>
    <row r="70" spans="9:33" x14ac:dyDescent="0.3">
      <c r="I70" s="30"/>
      <c r="O70" s="30"/>
      <c r="AA70" s="30"/>
      <c r="AG70" s="30"/>
    </row>
    <row r="71" spans="9:33" x14ac:dyDescent="0.3">
      <c r="I71" s="30"/>
      <c r="O71" s="30"/>
      <c r="AA71" s="30"/>
      <c r="AG71" s="30"/>
    </row>
    <row r="72" spans="9:33" x14ac:dyDescent="0.3">
      <c r="I72" s="30"/>
      <c r="O72" s="30"/>
      <c r="AA72" s="30"/>
      <c r="AG72" s="30"/>
    </row>
    <row r="73" spans="9:33" x14ac:dyDescent="0.3">
      <c r="I73" s="30"/>
      <c r="O73" s="30"/>
      <c r="U73" s="30"/>
      <c r="AA73" s="30"/>
      <c r="AG73" s="30"/>
    </row>
    <row r="74" spans="9:33" x14ac:dyDescent="0.3">
      <c r="I74" s="30"/>
      <c r="O74" s="30"/>
      <c r="U74" s="30"/>
      <c r="AA74" s="30"/>
      <c r="AG74" s="30"/>
    </row>
    <row r="75" spans="9:33" x14ac:dyDescent="0.3">
      <c r="I75" s="30"/>
      <c r="O75" s="30"/>
      <c r="U75" s="30"/>
      <c r="AA75" s="30"/>
      <c r="AG75" s="30"/>
    </row>
    <row r="76" spans="9:33" x14ac:dyDescent="0.3">
      <c r="I76" s="30"/>
      <c r="O76" s="30"/>
      <c r="U76" s="30"/>
      <c r="AA76" s="30"/>
      <c r="AG76" s="30"/>
    </row>
    <row r="77" spans="9:33" x14ac:dyDescent="0.3">
      <c r="I77" s="30"/>
      <c r="O77" s="30"/>
      <c r="U77" s="30"/>
      <c r="AA77" s="30"/>
      <c r="AG77" s="30"/>
    </row>
    <row r="78" spans="9:33" x14ac:dyDescent="0.3">
      <c r="I78" s="30"/>
      <c r="O78" s="30"/>
      <c r="U78" s="30"/>
      <c r="AA78" s="30"/>
      <c r="AG78" s="30"/>
    </row>
    <row r="79" spans="9:33" x14ac:dyDescent="0.3">
      <c r="I79" s="30"/>
      <c r="O79" s="30"/>
      <c r="U79" s="30"/>
      <c r="AA79" s="30"/>
      <c r="AG79" s="30"/>
    </row>
    <row r="80" spans="9:33" x14ac:dyDescent="0.3">
      <c r="I80" s="30"/>
      <c r="O80" s="30"/>
      <c r="U80" s="30"/>
      <c r="AA80" s="30"/>
      <c r="AG80" s="30"/>
    </row>
    <row r="81" spans="9:33" x14ac:dyDescent="0.3">
      <c r="I81" s="30"/>
      <c r="O81" s="30"/>
      <c r="U81" s="30"/>
      <c r="AA81" s="30"/>
      <c r="AG81" s="30"/>
    </row>
    <row r="82" spans="9:33" x14ac:dyDescent="0.3">
      <c r="I82" s="30"/>
      <c r="O82" s="30"/>
      <c r="U82" s="30"/>
      <c r="AA82" s="30"/>
      <c r="AG82" s="30"/>
    </row>
    <row r="83" spans="9:33" x14ac:dyDescent="0.3">
      <c r="I83" s="30"/>
      <c r="O83" s="30"/>
      <c r="U83" s="30"/>
      <c r="AA83" s="30"/>
      <c r="AG83" s="30"/>
    </row>
    <row r="84" spans="9:33" x14ac:dyDescent="0.3">
      <c r="I84" s="30"/>
      <c r="O84" s="30"/>
      <c r="U84" s="30"/>
      <c r="AA84" s="30"/>
      <c r="AG84" s="30"/>
    </row>
    <row r="85" spans="9:33" x14ac:dyDescent="0.3">
      <c r="I85" s="30"/>
      <c r="O85" s="30"/>
      <c r="U85" s="30"/>
      <c r="AA85" s="30"/>
      <c r="AG85" s="30"/>
    </row>
    <row r="86" spans="9:33" x14ac:dyDescent="0.3">
      <c r="I86" s="30"/>
      <c r="O86" s="30"/>
      <c r="U86" s="30"/>
      <c r="AA86" s="30"/>
      <c r="AG86" s="30"/>
    </row>
    <row r="87" spans="9:33" x14ac:dyDescent="0.3">
      <c r="I87" s="30"/>
      <c r="O87" s="30"/>
      <c r="U87" s="30"/>
      <c r="AA87" s="30"/>
      <c r="AG87" s="30"/>
    </row>
    <row r="88" spans="9:33" x14ac:dyDescent="0.3">
      <c r="I88" s="30"/>
      <c r="O88" s="30"/>
      <c r="U88" s="30"/>
      <c r="AA88" s="30"/>
      <c r="AG88" s="30"/>
    </row>
    <row r="89" spans="9:33" x14ac:dyDescent="0.3">
      <c r="I89" s="30"/>
      <c r="O89" s="30"/>
      <c r="U89" s="30"/>
      <c r="AA89" s="30"/>
      <c r="AG89" s="30"/>
    </row>
    <row r="90" spans="9:33" x14ac:dyDescent="0.3">
      <c r="I90" s="30"/>
      <c r="O90" s="30"/>
      <c r="U90" s="30"/>
      <c r="AA90" s="30"/>
      <c r="AG90" s="30"/>
    </row>
    <row r="91" spans="9:33" x14ac:dyDescent="0.3">
      <c r="I91" s="30"/>
      <c r="O91" s="30"/>
      <c r="U91" s="30"/>
      <c r="AA91" s="30"/>
      <c r="AG91" s="30"/>
    </row>
    <row r="92" spans="9:33" x14ac:dyDescent="0.3">
      <c r="I92" s="30"/>
      <c r="O92" s="30"/>
      <c r="U92" s="30"/>
      <c r="AA92" s="30"/>
      <c r="AG92" s="30"/>
    </row>
    <row r="93" spans="9:33" x14ac:dyDescent="0.3">
      <c r="I93" s="30"/>
      <c r="O93" s="30"/>
      <c r="U93" s="30"/>
      <c r="AA93" s="30"/>
      <c r="AG93" s="30"/>
    </row>
    <row r="94" spans="9:33" x14ac:dyDescent="0.3">
      <c r="I94" s="30"/>
      <c r="O94" s="30"/>
      <c r="U94" s="30"/>
      <c r="AA94" s="30"/>
      <c r="AG94" s="30"/>
    </row>
    <row r="95" spans="9:33" x14ac:dyDescent="0.3">
      <c r="I95" s="30"/>
      <c r="O95" s="30"/>
      <c r="U95" s="30"/>
      <c r="AA95" s="30"/>
      <c r="AG95" s="30"/>
    </row>
    <row r="96" spans="9:33" x14ac:dyDescent="0.3">
      <c r="I96" s="30"/>
      <c r="O96" s="30"/>
      <c r="U96" s="30"/>
      <c r="AA96" s="30"/>
      <c r="AG96" s="30"/>
    </row>
    <row r="97" spans="9:33" x14ac:dyDescent="0.3">
      <c r="I97" s="30"/>
      <c r="U97" s="30"/>
      <c r="AA97" s="30"/>
      <c r="AG97" s="30"/>
    </row>
    <row r="98" spans="9:33" x14ac:dyDescent="0.3">
      <c r="I98" s="30"/>
      <c r="U98" s="30"/>
      <c r="AA98" s="30"/>
      <c r="AG98" s="30"/>
    </row>
    <row r="99" spans="9:33" x14ac:dyDescent="0.3">
      <c r="I99" s="30"/>
      <c r="U99" s="30"/>
      <c r="AA99" s="30"/>
      <c r="AG99" s="30"/>
    </row>
    <row r="100" spans="9:33" x14ac:dyDescent="0.3">
      <c r="I100" s="30"/>
      <c r="U100" s="30"/>
      <c r="AA100" s="30"/>
      <c r="AG100" s="30"/>
    </row>
    <row r="101" spans="9:33" x14ac:dyDescent="0.3">
      <c r="I101" s="30"/>
      <c r="U101" s="30"/>
      <c r="AA101" s="30"/>
      <c r="AG101" s="30"/>
    </row>
    <row r="102" spans="9:33" x14ac:dyDescent="0.3">
      <c r="I102" s="30"/>
      <c r="U102" s="30"/>
      <c r="AA102" s="30"/>
      <c r="AG102" s="30"/>
    </row>
    <row r="103" spans="9:33" x14ac:dyDescent="0.3">
      <c r="I103" s="30"/>
      <c r="U103" s="30"/>
      <c r="AA103" s="30"/>
      <c r="AG103" s="30"/>
    </row>
    <row r="104" spans="9:33" x14ac:dyDescent="0.3">
      <c r="I104" s="30"/>
      <c r="U104" s="30"/>
      <c r="AA104" s="30"/>
      <c r="AG104" s="30"/>
    </row>
    <row r="105" spans="9:33" x14ac:dyDescent="0.3">
      <c r="I105" s="30"/>
      <c r="U105" s="30"/>
      <c r="AA105" s="30"/>
      <c r="AG105" s="30"/>
    </row>
    <row r="106" spans="9:33" x14ac:dyDescent="0.3">
      <c r="I106" s="30"/>
      <c r="U106" s="30"/>
      <c r="AA106" s="30"/>
      <c r="AG106" s="30"/>
    </row>
    <row r="107" spans="9:33" x14ac:dyDescent="0.3">
      <c r="I107" s="30"/>
      <c r="U107" s="30"/>
      <c r="AA107" s="30"/>
      <c r="AG107" s="30"/>
    </row>
    <row r="108" spans="9:33" x14ac:dyDescent="0.3">
      <c r="I108" s="30"/>
      <c r="U108" s="30"/>
      <c r="AA108" s="30"/>
      <c r="AG108" s="30"/>
    </row>
    <row r="109" spans="9:33" x14ac:dyDescent="0.3">
      <c r="I109" s="30"/>
      <c r="U109" s="30"/>
      <c r="AA109" s="30"/>
      <c r="AG109" s="30"/>
    </row>
    <row r="110" spans="9:33" x14ac:dyDescent="0.3">
      <c r="I110" s="30"/>
      <c r="U110" s="30"/>
      <c r="AA110" s="30"/>
      <c r="AG110" s="30"/>
    </row>
    <row r="111" spans="9:33" x14ac:dyDescent="0.3">
      <c r="I111" s="30"/>
      <c r="U111" s="30"/>
      <c r="AA111" s="30"/>
      <c r="AG111" s="30"/>
    </row>
    <row r="112" spans="9:33" x14ac:dyDescent="0.3">
      <c r="I112" s="30"/>
      <c r="U112" s="30"/>
      <c r="AA112" s="30"/>
      <c r="AG112" s="30"/>
    </row>
    <row r="113" spans="9:33" x14ac:dyDescent="0.3">
      <c r="I113" s="30"/>
      <c r="U113" s="30"/>
      <c r="AA113" s="30"/>
      <c r="AG113" s="30"/>
    </row>
    <row r="114" spans="9:33" x14ac:dyDescent="0.3">
      <c r="I114" s="30"/>
      <c r="U114" s="30"/>
      <c r="AA114" s="30"/>
      <c r="AG114" s="30"/>
    </row>
    <row r="115" spans="9:33" x14ac:dyDescent="0.3">
      <c r="I115" s="30"/>
      <c r="U115" s="30"/>
      <c r="AA115" s="30"/>
    </row>
    <row r="116" spans="9:33" x14ac:dyDescent="0.3">
      <c r="I116" s="30"/>
      <c r="U116" s="30"/>
      <c r="AA116" s="30"/>
    </row>
    <row r="117" spans="9:33" x14ac:dyDescent="0.3">
      <c r="I117" s="30"/>
      <c r="U117" s="30"/>
      <c r="AA117" s="30"/>
    </row>
    <row r="118" spans="9:33" x14ac:dyDescent="0.3">
      <c r="I118" s="30"/>
      <c r="U118" s="30"/>
      <c r="AA118" s="30"/>
    </row>
    <row r="119" spans="9:33" x14ac:dyDescent="0.3">
      <c r="I119" s="30"/>
      <c r="U119" s="30"/>
      <c r="AA119" s="30"/>
    </row>
    <row r="120" spans="9:33" x14ac:dyDescent="0.3">
      <c r="I120" s="30"/>
      <c r="U120" s="30"/>
      <c r="AA120" s="30"/>
    </row>
    <row r="121" spans="9:33" x14ac:dyDescent="0.3">
      <c r="I121" s="30"/>
      <c r="U121" s="30"/>
      <c r="AA121" s="30"/>
    </row>
    <row r="122" spans="9:33" x14ac:dyDescent="0.3">
      <c r="I122" s="30"/>
      <c r="U122" s="30"/>
      <c r="AA122" s="30"/>
    </row>
    <row r="123" spans="9:33" x14ac:dyDescent="0.3">
      <c r="I123" s="30"/>
      <c r="U123" s="30"/>
      <c r="AA123" s="30"/>
    </row>
    <row r="124" spans="9:33" x14ac:dyDescent="0.3">
      <c r="I124" s="30"/>
      <c r="U124" s="30"/>
    </row>
    <row r="125" spans="9:33" x14ac:dyDescent="0.3">
      <c r="U125" s="30"/>
    </row>
    <row r="126" spans="9:33" x14ac:dyDescent="0.3">
      <c r="U126" s="30"/>
    </row>
    <row r="127" spans="9:33" x14ac:dyDescent="0.3">
      <c r="U127" s="30"/>
    </row>
    <row r="128" spans="9:33" x14ac:dyDescent="0.3">
      <c r="U128" s="30"/>
    </row>
    <row r="129" spans="21:21" x14ac:dyDescent="0.3">
      <c r="U129" s="30"/>
    </row>
    <row r="130" spans="21:21" x14ac:dyDescent="0.3">
      <c r="U130" s="30"/>
    </row>
    <row r="131" spans="21:21" x14ac:dyDescent="0.3">
      <c r="U131" s="30"/>
    </row>
    <row r="132" spans="21:21" x14ac:dyDescent="0.3">
      <c r="U132" s="30"/>
    </row>
    <row r="133" spans="21:21" x14ac:dyDescent="0.3">
      <c r="U133" s="30"/>
    </row>
    <row r="134" spans="21:21" x14ac:dyDescent="0.3">
      <c r="U134" s="30"/>
    </row>
    <row r="135" spans="21:21" x14ac:dyDescent="0.3">
      <c r="U135" s="30"/>
    </row>
    <row r="136" spans="21:21" x14ac:dyDescent="0.3">
      <c r="U136" s="30"/>
    </row>
    <row r="137" spans="21:21" x14ac:dyDescent="0.3">
      <c r="U137" s="30"/>
    </row>
    <row r="138" spans="21:21" x14ac:dyDescent="0.3">
      <c r="U138" s="30"/>
    </row>
    <row r="139" spans="21:21" x14ac:dyDescent="0.3">
      <c r="U139" s="30"/>
    </row>
    <row r="140" spans="21:21" x14ac:dyDescent="0.3">
      <c r="U140" s="30"/>
    </row>
    <row r="141" spans="21:21" x14ac:dyDescent="0.3">
      <c r="U141" s="30"/>
    </row>
    <row r="142" spans="21:21" x14ac:dyDescent="0.3">
      <c r="U142" s="30"/>
    </row>
    <row r="143" spans="21:21" x14ac:dyDescent="0.3">
      <c r="U143" s="30"/>
    </row>
    <row r="144" spans="21:21" x14ac:dyDescent="0.3">
      <c r="U144" s="30"/>
    </row>
    <row r="145" spans="21:21" x14ac:dyDescent="0.3">
      <c r="U145" s="30"/>
    </row>
    <row r="146" spans="21:21" x14ac:dyDescent="0.3">
      <c r="U146" s="30"/>
    </row>
    <row r="147" spans="21:21" x14ac:dyDescent="0.3">
      <c r="U147" s="30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10"/>
  <sheetViews>
    <sheetView showGridLines="0" zoomScale="110" zoomScaleNormal="110" zoomScaleSheetLayoutView="110" workbookViewId="0">
      <selection activeCell="C25" sqref="C25"/>
    </sheetView>
  </sheetViews>
  <sheetFormatPr baseColWidth="10" defaultRowHeight="14.4" outlineLevelRow="1" x14ac:dyDescent="0.3"/>
  <cols>
    <col min="1" max="1" width="11.44140625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7.21875" style="19" bestFit="1" customWidth="1"/>
    <col min="8" max="8" width="6.44140625" style="19" bestFit="1" customWidth="1"/>
    <col min="9" max="9" width="1.33203125" customWidth="1"/>
  </cols>
  <sheetData>
    <row r="1" spans="1:11" ht="30" customHeight="1" x14ac:dyDescent="0.3">
      <c r="A1" s="101" t="s">
        <v>35</v>
      </c>
      <c r="B1" s="101"/>
      <c r="C1" s="101"/>
      <c r="D1" s="101"/>
      <c r="E1" s="101"/>
      <c r="F1" s="101"/>
      <c r="G1" s="101"/>
      <c r="H1" s="101"/>
    </row>
    <row r="2" spans="1:11" ht="15" thickBot="1" x14ac:dyDescent="0.35">
      <c r="G2"/>
      <c r="H2"/>
      <c r="K2" s="85"/>
    </row>
    <row r="3" spans="1:11" ht="15" thickBot="1" x14ac:dyDescent="0.35">
      <c r="A3" s="41" t="s">
        <v>19</v>
      </c>
      <c r="B3" s="102" t="s">
        <v>38</v>
      </c>
      <c r="C3" s="103"/>
      <c r="D3" s="103"/>
      <c r="E3" s="103"/>
      <c r="F3" s="103"/>
      <c r="G3" s="104"/>
      <c r="H3" s="67" t="s">
        <v>39</v>
      </c>
      <c r="K3" s="85"/>
    </row>
    <row r="4" spans="1:11" outlineLevel="1" x14ac:dyDescent="0.3">
      <c r="A4" s="29" t="s">
        <v>14</v>
      </c>
      <c r="B4" s="29" t="s">
        <v>0</v>
      </c>
      <c r="C4" s="29" t="s">
        <v>1</v>
      </c>
      <c r="D4" s="29" t="s">
        <v>11</v>
      </c>
      <c r="E4" s="29" t="s">
        <v>15</v>
      </c>
      <c r="F4" s="29" t="s">
        <v>16</v>
      </c>
      <c r="G4" s="29" t="s">
        <v>12</v>
      </c>
      <c r="H4" s="29" t="s">
        <v>17</v>
      </c>
      <c r="K4" s="85"/>
    </row>
    <row r="5" spans="1:11" outlineLevel="1" x14ac:dyDescent="0.3">
      <c r="A5" t="s">
        <v>4</v>
      </c>
      <c r="B5" t="str">
        <f>VLOOKUP(Tabla3[[#This Row],[DESCRIPCIÓN]],T_mat[[DESCRIPCIÓN]:[PRECIO]],2,FALSE)</f>
        <v>t001</v>
      </c>
      <c r="C5" t="s">
        <v>44</v>
      </c>
      <c r="D5" s="18" t="str">
        <f>VLOOKUP(Tabla3[[#This Row],[DESCRIPCIÓN]],T_mat[[DESCRIPCIÓN]:[PRECIO]],3,FALSE)</f>
        <v>kg</v>
      </c>
      <c r="E5" s="31">
        <f xml:space="preserve"> 1</f>
        <v>1</v>
      </c>
      <c r="F5" s="31"/>
      <c r="G5" s="68">
        <f>VLOOKUP(Tabla3[[#This Row],[DESCRIPCIÓN]],T_mat[[DESCRIPCIÓN]:[PRECIO]],4,FALSE)</f>
        <v>224.52</v>
      </c>
      <c r="H5" s="68">
        <f>Tabla3[[#This Row],[CANTIDAD]]*Tabla3[[#This Row],[PRECIO]]*Tabla3[[#This Row],[FACTOR]]</f>
        <v>0</v>
      </c>
      <c r="K5" s="85"/>
    </row>
    <row r="6" spans="1:11" outlineLevel="1" x14ac:dyDescent="0.3">
      <c r="D6" s="18"/>
      <c r="E6" s="31">
        <f xml:space="preserve"> 1</f>
        <v>1</v>
      </c>
      <c r="F6" s="31"/>
      <c r="G6" s="68"/>
      <c r="H6" s="68">
        <f>Tabla3[[#This Row],[CANTIDAD]]*Tabla3[[#This Row],[PRECIO]]*Tabla3[[#This Row],[FACTOR]]</f>
        <v>0</v>
      </c>
      <c r="K6" s="85"/>
    </row>
    <row r="7" spans="1:11" outlineLevel="1" x14ac:dyDescent="0.3">
      <c r="D7" s="18"/>
      <c r="E7" s="31">
        <f xml:space="preserve"> 1</f>
        <v>1</v>
      </c>
      <c r="F7" s="31"/>
      <c r="G7" s="68"/>
      <c r="H7" s="68">
        <f>Tabla3[[#This Row],[CANTIDAD]]*Tabla3[[#This Row],[PRECIO]]*Tabla3[[#This Row],[FACTOR]]</f>
        <v>0</v>
      </c>
      <c r="K7" s="85"/>
    </row>
    <row r="8" spans="1:11" x14ac:dyDescent="0.3">
      <c r="A8" s="29" t="s">
        <v>18</v>
      </c>
      <c r="G8" s="68"/>
      <c r="H8" s="69">
        <f>SUM(Tabla3[TOTAL])</f>
        <v>0</v>
      </c>
      <c r="K8" s="85"/>
    </row>
    <row r="9" spans="1:11" x14ac:dyDescent="0.3">
      <c r="G9"/>
      <c r="H9"/>
      <c r="K9" s="85"/>
    </row>
    <row r="10" spans="1:11" x14ac:dyDescent="0.3">
      <c r="K10" s="85"/>
    </row>
  </sheetData>
  <mergeCells count="2">
    <mergeCell ref="A1:H1"/>
    <mergeCell ref="B3:G3"/>
  </mergeCells>
  <dataValidations count="2">
    <dataValidation type="list" allowBlank="1" showInputMessage="1" showErrorMessage="1" sqref="A5 A6 A7" xr:uid="{00000000-0002-0000-0100-000000000000}">
      <formula1>"MATERIALES,EQUIPOS,MANO DE OBRA,TRANSPORTE,SUBCONTRATOS,ACTIVIDADES,OTROS"</formula1>
    </dataValidation>
    <dataValidation type="list" allowBlank="1" showInputMessage="1" showErrorMessage="1" sqref="C5" xr:uid="{6C641E0A-59CA-4380-B925-00746A8194AF}">
      <formula1>MATERIALES</formula1>
    </dataValidation>
  </dataValidations>
  <pageMargins left="0.7" right="0.7" top="0.75" bottom="0.75" header="0.3" footer="0.3"/>
  <pageSetup paperSize="9" scale="83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K13"/>
  <sheetViews>
    <sheetView showGridLines="0" tabSelected="1" showWhiteSpace="0" zoomScale="110" zoomScaleNormal="110" zoomScaleSheetLayoutView="110" workbookViewId="0">
      <selection activeCell="C5" sqref="C5"/>
    </sheetView>
  </sheetViews>
  <sheetFormatPr baseColWidth="10" defaultColWidth="11.44140625" defaultRowHeight="14.4" outlineLevelRow="1" x14ac:dyDescent="0.3"/>
  <cols>
    <col min="1" max="1" width="12.33203125" style="32" bestFit="1" customWidth="1"/>
    <col min="2" max="2" width="8" style="32" bestFit="1" customWidth="1"/>
    <col min="3" max="3" width="40.77734375" style="32" customWidth="1"/>
    <col min="4" max="4" width="8" style="32" bestFit="1" customWidth="1"/>
    <col min="5" max="5" width="8.5546875" style="32" bestFit="1" customWidth="1"/>
    <col min="6" max="6" width="10.44140625" style="32" bestFit="1" customWidth="1"/>
    <col min="7" max="7" width="8" style="50" bestFit="1" customWidth="1"/>
    <col min="8" max="8" width="7.77734375" style="50" bestFit="1" customWidth="1"/>
    <col min="9" max="9" width="1.33203125" style="32" customWidth="1"/>
    <col min="10" max="16384" width="11.44140625" style="32"/>
  </cols>
  <sheetData>
    <row r="1" spans="1:11" ht="30" customHeight="1" x14ac:dyDescent="0.3">
      <c r="A1" s="101" t="s">
        <v>36</v>
      </c>
      <c r="B1" s="101"/>
      <c r="C1" s="101"/>
      <c r="D1" s="101"/>
      <c r="E1" s="101"/>
      <c r="F1" s="101"/>
      <c r="G1" s="101"/>
      <c r="H1" s="101"/>
    </row>
    <row r="2" spans="1:11" ht="15" thickBot="1" x14ac:dyDescent="0.35">
      <c r="A2" s="51"/>
      <c r="B2" s="56"/>
      <c r="C2" s="52"/>
      <c r="D2" s="52"/>
      <c r="E2" s="51"/>
      <c r="F2" s="51"/>
      <c r="G2" s="51"/>
      <c r="H2" s="55"/>
      <c r="K2" s="84"/>
    </row>
    <row r="3" spans="1:11" ht="15" thickBot="1" x14ac:dyDescent="0.35">
      <c r="A3" s="64" t="s">
        <v>19</v>
      </c>
      <c r="B3" s="105" t="s">
        <v>40</v>
      </c>
      <c r="C3" s="106"/>
      <c r="D3" s="106"/>
      <c r="E3" s="106"/>
      <c r="F3" s="106"/>
      <c r="G3" s="107"/>
      <c r="H3" s="65" t="s">
        <v>39</v>
      </c>
      <c r="K3" s="84"/>
    </row>
    <row r="4" spans="1:11" outlineLevel="1" x14ac:dyDescent="0.3">
      <c r="A4" s="86" t="s">
        <v>14</v>
      </c>
      <c r="B4" s="87" t="s">
        <v>0</v>
      </c>
      <c r="C4" s="88" t="s">
        <v>1</v>
      </c>
      <c r="D4" s="88" t="s">
        <v>11</v>
      </c>
      <c r="E4" s="86" t="s">
        <v>15</v>
      </c>
      <c r="F4" s="86" t="s">
        <v>16</v>
      </c>
      <c r="G4" s="86" t="s">
        <v>12</v>
      </c>
      <c r="H4" s="89" t="s">
        <v>17</v>
      </c>
      <c r="K4" s="84"/>
    </row>
    <row r="5" spans="1:11" outlineLevel="1" x14ac:dyDescent="0.3">
      <c r="A5" s="51" t="s">
        <v>4</v>
      </c>
      <c r="B5" t="str">
        <f>VLOOKUP(Tabla5[[#This Row],[DESCRIPCIÓN]],T_mat[[DESCRIPCIÓN]:[PRECIO]],2,FALSE)</f>
        <v>t001</v>
      </c>
      <c r="C5" s="52" t="s">
        <v>44</v>
      </c>
      <c r="D5" s="18" t="str">
        <f>VLOOKUP(Tabla5[[#This Row],[DESCRIPCIÓN]],T_mat[[DESCRIPCIÓN]:[PRECIO]],3,FALSE)</f>
        <v>kg</v>
      </c>
      <c r="E5" s="54">
        <f xml:space="preserve"> 1</f>
        <v>1</v>
      </c>
      <c r="F5" s="54"/>
      <c r="G5" s="68">
        <f>VLOOKUP(Tabla5[[#This Row],[DESCRIPCIÓN]],T_mat[[DESCRIPCIÓN]:[PRECIO]],4,FALSE)</f>
        <v>224.52</v>
      </c>
      <c r="H5" s="70">
        <f>Tabla5[[#This Row],[CANTIDAD]]*Tabla5[[#This Row],[PRECIO]]*Tabla5[[#This Row],[FACTOR]]</f>
        <v>0</v>
      </c>
      <c r="K5" s="84"/>
    </row>
    <row r="6" spans="1:11" outlineLevel="1" x14ac:dyDescent="0.3">
      <c r="A6" s="51" t="s">
        <v>43</v>
      </c>
      <c r="B6"/>
      <c r="C6" s="52"/>
      <c r="D6"/>
      <c r="E6" s="54">
        <f xml:space="preserve"> 1</f>
        <v>1</v>
      </c>
      <c r="F6" s="54"/>
      <c r="G6"/>
      <c r="H6" s="70">
        <f>Tabla5[[#This Row],[CANTIDAD]]*Tabla5[[#This Row],[PRECIO]]*Tabla5[[#This Row],[FACTOR]]</f>
        <v>0</v>
      </c>
      <c r="K6" s="84"/>
    </row>
    <row r="7" spans="1:11" outlineLevel="1" x14ac:dyDescent="0.3">
      <c r="A7" s="51"/>
      <c r="B7" s="56"/>
      <c r="C7" s="52"/>
      <c r="D7" s="53"/>
      <c r="E7" s="54">
        <f xml:space="preserve"> 1</f>
        <v>1</v>
      </c>
      <c r="F7" s="54"/>
      <c r="G7" s="90"/>
      <c r="H7" s="70">
        <f>Tabla5[[#This Row],[CANTIDAD]]*Tabla5[[#This Row],[PRECIO]]*Tabla5[[#This Row],[FACTOR]]</f>
        <v>0</v>
      </c>
      <c r="K7" s="84"/>
    </row>
    <row r="8" spans="1:11" x14ac:dyDescent="0.3">
      <c r="A8" s="57" t="s">
        <v>18</v>
      </c>
      <c r="B8" s="60"/>
      <c r="C8" s="58"/>
      <c r="D8" s="58"/>
      <c r="E8" s="59"/>
      <c r="F8" s="59"/>
      <c r="G8" s="91"/>
      <c r="H8" s="92">
        <f>SUM(Tabla5[TOTAL])</f>
        <v>0</v>
      </c>
      <c r="K8" s="84"/>
    </row>
    <row r="9" spans="1:11" x14ac:dyDescent="0.3">
      <c r="A9" s="51"/>
      <c r="B9" s="56"/>
      <c r="C9" s="52"/>
      <c r="D9" s="52"/>
      <c r="E9" s="51"/>
      <c r="F9" s="51"/>
      <c r="G9" s="51"/>
      <c r="H9" s="55"/>
      <c r="K9" s="84"/>
    </row>
    <row r="10" spans="1:11" x14ac:dyDescent="0.3">
      <c r="A10" s="51"/>
      <c r="B10" s="56"/>
      <c r="C10" s="52"/>
      <c r="D10" s="52"/>
      <c r="E10" s="51"/>
      <c r="F10" s="51"/>
      <c r="G10" s="51"/>
      <c r="H10" s="55"/>
      <c r="K10" s="84"/>
    </row>
    <row r="11" spans="1:11" x14ac:dyDescent="0.3">
      <c r="G11" s="32"/>
      <c r="H11" s="32"/>
    </row>
    <row r="12" spans="1:11" x14ac:dyDescent="0.3">
      <c r="A12" s="51"/>
      <c r="B12" s="56"/>
      <c r="C12" s="52"/>
      <c r="D12" s="52"/>
      <c r="E12" s="51"/>
      <c r="F12" s="51"/>
      <c r="G12" s="51"/>
      <c r="H12" s="55"/>
    </row>
    <row r="13" spans="1:11" x14ac:dyDescent="0.3">
      <c r="A13" s="51"/>
      <c r="B13" s="56"/>
      <c r="C13" s="52"/>
      <c r="D13" s="52"/>
      <c r="E13" s="51"/>
      <c r="F13" s="51"/>
      <c r="G13" s="51"/>
      <c r="H13" s="55"/>
    </row>
  </sheetData>
  <mergeCells count="2">
    <mergeCell ref="A1:H1"/>
    <mergeCell ref="B3:G3"/>
  </mergeCells>
  <dataValidations count="3">
    <dataValidation type="list" allowBlank="1" showInputMessage="1" showErrorMessage="1" sqref="A5 A6 A7" xr:uid="{00000000-0002-0000-0200-000000000000}">
      <formula1>"MATERIALES,EQUIPOS,MANO DE OBRA,TRANSPORTE,SUBCONTRATOS,ACTIVIDADES,OTROS,APU BÁSICOS"</formula1>
    </dataValidation>
    <dataValidation type="list" allowBlank="1" showInputMessage="1" showErrorMessage="1" sqref="C5" xr:uid="{C4A26B5B-BDF9-45B1-9EFA-9C44ADBA226D}">
      <formula1>MATERIALES</formula1>
    </dataValidation>
    <dataValidation type="list" allowBlank="1" showInputMessage="1" showErrorMessage="1" sqref="C6" xr:uid="{8D8E0161-EDF4-4E76-AEF0-D1F907D6F880}">
      <formula1>TRANSPORTE</formula1>
    </dataValidation>
  </dataValidations>
  <pageMargins left="0.7" right="0.7" top="0.75" bottom="0.75" header="0.3" footer="0.3"/>
  <pageSetup paperSize="9" scale="74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I28"/>
  <sheetViews>
    <sheetView showGridLines="0" topLeftCell="B1" zoomScale="90" zoomScaleNormal="90" zoomScaleSheetLayoutView="90" workbookViewId="0">
      <selection activeCell="C22" sqref="C22:E22"/>
    </sheetView>
  </sheetViews>
  <sheetFormatPr baseColWidth="10" defaultColWidth="11.44140625" defaultRowHeight="15" outlineLevelRow="1" x14ac:dyDescent="0.25"/>
  <cols>
    <col min="1" max="1" width="1.44140625" style="34" hidden="1" customWidth="1"/>
    <col min="2" max="2" width="15.33203125" style="71" customWidth="1"/>
    <col min="3" max="3" width="40.77734375" style="72" customWidth="1"/>
    <col min="4" max="4" width="23" style="71" bestFit="1" customWidth="1"/>
    <col min="5" max="5" width="15.33203125" style="73" customWidth="1"/>
    <col min="6" max="6" width="14.21875" style="73" bestFit="1" customWidth="1"/>
    <col min="7" max="7" width="15.33203125" style="73" customWidth="1"/>
    <col min="8" max="8" width="15.33203125" style="74" customWidth="1"/>
    <col min="9" max="9" width="1.33203125" style="33" customWidth="1"/>
    <col min="10" max="16384" width="11.44140625" style="34"/>
  </cols>
  <sheetData>
    <row r="1" spans="2:9" ht="30" customHeight="1" x14ac:dyDescent="0.25">
      <c r="B1" s="108" t="s">
        <v>37</v>
      </c>
      <c r="C1" s="108"/>
      <c r="D1" s="108"/>
      <c r="E1" s="108"/>
      <c r="F1" s="108"/>
      <c r="G1" s="108"/>
      <c r="H1" s="108"/>
    </row>
    <row r="2" spans="2:9" ht="15.6" thickBot="1" x14ac:dyDescent="0.3"/>
    <row r="3" spans="2:9" ht="16.2" thickBot="1" x14ac:dyDescent="0.3">
      <c r="B3" s="109" t="s">
        <v>20</v>
      </c>
      <c r="C3" s="110"/>
      <c r="D3" s="110"/>
      <c r="E3" s="110"/>
      <c r="F3" s="110"/>
      <c r="G3" s="111"/>
      <c r="H3" s="75" t="s">
        <v>19</v>
      </c>
    </row>
    <row r="4" spans="2:9" ht="15.6" outlineLevel="1" x14ac:dyDescent="0.3">
      <c r="B4" s="76" t="s">
        <v>0</v>
      </c>
      <c r="C4" s="77" t="s">
        <v>1</v>
      </c>
      <c r="D4" s="76" t="s">
        <v>11</v>
      </c>
      <c r="E4" s="78" t="s">
        <v>15</v>
      </c>
      <c r="F4" s="78" t="s">
        <v>16</v>
      </c>
      <c r="G4" s="78" t="s">
        <v>3</v>
      </c>
      <c r="H4" s="79" t="s">
        <v>17</v>
      </c>
    </row>
    <row r="5" spans="2:9" outlineLevel="1" x14ac:dyDescent="0.25">
      <c r="E5" s="73">
        <v>1</v>
      </c>
      <c r="H5" s="74">
        <f>Tabla7[[#This Row],[FACTOR]]*Tabla7[[#This Row],[CANTIDAD]]*Tabla7[[#This Row],[COSTO]]</f>
        <v>0</v>
      </c>
    </row>
    <row r="6" spans="2:9" outlineLevel="1" x14ac:dyDescent="0.25">
      <c r="E6" s="73">
        <v>1</v>
      </c>
      <c r="H6" s="74">
        <f>Tabla7[[#This Row],[FACTOR]]*Tabla7[[#This Row],[CANTIDAD]]*Tabla7[[#This Row],[COSTO]]</f>
        <v>0</v>
      </c>
    </row>
    <row r="7" spans="2:9" outlineLevel="1" x14ac:dyDescent="0.25">
      <c r="E7" s="73">
        <v>1</v>
      </c>
      <c r="H7" s="74">
        <f>Tabla7[[#This Row],[FACTOR]]*Tabla7[[#This Row],[CANTIDAD]]*Tabla7[[#This Row],[COSTO]]</f>
        <v>0</v>
      </c>
    </row>
    <row r="8" spans="2:9" outlineLevel="1" x14ac:dyDescent="0.25">
      <c r="E8" s="73">
        <v>1</v>
      </c>
      <c r="H8" s="74">
        <f>Tabla7[[#This Row],[FACTOR]]*Tabla7[[#This Row],[CANTIDAD]]*Tabla7[[#This Row],[COSTO]]</f>
        <v>0</v>
      </c>
    </row>
    <row r="9" spans="2:9" outlineLevel="1" x14ac:dyDescent="0.25">
      <c r="E9" s="73">
        <v>1</v>
      </c>
      <c r="H9" s="74">
        <f>Tabla7[[#This Row],[FACTOR]]*Tabla7[[#This Row],[CANTIDAD]]*Tabla7[[#This Row],[COSTO]]</f>
        <v>0</v>
      </c>
    </row>
    <row r="10" spans="2:9" ht="15.6" x14ac:dyDescent="0.3">
      <c r="B10" s="96" t="s">
        <v>18</v>
      </c>
      <c r="C10" s="94"/>
      <c r="D10" s="93"/>
      <c r="E10" s="95"/>
      <c r="F10" s="95"/>
      <c r="G10" s="95"/>
      <c r="H10" s="79">
        <f>SUM(Tabla7[TOTAL])</f>
        <v>0</v>
      </c>
    </row>
    <row r="13" spans="2:9" ht="15.6" x14ac:dyDescent="0.3">
      <c r="F13" s="76"/>
      <c r="G13" s="76"/>
      <c r="H13" s="79"/>
      <c r="I13" s="34"/>
    </row>
    <row r="14" spans="2:9" ht="15.6" x14ac:dyDescent="0.3">
      <c r="B14" s="76" t="s">
        <v>19</v>
      </c>
      <c r="C14" s="77" t="s">
        <v>20</v>
      </c>
      <c r="D14" s="76" t="s">
        <v>21</v>
      </c>
      <c r="E14" s="78" t="s">
        <v>22</v>
      </c>
      <c r="F14" s="71"/>
      <c r="G14" s="71"/>
    </row>
    <row r="15" spans="2:9" x14ac:dyDescent="0.25">
      <c r="B15" s="71" t="str">
        <f>$H$3</f>
        <v>CÓD</v>
      </c>
      <c r="C15" s="72" t="str">
        <f>$B$3</f>
        <v>CAPÍTULO</v>
      </c>
      <c r="D15" s="40" t="e">
        <f>(E15)/(E18)</f>
        <v>#DIV/0!</v>
      </c>
      <c r="E15" s="73">
        <f>$H$10</f>
        <v>0</v>
      </c>
      <c r="F15" s="71"/>
      <c r="G15" s="71"/>
    </row>
    <row r="16" spans="2:9" x14ac:dyDescent="0.25">
      <c r="F16" s="71"/>
      <c r="G16" s="71"/>
    </row>
    <row r="17" spans="2:7" x14ac:dyDescent="0.25">
      <c r="F17" s="71"/>
      <c r="G17" s="71"/>
    </row>
    <row r="18" spans="2:7" ht="15.6" x14ac:dyDescent="0.3">
      <c r="B18" s="80"/>
      <c r="C18" s="81"/>
      <c r="D18" s="82" t="s">
        <v>30</v>
      </c>
      <c r="E18" s="83">
        <f>SUM(E15:E17)</f>
        <v>0</v>
      </c>
      <c r="F18" s="74"/>
      <c r="G18" s="74"/>
    </row>
    <row r="19" spans="2:7" x14ac:dyDescent="0.25">
      <c r="F19" s="74"/>
      <c r="G19" s="74"/>
    </row>
    <row r="20" spans="2:7" x14ac:dyDescent="0.25">
      <c r="F20" s="74"/>
      <c r="G20" s="74"/>
    </row>
    <row r="21" spans="2:7" ht="15.6" x14ac:dyDescent="0.3">
      <c r="C21" s="77" t="s">
        <v>1</v>
      </c>
      <c r="D21" s="76" t="s">
        <v>21</v>
      </c>
      <c r="E21" s="78" t="s">
        <v>22</v>
      </c>
      <c r="F21" s="74"/>
      <c r="G21" s="74"/>
    </row>
    <row r="22" spans="2:7" x14ac:dyDescent="0.25">
      <c r="C22" s="72" t="s">
        <v>26</v>
      </c>
      <c r="D22" s="63">
        <v>0</v>
      </c>
      <c r="E22" s="46">
        <f>Tabla13[[#This Row],[PORCENTAJE]]*E18</f>
        <v>0</v>
      </c>
      <c r="F22" s="74"/>
      <c r="G22" s="74"/>
    </row>
    <row r="23" spans="2:7" x14ac:dyDescent="0.25">
      <c r="C23" s="72" t="s">
        <v>27</v>
      </c>
      <c r="D23" s="63">
        <v>0</v>
      </c>
      <c r="E23" s="46">
        <f>Tabla13[[#This Row],[PORCENTAJE]]*E18</f>
        <v>0</v>
      </c>
      <c r="F23" s="74"/>
      <c r="G23" s="74"/>
    </row>
    <row r="24" spans="2:7" x14ac:dyDescent="0.25">
      <c r="C24" s="72" t="s">
        <v>28</v>
      </c>
      <c r="D24" s="63">
        <v>0</v>
      </c>
      <c r="E24" s="46">
        <f>Tabla13[[#This Row],[PORCENTAJE]]*E18</f>
        <v>0</v>
      </c>
      <c r="F24" s="74"/>
      <c r="G24" s="74"/>
    </row>
    <row r="25" spans="2:7" x14ac:dyDescent="0.25">
      <c r="C25" s="72" t="s">
        <v>25</v>
      </c>
      <c r="D25" s="63">
        <v>0</v>
      </c>
      <c r="E25" s="46">
        <f>Tabla13[[#This Row],[PORCENTAJE]]*E24</f>
        <v>0</v>
      </c>
    </row>
    <row r="26" spans="2:7" ht="15.6" x14ac:dyDescent="0.3">
      <c r="D26" s="44" t="s">
        <v>29</v>
      </c>
      <c r="E26" s="45">
        <f>SUM(E22:E25)</f>
        <v>0</v>
      </c>
    </row>
    <row r="27" spans="2:7" x14ac:dyDescent="0.25">
      <c r="E27" s="46"/>
    </row>
    <row r="28" spans="2:7" ht="15.6" x14ac:dyDescent="0.3">
      <c r="D28" s="76" t="s">
        <v>24</v>
      </c>
      <c r="E28" s="4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00000000-0002-0000-0300-000000000000}">
      <formula1>BD_APUS</formula1>
    </dataValidation>
  </dataValidations>
  <pageMargins left="0.7" right="0.7" top="0.75" bottom="0.75" header="0.3" footer="0.3"/>
  <pageSetup paperSize="9" scale="67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WYB2" sqref="WYB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97" t="s">
        <v>31</v>
      </c>
      <c r="C1" s="97"/>
      <c r="D1" s="97"/>
      <c r="E1" s="97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NOMBRE A.P.U. BÁSICO</v>
      </c>
      <c r="C3" s="4" t="str">
        <f>BÁSICOS!A3</f>
        <v>CÓD</v>
      </c>
      <c r="D3" s="1" t="str">
        <f>BÁSICOS!H3</f>
        <v>UND</v>
      </c>
      <c r="E3" s="5">
        <f>BÁSICOS!H8</f>
        <v>0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5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97" t="s">
        <v>33</v>
      </c>
      <c r="C1" s="97"/>
      <c r="D1" s="97"/>
      <c r="E1" s="97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NOMBRE A.P.U.</v>
      </c>
      <c r="C3" s="4" t="str">
        <f>APU!A3</f>
        <v>CÓD</v>
      </c>
      <c r="D3" s="1" t="str">
        <f>APU!H3</f>
        <v>UND</v>
      </c>
      <c r="E3" s="5">
        <f>APU!H8</f>
        <v>0</v>
      </c>
    </row>
    <row r="4" spans="2:5" x14ac:dyDescent="0.3">
      <c r="E4" s="5"/>
    </row>
    <row r="5" spans="2:5" x14ac:dyDescent="0.3"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37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97" t="s">
        <v>32</v>
      </c>
      <c r="B1" s="97"/>
      <c r="C1" s="97"/>
      <c r="D1" s="97"/>
      <c r="E1" s="97"/>
    </row>
    <row r="2" spans="1:6" x14ac:dyDescent="0.3">
      <c r="A2" s="18" t="s">
        <v>23</v>
      </c>
      <c r="B2" s="18" t="s">
        <v>11</v>
      </c>
      <c r="C2" s="30" t="s">
        <v>12</v>
      </c>
      <c r="D2" s="38" t="s">
        <v>16</v>
      </c>
      <c r="E2" s="30" t="s">
        <v>17</v>
      </c>
      <c r="F2" s="18"/>
    </row>
    <row r="4" spans="1:6" x14ac:dyDescent="0.3">
      <c r="A4" s="61" t="s">
        <v>18</v>
      </c>
      <c r="B4" s="35"/>
      <c r="C4" s="36"/>
      <c r="D4" s="39"/>
      <c r="E4" s="62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2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2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2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large" image="mas_32" onAction="Módulo02_INSUMOS.CH1M7" getEnabled="Módulo11_RIBBON.hojainsumos" screentip="Insertar filas" supertip="Crea una nueva fila en la tabla de insumos."/>
          <button id="botmenosfilasins" label="Eliminar fila" size="large" image="menos_32" onAction="Módulo02_INSUMOS.CH1M8" getEnabled="Módulo11_RIBBON.hojainsumos" screentip="Eliminar filas" supertip="Elimina una fila en la tabla de insumos."/>
        </group>
        <group id="grupoapu" label="A.P.U">
          <button id="botnuevoapu2" label="Nuevo A.P.U." size="large" image="nuevo_32" onAction="Módulo03_APU.GR1M1" getEnabled="Módulo11_RIBBON.hojaapu" screentip="Nueva tabla A.P.U" supertip="Crea una nueva tabla de A.P.U."/>
          <button id="boteliminaapu2" label="Eliminar A.P.U." size="large" image="eliminar_32" onAction="Módulo03_APU.CH2M2" getEnabled="Módulo11_RIBBON.hojaapu" screentip="Eliminar tabla A.P.U." supertip="Elimina la tabla A.P.U. seleccionada."/>
          <button id="botmasfilas2" label="Insertar fila" size="normal" image="mas_16" onAction="Módulo03_APU.GR1M3" getEnabled="Módulo11_RIBBON.hojaapu" screentip="Insertar filas" supertip="Crea una nueva fila en la tabla A.P.U. seleccionada."/>
          <button id="botmenosfilas2" label="Eliminar fila" size="normal" image="menos_16" onAction="Módulo03_APU.GR1M10" getEnabled="Módulo11_RIBBON.hojaapu" screentip="Eliminar filas" supertip="Elimina una fila en la tabla A.P.U. seleccionada."/>
          <separator id="separador3"/>
          <button id="botduplicar2" label="Duplicar A.P.U." size="large" image="duplicar_32" onAction="Módulo03_APU.GR1M6" getEnabled="Módulo11_RIBBON.hojaapu" screentip="Duplicar A.P.U." supertip="Crea una copia de tablas A.P.U. (pegadas como valores).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  <button id="botactualizar2" label=" " size="normal" image="actualizar_16" onAction="Módulo03_APU.GR1M7" getEnabled="Módulo11_RIBBON.hojaapu" screentip="Actualizar listado" supertip="Crea una nueva lista con las tablas A.P.U. existentes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Insertar fila" size="normal" image="mas_16" onAction="Módulo08_PRESUPUESTO.CH6M9" getEnabled="Módulo11_RIBBON.hojapresupuestos" screentip="Insertar filas" supertip="Crea una nueva fila en la tabla capítulo seleccionada."/>
          <button id="botmenosfilas3" label="Eliminar 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INSUMOS!Área_de_impresión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2024-06-23T04:25:13Z</dcterms:modified>
</cp:coreProperties>
</file>