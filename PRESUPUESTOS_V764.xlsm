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4fc35ed2b148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B27A4A8B-7644-44DB-A3F5-E61FAFA45B9B}" xr6:coauthVersionLast="47" xr6:coauthVersionMax="47" xr10:uidLastSave="{00000000-0000-0000-0000-000000000000}"/>
  <workbookProtection workbookAlgorithmName="SHA-512" workbookHashValue="3Z/mG3XDKA0l7LbowR6430kpRyWV1debzGsLGj4b85O6vyaQXz3GqMYPPYEBuvTNWfG++FeH6W/kDwE1K0AVag==" workbookSaltValue="WCi/kYNw0AXq5NQOeIWbYg==" workbookSpinCount="100000" lockStructure="1"/>
  <bookViews>
    <workbookView xWindow="12048" yWindow="432" windowWidth="17280" windowHeight="8880" tabRatio="543" firstSheet="3" activeTab="3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4" l="1"/>
  <c r="D5" i="104"/>
  <c r="G5" i="104"/>
  <c r="B13" i="103"/>
  <c r="D13" i="103"/>
  <c r="G13" i="103"/>
  <c r="B5" i="103"/>
  <c r="D5" i="103"/>
  <c r="G5" i="103"/>
  <c r="D3" i="4"/>
  <c r="C3" i="4"/>
  <c r="B3" i="4"/>
  <c r="D4" i="4"/>
  <c r="C4" i="4"/>
  <c r="B4" i="4"/>
  <c r="E3" i="10"/>
  <c r="D3" i="10"/>
  <c r="C3" i="10"/>
  <c r="B3" i="10"/>
  <c r="B5" i="102"/>
  <c r="D5" i="102"/>
  <c r="G5" i="102"/>
  <c r="E7" i="102" l="1"/>
  <c r="H7" i="102"/>
  <c r="E6" i="102"/>
  <c r="H6" i="102"/>
  <c r="E5" i="102"/>
  <c r="H5" i="102" s="1"/>
  <c r="H8" i="102" s="1"/>
  <c r="E6" i="106"/>
  <c r="E5" i="106"/>
  <c r="E4" i="106"/>
  <c r="E3" i="106"/>
  <c r="E15" i="103"/>
  <c r="H15" i="103"/>
  <c r="E14" i="103"/>
  <c r="H14" i="103"/>
  <c r="E13" i="103"/>
  <c r="E7" i="103"/>
  <c r="H7" i="103"/>
  <c r="E6" i="103"/>
  <c r="H6" i="103" s="1"/>
  <c r="E5" i="103"/>
  <c r="C15" i="104"/>
  <c r="B15" i="104"/>
  <c r="H9" i="104"/>
  <c r="H8" i="104"/>
  <c r="H7" i="104"/>
  <c r="H6" i="104"/>
  <c r="H13" i="103" l="1"/>
  <c r="H16" i="103" s="1"/>
  <c r="E3" i="4" s="1"/>
  <c r="E7" i="106"/>
  <c r="H5" i="103" l="1"/>
  <c r="H8" i="103" s="1"/>
  <c r="E4" i="4" s="1"/>
  <c r="H5" i="104" l="1"/>
  <c r="H10" i="104" s="1"/>
  <c r="E15" i="104" s="1"/>
  <c r="E18" i="104" s="1"/>
  <c r="E23" i="104" s="1"/>
  <c r="E22" i="104" l="1"/>
  <c r="E24" i="104"/>
  <c r="E25" i="104" s="1"/>
  <c r="D15" i="104"/>
  <c r="E26" i="104" l="1"/>
  <c r="E28" i="104" s="1"/>
</calcChain>
</file>

<file path=xl/sharedStrings.xml><?xml version="1.0" encoding="utf-8"?>
<sst xmlns="http://schemas.openxmlformats.org/spreadsheetml/2006/main" count="158" uniqueCount="65">
  <si>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</si>
  <si>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</si>
  <si>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</si>
  <si>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</si>
  <si>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</si>
  <si>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</si>
  <si>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</si>
  <si>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</si>
  <si>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</si>
  <si>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</si>
  <si>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</si>
  <si>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</si>
  <si>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</si>
  <si>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</si>
  <si>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</si>
  <si>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</si>
  <si>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</si>
  <si>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</si>
  <si>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</si>
  <si>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</si>
  <si>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</si>
  <si>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</si>
  <si>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</si>
  <si>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</si>
  <si>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</si>
  <si>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</si>
  <si>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</si>
  <si>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</si>
  <si>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</si>
  <si>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</si>
  <si>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</si>
  <si>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</si>
  <si>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</si>
  <si>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</si>
  <si>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</si>
  <si>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</si>
  <si>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</si>
  <si>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</si>
  <si>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</si>
  <si>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</si>
  <si>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cemento</t>
  </si>
  <si>
    <t>NOMBRE A.P.U.</t>
  </si>
  <si>
    <t>herramienta menor</t>
  </si>
  <si>
    <t>gl</t>
  </si>
  <si>
    <t>cuadrilla AA</t>
  </si>
  <si>
    <t>hora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</si>
  <si>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</si>
  <si>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</si>
  <si>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</si>
  <si>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</si>
  <si>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</si>
  <si>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Placa de concreto 3000 psi 10cm malla electrosoldada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</si>
  <si>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</si>
  <si>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</si>
  <si>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</si>
  <si>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</si>
  <si>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</si>
  <si>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</si>
  <si>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</si>
  <si>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</si>
  <si>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</si>
  <si>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</si>
  <si>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</si>
  <si>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F:\Desarrollo\presupuesto\Prueba_11.xlsx</t>
  </si>
  <si>
    <t>basico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</si>
</sst>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0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41" fontId="6" fillId="0" borderId="0" xfId="13" applyNumberFormat="1" applyFont="1" applyAlignment="1">
      <alignment horizontal="center"/>
    </xf>
    <xf numFmtId="41" fontId="5" fillId="0" borderId="0" xfId="13" applyNumberFormat="1" applyFont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41" fontId="9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0" applyFont="1" applyFill="1" applyAlignment="1">
      <alignment horizontal="center" vertical="center"/>
    </xf>
    <xf numFmtId="0" fontId="0" fillId="0" borderId="19" xfId="0" applyBorder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21"/>
      <tableStyleElement type="headerRow" dxfId="120"/>
    </tableStyle>
    <tableStyle name="S5S Green" pivot="0" count="2" xr9:uid="{00000000-0011-0000-FFFF-FFFF02000000}">
      <tableStyleElement type="wholeTable" dxfId="119"/>
      <tableStyleElement type="headerRow" dxfId="118"/>
    </tableStyle>
    <tableStyle name="S5S Greenblue" pivot="0" count="2" xr9:uid="{00000000-0011-0000-FFFF-FFFF03000000}">
      <tableStyleElement type="wholeTable" dxfId="117"/>
      <tableStyleElement type="headerRow" dxfId="116"/>
    </tableStyle>
    <tableStyle name="S5S2" pivot="0" count="2" xr9:uid="{00000000-0011-0000-FFFF-FFFF04000000}">
      <tableStyleElement type="wholeTable" dxfId="115"/>
      <tableStyleElement type="headerRow" dxfId="114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B8C78C-4EA5-4DB6-8D9E-50FFF5CD917D}" name="T_mat" displayName="T_mat" ref="A4:E15" totalsRowShown="0" headerRowDxfId="113">
  <autoFilter ref="A4:E15" xr:uid="{37B8C78C-4EA5-4DB6-8D9E-50FFF5CD917D}"/>
  <sortState xmlns:xlrd2="http://schemas.microsoft.com/office/spreadsheetml/2017/richdata2" ref="A5:E15">
    <sortCondition ref="A4:A15"/>
  </sortState>
  <tableColumns count="5">
    <tableColumn id="1" xr3:uid="{26D19916-4875-4C12-BD68-5EC6E654F1F9}" name="DESCRIPCIÓN" dataDxfId="112"/>
    <tableColumn id="2" xr3:uid="{BEC29022-9420-4DF7-8302-E64E8FE2E332}" name="CÓDIGO" dataDxfId="111"/>
    <tableColumn id="3" xr3:uid="{1B8F3E0F-CB0B-47AA-9DE0-BA5799B0A5F9}" name="UNIDAD" dataDxfId="110"/>
    <tableColumn id="4" xr3:uid="{8995E1A5-4874-4578-AE3D-8976C5F50F6C}" name="PRECIO" dataDxfId="109"/>
    <tableColumn id="5" xr3:uid="{49EB0541-31C9-429D-8703-4B02CC001B90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19311-D404-411F-BEC6-28A791335363}" name="T_equipos" displayName="T_equipos" ref="G4:K11" totalsRowShown="0" headerRowDxfId="108">
  <autoFilter ref="G4:K11" xr:uid="{35119311-D404-411F-BEC6-28A791335363}"/>
  <tableColumns count="5">
    <tableColumn id="1" xr3:uid="{988EC271-F9E8-479F-A12D-22EC2C92C28F}" name="DESCRIPCIÓN" dataDxfId="107"/>
    <tableColumn id="2" xr3:uid="{DC2B0257-8F91-41C6-847D-0CA0FD42522B}" name="CÓDIGO" dataDxfId="106"/>
    <tableColumn id="3" xr3:uid="{772EDB55-5011-4758-BC30-C189FF96486E}" name="UNIDAD" dataDxfId="105"/>
    <tableColumn id="4" xr3:uid="{5A74DB41-B64C-443A-B777-AF65DDF71388}" name="PRECIO" dataDxfId="104"/>
    <tableColumn id="5" xr3:uid="{16BC6138-2407-43E0-A875-F9F44913CCCA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5332B71-5B98-4F9A-9CB5-09AAA14D3FC3}" name="T_mano" displayName="T_mano" ref="M4:Q11" totalsRowShown="0" headerRowDxfId="103">
  <autoFilter ref="M4:Q11" xr:uid="{C5332B71-5B98-4F9A-9CB5-09AAA14D3FC3}"/>
  <sortState xmlns:xlrd2="http://schemas.microsoft.com/office/spreadsheetml/2017/richdata2" ref="M5:Q19">
    <sortCondition ref="N4"/>
  </sortState>
  <tableColumns count="5">
    <tableColumn id="1" xr3:uid="{7B498A9C-A38B-4C94-BE40-4D31533AA9C8}" name="DESCRIPCIÓN" dataDxfId="102"/>
    <tableColumn id="2" xr3:uid="{11352BEE-FDD3-4A64-A1C7-DB0D0B09D752}" name="CÓDIGO" dataDxfId="101"/>
    <tableColumn id="3" xr3:uid="{16DED22C-8E50-41AC-8D56-91AFA25CE5FF}" name="UNIDAD" dataDxfId="100"/>
    <tableColumn id="4" xr3:uid="{558C3441-6088-4DB6-B9A3-E7BA1A24CF37}" name="PRECIO" dataDxfId="99"/>
    <tableColumn id="5" xr3:uid="{08073BDB-1B0F-4814-8CC5-2B9FBD7DC5F4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D2C994-6626-4759-87C5-64EFA7C4DEA8}" name="T_trans" displayName="T_trans" ref="S4:W11" totalsRowShown="0" headerRowDxfId="98">
  <autoFilter ref="S4:W11" xr:uid="{31D2C994-6626-4759-87C5-64EFA7C4DEA8}"/>
  <sortState xmlns:xlrd2="http://schemas.microsoft.com/office/spreadsheetml/2017/richdata2" ref="S5:W15">
    <sortCondition ref="T4:T15"/>
  </sortState>
  <tableColumns count="5">
    <tableColumn id="1" xr3:uid="{2FF8C2F7-A63F-43DD-A2C8-131A451AB6D3}" name="DESCRIPCIÓN" dataDxfId="97"/>
    <tableColumn id="2" xr3:uid="{6CA67687-C4C7-4D45-80CC-B974173BAF26}" name="CÓDIGO" dataDxfId="96"/>
    <tableColumn id="3" xr3:uid="{E567B84B-DD78-4D3A-A4A8-62F56C9037E1}" name="UNIDAD" dataDxfId="95"/>
    <tableColumn id="4" xr3:uid="{95B11736-EF1B-462D-89BC-740345733D60}" name="PRECIO" dataDxfId="94"/>
    <tableColumn id="5" xr3:uid="{0942BB87-C63C-48CA-B13C-B64F6AB4BFDA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A989305-1A33-4D3D-AF43-18651FCDFEA8}" name="T_sub" displayName="T_sub" ref="Y4:AC11" totalsRowShown="0" headerRowDxfId="93">
  <autoFilter ref="Y4:AC11" xr:uid="{7A989305-1A33-4D3D-AF43-18651FCDFEA8}"/>
  <sortState xmlns:xlrd2="http://schemas.microsoft.com/office/spreadsheetml/2017/richdata2" ref="Y5:AC18">
    <sortCondition ref="Z4"/>
  </sortState>
  <tableColumns count="5">
    <tableColumn id="1" xr3:uid="{2CFD0838-E716-4F3F-B0E0-CA9136FEF910}" name="DESCRIPCIÓN" dataDxfId="92"/>
    <tableColumn id="2" xr3:uid="{5474709D-E8D6-42DE-86B9-894F96537C2A}" name="CÓDIGO" dataDxfId="91"/>
    <tableColumn id="3" xr3:uid="{86A0DA5C-202B-413D-97C9-8C51EA785B90}" name="UNIDAD" dataDxfId="90"/>
    <tableColumn id="4" xr3:uid="{A1823461-9988-4B02-B180-F8A2CC68B416}" name="PRECIO" dataDxfId="89"/>
    <tableColumn id="5" xr3:uid="{D71BEAF6-AD8E-4B39-8EA9-70E8D7FD42F8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F99BFF-C59B-4E65-999B-1F97FF996CC2}" name="T_otros" displayName="T_otros" ref="AK4:AO11" totalsRowShown="0" headerRowDxfId="88">
  <autoFilter ref="AK4:AO11" xr:uid="{B9F99BFF-C59B-4E65-999B-1F97FF996CC2}"/>
  <sortState xmlns:xlrd2="http://schemas.microsoft.com/office/spreadsheetml/2017/richdata2" ref="AK5:AO18">
    <sortCondition ref="AL4"/>
  </sortState>
  <tableColumns count="5">
    <tableColumn id="1" xr3:uid="{5B8FE7AB-986A-40BF-A762-E9F4E4EFFF75}" name="DESCRIPCIÓN" dataDxfId="87"/>
    <tableColumn id="2" xr3:uid="{ADCB8C7D-B782-4E46-B97D-B1A52862A7BB}" name="CÓDIGO" dataDxfId="86"/>
    <tableColumn id="3" xr3:uid="{103AC8E6-DCE9-48FE-8A46-313DA46B48F9}" name="UNIDAD" dataDxfId="85"/>
    <tableColumn id="4" xr3:uid="{05D17D65-510F-4691-B8E6-4319E57CBE1B}" name="PRECIO" dataDxfId="84"/>
    <tableColumn id="5" xr3:uid="{48DDFC48-BF64-45AD-A9EF-26CE73A6F6AF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B7C5848-DA90-4D18-9665-449BF648B58E}" name="T_act" displayName="T_act" ref="AE4:AI11" totalsRowShown="0" headerRowDxfId="83">
  <autoFilter ref="AE4:AI11" xr:uid="{1B7C5848-DA90-4D18-9665-449BF648B58E}"/>
  <sortState xmlns:xlrd2="http://schemas.microsoft.com/office/spreadsheetml/2017/richdata2" ref="AE5:AI15">
    <sortCondition ref="AE4:AE15"/>
  </sortState>
  <tableColumns count="5">
    <tableColumn id="1" xr3:uid="{CDCF99D9-445E-40BF-8B34-B2D930ABA465}" name="DESCRIPCIÓN" dataDxfId="82"/>
    <tableColumn id="2" xr3:uid="{693861C4-C1EF-4DC2-8B33-63A6DEEA520B}" name="CÓDIGO" dataDxfId="81"/>
    <tableColumn id="3" xr3:uid="{352EE5E8-E5F3-4884-B9BE-9CF01AAC0774}" name="UNIDAD" dataDxfId="80"/>
    <tableColumn id="4" xr3:uid="{EDA26071-671A-4A20-B7EE-983BD065D3A4}" name="PRECIO" dataDxfId="79"/>
    <tableColumn id="5" xr3:uid="{E30FAF65-D4DA-487F-A747-8B65E54BE52C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0A7426-9DBF-4B7C-9F0B-943277A7A76E}" name="Tabla3" displayName="Tabla3" ref="A4:H8" totalsRowCount="1">
  <autoFilter ref="A4:H7" xr:uid="{600A7426-9DBF-4B7C-9F0B-943277A7A7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C3F5A-14A2-4858-A091-ECFB7A522802}" name="TIPO" totalsRowLabel="Total"/>
    <tableColumn id="2" xr3:uid="{9B778AD2-1CA9-45DF-B294-9897BB209AA2}" name="CÓDIGO"/>
    <tableColumn id="3" xr3:uid="{01B9ED0D-D1BF-4CC6-8E85-5097460DAB8D}" name="DESCRIPCIÓN"/>
    <tableColumn id="4" xr3:uid="{629BD95C-309B-44FE-A7DB-5ECE093A2876}" name="UNIDAD" dataDxfId="17"/>
    <tableColumn id="5" xr3:uid="{3F2AD854-4197-409E-866A-2058B6283753}" name="FACTOR" dataDxfId="16"/>
    <tableColumn id="6" xr3:uid="{0C499F90-1C44-4559-BD29-E01A58DF4979}" name="CANTIDAD" dataDxfId="15"/>
    <tableColumn id="7" xr3:uid="{FF4CBA76-C3B7-4916-9710-A8B58208E564}" name="PRECIO" dataDxfId="14" totalsRowDxfId="12"/>
    <tableColumn id="8" xr3:uid="{1C30CFBF-9D59-4E2C-9A69-5304257E8675}" name="TOTAL" totalsRowFunction="custom" dataDxfId="13" totalsRowDxfId="11"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5147E-5FF5-40A9-B038-76187725E6D3}" name="Tabla2" displayName="Tabla2" ref="A4:H8" totalsRowCount="1">
  <autoFilter ref="A4:H7" xr:uid="{FB15147E-5FF5-40A9-B038-76187725E6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ED94201-4288-4A00-9302-050A1ED47D62}" name="TIPO" totalsRowLabel="Total"/>
    <tableColumn id="2" xr3:uid="{1193B0C1-B052-4381-81D9-0EA969F3ECBF}" name="CÓDIGO"/>
    <tableColumn id="3" xr3:uid="{E654EFA8-C213-499D-A4B5-2C1F7F9880CC}" name="DESCRIPCIÓN"/>
    <tableColumn id="4" xr3:uid="{2CCA0049-47A5-4AA8-81FA-1383E8170991}" name="UNIDAD" dataDxfId="78"/>
    <tableColumn id="5" xr3:uid="{E4D3B87D-E1D4-4A3E-BF98-EC90FA91CA94}" name="FACTOR" dataDxfId="77">
      <calculatedColumnFormula>1</calculatedColumnFormula>
    </tableColumn>
    <tableColumn id="6" xr3:uid="{99705CB0-3360-46ED-BB94-876BA81FFB01}" name="CANTIDAD" dataDxfId="76"/>
    <tableColumn id="7" xr3:uid="{2AE67B4D-919D-4206-BFF7-D3A7C8B37D7D}" name="PRECIO" dataDxfId="75" totalsRowDxfId="10"/>
    <tableColumn id="8" xr3:uid="{02D1CF9E-C265-4BD5-BB86-443D81C16F34}" name="TOTAL" totalsRowFunction="custom" dataDxfId="74" totalsRowDxfId="9">
      <calculatedColumnFormula>Tabla2[[#This Row],[CANTIDAD]]*Tabla2[[#This Row],[PRECIO]]*Tabla2[[#This Row],[FACTOR]]</calculatedColumnFormula>
      <totalsRowFormula>SUM(Tabla2[TOTAL])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CC0D9A-939A-40B7-B22C-D07C8CB00D16}" name="Tabla4" displayName="Tabla4" ref="A12:H16" totalsRowCount="1">
  <autoFilter ref="A12:H15" xr:uid="{81CC0D9A-939A-40B7-B22C-D07C8CB00D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670818A-AD35-4D1B-833E-2791B431C3AB}" name="TIPO" totalsRowLabel="Total"/>
    <tableColumn id="2" xr3:uid="{4D82CAB5-0416-48AA-8DA4-EF3B34B5C4ED}" name="CÓDIGO"/>
    <tableColumn id="3" xr3:uid="{9E62A2AD-2060-4AC9-9497-59D28D2404ED}" name="DESCRIPCIÓN"/>
    <tableColumn id="4" xr3:uid="{CD920A2A-999F-47C1-8743-E0BD473B4537}" name="UNIDAD" dataDxfId="73"/>
    <tableColumn id="5" xr3:uid="{AA54454E-1102-4600-9A4C-045A08C907D3}" name="FACTOR" dataDxfId="72">
      <calculatedColumnFormula>1</calculatedColumnFormula>
    </tableColumn>
    <tableColumn id="6" xr3:uid="{20A96EFD-973D-4D6B-81DE-23ECED0159E9}" name="CANTIDAD" dataDxfId="71"/>
    <tableColumn id="7" xr3:uid="{EC92D030-169C-4EBD-9E05-9926612F3280}" name="PRECIO" dataDxfId="70" totalsRowDxfId="8"/>
    <tableColumn id="8" xr3:uid="{A28AB329-4574-43B6-BE1B-62CC24D3281D}" name="TOTAL" totalsRowFunction="custom" dataDxfId="69" totalsRowDxfId="7">
      <calculatedColumnFormula>Tabla4[[#This Row],[CANTIDAD]]*Tabla4[[#This Row],[PRECIO]]*Tabla4[[#This Row],[FACTOR]]</calculatedColumnFormula>
      <totalsRowFormula>SUM(Tabla4[TOTAL])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4EF17C5-FB53-42E1-B963-33F995F5E72C}" name="Tabla7" displayName="Tabla7" ref="B4:H10" totalsRowCount="1" headerRowDxfId="68" dataDxfId="67" totalsRowDxfId="66">
  <autoFilter ref="B4:H9" xr:uid="{34EF17C5-FB53-42E1-B963-33F995F5E7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7341945-73EE-43BB-A263-0C2F03C93743}" name="CÓDIGO" totalsRowLabel="Total" dataDxfId="65" totalsRowDxfId="6"/>
    <tableColumn id="2" xr3:uid="{6496F09C-BA35-473D-82FE-D4B215D99EEA}" name="DESCRIPCIÓN" dataDxfId="64" totalsRowDxfId="5"/>
    <tableColumn id="3" xr3:uid="{0BB1DF6F-F534-408C-BD13-7A95370BCE99}" name="UNIDAD" dataDxfId="63" totalsRowDxfId="4"/>
    <tableColumn id="4" xr3:uid="{99895A69-0954-43EF-A934-969241B24366}" name="FACTOR" dataDxfId="62" totalsRowDxfId="3"/>
    <tableColumn id="5" xr3:uid="{354DCC26-6E82-46CA-B448-D4C5C2B3DBD3}" name="CANTIDAD" dataDxfId="61" totalsRowDxfId="2"/>
    <tableColumn id="6" xr3:uid="{62A49B5D-C102-4309-B045-5A20594609D0}" name="COSTO" dataDxfId="60" totalsRowDxfId="1"/>
    <tableColumn id="7" xr3:uid="{5ECEFDEB-7E7D-4CB7-929B-95A0C16BB792}" name="TOTAL" totalsRowFunction="custom" dataDxfId="59" totalsRowDxfId="0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3FFA02-96B4-4895-B089-E28503B73BB6}" name="Tabla12" displayName="Tabla12" ref="B14:E18" totalsRowShown="0" headerRowDxfId="58" dataDxfId="57">
  <autoFilter ref="B14:E18" xr:uid="{043FFA02-96B4-4895-B089-E28503B73BB6}">
    <filterColumn colId="0" hiddenButton="1"/>
    <filterColumn colId="1" hiddenButton="1"/>
    <filterColumn colId="2" hiddenButton="1"/>
    <filterColumn colId="3" hiddenButton="1"/>
  </autoFilter>
  <tableColumns count="4">
    <tableColumn id="1" xr3:uid="{E4C91019-7607-43DF-A249-EB7D0CE8D2CA}" name="CÓD" dataDxfId="56"/>
    <tableColumn id="2" xr3:uid="{19DD6E3D-756B-4E42-9033-0BCEABFA8EB5}" name="CAPÍTULO" dataDxfId="55"/>
    <tableColumn id="3" xr3:uid="{FC96FD05-4775-4EFF-844B-A5403A993CFE}" name="PORCENTAJE" dataDxfId="54"/>
    <tableColumn id="4" xr3:uid="{1ADEB4D2-1280-4A0A-842B-6F22A86A36AB}" name="SUBTOTAL" dataDxfId="53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6C235E8-8A76-4756-BD2D-0B296EC800AA}" name="Tabla13" displayName="Tabla13" ref="C21:E28" totalsRowShown="0" headerRowDxfId="52" dataDxfId="51">
  <autoFilter ref="C21:E28" xr:uid="{36C235E8-8A76-4756-BD2D-0B296EC800AA}">
    <filterColumn colId="0" hiddenButton="1"/>
    <filterColumn colId="1" hiddenButton="1"/>
    <filterColumn colId="2" hiddenButton="1"/>
  </autoFilter>
  <tableColumns count="3">
    <tableColumn id="1" xr3:uid="{E3894D35-62BE-4F36-AB8D-53EF395578EF}" name="DESCRIPCIÓN" dataDxfId="50"/>
    <tableColumn id="2" xr3:uid="{66EBEF3D-9695-40C8-B126-6669D3663D26}" name="PORCENTAJE" dataDxfId="49"/>
    <tableColumn id="3" xr3:uid="{CD81F62D-DCCE-4EA5-9DE3-2E969A23EA7F}" name="SUBTOTAL" dataDxfId="48"/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47" dataDxfId="45" headerRowBorderDxfId="46" tableBorderDxfId="44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43" totalsRowDxfId="42"/>
    <tableColumn id="2" xr3:uid="{00000000-0010-0000-0C00-000002000000}" name="CÓDIGO" totalsRowDxfId="41"/>
    <tableColumn id="3" xr3:uid="{00000000-0010-0000-0C00-000003000000}" name="UNIDAD " totalsRowDxfId="40"/>
    <tableColumn id="4" xr3:uid="{00000000-0010-0000-0C00-000004000000}" name="COSTO" dataDxfId="39" totalsRowDxfId="38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37" dataDxfId="36" tableBorderDxfId="35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34" totalsRowDxfId="33"/>
    <tableColumn id="2" xr3:uid="{00000000-0010-0000-0D00-000002000000}" name="CÓDIGO" totalsRowDxfId="32"/>
    <tableColumn id="3" xr3:uid="{00000000-0010-0000-0D00-000003000000}" name="UNIDAD " totalsRowDxfId="31"/>
    <tableColumn id="4" xr3:uid="{00000000-0010-0000-0D00-000004000000}" name="COSTO" dataDxfId="30" totalsRowDxfId="29"/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7" totalsRowCount="1" headerRowDxfId="28" totalsRowDxfId="27">
  <autoFilter ref="A2:E6" xr:uid="{00000000-0009-0000-0100-000001000000}"/>
  <sortState xmlns:xlrd2="http://schemas.microsoft.com/office/spreadsheetml/2017/richdata2" ref="A3:E76">
    <sortCondition ref="A2:A76"/>
  </sortState>
  <tableColumns count="5">
    <tableColumn id="1" xr3:uid="{00000000-0010-0000-0E00-000001000000}" name="INSUMO" totalsRowLabel="Total" totalsRowDxfId="26"/>
    <tableColumn id="2" xr3:uid="{00000000-0010-0000-0E00-000002000000}" name="UNIDAD" dataDxfId="25" totalsRowDxfId="24"/>
    <tableColumn id="3" xr3:uid="{00000000-0010-0000-0E00-000003000000}" name="PRECIO" dataDxfId="23" totalsRowDxfId="22"/>
    <tableColumn id="4" xr3:uid="{00000000-0010-0000-0E00-000004000000}" name="CANTIDAD" dataDxfId="21" totalsRowDxfId="20"/>
    <tableColumn id="5" xr3:uid="{00000000-0010-0000-0E00-000005000000}" name="TOTAL" totalsRowFunction="sum" dataDxfId="19" totalsRowDxfId="18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Normal="100" zoomScaleSheetLayoutView="50" workbookViewId="0">
      <selection activeCell="G8" sqref="G8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2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66" t="s">
        <v>34</v>
      </c>
      <c r="B1" s="66"/>
      <c r="C1" s="66"/>
      <c r="D1" s="66"/>
      <c r="E1" s="66"/>
    </row>
    <row r="2" spans="1:43" ht="3" customHeight="1" thickBot="1" x14ac:dyDescent="0.35"/>
    <row r="3" spans="1:43" ht="18.600000000000001" thickBot="1" x14ac:dyDescent="0.4">
      <c r="A3" s="67" t="s">
        <v>4</v>
      </c>
      <c r="B3" s="68"/>
      <c r="C3" s="68"/>
      <c r="D3" s="68"/>
      <c r="E3" s="69"/>
      <c r="G3" s="67" t="s">
        <v>5</v>
      </c>
      <c r="H3" s="68"/>
      <c r="I3" s="68"/>
      <c r="J3" s="68"/>
      <c r="K3" s="69"/>
      <c r="M3" s="67" t="s">
        <v>6</v>
      </c>
      <c r="N3" s="68"/>
      <c r="O3" s="68"/>
      <c r="P3" s="68"/>
      <c r="Q3" s="69"/>
      <c r="S3" s="67" t="s">
        <v>7</v>
      </c>
      <c r="T3" s="68"/>
      <c r="U3" s="68"/>
      <c r="V3" s="68"/>
      <c r="W3" s="69"/>
      <c r="Y3" s="67" t="s">
        <v>8</v>
      </c>
      <c r="Z3" s="68"/>
      <c r="AA3" s="68"/>
      <c r="AB3" s="68"/>
      <c r="AC3" s="69"/>
      <c r="AD3" s="18"/>
      <c r="AE3" s="67" t="s">
        <v>9</v>
      </c>
      <c r="AF3" s="68"/>
      <c r="AG3" s="68"/>
      <c r="AH3" s="68"/>
      <c r="AI3" s="69"/>
      <c r="AK3" s="67" t="s">
        <v>10</v>
      </c>
      <c r="AL3" s="68"/>
      <c r="AM3" s="68"/>
      <c r="AN3" s="68"/>
      <c r="AO3" s="69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52</v>
      </c>
      <c r="B5" s="20"/>
      <c r="C5" s="21" t="s">
        <v>53</v>
      </c>
      <c r="D5" s="45">
        <v>2694</v>
      </c>
      <c r="E5" s="47"/>
      <c r="G5" s="20" t="s">
        <v>42</v>
      </c>
      <c r="H5" s="20"/>
      <c r="I5" s="21" t="s">
        <v>43</v>
      </c>
      <c r="J5" s="45">
        <v>100000</v>
      </c>
      <c r="K5" s="47"/>
      <c r="M5" s="20" t="s">
        <v>58</v>
      </c>
      <c r="N5" s="20"/>
      <c r="O5" s="21" t="s">
        <v>59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46</v>
      </c>
      <c r="B6" s="20"/>
      <c r="C6" s="21" t="s">
        <v>47</v>
      </c>
      <c r="D6" s="45">
        <v>25</v>
      </c>
      <c r="E6" s="22"/>
      <c r="G6" s="20" t="s">
        <v>60</v>
      </c>
      <c r="H6" s="20"/>
      <c r="I6" s="21" t="s">
        <v>61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54</v>
      </c>
      <c r="B7" s="20"/>
      <c r="C7" s="21" t="s">
        <v>53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55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56</v>
      </c>
      <c r="B9" s="20"/>
      <c r="C9" s="21" t="s">
        <v>53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57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22"/>
  <sheetViews>
    <sheetView showGridLines="0" topLeftCell="B1" zoomScale="110" zoomScaleNormal="110" zoomScaleSheetLayoutView="110" workbookViewId="0">
      <selection activeCell="A4" sqref="A4:A8"/>
    </sheetView>
  </sheetViews>
  <sheetFormatPr baseColWidth="10" defaultRowHeight="14.4" outlineLevelRow="1" x14ac:dyDescent="0.3"/>
  <cols>
    <col min="1" max="1" width="11.7773437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7" width="8.77734375" style="19" bestFit="1" customWidth="1"/>
    <col min="8" max="8" width="10.21875" style="19" bestFit="1" customWidth="1"/>
    <col min="9" max="9" width="1.33203125" customWidth="1"/>
  </cols>
  <sheetData>
    <row r="1" spans="1:8" ht="30" customHeight="1" x14ac:dyDescent="0.3">
      <c r="A1" s="70" t="s">
        <v>35</v>
      </c>
      <c r="B1" s="70"/>
      <c r="C1" s="70"/>
      <c r="D1" s="70"/>
      <c r="E1" s="70"/>
      <c r="F1" s="70"/>
      <c r="G1" s="70"/>
      <c r="H1" s="70"/>
    </row>
    <row r="2" spans="1:8" ht="15" thickBot="1" x14ac:dyDescent="0.35">
      <c r="G2"/>
      <c r="H2"/>
    </row>
    <row r="3" spans="1:8" ht="15" thickBot="1" x14ac:dyDescent="0.35">
      <c r="A3" s="56" t="s">
        <v>19</v>
      </c>
      <c r="B3" s="79" t="s">
        <v>64</v>
      </c>
      <c r="C3" s="79"/>
      <c r="D3" s="79"/>
      <c r="E3" s="79"/>
      <c r="F3" s="79"/>
      <c r="G3" s="79"/>
      <c r="H3" s="57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VLOOKUP(Tabla3[[#This Row],[DESCRIPCIÓN]],T_mat[[DESCRIPCIÓN]:[PRECIO]],2,FALSE)</f>
        <v>0</v>
      </c>
      <c r="C5" t="s">
        <v>55</v>
      </c>
      <c r="D5" s="18" t="str">
        <f>VLOOKUP(Tabla3[[#This Row],[DESCRIPCIÓN]],T_mat[[DESCRIPCIÓN]:[PRECIO]],3,FALSE)</f>
        <v>m3</v>
      </c>
      <c r="E5" s="55">
        <f>1</f>
        <v>1</v>
      </c>
      <c r="F5" s="55">
        <v>20</v>
      </c>
      <c r="G5" s="35">
        <f>VLOOKUP(Tabla3[[#This Row],[DESCRIPCIÓN]],T_mat[[DESCRIPCIÓN]:[PRECIO]],4,FALSE)</f>
        <v>285000</v>
      </c>
      <c r="H5" s="35">
        <f>Tabla3[[#This Row],[CANTIDAD]]*Tabla3[[#This Row],[PRECIO]]*Tabla3[[#This Row],[FACTOR]]</f>
        <v>5700000</v>
      </c>
    </row>
    <row r="6" spans="1:8" outlineLevel="1" x14ac:dyDescent="0.3">
      <c r="D6" s="18"/>
      <c r="E6" s="55">
        <f>1</f>
        <v>1</v>
      </c>
      <c r="F6" s="55"/>
      <c r="G6" s="35"/>
      <c r="H6" s="35">
        <f>Tabla3[[#This Row],[CANTIDAD]]*Tabla3[[#This Row],[PRECIO]]*Tabla3[[#This Row],[FACTOR]]</f>
        <v>0</v>
      </c>
    </row>
    <row r="7" spans="1:8" outlineLevel="1" x14ac:dyDescent="0.3">
      <c r="D7" s="18"/>
      <c r="E7" s="55">
        <f>1</f>
        <v>1</v>
      </c>
      <c r="F7" s="55"/>
      <c r="G7" s="35"/>
      <c r="H7" s="35">
        <f>Tabla3[[#This Row],[CANTIDAD]]*Tabla3[[#This Row],[PRECIO]]*Tabla3[[#This Row],[FACTOR]]</f>
        <v>0</v>
      </c>
    </row>
    <row r="8" spans="1:8" x14ac:dyDescent="0.3">
      <c r="A8" t="s">
        <v>18</v>
      </c>
      <c r="G8" s="35"/>
      <c r="H8" s="35">
        <f>SUM(Tabla3[TOTAL])</f>
        <v>5700000</v>
      </c>
    </row>
    <row r="9" spans="1:8" x14ac:dyDescent="0.3">
      <c r="G9"/>
      <c r="H9"/>
    </row>
    <row r="10" spans="1:8" x14ac:dyDescent="0.3">
      <c r="G10"/>
      <c r="H10"/>
    </row>
    <row r="11" spans="1:8" x14ac:dyDescent="0.3">
      <c r="G11"/>
      <c r="H11"/>
    </row>
    <row r="12" spans="1:8" x14ac:dyDescent="0.3">
      <c r="G12"/>
      <c r="H12"/>
    </row>
    <row r="13" spans="1:8" x14ac:dyDescent="0.3">
      <c r="G13"/>
      <c r="H13"/>
    </row>
    <row r="14" spans="1:8" x14ac:dyDescent="0.3">
      <c r="G14"/>
      <c r="H14"/>
    </row>
    <row r="15" spans="1:8" x14ac:dyDescent="0.3">
      <c r="G15"/>
      <c r="H15"/>
    </row>
    <row r="16" spans="1:8" x14ac:dyDescent="0.3">
      <c r="G16"/>
      <c r="H16"/>
    </row>
    <row r="17" spans="7:8" x14ac:dyDescent="0.3">
      <c r="G17"/>
      <c r="H17"/>
    </row>
    <row r="18" spans="7:8" x14ac:dyDescent="0.3">
      <c r="G18"/>
      <c r="H18"/>
    </row>
    <row r="19" spans="7:8" x14ac:dyDescent="0.3">
      <c r="G19"/>
      <c r="H19"/>
    </row>
    <row r="20" spans="7:8" x14ac:dyDescent="0.3">
      <c r="G20"/>
      <c r="H20"/>
    </row>
    <row r="21" spans="7:8" x14ac:dyDescent="0.3">
      <c r="G21"/>
      <c r="H21"/>
    </row>
    <row r="22" spans="7:8" x14ac:dyDescent="0.3">
      <c r="G22"/>
      <c r="H22"/>
    </row>
  </sheetData>
  <mergeCells count="1">
    <mergeCell ref="A1:H1"/>
  </mergeCells>
  <dataValidations count="2">
    <dataValidation type="list" allowBlank="1" showInputMessage="1" showErrorMessage="1" sqref="A5 A6 A7" xr:uid="{5EBCFABB-0073-41C2-A315-A92BB3F45F70}">
      <formula1>"MATERIALES,EQUIPOS,MANO DE OBRA,TRANSPORTE,SUBCONTRATOS,ACTIVIDADES,OTROS"</formula1>
    </dataValidation>
    <dataValidation type="list" allowBlank="1" showInputMessage="1" showErrorMessage="1" sqref="C5" xr:uid="{3344E7EA-FAD9-4937-9E6A-B5BAC1F18F9D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2"/>
  <sheetViews>
    <sheetView showGridLines="0" showWhiteSpace="0" topLeftCell="A4" zoomScale="110" zoomScaleNormal="110" zoomScaleSheetLayoutView="110" workbookViewId="0">
      <selection activeCell="C13" sqref="C13"/>
    </sheetView>
  </sheetViews>
  <sheetFormatPr baseColWidth="10" defaultColWidth="11.44140625" defaultRowHeight="14.4" outlineLevelRow="1" x14ac:dyDescent="0.3"/>
  <cols>
    <col min="1" max="1" width="12.44140625" bestFit="1" customWidth="1"/>
    <col min="2" max="2" width="14.109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7" width="10.21875" style="19" bestFit="1" customWidth="1"/>
    <col min="8" max="8" width="12.21875" style="19" bestFit="1" customWidth="1"/>
    <col min="9" max="9" width="1.33203125" customWidth="1"/>
  </cols>
  <sheetData>
    <row r="1" spans="1:8" ht="30" customHeight="1" x14ac:dyDescent="0.3">
      <c r="A1" s="70" t="s">
        <v>36</v>
      </c>
      <c r="B1" s="70"/>
      <c r="C1" s="70"/>
      <c r="D1" s="70"/>
      <c r="E1" s="70"/>
      <c r="F1" s="70"/>
      <c r="G1" s="70"/>
      <c r="H1" s="70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8" t="s">
        <v>19</v>
      </c>
      <c r="B3" s="71" t="s">
        <v>51</v>
      </c>
      <c r="C3" s="72"/>
      <c r="D3" s="72"/>
      <c r="E3" s="72"/>
      <c r="F3" s="72"/>
      <c r="G3" s="73"/>
      <c r="H3" s="60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49</v>
      </c>
      <c r="B5" t="str">
        <f>VLOOKUP(Tabla2[[#This Row],[DESCRIPCIÓN]],T_basico[[DESCRIPCIÓN]:[COSTO]],2,FALSE)</f>
        <v>CÓD</v>
      </c>
      <c r="C5" t="s">
        <v>64</v>
      </c>
      <c r="D5" s="18" t="str">
        <f>VLOOKUP(Tabla2[[#This Row],[DESCRIPCIÓN]],T_basico[[DESCRIPCIÓN]:[COSTO]],3,FALSE)</f>
        <v>UND</v>
      </c>
      <c r="E5" s="55">
        <f>1</f>
        <v>1</v>
      </c>
      <c r="F5" s="55">
        <v>20</v>
      </c>
      <c r="G5" s="35">
        <f>VLOOKUP(Tabla2[[#This Row],[DESCRIPCIÓN]],T_basico[[DESCRIPCIÓN]:[COSTO]],4,FALSE)</f>
        <v>5700000</v>
      </c>
      <c r="H5" s="35">
        <f>Tabla2[[#This Row],[CANTIDAD]]*Tabla2[[#This Row],[PRECIO]]*Tabla2[[#This Row],[FACTOR]]</f>
        <v>114000000</v>
      </c>
    </row>
    <row r="6" spans="1:8" outlineLevel="1" x14ac:dyDescent="0.3">
      <c r="D6" s="18"/>
      <c r="E6" s="55">
        <f>1</f>
        <v>1</v>
      </c>
      <c r="F6" s="55"/>
      <c r="G6" s="35"/>
      <c r="H6" s="35">
        <f>Tabla2[[#This Row],[CANTIDAD]]*Tabla2[[#This Row],[PRECIO]]*Tabla2[[#This Row],[FACTOR]]</f>
        <v>0</v>
      </c>
    </row>
    <row r="7" spans="1:8" outlineLevel="1" x14ac:dyDescent="0.3">
      <c r="D7" s="18"/>
      <c r="E7" s="55">
        <f>1</f>
        <v>1</v>
      </c>
      <c r="F7" s="55"/>
      <c r="G7" s="35"/>
      <c r="H7" s="35">
        <f>Tabla2[[#This Row],[CANTIDAD]]*Tabla2[[#This Row],[PRECIO]]*Tabla2[[#This Row],[FACTOR]]</f>
        <v>0</v>
      </c>
    </row>
    <row r="8" spans="1:8" x14ac:dyDescent="0.3">
      <c r="A8" t="s">
        <v>18</v>
      </c>
      <c r="G8" s="35"/>
      <c r="H8" s="35">
        <f>SUM(Tabla2[TOTAL])</f>
        <v>114000000</v>
      </c>
    </row>
    <row r="9" spans="1:8" x14ac:dyDescent="0.3">
      <c r="G9"/>
      <c r="H9"/>
    </row>
    <row r="10" spans="1:8" ht="15" thickBot="1" x14ac:dyDescent="0.35">
      <c r="G10"/>
      <c r="H10"/>
    </row>
    <row r="11" spans="1:8" ht="15" thickBot="1" x14ac:dyDescent="0.35">
      <c r="A11" s="58" t="s">
        <v>19</v>
      </c>
      <c r="B11" s="59" t="s">
        <v>41</v>
      </c>
      <c r="C11" s="59"/>
      <c r="D11" s="59"/>
      <c r="E11" s="59"/>
      <c r="F11" s="59"/>
      <c r="G11" s="59"/>
      <c r="H11" s="60" t="s">
        <v>38</v>
      </c>
    </row>
    <row r="12" spans="1:8" outlineLevel="1" x14ac:dyDescent="0.3">
      <c r="A12" t="s">
        <v>14</v>
      </c>
      <c r="B12" t="s">
        <v>0</v>
      </c>
      <c r="C12" t="s">
        <v>1</v>
      </c>
      <c r="D12" t="s">
        <v>11</v>
      </c>
      <c r="E12" t="s">
        <v>15</v>
      </c>
      <c r="F12" t="s">
        <v>16</v>
      </c>
      <c r="G12" t="s">
        <v>12</v>
      </c>
      <c r="H12" t="s">
        <v>17</v>
      </c>
    </row>
    <row r="13" spans="1:8" outlineLevel="1" x14ac:dyDescent="0.3">
      <c r="A13" s="25" t="s">
        <v>4</v>
      </c>
      <c r="B13">
        <f>VLOOKUP(Tabla4[[#This Row],[DESCRIPCIÓN]],T_mat[[DESCRIPCIÓN]:[PRECIO]],2,FALSE)</f>
        <v>0</v>
      </c>
      <c r="C13" t="s">
        <v>56</v>
      </c>
      <c r="D13" s="18" t="str">
        <f>VLOOKUP(Tabla4[[#This Row],[DESCRIPCIÓN]],T_mat[[DESCRIPCIÓN]:[PRECIO]],3,FALSE)</f>
        <v>kg</v>
      </c>
      <c r="E13" s="55">
        <f>1</f>
        <v>1</v>
      </c>
      <c r="F13" s="55"/>
      <c r="G13" s="35">
        <f>VLOOKUP(Tabla4[[#This Row],[DESCRIPCIÓN]],T_mat[[DESCRIPCIÓN]:[PRECIO]],4,FALSE)</f>
        <v>486</v>
      </c>
      <c r="H13" s="35">
        <f>Tabla4[[#This Row],[CANTIDAD]]*Tabla4[[#This Row],[PRECIO]]*Tabla4[[#This Row],[FACTOR]]</f>
        <v>0</v>
      </c>
    </row>
    <row r="14" spans="1:8" outlineLevel="1" x14ac:dyDescent="0.3">
      <c r="D14" s="18"/>
      <c r="E14" s="55">
        <f>1</f>
        <v>1</v>
      </c>
      <c r="F14" s="55"/>
      <c r="G14" s="35"/>
      <c r="H14" s="35">
        <f>Tabla4[[#This Row],[CANTIDAD]]*Tabla4[[#This Row],[PRECIO]]*Tabla4[[#This Row],[FACTOR]]</f>
        <v>0</v>
      </c>
    </row>
    <row r="15" spans="1:8" outlineLevel="1" x14ac:dyDescent="0.3">
      <c r="D15" s="18"/>
      <c r="E15" s="55">
        <f>1</f>
        <v>1</v>
      </c>
      <c r="F15" s="55"/>
      <c r="G15" s="35"/>
      <c r="H15" s="35">
        <f>Tabla4[[#This Row],[CANTIDAD]]*Tabla4[[#This Row],[PRECIO]]*Tabla4[[#This Row],[FACTOR]]</f>
        <v>0</v>
      </c>
    </row>
    <row r="16" spans="1:8" x14ac:dyDescent="0.3">
      <c r="A16" t="s">
        <v>18</v>
      </c>
      <c r="G16" s="35"/>
      <c r="H16" s="35">
        <f>SUM(Tabla4[TOTAL])</f>
        <v>0</v>
      </c>
    </row>
    <row r="17" spans="1:8" x14ac:dyDescent="0.3">
      <c r="G17"/>
      <c r="H17"/>
    </row>
    <row r="18" spans="1:8" x14ac:dyDescent="0.3">
      <c r="G18"/>
      <c r="H18"/>
    </row>
    <row r="19" spans="1:8" x14ac:dyDescent="0.3">
      <c r="G19"/>
      <c r="H19"/>
    </row>
    <row r="20" spans="1:8" x14ac:dyDescent="0.3">
      <c r="G20"/>
      <c r="H20"/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A28" s="33"/>
      <c r="B28" s="34"/>
      <c r="C28" s="48"/>
      <c r="D28" s="48"/>
      <c r="E28" s="33"/>
      <c r="F28" s="33"/>
      <c r="G28" s="33"/>
      <c r="H28" s="49"/>
    </row>
    <row r="29" spans="1:8" x14ac:dyDescent="0.3">
      <c r="A29" s="33"/>
      <c r="B29" s="34"/>
      <c r="C29" s="48"/>
      <c r="D29" s="48"/>
      <c r="E29" s="33"/>
      <c r="F29" s="33"/>
      <c r="G29" s="33"/>
      <c r="H29" s="49"/>
    </row>
    <row r="30" spans="1:8" x14ac:dyDescent="0.3">
      <c r="G30"/>
      <c r="H30"/>
    </row>
    <row r="31" spans="1:8" x14ac:dyDescent="0.3">
      <c r="A31" s="33"/>
      <c r="B31" s="34"/>
      <c r="C31" s="48"/>
      <c r="D31" s="48"/>
      <c r="E31" s="33"/>
      <c r="F31" s="33"/>
      <c r="G31" s="33"/>
      <c r="H31" s="49"/>
    </row>
    <row r="32" spans="1:8" x14ac:dyDescent="0.3">
      <c r="A32" s="33"/>
      <c r="B32" s="34"/>
      <c r="C32" s="48"/>
      <c r="D32" s="48"/>
      <c r="E32" s="33"/>
      <c r="F32" s="33"/>
      <c r="G32" s="33"/>
      <c r="H32" s="49"/>
    </row>
  </sheetData>
  <mergeCells count="2">
    <mergeCell ref="A1:H1"/>
    <mergeCell ref="B3:G3"/>
  </mergeCells>
  <dataValidations count="3">
    <dataValidation type="list" allowBlank="1" showInputMessage="1" showErrorMessage="1" sqref="A5 A6 A7 A13 A14 A15" xr:uid="{045D00A0-7020-4036-8D6D-759686CD79B3}">
      <formula1>"MATERIALES,EQUIPOS,MANO DE OBRA,TRANSPORTE,SUBCONTRATOS,ACTIVIDADES,OTROS,APU BÁSICOS"</formula1>
    </dataValidation>
    <dataValidation type="list" allowBlank="1" showInputMessage="1" showErrorMessage="1" sqref="C5" xr:uid="{912B2ED3-9AD9-44B4-A300-4C723C347CD8}">
      <formula1>BÁSICOS</formula1>
    </dataValidation>
    <dataValidation type="list" allowBlank="1" showInputMessage="1" showErrorMessage="1" sqref="C13" xr:uid="{3F9FBADF-9F55-445A-8C2C-80E39513531E}">
      <formula1>MATERIALES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abSelected="1" topLeftCell="B13" zoomScale="90" zoomScaleNormal="90" zoomScaleSheetLayoutView="90" workbookViewId="0">
      <selection activeCell="C5" sqref="C5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4.5546875" style="37" bestFit="1" customWidth="1"/>
    <col min="5" max="5" width="14.88671875" style="38" bestFit="1" customWidth="1"/>
    <col min="6" max="6" width="14.21875" style="38" bestFit="1" customWidth="1"/>
    <col min="7" max="8" width="14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74" t="s">
        <v>37</v>
      </c>
      <c r="C1" s="74"/>
      <c r="D1" s="74"/>
      <c r="E1" s="74"/>
      <c r="F1" s="74"/>
      <c r="G1" s="74"/>
      <c r="H1" s="74"/>
    </row>
    <row r="2" spans="2:8" ht="15.6" thickBot="1" x14ac:dyDescent="0.3"/>
    <row r="3" spans="2:8" ht="16.2" thickBot="1" x14ac:dyDescent="0.3">
      <c r="B3" s="75" t="s">
        <v>20</v>
      </c>
      <c r="C3" s="76"/>
      <c r="D3" s="76"/>
      <c r="E3" s="76"/>
      <c r="F3" s="76"/>
      <c r="G3" s="77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61" t="s">
        <v>51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114000000</v>
      </c>
      <c r="H5" s="38">
        <f>Tabla7[[#This Row],[FACTOR]]*Tabla7[[#This Row],[CANTIDAD]]*Tabla7[[#This Row],[COSTO]]</f>
        <v>456000000</v>
      </c>
    </row>
    <row r="6" spans="2:8" outlineLevel="1" x14ac:dyDescent="0.25">
      <c r="C6" s="61"/>
      <c r="E6" s="38">
        <v>1</v>
      </c>
      <c r="H6" s="38">
        <f>Tabla7[[#This Row],[FACTOR]]*Tabla7[[#This Row],[CANTIDAD]]*Tabla7[[#This Row],[COSTO]]</f>
        <v>0</v>
      </c>
    </row>
    <row r="7" spans="2:8" outlineLevel="1" x14ac:dyDescent="0.25">
      <c r="C7" s="61"/>
      <c r="E7" s="38">
        <v>1</v>
      </c>
      <c r="H7" s="38">
        <f>Tabla7[[#This Row],[FACTOR]]*Tabla7[[#This Row],[CANTIDAD]]*Tabla7[[#This Row],[COSTO]]</f>
        <v>0</v>
      </c>
    </row>
    <row r="8" spans="2:8" outlineLevel="1" x14ac:dyDescent="0.25">
      <c r="C8" s="61"/>
      <c r="E8" s="38">
        <v>1</v>
      </c>
      <c r="H8" s="38">
        <f>Tabla7[[#This Row],[FACTOR]]*Tabla7[[#This Row],[CANTIDAD]]*Tabla7[[#This Row],[COSTO]]</f>
        <v>0</v>
      </c>
    </row>
    <row r="9" spans="2:8" outlineLevel="1" x14ac:dyDescent="0.25">
      <c r="C9" s="61"/>
      <c r="E9" s="38">
        <v>1</v>
      </c>
      <c r="H9" s="38">
        <f>Tabla7[[#This Row],[FACTOR]]*Tabla7[[#This Row],[CANTIDAD]]*Tabla7[[#This Row],[COSTO]]</f>
        <v>0</v>
      </c>
    </row>
    <row r="10" spans="2:8" ht="15.6" x14ac:dyDescent="0.3">
      <c r="B10" s="40" t="s">
        <v>18</v>
      </c>
      <c r="H10" s="41">
        <f>SUM(Tabla7[TOTAL])</f>
        <v>456000000</v>
      </c>
    </row>
    <row r="13" spans="2:8" ht="15.6" x14ac:dyDescent="0.3">
      <c r="F13" s="40"/>
      <c r="G13" s="40"/>
      <c r="H13" s="41"/>
    </row>
    <row r="14" spans="2:8" ht="15.6" x14ac:dyDescent="0.3">
      <c r="B14" s="40" t="s">
        <v>19</v>
      </c>
      <c r="C14" s="52" t="s">
        <v>20</v>
      </c>
      <c r="D14" s="40" t="s">
        <v>21</v>
      </c>
      <c r="E14" s="41" t="s">
        <v>22</v>
      </c>
      <c r="F14" s="37"/>
      <c r="G14" s="37"/>
    </row>
    <row r="15" spans="2:8" x14ac:dyDescent="0.25">
      <c r="B15" s="37" t="str">
        <f>$H$3</f>
        <v>CÓD</v>
      </c>
      <c r="C15" s="51" t="str">
        <f>$B$3</f>
        <v>CAPÍTULO</v>
      </c>
      <c r="D15" s="37">
        <f>(E15)/(E18)</f>
        <v>1</v>
      </c>
      <c r="E15" s="38">
        <f>$H$10</f>
        <v>456000000</v>
      </c>
      <c r="F15" s="37"/>
      <c r="G15" s="37"/>
    </row>
    <row r="16" spans="2:8" x14ac:dyDescent="0.25">
      <c r="F16" s="37"/>
      <c r="G16" s="37"/>
    </row>
    <row r="17" spans="2:7" x14ac:dyDescent="0.25">
      <c r="F17" s="37"/>
      <c r="G17" s="37"/>
    </row>
    <row r="18" spans="2:7" ht="15.6" x14ac:dyDescent="0.3">
      <c r="B18" s="42"/>
      <c r="C18" s="53"/>
      <c r="D18" s="43" t="s">
        <v>30</v>
      </c>
      <c r="E18" s="54">
        <f>SUM(E15:E17)</f>
        <v>456000000</v>
      </c>
    </row>
    <row r="21" spans="2:7" ht="15.6" x14ac:dyDescent="0.3">
      <c r="C21" s="52" t="s">
        <v>1</v>
      </c>
      <c r="D21" s="40" t="s">
        <v>21</v>
      </c>
      <c r="E21" s="41" t="s">
        <v>22</v>
      </c>
    </row>
    <row r="22" spans="2:7" x14ac:dyDescent="0.25">
      <c r="C22" s="51" t="s">
        <v>26</v>
      </c>
      <c r="D22" s="62">
        <v>0</v>
      </c>
      <c r="E22" s="37">
        <f>Tabla13[[#This Row],[PORCENTAJE]]*E18</f>
        <v>0</v>
      </c>
    </row>
    <row r="23" spans="2:7" x14ac:dyDescent="0.25">
      <c r="C23" s="51" t="s">
        <v>27</v>
      </c>
      <c r="D23" s="62">
        <v>0</v>
      </c>
      <c r="E23" s="37">
        <f>Tabla13[[#This Row],[PORCENTAJE]]*E18</f>
        <v>0</v>
      </c>
    </row>
    <row r="24" spans="2:7" x14ac:dyDescent="0.25">
      <c r="C24" s="51" t="s">
        <v>28</v>
      </c>
      <c r="D24" s="62">
        <v>0</v>
      </c>
      <c r="E24" s="37">
        <f>Tabla13[[#This Row],[PORCENTAJE]]*E18</f>
        <v>0</v>
      </c>
    </row>
    <row r="25" spans="2:7" x14ac:dyDescent="0.25">
      <c r="C25" s="51" t="s">
        <v>25</v>
      </c>
      <c r="D25" s="62">
        <v>0</v>
      </c>
      <c r="E25" s="37">
        <f>Tabla13[[#This Row],[PORCENTAJE]]*E24</f>
        <v>0</v>
      </c>
    </row>
    <row r="26" spans="2:7" ht="15.6" x14ac:dyDescent="0.3">
      <c r="D26" s="63" t="s">
        <v>29</v>
      </c>
      <c r="E26" s="40">
        <f>SUM(E22:E25)</f>
        <v>0</v>
      </c>
    </row>
    <row r="27" spans="2:7" x14ac:dyDescent="0.25">
      <c r="E27" s="37"/>
    </row>
    <row r="28" spans="2:7" ht="15.6" x14ac:dyDescent="0.3">
      <c r="D28" s="40" t="s">
        <v>24</v>
      </c>
      <c r="E28" s="40">
        <f>E18+E26</f>
        <v>456000000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FB747661-0F2B-4F74-B78F-9725B3427E44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78" t="s">
        <v>31</v>
      </c>
      <c r="C1" s="78"/>
      <c r="D1" s="78"/>
      <c r="E1" s="78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 t="s">
        <v>63</v>
      </c>
    </row>
    <row r="3" spans="2:7 16200:16200" x14ac:dyDescent="0.3">
      <c r="B3" s="2" t="str">
        <f>BÁSICOS!B3</f>
        <v>basico</v>
      </c>
      <c r="C3" s="4" t="str">
        <f>BÁSICOS!A3</f>
        <v>CÓD</v>
      </c>
      <c r="D3" s="1" t="str">
        <f>BÁSICOS!H3</f>
        <v>UND</v>
      </c>
      <c r="E3" s="5">
        <f>BÁSICOS!H8</f>
        <v>5700000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78" t="s">
        <v>33</v>
      </c>
      <c r="C1" s="78"/>
      <c r="D1" s="78"/>
      <c r="E1" s="78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APU!B11</f>
        <v>NOMBRE A.P.U.</v>
      </c>
      <c r="C3" s="4" t="str">
        <f>APU!A11</f>
        <v>CÓD</v>
      </c>
      <c r="D3" s="1" t="str">
        <f>APU!H11</f>
        <v>UND</v>
      </c>
      <c r="E3" s="5">
        <f>APU!H16</f>
        <v>0</v>
      </c>
    </row>
    <row r="4" spans="2:5" x14ac:dyDescent="0.3">
      <c r="B4" s="2" t="str">
        <f>APU!B3</f>
        <v>Placa de concreto 3000 psi 10cm malla electrosoldada</v>
      </c>
      <c r="C4" s="4" t="str">
        <f>APU!A3</f>
        <v>CÓD</v>
      </c>
      <c r="D4" s="1" t="str">
        <f>APU!H3</f>
        <v>UND</v>
      </c>
      <c r="E4" s="5">
        <f>APU!H8</f>
        <v>114000000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7"/>
  <sheetViews>
    <sheetView showGridLines="0" zoomScale="110" zoomScaleNormal="110" workbookViewId="0">
      <selection activeCell="D3" sqref="D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2.109375" style="19" bestFit="1" customWidth="1"/>
    <col min="8" max="8" width="15.6640625" customWidth="1"/>
  </cols>
  <sheetData>
    <row r="1" spans="1:6" ht="30" customHeight="1" x14ac:dyDescent="0.3">
      <c r="A1" s="78" t="s">
        <v>32</v>
      </c>
      <c r="B1" s="78"/>
      <c r="C1" s="78"/>
      <c r="D1" s="78"/>
      <c r="E1" s="78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40</v>
      </c>
      <c r="B3" s="18" t="s">
        <v>39</v>
      </c>
      <c r="C3" s="19">
        <v>100</v>
      </c>
      <c r="D3" s="29">
        <v>80</v>
      </c>
      <c r="E3" s="19">
        <f>T_materiales[[#This Row],[PRECIO]]*T_materiales[[#This Row],[CANTIDAD]]</f>
        <v>8000</v>
      </c>
    </row>
    <row r="4" spans="1:6" x14ac:dyDescent="0.3">
      <c r="A4" t="s">
        <v>42</v>
      </c>
      <c r="B4" s="18" t="s">
        <v>43</v>
      </c>
      <c r="C4" s="19">
        <v>5</v>
      </c>
      <c r="D4" s="29">
        <v>160</v>
      </c>
      <c r="E4" s="19">
        <f>T_materiales[[#This Row],[PRECIO]]*T_materiales[[#This Row],[CANTIDAD]]</f>
        <v>800</v>
      </c>
    </row>
    <row r="5" spans="1:6" x14ac:dyDescent="0.3">
      <c r="A5" t="s">
        <v>44</v>
      </c>
      <c r="B5" s="18" t="s">
        <v>45</v>
      </c>
      <c r="C5" s="19">
        <v>25</v>
      </c>
      <c r="D5" s="29">
        <v>240</v>
      </c>
      <c r="E5" s="19">
        <f>T_materiales[[#This Row],[PRECIO]]*T_materiales[[#This Row],[CANTIDAD]]</f>
        <v>6000</v>
      </c>
    </row>
    <row r="6" spans="1:6" x14ac:dyDescent="0.3">
      <c r="E6" s="19">
        <f>T_materiales[[#This Row],[PRECIO]]*T_materiales[[#This Row],[CANTIDAD]]</f>
        <v>0</v>
      </c>
    </row>
    <row r="7" spans="1:6" x14ac:dyDescent="0.3">
      <c r="A7" s="64" t="s">
        <v>18</v>
      </c>
      <c r="B7" s="27"/>
      <c r="C7" s="28"/>
      <c r="D7" s="31"/>
      <c r="E7" s="65">
        <f>SUBTOTAL(109,T_materiales[TOTAL])</f>
        <v>14800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48</v>
      </c>
    </row>
    <row r="3" spans="1:1" x14ac:dyDescent="0.3">
      <c r="A3" t="s">
        <v>50</v>
      </c>
    </row>
    <row r="4" spans="1:1" x14ac:dyDescent="0.3">
      <c r="A4" t="s">
        <v>62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2024-09-02T16:06:55Z</dcterms:modified>
</cp:coreProperties>
</file>