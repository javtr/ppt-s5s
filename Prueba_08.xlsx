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esarrollo\presupuesto\"/>
    </mc:Choice>
  </mc:AlternateContent>
  <xr:revisionPtr revIDLastSave="0" documentId="8_{049AB121-6596-447F-8B2E-0A6CB88DB06F}" xr6:coauthVersionLast="47" xr6:coauthVersionMax="47" xr10:uidLastSave="{00000000-0000-0000-0000-000000000000}"/>
  <bookViews>
    <workbookView xWindow="-108" yWindow="-108" windowWidth="23256" windowHeight="12456" activeTab="4" xr2:uid="{2B173549-CF85-4CFC-B646-3F14B89E8D2A}"/>
  </bookViews>
  <sheets>
    <sheet name="INSUMOS" sheetId="2" r:id="rId1"/>
    <sheet name="Hoja1" sheetId="1" r:id="rId2"/>
    <sheet name="BÁSICOS" sheetId="3" r:id="rId3"/>
    <sheet name="APU" sheetId="4" r:id="rId4"/>
    <sheet name="PRESUPUES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5" l="1"/>
  <c r="H27" i="5"/>
  <c r="H13" i="5"/>
  <c r="H46" i="4"/>
  <c r="H37" i="4"/>
  <c r="H28" i="4"/>
  <c r="H19" i="4"/>
  <c r="H10" i="4"/>
  <c r="H31" i="3"/>
  <c r="H22" i="3"/>
  <c r="H12" i="3"/>
</calcChain>
</file>

<file path=xl/sharedStrings.xml><?xml version="1.0" encoding="utf-8"?>
<sst xmlns="http://schemas.openxmlformats.org/spreadsheetml/2006/main" count="309" uniqueCount="57">
  <si>
    <t>INSUMOS</t>
  </si>
  <si>
    <t>MATERIALES</t>
  </si>
  <si>
    <t>EQUIPOS</t>
  </si>
  <si>
    <t>MANO DE OBRA</t>
  </si>
  <si>
    <t>TRASPORTE</t>
  </si>
  <si>
    <t>SUBCONTRATOS</t>
  </si>
  <si>
    <t>ACTIVIDADES</t>
  </si>
  <si>
    <t>OTROS</t>
  </si>
  <si>
    <t>DESCRIPCIÓN</t>
  </si>
  <si>
    <t>CÓDIGO</t>
  </si>
  <si>
    <t>UNIDAD</t>
  </si>
  <si>
    <t>PRECIO</t>
  </si>
  <si>
    <t>FECHA</t>
  </si>
  <si>
    <t>acero corru.fig 1/4-1" 60000 psi</t>
  </si>
  <si>
    <t>kg</t>
  </si>
  <si>
    <t>herramienta menor</t>
  </si>
  <si>
    <t>gl</t>
  </si>
  <si>
    <t>cuadrilla AA albañileria</t>
  </si>
  <si>
    <t>h</t>
  </si>
  <si>
    <t>agua</t>
  </si>
  <si>
    <t>lt</t>
  </si>
  <si>
    <t>concretadora trompo 3 sacos</t>
  </si>
  <si>
    <t>d</t>
  </si>
  <si>
    <t>alambre negro recocido c-17</t>
  </si>
  <si>
    <t>arena lavada de peña</t>
  </si>
  <si>
    <t>m3</t>
  </si>
  <si>
    <t>cemento gris</t>
  </si>
  <si>
    <t>grava 1"</t>
  </si>
  <si>
    <t>ANALISIS DE PRECIOS UNITARIOS BÁSICOS</t>
  </si>
  <si>
    <t>CÓD</t>
  </si>
  <si>
    <t>NOMBRE A.P.U. BÁSICO</t>
  </si>
  <si>
    <t>UND</t>
  </si>
  <si>
    <t>TIPO</t>
  </si>
  <si>
    <t>FACTOR</t>
  </si>
  <si>
    <t>CANTIDAD</t>
  </si>
  <si>
    <t>TOTAL</t>
  </si>
  <si>
    <t>Total</t>
  </si>
  <si>
    <t>Basico 01</t>
  </si>
  <si>
    <t xml:space="preserve">ANALISIS DE PRECIOS UNITARIOS </t>
  </si>
  <si>
    <t>Apu 01</t>
  </si>
  <si>
    <t>Apu 02</t>
  </si>
  <si>
    <t>APU BÁSICOS</t>
  </si>
  <si>
    <t>PRESUPUESTO</t>
  </si>
  <si>
    <t>CAPÍTULO 1</t>
  </si>
  <si>
    <t>COSTO</t>
  </si>
  <si>
    <t>CAPÍTULO 2</t>
  </si>
  <si>
    <t>CAPÍTULO</t>
  </si>
  <si>
    <t>PORCENTAJE</t>
  </si>
  <si>
    <t>SUBTOTAL</t>
  </si>
  <si>
    <t>TOTAL DIRECTOS</t>
  </si>
  <si>
    <t>OK</t>
  </si>
  <si>
    <t>ADMINISTRACIÓN (A)</t>
  </si>
  <si>
    <t>IMPREVISTO (I)</t>
  </si>
  <si>
    <t>UTILIDAD (U)</t>
  </si>
  <si>
    <t>IMPUESTO SOBRE UTILIDAD</t>
  </si>
  <si>
    <t>TOTAL INDIRECTOS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</si>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</sst>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164" formatCode="_-* #,##0\ _€_-;\-* #,##0\ _€_-;_-* &quot;-&quot;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66FF66"/>
        <bgColor indexed="64"/>
      </patternFill>
    </fill>
  </fills>
  <borders count="26">
    <border>
      <left/>
      <right/>
      <top/>
      <bottom/>
      <diagonal/>
    </border>
    <border>
      <left style="medium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/>
      <top style="medium">
        <color rgb="FF00A4F3"/>
      </top>
      <bottom style="medium">
        <color rgb="FF00A4F3"/>
      </bottom>
      <diagonal/>
    </border>
    <border>
      <left/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AC56"/>
      </left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/>
      <top style="medium">
        <color rgb="FF00AC56"/>
      </top>
      <bottom style="medium">
        <color rgb="FF00AC56"/>
      </bottom>
      <diagonal/>
    </border>
    <border>
      <left/>
      <right/>
      <top style="medium">
        <color rgb="FF00AC56"/>
      </top>
      <bottom style="medium">
        <color rgb="FF00AC56"/>
      </bottom>
      <diagonal/>
    </border>
    <border>
      <left/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 style="medium">
        <color rgb="FF00AC56"/>
      </right>
      <top style="medium">
        <color rgb="FF00AC56"/>
      </top>
      <bottom style="medium">
        <color rgb="FF00AC56"/>
      </bottom>
      <diagonal/>
    </border>
    <border>
      <left style="medium">
        <color rgb="FF0088CC"/>
      </left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/>
      <top style="medium">
        <color rgb="FF0088CC"/>
      </top>
      <bottom style="medium">
        <color rgb="FF0088CC"/>
      </bottom>
      <diagonal/>
    </border>
    <border>
      <left/>
      <right/>
      <top style="medium">
        <color rgb="FF0088CC"/>
      </top>
      <bottom style="medium">
        <color rgb="FF0088CC"/>
      </bottom>
      <diagonal/>
    </border>
    <border>
      <left/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 style="medium">
        <color rgb="FF0088CC"/>
      </right>
      <top style="medium">
        <color rgb="FF0088CC"/>
      </top>
      <bottom style="medium">
        <color rgb="FF0088CC"/>
      </bottom>
      <diagonal/>
    </border>
    <border>
      <left style="medium">
        <color rgb="FF00A4F3"/>
      </left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9999"/>
      </left>
      <right/>
      <top style="medium">
        <color rgb="FF009999"/>
      </top>
      <bottom style="medium">
        <color rgb="FF009999"/>
      </bottom>
      <diagonal/>
    </border>
    <border>
      <left/>
      <right/>
      <top style="medium">
        <color rgb="FF009999"/>
      </top>
      <bottom style="medium">
        <color rgb="FF009999"/>
      </bottom>
      <diagonal/>
    </border>
    <border>
      <left/>
      <right style="hair">
        <color rgb="FF009999"/>
      </right>
      <top style="medium">
        <color rgb="FF009999"/>
      </top>
      <bottom style="medium">
        <color rgb="FF009999"/>
      </bottom>
      <diagonal/>
    </border>
    <border>
      <left style="hair">
        <color rgb="FF009999"/>
      </left>
      <right style="medium">
        <color rgb="FF009999"/>
      </right>
      <top style="medium">
        <color rgb="FF009999"/>
      </top>
      <bottom style="medium">
        <color rgb="FF009999"/>
      </bottom>
      <diagonal/>
    </border>
    <border>
      <left style="thin">
        <color rgb="FF009999"/>
      </left>
      <right/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 style="thin">
        <color rgb="FF009999"/>
      </bottom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1" fontId="0" fillId="0" borderId="0" xfId="0" applyNumberFormat="1"/>
    <xf numFmtId="3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/>
    <xf numFmtId="41" fontId="5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1" fontId="2" fillId="0" borderId="0" xfId="0" applyNumberFormat="1" applyFont="1"/>
    <xf numFmtId="0" fontId="2" fillId="0" borderId="0" xfId="0" applyFont="1"/>
    <xf numFmtId="14" fontId="5" fillId="0" borderId="0" xfId="0" applyNumberFormat="1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6" fillId="0" borderId="0" xfId="2"/>
    <xf numFmtId="0" fontId="1" fillId="0" borderId="0" xfId="3"/>
    <xf numFmtId="0" fontId="6" fillId="0" borderId="0" xfId="2" applyAlignment="1">
      <alignment vertical="center"/>
    </xf>
    <xf numFmtId="164" fontId="1" fillId="0" borderId="0" xfId="3" applyNumberFormat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/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41" fontId="3" fillId="2" borderId="0" xfId="0" applyNumberFormat="1" applyFont="1" applyFill="1" applyAlignment="1">
      <alignment horizontal="center" vertical="center"/>
    </xf>
    <xf numFmtId="0" fontId="7" fillId="0" borderId="0" xfId="0" applyFont="1"/>
    <xf numFmtId="41" fontId="7" fillId="0" borderId="0" xfId="0" applyNumberFormat="1" applyFont="1" applyAlignment="1">
      <alignment horizontal="center"/>
    </xf>
    <xf numFmtId="41" fontId="7" fillId="0" borderId="0" xfId="0" applyNumberFormat="1" applyFont="1" applyAlignment="1">
      <alignment horizontal="left"/>
    </xf>
    <xf numFmtId="41" fontId="7" fillId="0" borderId="0" xfId="0" applyNumberFormat="1" applyFont="1"/>
    <xf numFmtId="41" fontId="8" fillId="0" borderId="18" xfId="0" applyNumberFormat="1" applyFont="1" applyBorder="1" applyAlignment="1">
      <alignment horizontal="left" vertical="top"/>
    </xf>
    <xf numFmtId="41" fontId="8" fillId="0" borderId="19" xfId="0" applyNumberFormat="1" applyFont="1" applyBorder="1" applyAlignment="1">
      <alignment horizontal="left" vertical="top"/>
    </xf>
    <xf numFmtId="41" fontId="8" fillId="0" borderId="20" xfId="0" applyNumberFormat="1" applyFont="1" applyBorder="1" applyAlignment="1">
      <alignment horizontal="left" vertical="top"/>
    </xf>
    <xf numFmtId="41" fontId="8" fillId="0" borderId="21" xfId="0" applyNumberFormat="1" applyFont="1" applyBorder="1" applyAlignment="1">
      <alignment horizontal="left" vertical="top"/>
    </xf>
    <xf numFmtId="41" fontId="8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left"/>
    </xf>
    <xf numFmtId="41" fontId="8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41" fontId="7" fillId="0" borderId="22" xfId="0" applyNumberFormat="1" applyFont="1" applyBorder="1" applyAlignment="1">
      <alignment horizontal="center"/>
    </xf>
    <xf numFmtId="41" fontId="7" fillId="0" borderId="23" xfId="0" applyNumberFormat="1" applyFont="1" applyBorder="1" applyAlignment="1">
      <alignment horizontal="left"/>
    </xf>
    <xf numFmtId="41" fontId="8" fillId="0" borderId="23" xfId="0" applyNumberFormat="1" applyFont="1" applyBorder="1" applyAlignment="1">
      <alignment horizontal="center"/>
    </xf>
    <xf numFmtId="41" fontId="8" fillId="0" borderId="24" xfId="0" applyNumberFormat="1" applyFont="1" applyBorder="1"/>
    <xf numFmtId="41" fontId="7" fillId="3" borderId="25" xfId="0" applyNumberFormat="1" applyFont="1" applyFill="1" applyBorder="1" applyAlignment="1">
      <alignment horizontal="center"/>
    </xf>
    <xf numFmtId="9" fontId="7" fillId="0" borderId="0" xfId="1" applyFont="1" applyAlignment="1">
      <alignment horizontal="center"/>
    </xf>
    <xf numFmtId="3" fontId="7" fillId="0" borderId="0" xfId="0" applyNumberFormat="1" applyFont="1" applyAlignment="1">
      <alignment horizontal="center"/>
    </xf>
    <xf numFmtId="9" fontId="8" fillId="0" borderId="0" xfId="1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4">
    <cellStyle name="Normal" xfId="0" builtinId="0"/>
    <cellStyle name="Normal 12 3" xfId="3" xr:uid="{D4DD0B40-999D-469C-919E-CEDA593265FE}"/>
    <cellStyle name="Normal 41" xfId="2" xr:uid="{CDF29BDA-7FDF-4A44-A7F6-284892FB07E6}"/>
    <cellStyle name="Porcentaje" xfId="1" builtinId="5"/>
  </cellStyles>
  <dxfs count="1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9999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9999"/>
        </left>
        <right style="hair">
          <color rgb="FF009999"/>
        </right>
        <top style="hair">
          <color rgb="FF009999"/>
        </top>
        <bottom style="hair">
          <color rgb="FF009999"/>
        </bottom>
        <vertical style="hair">
          <color rgb="FF009999"/>
        </vertical>
        <horizontal style="hair">
          <color rgb="FF009999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AC56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AC56"/>
        </left>
        <right style="hair">
          <color rgb="FF00AC56"/>
        </right>
        <top style="hair">
          <color rgb="FF00AC56"/>
        </top>
        <bottom style="hair">
          <color rgb="FF00AC56"/>
        </bottom>
        <vertical style="hair">
          <color rgb="FF00AC56"/>
        </vertical>
        <horizontal style="hair">
          <color rgb="FF00AC56"/>
        </horizontal>
      </border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lor theme="0"/>
      </font>
      <fill>
        <patternFill>
          <bgColor rgb="FF0088CC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88CC"/>
        </left>
        <right style="hair">
          <color rgb="FF0088CC"/>
        </right>
        <top style="hair">
          <color rgb="FF0088CC"/>
        </top>
        <bottom style="hair">
          <color rgb="FF0088CC"/>
        </bottom>
        <vertical style="hair">
          <color rgb="FF0088CC"/>
        </vertical>
        <horizontal style="hair">
          <color rgb="FF0088CC"/>
        </horizontal>
      </border>
    </dxf>
  </dxfs>
  <tableStyles count="3" defaultTableStyle="TableStyleMedium2" defaultPivotStyle="PivotStyleLight16">
    <tableStyle name="S5S Blue" pivot="0" count="2" xr9:uid="{AAEF4EBC-2060-4E2E-8B99-932A104C1D56}">
      <tableStyleElement type="wholeTable" dxfId="162"/>
      <tableStyleElement type="headerRow" dxfId="161"/>
    </tableStyle>
    <tableStyle name="S5S Green" pivot="0" count="2" xr9:uid="{9E6B59A4-7936-49AF-9712-33E9CA045392}">
      <tableStyleElement type="wholeTable" dxfId="125"/>
      <tableStyleElement type="headerRow" dxfId="124"/>
    </tableStyle>
    <tableStyle name="S5S Greenblue" pivot="0" count="2" xr9:uid="{B7F2C17E-0343-4400-814C-9AFE1B05600A}">
      <tableStyleElement type="wholeTable" dxfId="59"/>
      <tableStyleElement type="headerRow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D86244A8-2D94-4165-985F-AE62BC5A01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34A28253-D1D1-4855-A0F3-CFF65950F8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F334A3E-C341-4654-95E1-83393FF248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8321E524-19F2-4F73-9507-C3EAFAEC1B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156A3130-8D8F-46A4-BC4E-2F979A20B8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EB306F91-A430-40D7-91B3-0490802710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EE3C72D0-CAA5-42A9-9155-038282BB56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52FCD492-EC50-448F-84BB-B942D93943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5FDDEA05-FF9B-4018-BFF9-6AB5FD62CD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546723D0-6A3D-4DE6-857A-1794CDE577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ADEF52BB-BEBC-4592-A074-70E70F1DD8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44AD0CFA-D75A-41B6-A48F-9407E67457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E6718F02-93E2-4812-9B0A-23CB383730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26C3C48C-554D-4DEA-9615-8B11DC43A3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D622ED07-98E8-49E9-BC5C-96E8FF2C17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64C7F48A-6E50-4599-A8E1-1E28601AC5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9EB7800B-49CC-482F-836A-A8ED820982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0B958F08-7690-413A-BD71-94DDFE0A65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E8D738EC-2A57-44D1-853F-FFFFA5476F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A201AA61-2BE4-4C2F-A59A-8F77DC4EE3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BF5CBF5A-E311-4C51-AD7E-1F0AC334B6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E4FDD504-0C0B-40C6-AAD2-223B94C384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A68F4489-9250-4C23-A4D8-DE681D6576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890C02A0-3F9A-4AB0-89B1-48A208F6EF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0F649C61-AC7D-4A55-9302-8C637C566A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3B1FDAF8-6820-4CBC-B955-37DCF90A67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7AFB9E6C-7F86-4DDD-9215-A36B0AD620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F5FBDD73-ED72-4DC7-AA50-DADE21CEDA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9A50F423-7A8E-4A80-B4A3-C36F6060B5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C72BE60D-9E51-47E1-94EF-E551BC7D72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AAC6D790-A00E-4462-98C4-5BEED745C3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E7B6A65E-CFAF-49F7-A0CC-84F007DAFD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133D3F48-486F-4108-BA06-018D0DF2B0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D3F6C23A-9A29-4B8B-8E86-467E86EC9B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AAAB46A8-DC3C-43AA-8CE2-3FFFD253A1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A995DFBA-5ADD-44D0-8211-759B79E5E3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71A94288-AE72-4486-82F6-193E4672C1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E6B41CC4-1562-468E-AEF1-303E85ECB2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9731B3F9-F5B8-4ABB-8894-96F2E9A117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F86C309F-E7D0-4A51-A555-F8EF8C4543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CE757F45-33A9-4051-BBF5-6C9892DC89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32228D4A-2B49-4CAB-B7A9-F905821BDA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37018F58-A3AA-455A-8B32-7B8CD0C89A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4088299B-162C-406B-9267-5DB651959D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8BF70206-FAAA-4F65-80B4-6960A4A427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614E701C-9E6F-4A20-B675-AC57F73DF0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BEAB4183-CB33-4667-81BC-A8CD59D7CC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F78BBA8D-5732-4C5D-AFB8-2227B56C46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D72CD4E0-0DA3-4769-AB29-291FF603AA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5AFA93A6-0A96-4AD1-BEDD-17C1B15BD6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D42F874E-43F1-49D7-828B-50FBB21A2D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34AF7825-E32C-4C36-AAE2-4C341125BE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BED77896-736D-4E10-93BC-57352F6C67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" name="Elipse 54">
          <a:extLst>
            <a:ext uri="{FF2B5EF4-FFF2-40B4-BE49-F238E27FC236}">
              <a16:creationId xmlns:a16="http://schemas.microsoft.com/office/drawing/2014/main" id="{D375AB9B-A23C-44F8-A82B-E2A6B81856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7CABE8ED-D1E8-48BF-BBAA-A4E14CB859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FA037309-BBE9-4D4C-87C0-1C93FCF9F9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9916A3E8-9DF1-425B-AD5D-4AA55A43BA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03EB1CC7-7ACA-4E35-B87B-0DEC83C3CC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E8893898-3CCE-4463-8901-E60C551DC0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A8814B6C-2152-48F8-B09A-04DA2FE39E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4BF0B0DF-1A2C-4F0F-8E8D-6EBE7B401D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BD202AE1-6AC6-4D18-8FBC-8D020355B0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EE3C9032-E0B5-4DB0-87A8-A27F621CF2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" name="Elipse 64">
          <a:extLst>
            <a:ext uri="{FF2B5EF4-FFF2-40B4-BE49-F238E27FC236}">
              <a16:creationId xmlns:a16="http://schemas.microsoft.com/office/drawing/2014/main" id="{807310E9-4355-4CA0-A782-8AF55B20B1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" name="Elipse 65">
          <a:extLst>
            <a:ext uri="{FF2B5EF4-FFF2-40B4-BE49-F238E27FC236}">
              <a16:creationId xmlns:a16="http://schemas.microsoft.com/office/drawing/2014/main" id="{EB9BC238-219E-48E6-A06F-9A9F4D1274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" name="Elipse 66">
          <a:extLst>
            <a:ext uri="{FF2B5EF4-FFF2-40B4-BE49-F238E27FC236}">
              <a16:creationId xmlns:a16="http://schemas.microsoft.com/office/drawing/2014/main" id="{F0A1DD69-27AB-4D2C-AD73-EC59DE98A5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67B7281D-7265-4F44-9570-B8DF918E23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" name="Elipse 68">
          <a:extLst>
            <a:ext uri="{FF2B5EF4-FFF2-40B4-BE49-F238E27FC236}">
              <a16:creationId xmlns:a16="http://schemas.microsoft.com/office/drawing/2014/main" id="{5087B892-18FE-4039-8A5B-499E0A94EA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" name="Elipse 69">
          <a:extLst>
            <a:ext uri="{FF2B5EF4-FFF2-40B4-BE49-F238E27FC236}">
              <a16:creationId xmlns:a16="http://schemas.microsoft.com/office/drawing/2014/main" id="{BA6F430B-00D7-4C79-A859-3F94F541E2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" name="Elipse 70">
          <a:extLst>
            <a:ext uri="{FF2B5EF4-FFF2-40B4-BE49-F238E27FC236}">
              <a16:creationId xmlns:a16="http://schemas.microsoft.com/office/drawing/2014/main" id="{7B50F31B-B43A-47E1-ADB1-4A21162933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66081FAA-4850-40FF-B7A5-37AD4118D9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" name="Elipse 72">
          <a:extLst>
            <a:ext uri="{FF2B5EF4-FFF2-40B4-BE49-F238E27FC236}">
              <a16:creationId xmlns:a16="http://schemas.microsoft.com/office/drawing/2014/main" id="{E1FDD7BF-EEAF-4903-A3CA-A899905F94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" name="Elipse 73">
          <a:extLst>
            <a:ext uri="{FF2B5EF4-FFF2-40B4-BE49-F238E27FC236}">
              <a16:creationId xmlns:a16="http://schemas.microsoft.com/office/drawing/2014/main" id="{6AB5D07A-CDFC-4060-943C-09426106BC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" name="Elipse 74">
          <a:extLst>
            <a:ext uri="{FF2B5EF4-FFF2-40B4-BE49-F238E27FC236}">
              <a16:creationId xmlns:a16="http://schemas.microsoft.com/office/drawing/2014/main" id="{3F545342-D4AF-40C4-8B4B-33031E2812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" name="Elipse 75">
          <a:extLst>
            <a:ext uri="{FF2B5EF4-FFF2-40B4-BE49-F238E27FC236}">
              <a16:creationId xmlns:a16="http://schemas.microsoft.com/office/drawing/2014/main" id="{A70BEB2F-AF19-444A-9A88-B381D3B724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" name="Elipse 76">
          <a:extLst>
            <a:ext uri="{FF2B5EF4-FFF2-40B4-BE49-F238E27FC236}">
              <a16:creationId xmlns:a16="http://schemas.microsoft.com/office/drawing/2014/main" id="{9497A3C5-E992-4AE4-A113-8C45331367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" name="Elipse 77">
          <a:extLst>
            <a:ext uri="{FF2B5EF4-FFF2-40B4-BE49-F238E27FC236}">
              <a16:creationId xmlns:a16="http://schemas.microsoft.com/office/drawing/2014/main" id="{E6C9F981-F925-4B5D-AFD5-562A65CA05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" name="Elipse 78">
          <a:extLst>
            <a:ext uri="{FF2B5EF4-FFF2-40B4-BE49-F238E27FC236}">
              <a16:creationId xmlns:a16="http://schemas.microsoft.com/office/drawing/2014/main" id="{BEC9FFDB-5CDB-4EF0-8E75-15E23A1078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" name="Elipse 79">
          <a:extLst>
            <a:ext uri="{FF2B5EF4-FFF2-40B4-BE49-F238E27FC236}">
              <a16:creationId xmlns:a16="http://schemas.microsoft.com/office/drawing/2014/main" id="{5D7B7BF7-F856-4B20-80EA-C70F1D596B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" name="Elipse 80">
          <a:extLst>
            <a:ext uri="{FF2B5EF4-FFF2-40B4-BE49-F238E27FC236}">
              <a16:creationId xmlns:a16="http://schemas.microsoft.com/office/drawing/2014/main" id="{5D1F1617-DC8B-462B-A996-506D19DE3F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" name="Elipse 81">
          <a:extLst>
            <a:ext uri="{FF2B5EF4-FFF2-40B4-BE49-F238E27FC236}">
              <a16:creationId xmlns:a16="http://schemas.microsoft.com/office/drawing/2014/main" id="{F9CE6EC1-3166-4712-97B6-F530616AAC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" name="Elipse 82">
          <a:extLst>
            <a:ext uri="{FF2B5EF4-FFF2-40B4-BE49-F238E27FC236}">
              <a16:creationId xmlns:a16="http://schemas.microsoft.com/office/drawing/2014/main" id="{90818766-2228-4A03-B7BF-BF3504AA06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" name="Elipse 83">
          <a:extLst>
            <a:ext uri="{FF2B5EF4-FFF2-40B4-BE49-F238E27FC236}">
              <a16:creationId xmlns:a16="http://schemas.microsoft.com/office/drawing/2014/main" id="{42C17FAA-C3BA-4B27-A59B-5D2F48174F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" name="Elipse 84">
          <a:extLst>
            <a:ext uri="{FF2B5EF4-FFF2-40B4-BE49-F238E27FC236}">
              <a16:creationId xmlns:a16="http://schemas.microsoft.com/office/drawing/2014/main" id="{597518CC-9A83-49DD-9BDE-91FF559B1E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" name="Elipse 85">
          <a:extLst>
            <a:ext uri="{FF2B5EF4-FFF2-40B4-BE49-F238E27FC236}">
              <a16:creationId xmlns:a16="http://schemas.microsoft.com/office/drawing/2014/main" id="{4AA2916C-7D69-428F-8F94-3310B252E5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" name="Elipse 86">
          <a:extLst>
            <a:ext uri="{FF2B5EF4-FFF2-40B4-BE49-F238E27FC236}">
              <a16:creationId xmlns:a16="http://schemas.microsoft.com/office/drawing/2014/main" id="{8AFA70F0-275B-49FC-A8C2-265FAED2E8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" name="Elipse 87">
          <a:extLst>
            <a:ext uri="{FF2B5EF4-FFF2-40B4-BE49-F238E27FC236}">
              <a16:creationId xmlns:a16="http://schemas.microsoft.com/office/drawing/2014/main" id="{93C2772D-3133-452A-B293-C42632265D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" name="Elipse 88">
          <a:extLst>
            <a:ext uri="{FF2B5EF4-FFF2-40B4-BE49-F238E27FC236}">
              <a16:creationId xmlns:a16="http://schemas.microsoft.com/office/drawing/2014/main" id="{A0EE3577-47E8-4B83-836E-AEA63DF90D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" name="Elipse 89">
          <a:extLst>
            <a:ext uri="{FF2B5EF4-FFF2-40B4-BE49-F238E27FC236}">
              <a16:creationId xmlns:a16="http://schemas.microsoft.com/office/drawing/2014/main" id="{1AFDBF5C-D360-46DA-BEEF-75ED0841B2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" name="Elipse 90">
          <a:extLst>
            <a:ext uri="{FF2B5EF4-FFF2-40B4-BE49-F238E27FC236}">
              <a16:creationId xmlns:a16="http://schemas.microsoft.com/office/drawing/2014/main" id="{11B68ABA-E03A-4192-961C-EC8DF541FF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" name="Elipse 91">
          <a:extLst>
            <a:ext uri="{FF2B5EF4-FFF2-40B4-BE49-F238E27FC236}">
              <a16:creationId xmlns:a16="http://schemas.microsoft.com/office/drawing/2014/main" id="{988F3682-61D7-41D2-A053-8FA4A344A3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" name="Elipse 92">
          <a:extLst>
            <a:ext uri="{FF2B5EF4-FFF2-40B4-BE49-F238E27FC236}">
              <a16:creationId xmlns:a16="http://schemas.microsoft.com/office/drawing/2014/main" id="{4945DD64-B0B7-4191-853F-49D2074F2C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" name="Elipse 93">
          <a:extLst>
            <a:ext uri="{FF2B5EF4-FFF2-40B4-BE49-F238E27FC236}">
              <a16:creationId xmlns:a16="http://schemas.microsoft.com/office/drawing/2014/main" id="{C13C07D3-7B8F-432A-8F47-6A46A6839D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" name="Elipse 94">
          <a:extLst>
            <a:ext uri="{FF2B5EF4-FFF2-40B4-BE49-F238E27FC236}">
              <a16:creationId xmlns:a16="http://schemas.microsoft.com/office/drawing/2014/main" id="{27D7C4DD-29B5-49E3-B210-82CCF596FA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" name="Elipse 95">
          <a:extLst>
            <a:ext uri="{FF2B5EF4-FFF2-40B4-BE49-F238E27FC236}">
              <a16:creationId xmlns:a16="http://schemas.microsoft.com/office/drawing/2014/main" id="{64F86935-A75C-42CC-AB0B-3819BB439B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" name="Elipse 96">
          <a:extLst>
            <a:ext uri="{FF2B5EF4-FFF2-40B4-BE49-F238E27FC236}">
              <a16:creationId xmlns:a16="http://schemas.microsoft.com/office/drawing/2014/main" id="{C51954FA-69E0-4F6D-808C-78F39A7BC6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" name="Elipse 97">
          <a:extLst>
            <a:ext uri="{FF2B5EF4-FFF2-40B4-BE49-F238E27FC236}">
              <a16:creationId xmlns:a16="http://schemas.microsoft.com/office/drawing/2014/main" id="{FE1DAD75-96C2-4213-8A53-57C059C21D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" name="Elipse 98">
          <a:extLst>
            <a:ext uri="{FF2B5EF4-FFF2-40B4-BE49-F238E27FC236}">
              <a16:creationId xmlns:a16="http://schemas.microsoft.com/office/drawing/2014/main" id="{DF69FF81-D55B-40FB-B333-B71CD4D764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" name="Elipse 99">
          <a:extLst>
            <a:ext uri="{FF2B5EF4-FFF2-40B4-BE49-F238E27FC236}">
              <a16:creationId xmlns:a16="http://schemas.microsoft.com/office/drawing/2014/main" id="{B119E46F-2CE4-40FB-AE7F-541C599256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" name="Elipse 100">
          <a:extLst>
            <a:ext uri="{FF2B5EF4-FFF2-40B4-BE49-F238E27FC236}">
              <a16:creationId xmlns:a16="http://schemas.microsoft.com/office/drawing/2014/main" id="{29E5A810-AE67-4638-AE65-AC5E2056D8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" name="Elipse 101">
          <a:extLst>
            <a:ext uri="{FF2B5EF4-FFF2-40B4-BE49-F238E27FC236}">
              <a16:creationId xmlns:a16="http://schemas.microsoft.com/office/drawing/2014/main" id="{E1C7160D-DDEC-4689-B8FB-E64521A821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" name="Elipse 102">
          <a:extLst>
            <a:ext uri="{FF2B5EF4-FFF2-40B4-BE49-F238E27FC236}">
              <a16:creationId xmlns:a16="http://schemas.microsoft.com/office/drawing/2014/main" id="{AEEA545B-6DAF-4F47-AD65-111CA49875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" name="Elipse 103">
          <a:extLst>
            <a:ext uri="{FF2B5EF4-FFF2-40B4-BE49-F238E27FC236}">
              <a16:creationId xmlns:a16="http://schemas.microsoft.com/office/drawing/2014/main" id="{78808FDA-3684-42ED-A59E-93F1C6F548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" name="Elipse 104">
          <a:extLst>
            <a:ext uri="{FF2B5EF4-FFF2-40B4-BE49-F238E27FC236}">
              <a16:creationId xmlns:a16="http://schemas.microsoft.com/office/drawing/2014/main" id="{C5AE5105-BB35-4E7E-B5D5-AAD4A60984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" name="Elipse 105">
          <a:extLst>
            <a:ext uri="{FF2B5EF4-FFF2-40B4-BE49-F238E27FC236}">
              <a16:creationId xmlns:a16="http://schemas.microsoft.com/office/drawing/2014/main" id="{56B52D0C-B381-44CD-A40A-DF2CBA489E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" name="Elipse 106">
          <a:extLst>
            <a:ext uri="{FF2B5EF4-FFF2-40B4-BE49-F238E27FC236}">
              <a16:creationId xmlns:a16="http://schemas.microsoft.com/office/drawing/2014/main" id="{B7796BE4-F465-4C56-9E73-3F91243E7A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" name="Elipse 107">
          <a:extLst>
            <a:ext uri="{FF2B5EF4-FFF2-40B4-BE49-F238E27FC236}">
              <a16:creationId xmlns:a16="http://schemas.microsoft.com/office/drawing/2014/main" id="{CB7042E8-4C55-43ED-B2A6-A6EBD85A8C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" name="Elipse 108">
          <a:extLst>
            <a:ext uri="{FF2B5EF4-FFF2-40B4-BE49-F238E27FC236}">
              <a16:creationId xmlns:a16="http://schemas.microsoft.com/office/drawing/2014/main" id="{12B2CDAF-9245-4469-BAE9-10434714E7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" name="Elipse 109">
          <a:extLst>
            <a:ext uri="{FF2B5EF4-FFF2-40B4-BE49-F238E27FC236}">
              <a16:creationId xmlns:a16="http://schemas.microsoft.com/office/drawing/2014/main" id="{B151803C-F681-462B-B522-FC6F970E7F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" name="Elipse 110">
          <a:extLst>
            <a:ext uri="{FF2B5EF4-FFF2-40B4-BE49-F238E27FC236}">
              <a16:creationId xmlns:a16="http://schemas.microsoft.com/office/drawing/2014/main" id="{9083F565-559E-4090-8BAA-2AF210E7DB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" name="Elipse 111">
          <a:extLst>
            <a:ext uri="{FF2B5EF4-FFF2-40B4-BE49-F238E27FC236}">
              <a16:creationId xmlns:a16="http://schemas.microsoft.com/office/drawing/2014/main" id="{F8652353-0B6E-486C-A2B7-30BB0E3160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" name="Elipse 112">
          <a:extLst>
            <a:ext uri="{FF2B5EF4-FFF2-40B4-BE49-F238E27FC236}">
              <a16:creationId xmlns:a16="http://schemas.microsoft.com/office/drawing/2014/main" id="{7D6ABE70-9B8A-470B-AD3F-42D0AE2727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" name="Elipse 113">
          <a:extLst>
            <a:ext uri="{FF2B5EF4-FFF2-40B4-BE49-F238E27FC236}">
              <a16:creationId xmlns:a16="http://schemas.microsoft.com/office/drawing/2014/main" id="{424E40FF-60BA-4F2A-90EE-C7BF18419D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" name="Elipse 114">
          <a:extLst>
            <a:ext uri="{FF2B5EF4-FFF2-40B4-BE49-F238E27FC236}">
              <a16:creationId xmlns:a16="http://schemas.microsoft.com/office/drawing/2014/main" id="{14EB4749-101F-48F8-AA99-D0172BB018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" name="Elipse 115">
          <a:extLst>
            <a:ext uri="{FF2B5EF4-FFF2-40B4-BE49-F238E27FC236}">
              <a16:creationId xmlns:a16="http://schemas.microsoft.com/office/drawing/2014/main" id="{69F42BED-4AF9-4846-B4FE-9D8E1B4E07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" name="Elipse 116">
          <a:extLst>
            <a:ext uri="{FF2B5EF4-FFF2-40B4-BE49-F238E27FC236}">
              <a16:creationId xmlns:a16="http://schemas.microsoft.com/office/drawing/2014/main" id="{611C3B09-157C-4F02-826A-F7C3FAF8CF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" name="Elipse 117">
          <a:extLst>
            <a:ext uri="{FF2B5EF4-FFF2-40B4-BE49-F238E27FC236}">
              <a16:creationId xmlns:a16="http://schemas.microsoft.com/office/drawing/2014/main" id="{334E3090-D5F0-46D9-A507-EE2D9C8F96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" name="Elipse 118">
          <a:extLst>
            <a:ext uri="{FF2B5EF4-FFF2-40B4-BE49-F238E27FC236}">
              <a16:creationId xmlns:a16="http://schemas.microsoft.com/office/drawing/2014/main" id="{B93C0AD0-6C63-4A84-8CF7-5D0EA8CAA5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" name="Elipse 119">
          <a:extLst>
            <a:ext uri="{FF2B5EF4-FFF2-40B4-BE49-F238E27FC236}">
              <a16:creationId xmlns:a16="http://schemas.microsoft.com/office/drawing/2014/main" id="{6D2862AF-9E41-428A-BF15-9F4B48A326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" name="Elipse 120">
          <a:extLst>
            <a:ext uri="{FF2B5EF4-FFF2-40B4-BE49-F238E27FC236}">
              <a16:creationId xmlns:a16="http://schemas.microsoft.com/office/drawing/2014/main" id="{9B19764D-7696-45C7-84FC-C0D9DA2D79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" name="Elipse 121">
          <a:extLst>
            <a:ext uri="{FF2B5EF4-FFF2-40B4-BE49-F238E27FC236}">
              <a16:creationId xmlns:a16="http://schemas.microsoft.com/office/drawing/2014/main" id="{B089EE7A-7608-4018-8C90-B2AA9F37E6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" name="Elipse 122">
          <a:extLst>
            <a:ext uri="{FF2B5EF4-FFF2-40B4-BE49-F238E27FC236}">
              <a16:creationId xmlns:a16="http://schemas.microsoft.com/office/drawing/2014/main" id="{22AEB38C-833C-46FE-9C64-F83DB1EFAF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" name="Elipse 123">
          <a:extLst>
            <a:ext uri="{FF2B5EF4-FFF2-40B4-BE49-F238E27FC236}">
              <a16:creationId xmlns:a16="http://schemas.microsoft.com/office/drawing/2014/main" id="{DDB90366-F267-4ADB-8C8D-789FCB03B5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" name="Elipse 124">
          <a:extLst>
            <a:ext uri="{FF2B5EF4-FFF2-40B4-BE49-F238E27FC236}">
              <a16:creationId xmlns:a16="http://schemas.microsoft.com/office/drawing/2014/main" id="{E6EF964E-7B21-4F5D-BF5D-1ABB73C674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" name="Elipse 125">
          <a:extLst>
            <a:ext uri="{FF2B5EF4-FFF2-40B4-BE49-F238E27FC236}">
              <a16:creationId xmlns:a16="http://schemas.microsoft.com/office/drawing/2014/main" id="{D110B5CE-6FF3-4AE5-96CD-4765EF9292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" name="Elipse 126">
          <a:extLst>
            <a:ext uri="{FF2B5EF4-FFF2-40B4-BE49-F238E27FC236}">
              <a16:creationId xmlns:a16="http://schemas.microsoft.com/office/drawing/2014/main" id="{2DA25EFC-6EDD-4AD6-9B5A-84B2F6E7A1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" name="Elipse 127">
          <a:extLst>
            <a:ext uri="{FF2B5EF4-FFF2-40B4-BE49-F238E27FC236}">
              <a16:creationId xmlns:a16="http://schemas.microsoft.com/office/drawing/2014/main" id="{74AEFFEE-D343-428B-8EEC-733CA924A7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" name="Elipse 128">
          <a:extLst>
            <a:ext uri="{FF2B5EF4-FFF2-40B4-BE49-F238E27FC236}">
              <a16:creationId xmlns:a16="http://schemas.microsoft.com/office/drawing/2014/main" id="{70125256-7953-4566-9081-343899B3A8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" name="Elipse 129">
          <a:extLst>
            <a:ext uri="{FF2B5EF4-FFF2-40B4-BE49-F238E27FC236}">
              <a16:creationId xmlns:a16="http://schemas.microsoft.com/office/drawing/2014/main" id="{E1F5093A-8412-4407-BD3A-0967FB5A0C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" name="Elipse 130">
          <a:extLst>
            <a:ext uri="{FF2B5EF4-FFF2-40B4-BE49-F238E27FC236}">
              <a16:creationId xmlns:a16="http://schemas.microsoft.com/office/drawing/2014/main" id="{0FD7DA67-67FC-4B33-8B4D-FE8E9F9632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" name="Elipse 131">
          <a:extLst>
            <a:ext uri="{FF2B5EF4-FFF2-40B4-BE49-F238E27FC236}">
              <a16:creationId xmlns:a16="http://schemas.microsoft.com/office/drawing/2014/main" id="{D3511D3E-0882-4D1E-8029-B966398E64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" name="Elipse 132">
          <a:extLst>
            <a:ext uri="{FF2B5EF4-FFF2-40B4-BE49-F238E27FC236}">
              <a16:creationId xmlns:a16="http://schemas.microsoft.com/office/drawing/2014/main" id="{8F621888-E26D-4F36-9352-9C03FB1C44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" name="Elipse 133">
          <a:extLst>
            <a:ext uri="{FF2B5EF4-FFF2-40B4-BE49-F238E27FC236}">
              <a16:creationId xmlns:a16="http://schemas.microsoft.com/office/drawing/2014/main" id="{35580B35-B31B-4F1F-BFE3-E4087B97EA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" name="Elipse 134">
          <a:extLst>
            <a:ext uri="{FF2B5EF4-FFF2-40B4-BE49-F238E27FC236}">
              <a16:creationId xmlns:a16="http://schemas.microsoft.com/office/drawing/2014/main" id="{F5EC1FC1-6336-4EC7-BF79-DA7D320F41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" name="Elipse 135">
          <a:extLst>
            <a:ext uri="{FF2B5EF4-FFF2-40B4-BE49-F238E27FC236}">
              <a16:creationId xmlns:a16="http://schemas.microsoft.com/office/drawing/2014/main" id="{D20983D3-2896-4794-8EF5-DD2B1F610F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" name="Elipse 136">
          <a:extLst>
            <a:ext uri="{FF2B5EF4-FFF2-40B4-BE49-F238E27FC236}">
              <a16:creationId xmlns:a16="http://schemas.microsoft.com/office/drawing/2014/main" id="{AB18357F-2736-4B80-8C5A-1334F5F9A1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id="{07DAA5DB-033C-4861-A56C-681D0059D8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id="{B9CAD7DD-791C-4ED0-AE10-A587300B12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id="{FAD7A766-A1DD-4884-AEBF-A46301A2F0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id="{6CB2CC23-B0EF-428C-B852-AECC795553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id="{9B48896C-77B3-4EB7-B188-A2758DB7E6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id="{4B8E73B2-CE59-4D26-83BF-91D5B19124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id="{8D6289B4-F72C-4948-9C74-206905CF4A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id="{690D7DC3-CD8B-49A1-A915-92E01F0C5A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id="{7CB2FB70-AA41-4220-BAA3-AA2820A5F7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id="{00D83080-3BC2-4166-BCF7-62C0A880D1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id="{63504577-3AE5-4ECA-8873-F48B862E2E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id="{F5DD970E-0494-4F32-BFC6-3F00BD517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id="{9FBB3CB9-4A9D-42A4-A6E6-4927B293AC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id="{F679AE3A-4CD9-43C5-870C-A213F2C436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id="{22BF8991-FECE-486E-AAD3-0415EFE703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id="{BC088F5A-3920-4D2D-957F-1E32D2848F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" name="Elipse 153">
          <a:extLst>
            <a:ext uri="{FF2B5EF4-FFF2-40B4-BE49-F238E27FC236}">
              <a16:creationId xmlns:a16="http://schemas.microsoft.com/office/drawing/2014/main" id="{55413764-75BD-4810-85E9-0EDC180BE7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" name="Elipse 154">
          <a:extLst>
            <a:ext uri="{FF2B5EF4-FFF2-40B4-BE49-F238E27FC236}">
              <a16:creationId xmlns:a16="http://schemas.microsoft.com/office/drawing/2014/main" id="{3EB5B593-7539-4A62-B20E-8FB8828735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" name="Elipse 155">
          <a:extLst>
            <a:ext uri="{FF2B5EF4-FFF2-40B4-BE49-F238E27FC236}">
              <a16:creationId xmlns:a16="http://schemas.microsoft.com/office/drawing/2014/main" id="{5EFE5F88-896C-4382-8979-0D2BD6B4E1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" name="Elipse 156">
          <a:extLst>
            <a:ext uri="{FF2B5EF4-FFF2-40B4-BE49-F238E27FC236}">
              <a16:creationId xmlns:a16="http://schemas.microsoft.com/office/drawing/2014/main" id="{FE63B95B-1C1A-47A7-A0B7-D2477445B3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" name="Elipse 157">
          <a:extLst>
            <a:ext uri="{FF2B5EF4-FFF2-40B4-BE49-F238E27FC236}">
              <a16:creationId xmlns:a16="http://schemas.microsoft.com/office/drawing/2014/main" id="{1945816E-3809-4D29-A1DB-452AC19DDB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" name="Elipse 158">
          <a:extLst>
            <a:ext uri="{FF2B5EF4-FFF2-40B4-BE49-F238E27FC236}">
              <a16:creationId xmlns:a16="http://schemas.microsoft.com/office/drawing/2014/main" id="{D92E3D57-0992-46EB-813F-1EDC94DC46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" name="Elipse 159">
          <a:extLst>
            <a:ext uri="{FF2B5EF4-FFF2-40B4-BE49-F238E27FC236}">
              <a16:creationId xmlns:a16="http://schemas.microsoft.com/office/drawing/2014/main" id="{649699BE-64D2-4614-9B64-09EBACA867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" name="Elipse 160">
          <a:extLst>
            <a:ext uri="{FF2B5EF4-FFF2-40B4-BE49-F238E27FC236}">
              <a16:creationId xmlns:a16="http://schemas.microsoft.com/office/drawing/2014/main" id="{3CB81D25-5AA7-4A81-B4AD-C9ACFEAF6E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" name="Elipse 161">
          <a:extLst>
            <a:ext uri="{FF2B5EF4-FFF2-40B4-BE49-F238E27FC236}">
              <a16:creationId xmlns:a16="http://schemas.microsoft.com/office/drawing/2014/main" id="{508AA23F-CB82-4729-85AA-E50197B2FB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" name="Elipse 162">
          <a:extLst>
            <a:ext uri="{FF2B5EF4-FFF2-40B4-BE49-F238E27FC236}">
              <a16:creationId xmlns:a16="http://schemas.microsoft.com/office/drawing/2014/main" id="{223F1B75-6E3A-46BE-9D67-EE37E83204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" name="Elipse 163">
          <a:extLst>
            <a:ext uri="{FF2B5EF4-FFF2-40B4-BE49-F238E27FC236}">
              <a16:creationId xmlns:a16="http://schemas.microsoft.com/office/drawing/2014/main" id="{9EF79794-9548-456D-89BE-30FFA87EE4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" name="Elipse 164">
          <a:extLst>
            <a:ext uri="{FF2B5EF4-FFF2-40B4-BE49-F238E27FC236}">
              <a16:creationId xmlns:a16="http://schemas.microsoft.com/office/drawing/2014/main" id="{5831CD1D-C517-4222-A25D-382B226880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" name="Elipse 165">
          <a:extLst>
            <a:ext uri="{FF2B5EF4-FFF2-40B4-BE49-F238E27FC236}">
              <a16:creationId xmlns:a16="http://schemas.microsoft.com/office/drawing/2014/main" id="{0687E3B7-8D5A-41AB-AF31-3C241D0AE8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" name="Elipse 166">
          <a:extLst>
            <a:ext uri="{FF2B5EF4-FFF2-40B4-BE49-F238E27FC236}">
              <a16:creationId xmlns:a16="http://schemas.microsoft.com/office/drawing/2014/main" id="{D17F6120-9D0D-455C-A2DD-7685FDF8F0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" name="Elipse 167">
          <a:extLst>
            <a:ext uri="{FF2B5EF4-FFF2-40B4-BE49-F238E27FC236}">
              <a16:creationId xmlns:a16="http://schemas.microsoft.com/office/drawing/2014/main" id="{1C63C5C6-2E2B-4AB0-97EB-ED753A5608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" name="Elipse 168">
          <a:extLst>
            <a:ext uri="{FF2B5EF4-FFF2-40B4-BE49-F238E27FC236}">
              <a16:creationId xmlns:a16="http://schemas.microsoft.com/office/drawing/2014/main" id="{5E8DBE54-AA4D-432A-8CCB-1F0E12C66D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" name="Elipse 169">
          <a:extLst>
            <a:ext uri="{FF2B5EF4-FFF2-40B4-BE49-F238E27FC236}">
              <a16:creationId xmlns:a16="http://schemas.microsoft.com/office/drawing/2014/main" id="{49A61D88-261B-41F4-83F2-726791AFD5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" name="Elipse 170">
          <a:extLst>
            <a:ext uri="{FF2B5EF4-FFF2-40B4-BE49-F238E27FC236}">
              <a16:creationId xmlns:a16="http://schemas.microsoft.com/office/drawing/2014/main" id="{C7D6F0FC-DAED-4BA0-925E-64838CA500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" name="Elipse 171">
          <a:extLst>
            <a:ext uri="{FF2B5EF4-FFF2-40B4-BE49-F238E27FC236}">
              <a16:creationId xmlns:a16="http://schemas.microsoft.com/office/drawing/2014/main" id="{1E52A34C-2D68-4C6F-9B34-0687CAAE36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" name="Elipse 172">
          <a:extLst>
            <a:ext uri="{FF2B5EF4-FFF2-40B4-BE49-F238E27FC236}">
              <a16:creationId xmlns:a16="http://schemas.microsoft.com/office/drawing/2014/main" id="{81A4E776-E98E-4A52-BE0F-7B2175EE50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" name="Elipse 173">
          <a:extLst>
            <a:ext uri="{FF2B5EF4-FFF2-40B4-BE49-F238E27FC236}">
              <a16:creationId xmlns:a16="http://schemas.microsoft.com/office/drawing/2014/main" id="{DD29B2FD-4915-4258-8CF7-D6978C7FD0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" name="Elipse 174">
          <a:extLst>
            <a:ext uri="{FF2B5EF4-FFF2-40B4-BE49-F238E27FC236}">
              <a16:creationId xmlns:a16="http://schemas.microsoft.com/office/drawing/2014/main" id="{2E285AB7-68D7-4320-B729-AF4E2BA069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" name="Elipse 175">
          <a:extLst>
            <a:ext uri="{FF2B5EF4-FFF2-40B4-BE49-F238E27FC236}">
              <a16:creationId xmlns:a16="http://schemas.microsoft.com/office/drawing/2014/main" id="{F2334D4F-7B73-4CA4-839F-82C7967830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" name="Elipse 176">
          <a:extLst>
            <a:ext uri="{FF2B5EF4-FFF2-40B4-BE49-F238E27FC236}">
              <a16:creationId xmlns:a16="http://schemas.microsoft.com/office/drawing/2014/main" id="{202427F8-F920-4A89-B874-CDF100D72D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" name="Elipse 177">
          <a:extLst>
            <a:ext uri="{FF2B5EF4-FFF2-40B4-BE49-F238E27FC236}">
              <a16:creationId xmlns:a16="http://schemas.microsoft.com/office/drawing/2014/main" id="{A4DDD858-A402-4F08-AA25-FC4226835E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" name="Elipse 178">
          <a:extLst>
            <a:ext uri="{FF2B5EF4-FFF2-40B4-BE49-F238E27FC236}">
              <a16:creationId xmlns:a16="http://schemas.microsoft.com/office/drawing/2014/main" id="{FB6F6C29-FF06-4BA8-8BA3-E70462FAF3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" name="Elipse 179">
          <a:extLst>
            <a:ext uri="{FF2B5EF4-FFF2-40B4-BE49-F238E27FC236}">
              <a16:creationId xmlns:a16="http://schemas.microsoft.com/office/drawing/2014/main" id="{DD43F4E7-F7FF-4A37-A7B7-89E53D601A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" name="Elipse 180">
          <a:extLst>
            <a:ext uri="{FF2B5EF4-FFF2-40B4-BE49-F238E27FC236}">
              <a16:creationId xmlns:a16="http://schemas.microsoft.com/office/drawing/2014/main" id="{3A594B49-5190-4989-A2A9-094594898D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" name="Elipse 181">
          <a:extLst>
            <a:ext uri="{FF2B5EF4-FFF2-40B4-BE49-F238E27FC236}">
              <a16:creationId xmlns:a16="http://schemas.microsoft.com/office/drawing/2014/main" id="{9328B729-105F-46B2-948A-3D0C650F88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" name="Elipse 182">
          <a:extLst>
            <a:ext uri="{FF2B5EF4-FFF2-40B4-BE49-F238E27FC236}">
              <a16:creationId xmlns:a16="http://schemas.microsoft.com/office/drawing/2014/main" id="{584C3B29-23F8-422D-8A3E-C2385DF72C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" name="Elipse 183">
          <a:extLst>
            <a:ext uri="{FF2B5EF4-FFF2-40B4-BE49-F238E27FC236}">
              <a16:creationId xmlns:a16="http://schemas.microsoft.com/office/drawing/2014/main" id="{711DEE13-28D4-466F-BFC3-12E55890A2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" name="Elipse 184">
          <a:extLst>
            <a:ext uri="{FF2B5EF4-FFF2-40B4-BE49-F238E27FC236}">
              <a16:creationId xmlns:a16="http://schemas.microsoft.com/office/drawing/2014/main" id="{31AF38AE-9562-4C33-860F-02C36AE9AF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" name="Elipse 185">
          <a:extLst>
            <a:ext uri="{FF2B5EF4-FFF2-40B4-BE49-F238E27FC236}">
              <a16:creationId xmlns:a16="http://schemas.microsoft.com/office/drawing/2014/main" id="{AD2F9496-5BF7-4763-91B9-A87E39287B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" name="Elipse 186">
          <a:extLst>
            <a:ext uri="{FF2B5EF4-FFF2-40B4-BE49-F238E27FC236}">
              <a16:creationId xmlns:a16="http://schemas.microsoft.com/office/drawing/2014/main" id="{8193EBCC-399F-4274-9C82-522428A2F5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" name="Elipse 187">
          <a:extLst>
            <a:ext uri="{FF2B5EF4-FFF2-40B4-BE49-F238E27FC236}">
              <a16:creationId xmlns:a16="http://schemas.microsoft.com/office/drawing/2014/main" id="{7F975513-7697-4DD5-8548-BAF3D10080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" name="Elipse 188">
          <a:extLst>
            <a:ext uri="{FF2B5EF4-FFF2-40B4-BE49-F238E27FC236}">
              <a16:creationId xmlns:a16="http://schemas.microsoft.com/office/drawing/2014/main" id="{58315A27-5C51-4531-AB79-52E5F3DE32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" name="Elipse 189">
          <a:extLst>
            <a:ext uri="{FF2B5EF4-FFF2-40B4-BE49-F238E27FC236}">
              <a16:creationId xmlns:a16="http://schemas.microsoft.com/office/drawing/2014/main" id="{893A834F-8180-48E7-AEE7-204AAB8249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" name="Elipse 190">
          <a:extLst>
            <a:ext uri="{FF2B5EF4-FFF2-40B4-BE49-F238E27FC236}">
              <a16:creationId xmlns:a16="http://schemas.microsoft.com/office/drawing/2014/main" id="{90D327AC-0DAB-4115-9428-13ECF4A889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" name="Elipse 191">
          <a:extLst>
            <a:ext uri="{FF2B5EF4-FFF2-40B4-BE49-F238E27FC236}">
              <a16:creationId xmlns:a16="http://schemas.microsoft.com/office/drawing/2014/main" id="{4E2CC8F8-72D0-48A8-8433-1837D8A6C9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" name="Elipse 192">
          <a:extLst>
            <a:ext uri="{FF2B5EF4-FFF2-40B4-BE49-F238E27FC236}">
              <a16:creationId xmlns:a16="http://schemas.microsoft.com/office/drawing/2014/main" id="{90BF8274-D23F-49A3-BC30-231B4EB89C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" name="Elipse 193">
          <a:extLst>
            <a:ext uri="{FF2B5EF4-FFF2-40B4-BE49-F238E27FC236}">
              <a16:creationId xmlns:a16="http://schemas.microsoft.com/office/drawing/2014/main" id="{69CCCC21-FE37-46AE-95AD-E2234E0E95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" name="Elipse 194">
          <a:extLst>
            <a:ext uri="{FF2B5EF4-FFF2-40B4-BE49-F238E27FC236}">
              <a16:creationId xmlns:a16="http://schemas.microsoft.com/office/drawing/2014/main" id="{96D957D0-D2F4-4A14-B2A7-1E28D68B35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" name="Elipse 195">
          <a:extLst>
            <a:ext uri="{FF2B5EF4-FFF2-40B4-BE49-F238E27FC236}">
              <a16:creationId xmlns:a16="http://schemas.microsoft.com/office/drawing/2014/main" id="{3DB44F5F-04A7-4B11-8565-795B721405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" name="Elipse 196">
          <a:extLst>
            <a:ext uri="{FF2B5EF4-FFF2-40B4-BE49-F238E27FC236}">
              <a16:creationId xmlns:a16="http://schemas.microsoft.com/office/drawing/2014/main" id="{678A71E7-C9FB-424F-B9DE-1E5EA53628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" name="Elipse 197">
          <a:extLst>
            <a:ext uri="{FF2B5EF4-FFF2-40B4-BE49-F238E27FC236}">
              <a16:creationId xmlns:a16="http://schemas.microsoft.com/office/drawing/2014/main" id="{3088C5D9-668A-41D2-8A4C-98BF62A178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" name="Elipse 198">
          <a:extLst>
            <a:ext uri="{FF2B5EF4-FFF2-40B4-BE49-F238E27FC236}">
              <a16:creationId xmlns:a16="http://schemas.microsoft.com/office/drawing/2014/main" id="{D22EF1A8-F005-455E-9172-EB143F43E5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" name="Elipse 199">
          <a:extLst>
            <a:ext uri="{FF2B5EF4-FFF2-40B4-BE49-F238E27FC236}">
              <a16:creationId xmlns:a16="http://schemas.microsoft.com/office/drawing/2014/main" id="{D7BEA061-DF1D-453D-BBE4-1601B86069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" name="Elipse 200">
          <a:extLst>
            <a:ext uri="{FF2B5EF4-FFF2-40B4-BE49-F238E27FC236}">
              <a16:creationId xmlns:a16="http://schemas.microsoft.com/office/drawing/2014/main" id="{545014AE-9BDC-4303-9A06-CC15DC9205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" name="Elipse 201">
          <a:extLst>
            <a:ext uri="{FF2B5EF4-FFF2-40B4-BE49-F238E27FC236}">
              <a16:creationId xmlns:a16="http://schemas.microsoft.com/office/drawing/2014/main" id="{0D471D98-C81B-4F2A-9498-8596D74513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" name="Elipse 202">
          <a:extLst>
            <a:ext uri="{FF2B5EF4-FFF2-40B4-BE49-F238E27FC236}">
              <a16:creationId xmlns:a16="http://schemas.microsoft.com/office/drawing/2014/main" id="{79033719-B5FD-4D66-8CF8-ECE4B1058E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" name="Elipse 203">
          <a:extLst>
            <a:ext uri="{FF2B5EF4-FFF2-40B4-BE49-F238E27FC236}">
              <a16:creationId xmlns:a16="http://schemas.microsoft.com/office/drawing/2014/main" id="{5BF64FBB-D9F3-42EE-BBB3-EC0E94FE9D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" name="Elipse 204">
          <a:extLst>
            <a:ext uri="{FF2B5EF4-FFF2-40B4-BE49-F238E27FC236}">
              <a16:creationId xmlns:a16="http://schemas.microsoft.com/office/drawing/2014/main" id="{459592F9-C24E-4A4D-986C-64EDDE6CB9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" name="Elipse 205">
          <a:extLst>
            <a:ext uri="{FF2B5EF4-FFF2-40B4-BE49-F238E27FC236}">
              <a16:creationId xmlns:a16="http://schemas.microsoft.com/office/drawing/2014/main" id="{2185CBAE-1E76-4A0B-BF58-26D8ECD986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" name="Elipse 206">
          <a:extLst>
            <a:ext uri="{FF2B5EF4-FFF2-40B4-BE49-F238E27FC236}">
              <a16:creationId xmlns:a16="http://schemas.microsoft.com/office/drawing/2014/main" id="{092F6C6E-7728-4F5A-A54E-0C901D5105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" name="Elipse 207">
          <a:extLst>
            <a:ext uri="{FF2B5EF4-FFF2-40B4-BE49-F238E27FC236}">
              <a16:creationId xmlns:a16="http://schemas.microsoft.com/office/drawing/2014/main" id="{1C8B765C-2809-49E6-9A32-9C6E678D4A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" name="Elipse 208">
          <a:extLst>
            <a:ext uri="{FF2B5EF4-FFF2-40B4-BE49-F238E27FC236}">
              <a16:creationId xmlns:a16="http://schemas.microsoft.com/office/drawing/2014/main" id="{FCF59AE7-1011-495E-A04B-4202397F6C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" name="Elipse 209">
          <a:extLst>
            <a:ext uri="{FF2B5EF4-FFF2-40B4-BE49-F238E27FC236}">
              <a16:creationId xmlns:a16="http://schemas.microsoft.com/office/drawing/2014/main" id="{02846199-9920-4735-ABEE-FDFAAB765D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" name="Elipse 210">
          <a:extLst>
            <a:ext uri="{FF2B5EF4-FFF2-40B4-BE49-F238E27FC236}">
              <a16:creationId xmlns:a16="http://schemas.microsoft.com/office/drawing/2014/main" id="{56ED4613-DB31-4BA8-9ED5-26E9F7C227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" name="Elipse 211">
          <a:extLst>
            <a:ext uri="{FF2B5EF4-FFF2-40B4-BE49-F238E27FC236}">
              <a16:creationId xmlns:a16="http://schemas.microsoft.com/office/drawing/2014/main" id="{62F28BA6-36B9-4A04-80DE-FE5FB5C7CC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" name="Elipse 212">
          <a:extLst>
            <a:ext uri="{FF2B5EF4-FFF2-40B4-BE49-F238E27FC236}">
              <a16:creationId xmlns:a16="http://schemas.microsoft.com/office/drawing/2014/main" id="{4045DDB0-73F4-4759-A84B-17A0D870DA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" name="Elipse 213">
          <a:extLst>
            <a:ext uri="{FF2B5EF4-FFF2-40B4-BE49-F238E27FC236}">
              <a16:creationId xmlns:a16="http://schemas.microsoft.com/office/drawing/2014/main" id="{52C89CF3-81D3-49CB-9E29-647F1A0944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" name="Elipse 214">
          <a:extLst>
            <a:ext uri="{FF2B5EF4-FFF2-40B4-BE49-F238E27FC236}">
              <a16:creationId xmlns:a16="http://schemas.microsoft.com/office/drawing/2014/main" id="{62F0B32C-6702-4096-B704-72EDA057FA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" name="Elipse 215">
          <a:extLst>
            <a:ext uri="{FF2B5EF4-FFF2-40B4-BE49-F238E27FC236}">
              <a16:creationId xmlns:a16="http://schemas.microsoft.com/office/drawing/2014/main" id="{E62526DB-CAF1-4D28-B55F-93CB7E610C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" name="Elipse 216">
          <a:extLst>
            <a:ext uri="{FF2B5EF4-FFF2-40B4-BE49-F238E27FC236}">
              <a16:creationId xmlns:a16="http://schemas.microsoft.com/office/drawing/2014/main" id="{3519F0AE-D9C6-40E0-B545-1DB15D6197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" name="Elipse 217">
          <a:extLst>
            <a:ext uri="{FF2B5EF4-FFF2-40B4-BE49-F238E27FC236}">
              <a16:creationId xmlns:a16="http://schemas.microsoft.com/office/drawing/2014/main" id="{B9E85BE3-79DC-4CB8-B8BA-A397FA53F6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" name="Elipse 218">
          <a:extLst>
            <a:ext uri="{FF2B5EF4-FFF2-40B4-BE49-F238E27FC236}">
              <a16:creationId xmlns:a16="http://schemas.microsoft.com/office/drawing/2014/main" id="{439980B7-308B-4D3B-AA9D-D459C0DD1F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" name="Elipse 219">
          <a:extLst>
            <a:ext uri="{FF2B5EF4-FFF2-40B4-BE49-F238E27FC236}">
              <a16:creationId xmlns:a16="http://schemas.microsoft.com/office/drawing/2014/main" id="{9E2D3766-C56F-4D15-A92C-50B2ADDF0E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" name="Elipse 220">
          <a:extLst>
            <a:ext uri="{FF2B5EF4-FFF2-40B4-BE49-F238E27FC236}">
              <a16:creationId xmlns:a16="http://schemas.microsoft.com/office/drawing/2014/main" id="{EE6FE58D-378E-45C2-8266-FD1EC557BA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" name="Elipse 221">
          <a:extLst>
            <a:ext uri="{FF2B5EF4-FFF2-40B4-BE49-F238E27FC236}">
              <a16:creationId xmlns:a16="http://schemas.microsoft.com/office/drawing/2014/main" id="{44FCE765-D117-46C3-A03E-F452AAF441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" name="Elipse 222">
          <a:extLst>
            <a:ext uri="{FF2B5EF4-FFF2-40B4-BE49-F238E27FC236}">
              <a16:creationId xmlns:a16="http://schemas.microsoft.com/office/drawing/2014/main" id="{F4293F72-8AD4-4937-AB8D-BDFFFA7624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" name="Elipse 223">
          <a:extLst>
            <a:ext uri="{FF2B5EF4-FFF2-40B4-BE49-F238E27FC236}">
              <a16:creationId xmlns:a16="http://schemas.microsoft.com/office/drawing/2014/main" id="{C57EE1D1-2D43-4EA8-9A6B-73C6A0EE14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" name="Elipse 224">
          <a:extLst>
            <a:ext uri="{FF2B5EF4-FFF2-40B4-BE49-F238E27FC236}">
              <a16:creationId xmlns:a16="http://schemas.microsoft.com/office/drawing/2014/main" id="{451A4C4F-D49C-4879-BBE2-461F817937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" name="Elipse 225">
          <a:extLst>
            <a:ext uri="{FF2B5EF4-FFF2-40B4-BE49-F238E27FC236}">
              <a16:creationId xmlns:a16="http://schemas.microsoft.com/office/drawing/2014/main" id="{453BE4B2-ED8B-43C4-A306-A31FEB5140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" name="Elipse 226">
          <a:extLst>
            <a:ext uri="{FF2B5EF4-FFF2-40B4-BE49-F238E27FC236}">
              <a16:creationId xmlns:a16="http://schemas.microsoft.com/office/drawing/2014/main" id="{32AC83F7-C54A-495F-8E40-0ED1644807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" name="Elipse 227">
          <a:extLst>
            <a:ext uri="{FF2B5EF4-FFF2-40B4-BE49-F238E27FC236}">
              <a16:creationId xmlns:a16="http://schemas.microsoft.com/office/drawing/2014/main" id="{69E29CBF-CD98-4009-BD9E-093A303D01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" name="Elipse 228">
          <a:extLst>
            <a:ext uri="{FF2B5EF4-FFF2-40B4-BE49-F238E27FC236}">
              <a16:creationId xmlns:a16="http://schemas.microsoft.com/office/drawing/2014/main" id="{321294BE-0B85-4A23-9516-F47C304AD4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" name="Elipse 229">
          <a:extLst>
            <a:ext uri="{FF2B5EF4-FFF2-40B4-BE49-F238E27FC236}">
              <a16:creationId xmlns:a16="http://schemas.microsoft.com/office/drawing/2014/main" id="{60D44291-59EF-42D1-9328-B5CD0F0BA1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" name="Elipse 230">
          <a:extLst>
            <a:ext uri="{FF2B5EF4-FFF2-40B4-BE49-F238E27FC236}">
              <a16:creationId xmlns:a16="http://schemas.microsoft.com/office/drawing/2014/main" id="{4E9302C3-193E-4C37-A4F8-F76399BBB2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" name="Elipse 231">
          <a:extLst>
            <a:ext uri="{FF2B5EF4-FFF2-40B4-BE49-F238E27FC236}">
              <a16:creationId xmlns:a16="http://schemas.microsoft.com/office/drawing/2014/main" id="{AA260F1C-F2DD-4CCB-9A12-26AADBA0BB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" name="Elipse 232">
          <a:extLst>
            <a:ext uri="{FF2B5EF4-FFF2-40B4-BE49-F238E27FC236}">
              <a16:creationId xmlns:a16="http://schemas.microsoft.com/office/drawing/2014/main" id="{2130AA7C-343B-46BA-B051-9B694C4F8A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" name="Elipse 233">
          <a:extLst>
            <a:ext uri="{FF2B5EF4-FFF2-40B4-BE49-F238E27FC236}">
              <a16:creationId xmlns:a16="http://schemas.microsoft.com/office/drawing/2014/main" id="{ED254A8D-C918-4D86-8CDA-C7F346B023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" name="Elipse 234">
          <a:extLst>
            <a:ext uri="{FF2B5EF4-FFF2-40B4-BE49-F238E27FC236}">
              <a16:creationId xmlns:a16="http://schemas.microsoft.com/office/drawing/2014/main" id="{2D24DEBC-9A00-48DD-8CED-71DCFE3DF0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" name="Elipse 235">
          <a:extLst>
            <a:ext uri="{FF2B5EF4-FFF2-40B4-BE49-F238E27FC236}">
              <a16:creationId xmlns:a16="http://schemas.microsoft.com/office/drawing/2014/main" id="{F4A49AF8-B312-4D6D-9F45-D9CD5DF3F2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" name="Elipse 236">
          <a:extLst>
            <a:ext uri="{FF2B5EF4-FFF2-40B4-BE49-F238E27FC236}">
              <a16:creationId xmlns:a16="http://schemas.microsoft.com/office/drawing/2014/main" id="{2BDE3D84-020A-4275-ABAA-855843D277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" name="Elipse 237">
          <a:extLst>
            <a:ext uri="{FF2B5EF4-FFF2-40B4-BE49-F238E27FC236}">
              <a16:creationId xmlns:a16="http://schemas.microsoft.com/office/drawing/2014/main" id="{D6B5C1FA-33F6-443F-AF18-B1C89FF9E6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" name="Elipse 238">
          <a:extLst>
            <a:ext uri="{FF2B5EF4-FFF2-40B4-BE49-F238E27FC236}">
              <a16:creationId xmlns:a16="http://schemas.microsoft.com/office/drawing/2014/main" id="{C971C14C-5860-4217-B507-2D8D28C0E2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" name="Elipse 239">
          <a:extLst>
            <a:ext uri="{FF2B5EF4-FFF2-40B4-BE49-F238E27FC236}">
              <a16:creationId xmlns:a16="http://schemas.microsoft.com/office/drawing/2014/main" id="{9F7C61C6-F15B-48D3-93DF-80AD398BA6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" name="Elipse 240">
          <a:extLst>
            <a:ext uri="{FF2B5EF4-FFF2-40B4-BE49-F238E27FC236}">
              <a16:creationId xmlns:a16="http://schemas.microsoft.com/office/drawing/2014/main" id="{D1A12F50-293C-43AA-A93F-735DD8F8AB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" name="Elipse 241">
          <a:extLst>
            <a:ext uri="{FF2B5EF4-FFF2-40B4-BE49-F238E27FC236}">
              <a16:creationId xmlns:a16="http://schemas.microsoft.com/office/drawing/2014/main" id="{2AC5C361-3457-4070-8411-A24F1B327A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" name="Elipse 242">
          <a:extLst>
            <a:ext uri="{FF2B5EF4-FFF2-40B4-BE49-F238E27FC236}">
              <a16:creationId xmlns:a16="http://schemas.microsoft.com/office/drawing/2014/main" id="{5945C4B9-5E9A-4896-98D5-B2D9F4792C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" name="Elipse 243">
          <a:extLst>
            <a:ext uri="{FF2B5EF4-FFF2-40B4-BE49-F238E27FC236}">
              <a16:creationId xmlns:a16="http://schemas.microsoft.com/office/drawing/2014/main" id="{D17EAAF1-3634-4C70-803F-60ADB08FC2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" name="Elipse 244">
          <a:extLst>
            <a:ext uri="{FF2B5EF4-FFF2-40B4-BE49-F238E27FC236}">
              <a16:creationId xmlns:a16="http://schemas.microsoft.com/office/drawing/2014/main" id="{057DDCA0-FBA5-40B8-BBD6-1E6782849A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" name="Elipse 245">
          <a:extLst>
            <a:ext uri="{FF2B5EF4-FFF2-40B4-BE49-F238E27FC236}">
              <a16:creationId xmlns:a16="http://schemas.microsoft.com/office/drawing/2014/main" id="{9ADFA045-B665-4106-AE74-1F67A780E8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" name="Elipse 246">
          <a:extLst>
            <a:ext uri="{FF2B5EF4-FFF2-40B4-BE49-F238E27FC236}">
              <a16:creationId xmlns:a16="http://schemas.microsoft.com/office/drawing/2014/main" id="{27F91359-94E2-4C4A-97D7-CF8A5854AC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" name="Elipse 247">
          <a:extLst>
            <a:ext uri="{FF2B5EF4-FFF2-40B4-BE49-F238E27FC236}">
              <a16:creationId xmlns:a16="http://schemas.microsoft.com/office/drawing/2014/main" id="{9D3CB3AE-BAA7-46B9-A817-0F31F5BF8A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" name="Elipse 248">
          <a:extLst>
            <a:ext uri="{FF2B5EF4-FFF2-40B4-BE49-F238E27FC236}">
              <a16:creationId xmlns:a16="http://schemas.microsoft.com/office/drawing/2014/main" id="{5A1AB346-2CCF-49A6-9544-2E88A13640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" name="Elipse 249">
          <a:extLst>
            <a:ext uri="{FF2B5EF4-FFF2-40B4-BE49-F238E27FC236}">
              <a16:creationId xmlns:a16="http://schemas.microsoft.com/office/drawing/2014/main" id="{B40EE198-F1EE-4BFA-9C75-FFDCFF699D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" name="Elipse 250">
          <a:extLst>
            <a:ext uri="{FF2B5EF4-FFF2-40B4-BE49-F238E27FC236}">
              <a16:creationId xmlns:a16="http://schemas.microsoft.com/office/drawing/2014/main" id="{9170E0FB-A385-4148-A522-3F28564F61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" name="Elipse 251">
          <a:extLst>
            <a:ext uri="{FF2B5EF4-FFF2-40B4-BE49-F238E27FC236}">
              <a16:creationId xmlns:a16="http://schemas.microsoft.com/office/drawing/2014/main" id="{85C8AAEB-513D-4939-8895-7AB57996B7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" name="Elipse 252">
          <a:extLst>
            <a:ext uri="{FF2B5EF4-FFF2-40B4-BE49-F238E27FC236}">
              <a16:creationId xmlns:a16="http://schemas.microsoft.com/office/drawing/2014/main" id="{ABD6D9D5-39A4-4357-9705-AEB97286C8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" name="Elipse 253">
          <a:extLst>
            <a:ext uri="{FF2B5EF4-FFF2-40B4-BE49-F238E27FC236}">
              <a16:creationId xmlns:a16="http://schemas.microsoft.com/office/drawing/2014/main" id="{DE9686FA-14E7-487A-BBEA-9C1ADA019B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" name="Elipse 254">
          <a:extLst>
            <a:ext uri="{FF2B5EF4-FFF2-40B4-BE49-F238E27FC236}">
              <a16:creationId xmlns:a16="http://schemas.microsoft.com/office/drawing/2014/main" id="{153AF87F-3FC4-4015-8398-D3B3F5100E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" name="Elipse 255">
          <a:extLst>
            <a:ext uri="{FF2B5EF4-FFF2-40B4-BE49-F238E27FC236}">
              <a16:creationId xmlns:a16="http://schemas.microsoft.com/office/drawing/2014/main" id="{8BAB46AB-BBD8-4EA3-AA3D-613DC25C85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" name="Elipse 256">
          <a:extLst>
            <a:ext uri="{FF2B5EF4-FFF2-40B4-BE49-F238E27FC236}">
              <a16:creationId xmlns:a16="http://schemas.microsoft.com/office/drawing/2014/main" id="{D1B41A12-A1B5-4F32-B065-27A1A02882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" name="Elipse 257">
          <a:extLst>
            <a:ext uri="{FF2B5EF4-FFF2-40B4-BE49-F238E27FC236}">
              <a16:creationId xmlns:a16="http://schemas.microsoft.com/office/drawing/2014/main" id="{A5A0B787-100B-47BA-9191-713078D597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" name="Elipse 258">
          <a:extLst>
            <a:ext uri="{FF2B5EF4-FFF2-40B4-BE49-F238E27FC236}">
              <a16:creationId xmlns:a16="http://schemas.microsoft.com/office/drawing/2014/main" id="{4E22D74A-431E-4ED5-9FC3-5CD67303C2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" name="Elipse 259">
          <a:extLst>
            <a:ext uri="{FF2B5EF4-FFF2-40B4-BE49-F238E27FC236}">
              <a16:creationId xmlns:a16="http://schemas.microsoft.com/office/drawing/2014/main" id="{2CA8F158-54C3-4DC1-8047-D380FC5474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" name="Elipse 260">
          <a:extLst>
            <a:ext uri="{FF2B5EF4-FFF2-40B4-BE49-F238E27FC236}">
              <a16:creationId xmlns:a16="http://schemas.microsoft.com/office/drawing/2014/main" id="{DDA7A2BF-400F-43A4-8863-D88B12DF60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" name="Elipse 261">
          <a:extLst>
            <a:ext uri="{FF2B5EF4-FFF2-40B4-BE49-F238E27FC236}">
              <a16:creationId xmlns:a16="http://schemas.microsoft.com/office/drawing/2014/main" id="{BD9D0A83-49F0-4E05-9B68-CF104E2B3A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" name="Elipse 262">
          <a:extLst>
            <a:ext uri="{FF2B5EF4-FFF2-40B4-BE49-F238E27FC236}">
              <a16:creationId xmlns:a16="http://schemas.microsoft.com/office/drawing/2014/main" id="{02D8E541-0D28-48F5-8855-8307E80FC7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" name="Elipse 263">
          <a:extLst>
            <a:ext uri="{FF2B5EF4-FFF2-40B4-BE49-F238E27FC236}">
              <a16:creationId xmlns:a16="http://schemas.microsoft.com/office/drawing/2014/main" id="{8A1BAB47-0DCB-4944-BEEE-AECD3AD68B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" name="Elipse 264">
          <a:extLst>
            <a:ext uri="{FF2B5EF4-FFF2-40B4-BE49-F238E27FC236}">
              <a16:creationId xmlns:a16="http://schemas.microsoft.com/office/drawing/2014/main" id="{E6286ADB-19E4-42AB-A782-693AFFFE4E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" name="Elipse 265">
          <a:extLst>
            <a:ext uri="{FF2B5EF4-FFF2-40B4-BE49-F238E27FC236}">
              <a16:creationId xmlns:a16="http://schemas.microsoft.com/office/drawing/2014/main" id="{F9C59AEC-D98B-4889-94D1-8F68345CAB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" name="Elipse 266">
          <a:extLst>
            <a:ext uri="{FF2B5EF4-FFF2-40B4-BE49-F238E27FC236}">
              <a16:creationId xmlns:a16="http://schemas.microsoft.com/office/drawing/2014/main" id="{60D43047-EFB6-4EDF-A327-24F20233D8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" name="Elipse 267">
          <a:extLst>
            <a:ext uri="{FF2B5EF4-FFF2-40B4-BE49-F238E27FC236}">
              <a16:creationId xmlns:a16="http://schemas.microsoft.com/office/drawing/2014/main" id="{2267E5A0-60F7-4B5E-8A8D-9526417416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" name="Elipse 268">
          <a:extLst>
            <a:ext uri="{FF2B5EF4-FFF2-40B4-BE49-F238E27FC236}">
              <a16:creationId xmlns:a16="http://schemas.microsoft.com/office/drawing/2014/main" id="{5FA028D5-6289-4EE7-AEB2-14E351F76A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" name="Elipse 269">
          <a:extLst>
            <a:ext uri="{FF2B5EF4-FFF2-40B4-BE49-F238E27FC236}">
              <a16:creationId xmlns:a16="http://schemas.microsoft.com/office/drawing/2014/main" id="{9169C794-7956-48E0-9845-4542F5B5B8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" name="Elipse 270">
          <a:extLst>
            <a:ext uri="{FF2B5EF4-FFF2-40B4-BE49-F238E27FC236}">
              <a16:creationId xmlns:a16="http://schemas.microsoft.com/office/drawing/2014/main" id="{7F3E97C5-DE08-4666-82E8-FEFD13DB62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" name="Elipse 271">
          <a:extLst>
            <a:ext uri="{FF2B5EF4-FFF2-40B4-BE49-F238E27FC236}">
              <a16:creationId xmlns:a16="http://schemas.microsoft.com/office/drawing/2014/main" id="{C0B6F872-C521-47D1-9AA0-C82524A45E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" name="Elipse 272">
          <a:extLst>
            <a:ext uri="{FF2B5EF4-FFF2-40B4-BE49-F238E27FC236}">
              <a16:creationId xmlns:a16="http://schemas.microsoft.com/office/drawing/2014/main" id="{8F85CA6C-6DAE-4B71-ACFF-6A3CC52D33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" name="Elipse 273">
          <a:extLst>
            <a:ext uri="{FF2B5EF4-FFF2-40B4-BE49-F238E27FC236}">
              <a16:creationId xmlns:a16="http://schemas.microsoft.com/office/drawing/2014/main" id="{0363FB96-E08C-47B2-8A44-1E89F4E2AB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" name="Elipse 274">
          <a:extLst>
            <a:ext uri="{FF2B5EF4-FFF2-40B4-BE49-F238E27FC236}">
              <a16:creationId xmlns:a16="http://schemas.microsoft.com/office/drawing/2014/main" id="{5316B89B-4D6E-46A0-B41E-FB2C80D014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" name="Elipse 275">
          <a:extLst>
            <a:ext uri="{FF2B5EF4-FFF2-40B4-BE49-F238E27FC236}">
              <a16:creationId xmlns:a16="http://schemas.microsoft.com/office/drawing/2014/main" id="{D4EC86DE-BE00-4F75-80BF-8E0031838C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" name="Elipse 276">
          <a:extLst>
            <a:ext uri="{FF2B5EF4-FFF2-40B4-BE49-F238E27FC236}">
              <a16:creationId xmlns:a16="http://schemas.microsoft.com/office/drawing/2014/main" id="{BCD25AD5-2CE9-40CF-B6CC-81F1105A86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" name="Elipse 277">
          <a:extLst>
            <a:ext uri="{FF2B5EF4-FFF2-40B4-BE49-F238E27FC236}">
              <a16:creationId xmlns:a16="http://schemas.microsoft.com/office/drawing/2014/main" id="{DD6A9728-05BA-4AD0-9B3B-56BEC8968E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" name="Elipse 278">
          <a:extLst>
            <a:ext uri="{FF2B5EF4-FFF2-40B4-BE49-F238E27FC236}">
              <a16:creationId xmlns:a16="http://schemas.microsoft.com/office/drawing/2014/main" id="{04916D2F-4A32-430F-A30B-1B99B3F303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" name="Elipse 279">
          <a:extLst>
            <a:ext uri="{FF2B5EF4-FFF2-40B4-BE49-F238E27FC236}">
              <a16:creationId xmlns:a16="http://schemas.microsoft.com/office/drawing/2014/main" id="{19CFB9EA-7C6C-497F-8D64-9F154739B4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" name="Elipse 280">
          <a:extLst>
            <a:ext uri="{FF2B5EF4-FFF2-40B4-BE49-F238E27FC236}">
              <a16:creationId xmlns:a16="http://schemas.microsoft.com/office/drawing/2014/main" id="{FC467145-6CFD-45B7-9233-0598343C57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" name="Elipse 281">
          <a:extLst>
            <a:ext uri="{FF2B5EF4-FFF2-40B4-BE49-F238E27FC236}">
              <a16:creationId xmlns:a16="http://schemas.microsoft.com/office/drawing/2014/main" id="{B9CB5FF2-2EEF-43C0-A05F-3EBF645B39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" name="Elipse 282">
          <a:extLst>
            <a:ext uri="{FF2B5EF4-FFF2-40B4-BE49-F238E27FC236}">
              <a16:creationId xmlns:a16="http://schemas.microsoft.com/office/drawing/2014/main" id="{8F9F9909-96F1-49B5-BFE1-84BED8ACA0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" name="Elipse 283">
          <a:extLst>
            <a:ext uri="{FF2B5EF4-FFF2-40B4-BE49-F238E27FC236}">
              <a16:creationId xmlns:a16="http://schemas.microsoft.com/office/drawing/2014/main" id="{EE71749A-BA93-47E5-A63A-642C600D44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" name="Elipse 284">
          <a:extLst>
            <a:ext uri="{FF2B5EF4-FFF2-40B4-BE49-F238E27FC236}">
              <a16:creationId xmlns:a16="http://schemas.microsoft.com/office/drawing/2014/main" id="{0BBD5EC2-501D-441F-9A24-1E9C8F9B8C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" name="Elipse 285">
          <a:extLst>
            <a:ext uri="{FF2B5EF4-FFF2-40B4-BE49-F238E27FC236}">
              <a16:creationId xmlns:a16="http://schemas.microsoft.com/office/drawing/2014/main" id="{531C2DBC-6C3F-4541-97CF-15D3E7091C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" name="Elipse 286">
          <a:extLst>
            <a:ext uri="{FF2B5EF4-FFF2-40B4-BE49-F238E27FC236}">
              <a16:creationId xmlns:a16="http://schemas.microsoft.com/office/drawing/2014/main" id="{571CA0C3-C270-499C-B8F3-1B100CAC05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" name="Elipse 287">
          <a:extLst>
            <a:ext uri="{FF2B5EF4-FFF2-40B4-BE49-F238E27FC236}">
              <a16:creationId xmlns:a16="http://schemas.microsoft.com/office/drawing/2014/main" id="{E7719A22-1E48-4FAE-979D-C7F4D7779B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" name="Elipse 288">
          <a:extLst>
            <a:ext uri="{FF2B5EF4-FFF2-40B4-BE49-F238E27FC236}">
              <a16:creationId xmlns:a16="http://schemas.microsoft.com/office/drawing/2014/main" id="{7AA14AD0-A3F2-4C65-AB07-99EDDE4D3B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" name="Elipse 289">
          <a:extLst>
            <a:ext uri="{FF2B5EF4-FFF2-40B4-BE49-F238E27FC236}">
              <a16:creationId xmlns:a16="http://schemas.microsoft.com/office/drawing/2014/main" id="{DDFE2187-E240-46F1-830E-C044C9ACDF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" name="Elipse 290">
          <a:extLst>
            <a:ext uri="{FF2B5EF4-FFF2-40B4-BE49-F238E27FC236}">
              <a16:creationId xmlns:a16="http://schemas.microsoft.com/office/drawing/2014/main" id="{26E38202-D495-49CD-8B99-1BC7319556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" name="Elipse 291">
          <a:extLst>
            <a:ext uri="{FF2B5EF4-FFF2-40B4-BE49-F238E27FC236}">
              <a16:creationId xmlns:a16="http://schemas.microsoft.com/office/drawing/2014/main" id="{BC45FF6B-BDFB-4495-8142-A2B69606D1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" name="Elipse 292">
          <a:extLst>
            <a:ext uri="{FF2B5EF4-FFF2-40B4-BE49-F238E27FC236}">
              <a16:creationId xmlns:a16="http://schemas.microsoft.com/office/drawing/2014/main" id="{93AECAC4-FA6F-41DA-9837-96C291384A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" name="Elipse 293">
          <a:extLst>
            <a:ext uri="{FF2B5EF4-FFF2-40B4-BE49-F238E27FC236}">
              <a16:creationId xmlns:a16="http://schemas.microsoft.com/office/drawing/2014/main" id="{C4550F8E-F5BF-463A-8230-685E9B2FA9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" name="Elipse 294">
          <a:extLst>
            <a:ext uri="{FF2B5EF4-FFF2-40B4-BE49-F238E27FC236}">
              <a16:creationId xmlns:a16="http://schemas.microsoft.com/office/drawing/2014/main" id="{FB57DB8B-7D65-45F2-B1F9-E351C271F2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" name="Elipse 295">
          <a:extLst>
            <a:ext uri="{FF2B5EF4-FFF2-40B4-BE49-F238E27FC236}">
              <a16:creationId xmlns:a16="http://schemas.microsoft.com/office/drawing/2014/main" id="{8993ADBD-D3F2-4530-8AC0-AE935EC715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" name="Elipse 296">
          <a:extLst>
            <a:ext uri="{FF2B5EF4-FFF2-40B4-BE49-F238E27FC236}">
              <a16:creationId xmlns:a16="http://schemas.microsoft.com/office/drawing/2014/main" id="{07601697-EA86-47CF-B803-39497370C2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" name="Elipse 297">
          <a:extLst>
            <a:ext uri="{FF2B5EF4-FFF2-40B4-BE49-F238E27FC236}">
              <a16:creationId xmlns:a16="http://schemas.microsoft.com/office/drawing/2014/main" id="{CDEC2625-782A-49EB-9A20-FE9375E6EF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" name="Elipse 298">
          <a:extLst>
            <a:ext uri="{FF2B5EF4-FFF2-40B4-BE49-F238E27FC236}">
              <a16:creationId xmlns:a16="http://schemas.microsoft.com/office/drawing/2014/main" id="{AEB39685-5893-4152-B14A-3197105786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" name="Elipse 299">
          <a:extLst>
            <a:ext uri="{FF2B5EF4-FFF2-40B4-BE49-F238E27FC236}">
              <a16:creationId xmlns:a16="http://schemas.microsoft.com/office/drawing/2014/main" id="{4CA9A549-44E0-4C43-99EA-462E5F7138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" name="Elipse 300">
          <a:extLst>
            <a:ext uri="{FF2B5EF4-FFF2-40B4-BE49-F238E27FC236}">
              <a16:creationId xmlns:a16="http://schemas.microsoft.com/office/drawing/2014/main" id="{EC3922B7-157C-4F08-ADB6-4B063AD384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" name="Elipse 301">
          <a:extLst>
            <a:ext uri="{FF2B5EF4-FFF2-40B4-BE49-F238E27FC236}">
              <a16:creationId xmlns:a16="http://schemas.microsoft.com/office/drawing/2014/main" id="{708A83AA-0E63-45A9-9318-C288763B7B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" name="Elipse 302">
          <a:extLst>
            <a:ext uri="{FF2B5EF4-FFF2-40B4-BE49-F238E27FC236}">
              <a16:creationId xmlns:a16="http://schemas.microsoft.com/office/drawing/2014/main" id="{64F4B3BB-55DA-496A-BAF4-886BD94BAE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" name="Elipse 303">
          <a:extLst>
            <a:ext uri="{FF2B5EF4-FFF2-40B4-BE49-F238E27FC236}">
              <a16:creationId xmlns:a16="http://schemas.microsoft.com/office/drawing/2014/main" id="{4E684C7D-09B0-40F7-B9AA-5968B7F4AC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" name="Elipse 304">
          <a:extLst>
            <a:ext uri="{FF2B5EF4-FFF2-40B4-BE49-F238E27FC236}">
              <a16:creationId xmlns:a16="http://schemas.microsoft.com/office/drawing/2014/main" id="{A603E1AB-A955-4DFC-BB97-44D19DC657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" name="Elipse 305">
          <a:extLst>
            <a:ext uri="{FF2B5EF4-FFF2-40B4-BE49-F238E27FC236}">
              <a16:creationId xmlns:a16="http://schemas.microsoft.com/office/drawing/2014/main" id="{24EE945B-5890-4D74-9BD9-97F0264D08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" name="Elipse 306">
          <a:extLst>
            <a:ext uri="{FF2B5EF4-FFF2-40B4-BE49-F238E27FC236}">
              <a16:creationId xmlns:a16="http://schemas.microsoft.com/office/drawing/2014/main" id="{654F7719-06B0-42C3-8498-E1D02D3B1D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" name="Elipse 307">
          <a:extLst>
            <a:ext uri="{FF2B5EF4-FFF2-40B4-BE49-F238E27FC236}">
              <a16:creationId xmlns:a16="http://schemas.microsoft.com/office/drawing/2014/main" id="{1B233631-5484-4E40-BB36-E302666FA3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" name="Elipse 308">
          <a:extLst>
            <a:ext uri="{FF2B5EF4-FFF2-40B4-BE49-F238E27FC236}">
              <a16:creationId xmlns:a16="http://schemas.microsoft.com/office/drawing/2014/main" id="{648BB32F-025E-4674-A878-F7A81F0A91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" name="Elipse 309">
          <a:extLst>
            <a:ext uri="{FF2B5EF4-FFF2-40B4-BE49-F238E27FC236}">
              <a16:creationId xmlns:a16="http://schemas.microsoft.com/office/drawing/2014/main" id="{7003971F-1620-4073-A50C-12B8A1A7D3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" name="Elipse 310">
          <a:extLst>
            <a:ext uri="{FF2B5EF4-FFF2-40B4-BE49-F238E27FC236}">
              <a16:creationId xmlns:a16="http://schemas.microsoft.com/office/drawing/2014/main" id="{6F62BCB2-B844-4630-8170-0457327FBB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" name="Elipse 311">
          <a:extLst>
            <a:ext uri="{FF2B5EF4-FFF2-40B4-BE49-F238E27FC236}">
              <a16:creationId xmlns:a16="http://schemas.microsoft.com/office/drawing/2014/main" id="{D9898760-0F81-49B3-9D84-B4D42D1902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" name="Elipse 312">
          <a:extLst>
            <a:ext uri="{FF2B5EF4-FFF2-40B4-BE49-F238E27FC236}">
              <a16:creationId xmlns:a16="http://schemas.microsoft.com/office/drawing/2014/main" id="{D5692A1A-5B2D-43B0-8A1F-594C6D8B7A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" name="Elipse 313">
          <a:extLst>
            <a:ext uri="{FF2B5EF4-FFF2-40B4-BE49-F238E27FC236}">
              <a16:creationId xmlns:a16="http://schemas.microsoft.com/office/drawing/2014/main" id="{8C1E73BD-05C8-45BA-96E2-3DA4193184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" name="Elipse 314">
          <a:extLst>
            <a:ext uri="{FF2B5EF4-FFF2-40B4-BE49-F238E27FC236}">
              <a16:creationId xmlns:a16="http://schemas.microsoft.com/office/drawing/2014/main" id="{A260E3EA-275E-46EF-8748-1279E4FD76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" name="Elipse 315">
          <a:extLst>
            <a:ext uri="{FF2B5EF4-FFF2-40B4-BE49-F238E27FC236}">
              <a16:creationId xmlns:a16="http://schemas.microsoft.com/office/drawing/2014/main" id="{4B9F87A6-A51F-4701-B1DF-58A5F3A932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" name="Elipse 316">
          <a:extLst>
            <a:ext uri="{FF2B5EF4-FFF2-40B4-BE49-F238E27FC236}">
              <a16:creationId xmlns:a16="http://schemas.microsoft.com/office/drawing/2014/main" id="{957F3A9C-376E-45B9-A627-0C9B3F54A3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" name="Elipse 317">
          <a:extLst>
            <a:ext uri="{FF2B5EF4-FFF2-40B4-BE49-F238E27FC236}">
              <a16:creationId xmlns:a16="http://schemas.microsoft.com/office/drawing/2014/main" id="{BA9EEF36-879F-4247-A05B-22061C482C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" name="Elipse 318">
          <a:extLst>
            <a:ext uri="{FF2B5EF4-FFF2-40B4-BE49-F238E27FC236}">
              <a16:creationId xmlns:a16="http://schemas.microsoft.com/office/drawing/2014/main" id="{C60AA6E4-11C5-43BF-A49E-5FDAC9C8AC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" name="Elipse 319">
          <a:extLst>
            <a:ext uri="{FF2B5EF4-FFF2-40B4-BE49-F238E27FC236}">
              <a16:creationId xmlns:a16="http://schemas.microsoft.com/office/drawing/2014/main" id="{79CDB8ED-A00B-4C18-897A-267716042B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" name="Elipse 320">
          <a:extLst>
            <a:ext uri="{FF2B5EF4-FFF2-40B4-BE49-F238E27FC236}">
              <a16:creationId xmlns:a16="http://schemas.microsoft.com/office/drawing/2014/main" id="{21C9F8F5-7268-44F4-BCBA-1E56309DC1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" name="Elipse 321">
          <a:extLst>
            <a:ext uri="{FF2B5EF4-FFF2-40B4-BE49-F238E27FC236}">
              <a16:creationId xmlns:a16="http://schemas.microsoft.com/office/drawing/2014/main" id="{FF5E9E94-8395-4919-BCD4-DFD401C5F8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" name="Elipse 322">
          <a:extLst>
            <a:ext uri="{FF2B5EF4-FFF2-40B4-BE49-F238E27FC236}">
              <a16:creationId xmlns:a16="http://schemas.microsoft.com/office/drawing/2014/main" id="{9D9184AC-D500-4907-9595-63EC76333D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" name="Elipse 323">
          <a:extLst>
            <a:ext uri="{FF2B5EF4-FFF2-40B4-BE49-F238E27FC236}">
              <a16:creationId xmlns:a16="http://schemas.microsoft.com/office/drawing/2014/main" id="{4DE287C7-53D6-4758-B6B1-C1D2B12A76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" name="Elipse 324">
          <a:extLst>
            <a:ext uri="{FF2B5EF4-FFF2-40B4-BE49-F238E27FC236}">
              <a16:creationId xmlns:a16="http://schemas.microsoft.com/office/drawing/2014/main" id="{BF117A16-93BA-456D-9C6B-FA0900CE93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" name="Elipse 325">
          <a:extLst>
            <a:ext uri="{FF2B5EF4-FFF2-40B4-BE49-F238E27FC236}">
              <a16:creationId xmlns:a16="http://schemas.microsoft.com/office/drawing/2014/main" id="{0B74DB05-2491-4E19-BECE-59CADED582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" name="Elipse 326">
          <a:extLst>
            <a:ext uri="{FF2B5EF4-FFF2-40B4-BE49-F238E27FC236}">
              <a16:creationId xmlns:a16="http://schemas.microsoft.com/office/drawing/2014/main" id="{4211ED25-74F3-4244-A66D-0244F6B461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" name="Elipse 327">
          <a:extLst>
            <a:ext uri="{FF2B5EF4-FFF2-40B4-BE49-F238E27FC236}">
              <a16:creationId xmlns:a16="http://schemas.microsoft.com/office/drawing/2014/main" id="{7D50D4D4-2E26-4037-9735-17BC2ADF62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" name="Elipse 328">
          <a:extLst>
            <a:ext uri="{FF2B5EF4-FFF2-40B4-BE49-F238E27FC236}">
              <a16:creationId xmlns:a16="http://schemas.microsoft.com/office/drawing/2014/main" id="{A321C182-E5B3-4D6B-A251-8DCC0F7F87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" name="Elipse 329">
          <a:extLst>
            <a:ext uri="{FF2B5EF4-FFF2-40B4-BE49-F238E27FC236}">
              <a16:creationId xmlns:a16="http://schemas.microsoft.com/office/drawing/2014/main" id="{112F6912-42CB-4463-BB39-D4F7115241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" name="Elipse 330">
          <a:extLst>
            <a:ext uri="{FF2B5EF4-FFF2-40B4-BE49-F238E27FC236}">
              <a16:creationId xmlns:a16="http://schemas.microsoft.com/office/drawing/2014/main" id="{032635E5-502D-4158-86A2-FCEB8B763C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" name="Elipse 331">
          <a:extLst>
            <a:ext uri="{FF2B5EF4-FFF2-40B4-BE49-F238E27FC236}">
              <a16:creationId xmlns:a16="http://schemas.microsoft.com/office/drawing/2014/main" id="{079BA9A7-B0CD-4663-B256-7BCCA8801C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" name="Elipse 332">
          <a:extLst>
            <a:ext uri="{FF2B5EF4-FFF2-40B4-BE49-F238E27FC236}">
              <a16:creationId xmlns:a16="http://schemas.microsoft.com/office/drawing/2014/main" id="{62F48E03-E6AA-4F3C-A59F-DE9534E0B3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" name="Elipse 333">
          <a:extLst>
            <a:ext uri="{FF2B5EF4-FFF2-40B4-BE49-F238E27FC236}">
              <a16:creationId xmlns:a16="http://schemas.microsoft.com/office/drawing/2014/main" id="{2E275E5F-9E56-4425-895C-BE342C4F17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" name="Elipse 334">
          <a:extLst>
            <a:ext uri="{FF2B5EF4-FFF2-40B4-BE49-F238E27FC236}">
              <a16:creationId xmlns:a16="http://schemas.microsoft.com/office/drawing/2014/main" id="{B0DF4277-027D-4CF9-991B-A8EC2E7B9D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" name="Elipse 335">
          <a:extLst>
            <a:ext uri="{FF2B5EF4-FFF2-40B4-BE49-F238E27FC236}">
              <a16:creationId xmlns:a16="http://schemas.microsoft.com/office/drawing/2014/main" id="{F2062EEB-9358-4B71-A199-3D77F7E4BF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" name="Elipse 336">
          <a:extLst>
            <a:ext uri="{FF2B5EF4-FFF2-40B4-BE49-F238E27FC236}">
              <a16:creationId xmlns:a16="http://schemas.microsoft.com/office/drawing/2014/main" id="{95D3593C-24F9-4AA6-B8AD-95B71B0D2A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" name="Elipse 337">
          <a:extLst>
            <a:ext uri="{FF2B5EF4-FFF2-40B4-BE49-F238E27FC236}">
              <a16:creationId xmlns:a16="http://schemas.microsoft.com/office/drawing/2014/main" id="{51045232-245E-4749-8964-2B57FB8F0F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" name="Elipse 338">
          <a:extLst>
            <a:ext uri="{FF2B5EF4-FFF2-40B4-BE49-F238E27FC236}">
              <a16:creationId xmlns:a16="http://schemas.microsoft.com/office/drawing/2014/main" id="{538CFE59-13D8-42E5-8514-8EC67E5EDD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" name="Elipse 339">
          <a:extLst>
            <a:ext uri="{FF2B5EF4-FFF2-40B4-BE49-F238E27FC236}">
              <a16:creationId xmlns:a16="http://schemas.microsoft.com/office/drawing/2014/main" id="{CA4ABFFB-2A0C-4CAB-8890-1AF5B85B23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" name="Elipse 340">
          <a:extLst>
            <a:ext uri="{FF2B5EF4-FFF2-40B4-BE49-F238E27FC236}">
              <a16:creationId xmlns:a16="http://schemas.microsoft.com/office/drawing/2014/main" id="{4609A21F-1BFF-4A3B-A2F5-D1F28928C3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" name="Elipse 341">
          <a:extLst>
            <a:ext uri="{FF2B5EF4-FFF2-40B4-BE49-F238E27FC236}">
              <a16:creationId xmlns:a16="http://schemas.microsoft.com/office/drawing/2014/main" id="{A5260A74-268F-4990-BA56-A7C8DC10FD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" name="Elipse 342">
          <a:extLst>
            <a:ext uri="{FF2B5EF4-FFF2-40B4-BE49-F238E27FC236}">
              <a16:creationId xmlns:a16="http://schemas.microsoft.com/office/drawing/2014/main" id="{C2FFEB46-B4BB-463D-851E-C6A6389E12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" name="Elipse 343">
          <a:extLst>
            <a:ext uri="{FF2B5EF4-FFF2-40B4-BE49-F238E27FC236}">
              <a16:creationId xmlns:a16="http://schemas.microsoft.com/office/drawing/2014/main" id="{DF3079DB-1D61-4590-B1E3-99194008B5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" name="Elipse 344">
          <a:extLst>
            <a:ext uri="{FF2B5EF4-FFF2-40B4-BE49-F238E27FC236}">
              <a16:creationId xmlns:a16="http://schemas.microsoft.com/office/drawing/2014/main" id="{0D43366E-6580-44F5-B3D2-AB2D3B0C74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" name="Elipse 345">
          <a:extLst>
            <a:ext uri="{FF2B5EF4-FFF2-40B4-BE49-F238E27FC236}">
              <a16:creationId xmlns:a16="http://schemas.microsoft.com/office/drawing/2014/main" id="{D688BBCD-9E26-4DF5-948B-306240E6D5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" name="Elipse 346">
          <a:extLst>
            <a:ext uri="{FF2B5EF4-FFF2-40B4-BE49-F238E27FC236}">
              <a16:creationId xmlns:a16="http://schemas.microsoft.com/office/drawing/2014/main" id="{566F29F2-B90F-4199-B0B1-AE95F8CC63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" name="Elipse 347">
          <a:extLst>
            <a:ext uri="{FF2B5EF4-FFF2-40B4-BE49-F238E27FC236}">
              <a16:creationId xmlns:a16="http://schemas.microsoft.com/office/drawing/2014/main" id="{F5BDB48C-7843-4D57-87C9-90AC56849F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" name="Elipse 348">
          <a:extLst>
            <a:ext uri="{FF2B5EF4-FFF2-40B4-BE49-F238E27FC236}">
              <a16:creationId xmlns:a16="http://schemas.microsoft.com/office/drawing/2014/main" id="{5EE15516-3A1E-41BD-88DC-5D45922A36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" name="Elipse 349">
          <a:extLst>
            <a:ext uri="{FF2B5EF4-FFF2-40B4-BE49-F238E27FC236}">
              <a16:creationId xmlns:a16="http://schemas.microsoft.com/office/drawing/2014/main" id="{F9F56E4E-396F-49D7-BBEE-FF214F6E0B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" name="Elipse 350">
          <a:extLst>
            <a:ext uri="{FF2B5EF4-FFF2-40B4-BE49-F238E27FC236}">
              <a16:creationId xmlns:a16="http://schemas.microsoft.com/office/drawing/2014/main" id="{576DAEC7-2BCB-43DF-BBD6-89900ED08E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" name="Elipse 351">
          <a:extLst>
            <a:ext uri="{FF2B5EF4-FFF2-40B4-BE49-F238E27FC236}">
              <a16:creationId xmlns:a16="http://schemas.microsoft.com/office/drawing/2014/main" id="{FAB62687-E67B-43DD-90A6-88D399F64E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" name="Elipse 352">
          <a:extLst>
            <a:ext uri="{FF2B5EF4-FFF2-40B4-BE49-F238E27FC236}">
              <a16:creationId xmlns:a16="http://schemas.microsoft.com/office/drawing/2014/main" id="{813D921C-383E-4AE7-B199-DFA3C7A3FF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" name="Elipse 353">
          <a:extLst>
            <a:ext uri="{FF2B5EF4-FFF2-40B4-BE49-F238E27FC236}">
              <a16:creationId xmlns:a16="http://schemas.microsoft.com/office/drawing/2014/main" id="{BEEE5728-7D5F-43C7-A587-F81DD64A82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" name="Elipse 354">
          <a:extLst>
            <a:ext uri="{FF2B5EF4-FFF2-40B4-BE49-F238E27FC236}">
              <a16:creationId xmlns:a16="http://schemas.microsoft.com/office/drawing/2014/main" id="{0DA04BBC-425E-437E-85CF-493585B005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" name="Elipse 355">
          <a:extLst>
            <a:ext uri="{FF2B5EF4-FFF2-40B4-BE49-F238E27FC236}">
              <a16:creationId xmlns:a16="http://schemas.microsoft.com/office/drawing/2014/main" id="{F4DDDFEA-9832-4700-9472-44504575B5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" name="Elipse 356">
          <a:extLst>
            <a:ext uri="{FF2B5EF4-FFF2-40B4-BE49-F238E27FC236}">
              <a16:creationId xmlns:a16="http://schemas.microsoft.com/office/drawing/2014/main" id="{0572782C-68DA-44D3-BD81-1EE484455D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" name="Elipse 357">
          <a:extLst>
            <a:ext uri="{FF2B5EF4-FFF2-40B4-BE49-F238E27FC236}">
              <a16:creationId xmlns:a16="http://schemas.microsoft.com/office/drawing/2014/main" id="{E7FC09A4-D739-4F59-A8D2-52E1562D65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" name="Elipse 358">
          <a:extLst>
            <a:ext uri="{FF2B5EF4-FFF2-40B4-BE49-F238E27FC236}">
              <a16:creationId xmlns:a16="http://schemas.microsoft.com/office/drawing/2014/main" id="{9608503E-F69F-4246-9F94-A523188099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" name="Elipse 359">
          <a:extLst>
            <a:ext uri="{FF2B5EF4-FFF2-40B4-BE49-F238E27FC236}">
              <a16:creationId xmlns:a16="http://schemas.microsoft.com/office/drawing/2014/main" id="{0521012D-9D2C-481D-9927-4E48D6007A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" name="Elipse 360">
          <a:extLst>
            <a:ext uri="{FF2B5EF4-FFF2-40B4-BE49-F238E27FC236}">
              <a16:creationId xmlns:a16="http://schemas.microsoft.com/office/drawing/2014/main" id="{DA68C7B9-52C7-410D-9FD9-6A7366FA5D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" name="Elipse 361">
          <a:extLst>
            <a:ext uri="{FF2B5EF4-FFF2-40B4-BE49-F238E27FC236}">
              <a16:creationId xmlns:a16="http://schemas.microsoft.com/office/drawing/2014/main" id="{BECDEE98-4EB5-4C1E-A452-7DBDFAB934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" name="Elipse 362">
          <a:extLst>
            <a:ext uri="{FF2B5EF4-FFF2-40B4-BE49-F238E27FC236}">
              <a16:creationId xmlns:a16="http://schemas.microsoft.com/office/drawing/2014/main" id="{94770CE8-BE01-4316-806A-467ED76641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" name="Elipse 363">
          <a:extLst>
            <a:ext uri="{FF2B5EF4-FFF2-40B4-BE49-F238E27FC236}">
              <a16:creationId xmlns:a16="http://schemas.microsoft.com/office/drawing/2014/main" id="{CFED6184-6EE8-46D5-BE65-095C551FC5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" name="Elipse 364">
          <a:extLst>
            <a:ext uri="{FF2B5EF4-FFF2-40B4-BE49-F238E27FC236}">
              <a16:creationId xmlns:a16="http://schemas.microsoft.com/office/drawing/2014/main" id="{FE65BC02-A333-43E3-9320-F690A3F5B9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" name="Elipse 365">
          <a:extLst>
            <a:ext uri="{FF2B5EF4-FFF2-40B4-BE49-F238E27FC236}">
              <a16:creationId xmlns:a16="http://schemas.microsoft.com/office/drawing/2014/main" id="{44FFDD57-4464-4EB5-BAC0-24610CA86A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" name="Elipse 366">
          <a:extLst>
            <a:ext uri="{FF2B5EF4-FFF2-40B4-BE49-F238E27FC236}">
              <a16:creationId xmlns:a16="http://schemas.microsoft.com/office/drawing/2014/main" id="{D3E11102-90DB-4A62-B1E1-041E1708BE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" name="Elipse 367">
          <a:extLst>
            <a:ext uri="{FF2B5EF4-FFF2-40B4-BE49-F238E27FC236}">
              <a16:creationId xmlns:a16="http://schemas.microsoft.com/office/drawing/2014/main" id="{0D92599A-2955-467C-8236-0B7A63ECAE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" name="Elipse 368">
          <a:extLst>
            <a:ext uri="{FF2B5EF4-FFF2-40B4-BE49-F238E27FC236}">
              <a16:creationId xmlns:a16="http://schemas.microsoft.com/office/drawing/2014/main" id="{5BAB26CC-4CB2-4CB6-9625-7FDC28C5CB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" name="Elipse 369">
          <a:extLst>
            <a:ext uri="{FF2B5EF4-FFF2-40B4-BE49-F238E27FC236}">
              <a16:creationId xmlns:a16="http://schemas.microsoft.com/office/drawing/2014/main" id="{AB15660D-D8DF-4710-A459-BF09F83852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" name="Elipse 370">
          <a:extLst>
            <a:ext uri="{FF2B5EF4-FFF2-40B4-BE49-F238E27FC236}">
              <a16:creationId xmlns:a16="http://schemas.microsoft.com/office/drawing/2014/main" id="{9B4EF3E4-F7FB-44A1-A010-B88A9600E3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" name="Elipse 371">
          <a:extLst>
            <a:ext uri="{FF2B5EF4-FFF2-40B4-BE49-F238E27FC236}">
              <a16:creationId xmlns:a16="http://schemas.microsoft.com/office/drawing/2014/main" id="{30209266-6161-4AF0-B548-967952A5DA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" name="Elipse 372">
          <a:extLst>
            <a:ext uri="{FF2B5EF4-FFF2-40B4-BE49-F238E27FC236}">
              <a16:creationId xmlns:a16="http://schemas.microsoft.com/office/drawing/2014/main" id="{33E2E0FB-184E-4DEF-8BDF-468A6FB649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" name="Elipse 373">
          <a:extLst>
            <a:ext uri="{FF2B5EF4-FFF2-40B4-BE49-F238E27FC236}">
              <a16:creationId xmlns:a16="http://schemas.microsoft.com/office/drawing/2014/main" id="{C2F831D0-3648-4B5F-A212-618C891AA8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" name="Elipse 374">
          <a:extLst>
            <a:ext uri="{FF2B5EF4-FFF2-40B4-BE49-F238E27FC236}">
              <a16:creationId xmlns:a16="http://schemas.microsoft.com/office/drawing/2014/main" id="{C0A5C87D-FF15-4368-81BE-6368DE63B0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" name="Elipse 375">
          <a:extLst>
            <a:ext uri="{FF2B5EF4-FFF2-40B4-BE49-F238E27FC236}">
              <a16:creationId xmlns:a16="http://schemas.microsoft.com/office/drawing/2014/main" id="{E826CE8D-8C5E-498B-94CB-11A2B13A85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" name="Elipse 376">
          <a:extLst>
            <a:ext uri="{FF2B5EF4-FFF2-40B4-BE49-F238E27FC236}">
              <a16:creationId xmlns:a16="http://schemas.microsoft.com/office/drawing/2014/main" id="{7D88630F-A536-45EC-9174-A216BC02B4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" name="Elipse 377">
          <a:extLst>
            <a:ext uri="{FF2B5EF4-FFF2-40B4-BE49-F238E27FC236}">
              <a16:creationId xmlns:a16="http://schemas.microsoft.com/office/drawing/2014/main" id="{D92F235A-7013-49BF-8DCB-FD2647F2EF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" name="Elipse 378">
          <a:extLst>
            <a:ext uri="{FF2B5EF4-FFF2-40B4-BE49-F238E27FC236}">
              <a16:creationId xmlns:a16="http://schemas.microsoft.com/office/drawing/2014/main" id="{99C789B0-377A-4A72-89B1-8FCACC1C89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" name="Elipse 379">
          <a:extLst>
            <a:ext uri="{FF2B5EF4-FFF2-40B4-BE49-F238E27FC236}">
              <a16:creationId xmlns:a16="http://schemas.microsoft.com/office/drawing/2014/main" id="{65C5CEE1-A58D-4839-9E63-C650968A53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" name="Elipse 380">
          <a:extLst>
            <a:ext uri="{FF2B5EF4-FFF2-40B4-BE49-F238E27FC236}">
              <a16:creationId xmlns:a16="http://schemas.microsoft.com/office/drawing/2014/main" id="{094932EE-3AC9-42E8-B3CC-B48BB3D828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" name="Elipse 381">
          <a:extLst>
            <a:ext uri="{FF2B5EF4-FFF2-40B4-BE49-F238E27FC236}">
              <a16:creationId xmlns:a16="http://schemas.microsoft.com/office/drawing/2014/main" id="{B2B0223A-DB7D-4D8D-8427-A2DCD8A8DF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" name="Elipse 382">
          <a:extLst>
            <a:ext uri="{FF2B5EF4-FFF2-40B4-BE49-F238E27FC236}">
              <a16:creationId xmlns:a16="http://schemas.microsoft.com/office/drawing/2014/main" id="{DD154D8F-B53D-4A8C-A869-36A27632C4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" name="Elipse 383">
          <a:extLst>
            <a:ext uri="{FF2B5EF4-FFF2-40B4-BE49-F238E27FC236}">
              <a16:creationId xmlns:a16="http://schemas.microsoft.com/office/drawing/2014/main" id="{8DDDAE2D-FD3E-4A25-9795-DBEB02FB17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" name="Elipse 384">
          <a:extLst>
            <a:ext uri="{FF2B5EF4-FFF2-40B4-BE49-F238E27FC236}">
              <a16:creationId xmlns:a16="http://schemas.microsoft.com/office/drawing/2014/main" id="{B99C7285-214C-41A3-A6A9-4BEA8256E0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" name="Elipse 385">
          <a:extLst>
            <a:ext uri="{FF2B5EF4-FFF2-40B4-BE49-F238E27FC236}">
              <a16:creationId xmlns:a16="http://schemas.microsoft.com/office/drawing/2014/main" id="{1CCD5330-42F5-4C3E-B30C-0704DC7E93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" name="Elipse 386">
          <a:extLst>
            <a:ext uri="{FF2B5EF4-FFF2-40B4-BE49-F238E27FC236}">
              <a16:creationId xmlns:a16="http://schemas.microsoft.com/office/drawing/2014/main" id="{97AE86F2-30DE-40A7-88BE-4A77D37F5E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" name="Elipse 387">
          <a:extLst>
            <a:ext uri="{FF2B5EF4-FFF2-40B4-BE49-F238E27FC236}">
              <a16:creationId xmlns:a16="http://schemas.microsoft.com/office/drawing/2014/main" id="{0AF9F4B6-64C0-4372-A6D6-571F73BB54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" name="Elipse 388">
          <a:extLst>
            <a:ext uri="{FF2B5EF4-FFF2-40B4-BE49-F238E27FC236}">
              <a16:creationId xmlns:a16="http://schemas.microsoft.com/office/drawing/2014/main" id="{BBCA68C1-9542-4769-80C2-9F0416F9EF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" name="Elipse 389">
          <a:extLst>
            <a:ext uri="{FF2B5EF4-FFF2-40B4-BE49-F238E27FC236}">
              <a16:creationId xmlns:a16="http://schemas.microsoft.com/office/drawing/2014/main" id="{02122A05-F0C9-416B-828C-48EAF66239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" name="Elipse 390">
          <a:extLst>
            <a:ext uri="{FF2B5EF4-FFF2-40B4-BE49-F238E27FC236}">
              <a16:creationId xmlns:a16="http://schemas.microsoft.com/office/drawing/2014/main" id="{B7381D6F-9D03-4AFF-81C7-C7E581D6B5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" name="Elipse 391">
          <a:extLst>
            <a:ext uri="{FF2B5EF4-FFF2-40B4-BE49-F238E27FC236}">
              <a16:creationId xmlns:a16="http://schemas.microsoft.com/office/drawing/2014/main" id="{3B6FF3BA-A7BA-45E6-9636-2BFE34805D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" name="Elipse 392">
          <a:extLst>
            <a:ext uri="{FF2B5EF4-FFF2-40B4-BE49-F238E27FC236}">
              <a16:creationId xmlns:a16="http://schemas.microsoft.com/office/drawing/2014/main" id="{4394EB74-023C-4A58-BA47-11879952F0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" name="Elipse 393">
          <a:extLst>
            <a:ext uri="{FF2B5EF4-FFF2-40B4-BE49-F238E27FC236}">
              <a16:creationId xmlns:a16="http://schemas.microsoft.com/office/drawing/2014/main" id="{46509C9C-33D2-4104-BDE3-15786DA7F2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" name="Elipse 394">
          <a:extLst>
            <a:ext uri="{FF2B5EF4-FFF2-40B4-BE49-F238E27FC236}">
              <a16:creationId xmlns:a16="http://schemas.microsoft.com/office/drawing/2014/main" id="{D4F9E5D8-5007-4292-B9C7-B99D3B495E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" name="Elipse 395">
          <a:extLst>
            <a:ext uri="{FF2B5EF4-FFF2-40B4-BE49-F238E27FC236}">
              <a16:creationId xmlns:a16="http://schemas.microsoft.com/office/drawing/2014/main" id="{AFCDD168-73D3-4CFA-8D6D-33B408997D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" name="Elipse 396">
          <a:extLst>
            <a:ext uri="{FF2B5EF4-FFF2-40B4-BE49-F238E27FC236}">
              <a16:creationId xmlns:a16="http://schemas.microsoft.com/office/drawing/2014/main" id="{8D7699E9-2B56-4B0F-913D-A111B01CF4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" name="Elipse 397">
          <a:extLst>
            <a:ext uri="{FF2B5EF4-FFF2-40B4-BE49-F238E27FC236}">
              <a16:creationId xmlns:a16="http://schemas.microsoft.com/office/drawing/2014/main" id="{659E519E-7B91-414E-87BA-18724EF776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" name="Elipse 398">
          <a:extLst>
            <a:ext uri="{FF2B5EF4-FFF2-40B4-BE49-F238E27FC236}">
              <a16:creationId xmlns:a16="http://schemas.microsoft.com/office/drawing/2014/main" id="{A4D6CF85-9B3C-4D11-8D30-AF87F776F9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" name="Elipse 399">
          <a:extLst>
            <a:ext uri="{FF2B5EF4-FFF2-40B4-BE49-F238E27FC236}">
              <a16:creationId xmlns:a16="http://schemas.microsoft.com/office/drawing/2014/main" id="{ABC7159B-AF35-4F78-A9D9-A1AB0CD1B8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" name="Elipse 400">
          <a:extLst>
            <a:ext uri="{FF2B5EF4-FFF2-40B4-BE49-F238E27FC236}">
              <a16:creationId xmlns:a16="http://schemas.microsoft.com/office/drawing/2014/main" id="{448B6EBC-9678-4514-97E4-594702D73C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" name="Elipse 401">
          <a:extLst>
            <a:ext uri="{FF2B5EF4-FFF2-40B4-BE49-F238E27FC236}">
              <a16:creationId xmlns:a16="http://schemas.microsoft.com/office/drawing/2014/main" id="{0504F99C-1105-4A69-AE44-51AF4A3DC7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" name="Elipse 402">
          <a:extLst>
            <a:ext uri="{FF2B5EF4-FFF2-40B4-BE49-F238E27FC236}">
              <a16:creationId xmlns:a16="http://schemas.microsoft.com/office/drawing/2014/main" id="{EA7F3479-B451-42CF-8252-3ABD87D360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" name="Elipse 403">
          <a:extLst>
            <a:ext uri="{FF2B5EF4-FFF2-40B4-BE49-F238E27FC236}">
              <a16:creationId xmlns:a16="http://schemas.microsoft.com/office/drawing/2014/main" id="{02854B2E-2E4C-4DBD-951F-47E08C0604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" name="Elipse 404">
          <a:extLst>
            <a:ext uri="{FF2B5EF4-FFF2-40B4-BE49-F238E27FC236}">
              <a16:creationId xmlns:a16="http://schemas.microsoft.com/office/drawing/2014/main" id="{8EAABFA4-5903-4108-8166-8D9108E748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" name="Elipse 405">
          <a:extLst>
            <a:ext uri="{FF2B5EF4-FFF2-40B4-BE49-F238E27FC236}">
              <a16:creationId xmlns:a16="http://schemas.microsoft.com/office/drawing/2014/main" id="{30BC0550-4222-4420-8EA3-7363ADE5A9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" name="Elipse 406">
          <a:extLst>
            <a:ext uri="{FF2B5EF4-FFF2-40B4-BE49-F238E27FC236}">
              <a16:creationId xmlns:a16="http://schemas.microsoft.com/office/drawing/2014/main" id="{4E344F22-8020-4CA1-841A-CCD8766568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" name="Elipse 407">
          <a:extLst>
            <a:ext uri="{FF2B5EF4-FFF2-40B4-BE49-F238E27FC236}">
              <a16:creationId xmlns:a16="http://schemas.microsoft.com/office/drawing/2014/main" id="{9E6FA5FB-7625-4673-86B5-E0837EA493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" name="Elipse 408">
          <a:extLst>
            <a:ext uri="{FF2B5EF4-FFF2-40B4-BE49-F238E27FC236}">
              <a16:creationId xmlns:a16="http://schemas.microsoft.com/office/drawing/2014/main" id="{4A270926-3CA0-48A3-9114-F08F023CF4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" name="Elipse 409">
          <a:extLst>
            <a:ext uri="{FF2B5EF4-FFF2-40B4-BE49-F238E27FC236}">
              <a16:creationId xmlns:a16="http://schemas.microsoft.com/office/drawing/2014/main" id="{CE8CFD0F-9E39-4E91-87AE-40BB414280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" name="Elipse 410">
          <a:extLst>
            <a:ext uri="{FF2B5EF4-FFF2-40B4-BE49-F238E27FC236}">
              <a16:creationId xmlns:a16="http://schemas.microsoft.com/office/drawing/2014/main" id="{3A32CDE1-2930-4335-9CEE-779AB8DD1B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" name="Elipse 411">
          <a:extLst>
            <a:ext uri="{FF2B5EF4-FFF2-40B4-BE49-F238E27FC236}">
              <a16:creationId xmlns:a16="http://schemas.microsoft.com/office/drawing/2014/main" id="{6EEBBE0E-504F-4B0C-992C-E080A347F2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" name="Elipse 412">
          <a:extLst>
            <a:ext uri="{FF2B5EF4-FFF2-40B4-BE49-F238E27FC236}">
              <a16:creationId xmlns:a16="http://schemas.microsoft.com/office/drawing/2014/main" id="{AA10C5D4-8178-45B2-B31E-9E0EC50362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" name="Elipse 413">
          <a:extLst>
            <a:ext uri="{FF2B5EF4-FFF2-40B4-BE49-F238E27FC236}">
              <a16:creationId xmlns:a16="http://schemas.microsoft.com/office/drawing/2014/main" id="{3B4B8BD6-38A8-4EFF-BD53-4F85BABF17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" name="Elipse 414">
          <a:extLst>
            <a:ext uri="{FF2B5EF4-FFF2-40B4-BE49-F238E27FC236}">
              <a16:creationId xmlns:a16="http://schemas.microsoft.com/office/drawing/2014/main" id="{D28DADCB-AFBA-4A83-B8EB-66091227D8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" name="Elipse 415">
          <a:extLst>
            <a:ext uri="{FF2B5EF4-FFF2-40B4-BE49-F238E27FC236}">
              <a16:creationId xmlns:a16="http://schemas.microsoft.com/office/drawing/2014/main" id="{4F6CF5A9-5E4D-4AC4-909E-6236BCEEC1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" name="Elipse 416">
          <a:extLst>
            <a:ext uri="{FF2B5EF4-FFF2-40B4-BE49-F238E27FC236}">
              <a16:creationId xmlns:a16="http://schemas.microsoft.com/office/drawing/2014/main" id="{7607C8EC-09B1-4517-AEDB-FE5BDD1E96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" name="Elipse 417">
          <a:extLst>
            <a:ext uri="{FF2B5EF4-FFF2-40B4-BE49-F238E27FC236}">
              <a16:creationId xmlns:a16="http://schemas.microsoft.com/office/drawing/2014/main" id="{DA965E4E-BA2B-46A3-8E0B-3B1F25DE50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" name="Elipse 418">
          <a:extLst>
            <a:ext uri="{FF2B5EF4-FFF2-40B4-BE49-F238E27FC236}">
              <a16:creationId xmlns:a16="http://schemas.microsoft.com/office/drawing/2014/main" id="{D38F39C5-2A48-424F-8033-C46FD986A9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" name="Elipse 419">
          <a:extLst>
            <a:ext uri="{FF2B5EF4-FFF2-40B4-BE49-F238E27FC236}">
              <a16:creationId xmlns:a16="http://schemas.microsoft.com/office/drawing/2014/main" id="{0D51325D-6AB7-41E8-89B6-9C45600B07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" name="Elipse 420">
          <a:extLst>
            <a:ext uri="{FF2B5EF4-FFF2-40B4-BE49-F238E27FC236}">
              <a16:creationId xmlns:a16="http://schemas.microsoft.com/office/drawing/2014/main" id="{4772A02D-6106-481C-8FC4-26AE0D32FD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" name="Elipse 421">
          <a:extLst>
            <a:ext uri="{FF2B5EF4-FFF2-40B4-BE49-F238E27FC236}">
              <a16:creationId xmlns:a16="http://schemas.microsoft.com/office/drawing/2014/main" id="{B955C0FF-1E62-4E97-8C7F-98F0CB6863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" name="Elipse 422">
          <a:extLst>
            <a:ext uri="{FF2B5EF4-FFF2-40B4-BE49-F238E27FC236}">
              <a16:creationId xmlns:a16="http://schemas.microsoft.com/office/drawing/2014/main" id="{A3A317DA-CE7B-4A7A-A0E5-48C9193D94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" name="Elipse 423">
          <a:extLst>
            <a:ext uri="{FF2B5EF4-FFF2-40B4-BE49-F238E27FC236}">
              <a16:creationId xmlns:a16="http://schemas.microsoft.com/office/drawing/2014/main" id="{D5605A3A-96D4-4865-9764-CEE37CEC16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" name="Elipse 424">
          <a:extLst>
            <a:ext uri="{FF2B5EF4-FFF2-40B4-BE49-F238E27FC236}">
              <a16:creationId xmlns:a16="http://schemas.microsoft.com/office/drawing/2014/main" id="{ED324B2B-5890-448C-A1CC-CCC7594DB6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" name="Elipse 425">
          <a:extLst>
            <a:ext uri="{FF2B5EF4-FFF2-40B4-BE49-F238E27FC236}">
              <a16:creationId xmlns:a16="http://schemas.microsoft.com/office/drawing/2014/main" id="{6C51E1CB-A078-4F88-B967-39EF2D609D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" name="Elipse 426">
          <a:extLst>
            <a:ext uri="{FF2B5EF4-FFF2-40B4-BE49-F238E27FC236}">
              <a16:creationId xmlns:a16="http://schemas.microsoft.com/office/drawing/2014/main" id="{838017FC-9C12-406E-B7DA-9E82047810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" name="Elipse 427">
          <a:extLst>
            <a:ext uri="{FF2B5EF4-FFF2-40B4-BE49-F238E27FC236}">
              <a16:creationId xmlns:a16="http://schemas.microsoft.com/office/drawing/2014/main" id="{8B6A96DB-4BE2-4611-8B08-F50D329841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" name="Elipse 428">
          <a:extLst>
            <a:ext uri="{FF2B5EF4-FFF2-40B4-BE49-F238E27FC236}">
              <a16:creationId xmlns:a16="http://schemas.microsoft.com/office/drawing/2014/main" id="{417F965C-E21B-4DA4-8409-57BA0B0528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" name="Elipse 429">
          <a:extLst>
            <a:ext uri="{FF2B5EF4-FFF2-40B4-BE49-F238E27FC236}">
              <a16:creationId xmlns:a16="http://schemas.microsoft.com/office/drawing/2014/main" id="{8369DDB2-D657-4FCA-AEFC-5CDB058D81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" name="Elipse 430">
          <a:extLst>
            <a:ext uri="{FF2B5EF4-FFF2-40B4-BE49-F238E27FC236}">
              <a16:creationId xmlns:a16="http://schemas.microsoft.com/office/drawing/2014/main" id="{9E605245-EAD3-41EC-A48E-A057B2A182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" name="Elipse 431">
          <a:extLst>
            <a:ext uri="{FF2B5EF4-FFF2-40B4-BE49-F238E27FC236}">
              <a16:creationId xmlns:a16="http://schemas.microsoft.com/office/drawing/2014/main" id="{9FD46F41-5234-4C53-A7CF-9D915CBB1A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" name="Elipse 432">
          <a:extLst>
            <a:ext uri="{FF2B5EF4-FFF2-40B4-BE49-F238E27FC236}">
              <a16:creationId xmlns:a16="http://schemas.microsoft.com/office/drawing/2014/main" id="{C929F757-171C-4B82-A0CD-99B11C6AC4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" name="Elipse 433">
          <a:extLst>
            <a:ext uri="{FF2B5EF4-FFF2-40B4-BE49-F238E27FC236}">
              <a16:creationId xmlns:a16="http://schemas.microsoft.com/office/drawing/2014/main" id="{D2D1A558-610E-4BD5-99F5-B5C378C1EF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" name="Elipse 434">
          <a:extLst>
            <a:ext uri="{FF2B5EF4-FFF2-40B4-BE49-F238E27FC236}">
              <a16:creationId xmlns:a16="http://schemas.microsoft.com/office/drawing/2014/main" id="{123524BA-08BC-4ADC-8926-E83B5A3F01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" name="Elipse 435">
          <a:extLst>
            <a:ext uri="{FF2B5EF4-FFF2-40B4-BE49-F238E27FC236}">
              <a16:creationId xmlns:a16="http://schemas.microsoft.com/office/drawing/2014/main" id="{2672E788-D123-4DFE-9735-067691B0DC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" name="Elipse 436">
          <a:extLst>
            <a:ext uri="{FF2B5EF4-FFF2-40B4-BE49-F238E27FC236}">
              <a16:creationId xmlns:a16="http://schemas.microsoft.com/office/drawing/2014/main" id="{02BDA39D-5C4B-4214-9222-7243831D4F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" name="Elipse 437">
          <a:extLst>
            <a:ext uri="{FF2B5EF4-FFF2-40B4-BE49-F238E27FC236}">
              <a16:creationId xmlns:a16="http://schemas.microsoft.com/office/drawing/2014/main" id="{D77B5395-ADAC-42D9-AB00-3A3FD0F75F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" name="Elipse 438">
          <a:extLst>
            <a:ext uri="{FF2B5EF4-FFF2-40B4-BE49-F238E27FC236}">
              <a16:creationId xmlns:a16="http://schemas.microsoft.com/office/drawing/2014/main" id="{C0DB2DBE-E79B-463B-9B03-64A11B42F4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" name="Elipse 439">
          <a:extLst>
            <a:ext uri="{FF2B5EF4-FFF2-40B4-BE49-F238E27FC236}">
              <a16:creationId xmlns:a16="http://schemas.microsoft.com/office/drawing/2014/main" id="{7017A64E-F48F-491E-8C33-D32ED3DD62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" name="Elipse 440">
          <a:extLst>
            <a:ext uri="{FF2B5EF4-FFF2-40B4-BE49-F238E27FC236}">
              <a16:creationId xmlns:a16="http://schemas.microsoft.com/office/drawing/2014/main" id="{02B5EA6D-1D06-4B6F-A6B5-927C383746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" name="Elipse 441">
          <a:extLst>
            <a:ext uri="{FF2B5EF4-FFF2-40B4-BE49-F238E27FC236}">
              <a16:creationId xmlns:a16="http://schemas.microsoft.com/office/drawing/2014/main" id="{A37EE921-01F4-4DC5-B48F-ABC4CB4F1F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" name="Elipse 442">
          <a:extLst>
            <a:ext uri="{FF2B5EF4-FFF2-40B4-BE49-F238E27FC236}">
              <a16:creationId xmlns:a16="http://schemas.microsoft.com/office/drawing/2014/main" id="{9619F0C0-0581-4DDC-8701-E02726C133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" name="Elipse 443">
          <a:extLst>
            <a:ext uri="{FF2B5EF4-FFF2-40B4-BE49-F238E27FC236}">
              <a16:creationId xmlns:a16="http://schemas.microsoft.com/office/drawing/2014/main" id="{7660BA81-781F-4A62-B7D5-85BAD5D443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" name="Elipse 444">
          <a:extLst>
            <a:ext uri="{FF2B5EF4-FFF2-40B4-BE49-F238E27FC236}">
              <a16:creationId xmlns:a16="http://schemas.microsoft.com/office/drawing/2014/main" id="{A2470586-BADE-4355-B91C-B12927859B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" name="Elipse 445">
          <a:extLst>
            <a:ext uri="{FF2B5EF4-FFF2-40B4-BE49-F238E27FC236}">
              <a16:creationId xmlns:a16="http://schemas.microsoft.com/office/drawing/2014/main" id="{68034A50-A072-426C-A79A-979CFBAB28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" name="Elipse 446">
          <a:extLst>
            <a:ext uri="{FF2B5EF4-FFF2-40B4-BE49-F238E27FC236}">
              <a16:creationId xmlns:a16="http://schemas.microsoft.com/office/drawing/2014/main" id="{8C010236-6250-45F6-82D7-C5820866CE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" name="Elipse 447">
          <a:extLst>
            <a:ext uri="{FF2B5EF4-FFF2-40B4-BE49-F238E27FC236}">
              <a16:creationId xmlns:a16="http://schemas.microsoft.com/office/drawing/2014/main" id="{BBA15077-1604-424B-920E-040AE43903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" name="Elipse 448">
          <a:extLst>
            <a:ext uri="{FF2B5EF4-FFF2-40B4-BE49-F238E27FC236}">
              <a16:creationId xmlns:a16="http://schemas.microsoft.com/office/drawing/2014/main" id="{4A0F0430-60F6-4FB7-8BCA-3B0BDAF2B2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" name="Elipse 449">
          <a:extLst>
            <a:ext uri="{FF2B5EF4-FFF2-40B4-BE49-F238E27FC236}">
              <a16:creationId xmlns:a16="http://schemas.microsoft.com/office/drawing/2014/main" id="{9361A700-E2BB-4045-B4B6-5158FF2AEA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" name="Elipse 450">
          <a:extLst>
            <a:ext uri="{FF2B5EF4-FFF2-40B4-BE49-F238E27FC236}">
              <a16:creationId xmlns:a16="http://schemas.microsoft.com/office/drawing/2014/main" id="{AD0C036A-4139-471E-B359-06208FBDD4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" name="Elipse 451">
          <a:extLst>
            <a:ext uri="{FF2B5EF4-FFF2-40B4-BE49-F238E27FC236}">
              <a16:creationId xmlns:a16="http://schemas.microsoft.com/office/drawing/2014/main" id="{DABC41BD-2F9B-4187-AB9A-71B464AA89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" name="Elipse 452">
          <a:extLst>
            <a:ext uri="{FF2B5EF4-FFF2-40B4-BE49-F238E27FC236}">
              <a16:creationId xmlns:a16="http://schemas.microsoft.com/office/drawing/2014/main" id="{2DC88A85-0690-4B41-A308-42995DD0CB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" name="Elipse 453">
          <a:extLst>
            <a:ext uri="{FF2B5EF4-FFF2-40B4-BE49-F238E27FC236}">
              <a16:creationId xmlns:a16="http://schemas.microsoft.com/office/drawing/2014/main" id="{9DA52604-059F-4CE4-986C-6C8FB18B7C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" name="Elipse 454">
          <a:extLst>
            <a:ext uri="{FF2B5EF4-FFF2-40B4-BE49-F238E27FC236}">
              <a16:creationId xmlns:a16="http://schemas.microsoft.com/office/drawing/2014/main" id="{81D38B3F-F72F-41A5-88F9-E29BB44A65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" name="Elipse 455">
          <a:extLst>
            <a:ext uri="{FF2B5EF4-FFF2-40B4-BE49-F238E27FC236}">
              <a16:creationId xmlns:a16="http://schemas.microsoft.com/office/drawing/2014/main" id="{B573DBE0-5714-475A-9C5F-5872F2D242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" name="Elipse 456">
          <a:extLst>
            <a:ext uri="{FF2B5EF4-FFF2-40B4-BE49-F238E27FC236}">
              <a16:creationId xmlns:a16="http://schemas.microsoft.com/office/drawing/2014/main" id="{C555F2E0-E567-448B-BF80-49978DDD5C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" name="Elipse 457">
          <a:extLst>
            <a:ext uri="{FF2B5EF4-FFF2-40B4-BE49-F238E27FC236}">
              <a16:creationId xmlns:a16="http://schemas.microsoft.com/office/drawing/2014/main" id="{1B20B8F6-B804-44D5-9FDE-7CEFDEE635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" name="Elipse 458">
          <a:extLst>
            <a:ext uri="{FF2B5EF4-FFF2-40B4-BE49-F238E27FC236}">
              <a16:creationId xmlns:a16="http://schemas.microsoft.com/office/drawing/2014/main" id="{785ACE7E-FBDC-47E6-BBE8-2BBAA6441A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" name="Elipse 459">
          <a:extLst>
            <a:ext uri="{FF2B5EF4-FFF2-40B4-BE49-F238E27FC236}">
              <a16:creationId xmlns:a16="http://schemas.microsoft.com/office/drawing/2014/main" id="{EE8A5F71-6311-4889-BEF2-F0F0BFD444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" name="Elipse 460">
          <a:extLst>
            <a:ext uri="{FF2B5EF4-FFF2-40B4-BE49-F238E27FC236}">
              <a16:creationId xmlns:a16="http://schemas.microsoft.com/office/drawing/2014/main" id="{2D82E635-024C-4387-917A-C460E5D5DD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" name="Elipse 461">
          <a:extLst>
            <a:ext uri="{FF2B5EF4-FFF2-40B4-BE49-F238E27FC236}">
              <a16:creationId xmlns:a16="http://schemas.microsoft.com/office/drawing/2014/main" id="{CB541535-101E-4688-A05A-39AFB723AF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" name="Elipse 462">
          <a:extLst>
            <a:ext uri="{FF2B5EF4-FFF2-40B4-BE49-F238E27FC236}">
              <a16:creationId xmlns:a16="http://schemas.microsoft.com/office/drawing/2014/main" id="{964DC194-EE50-430F-972F-BCEE994E01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" name="Elipse 463">
          <a:extLst>
            <a:ext uri="{FF2B5EF4-FFF2-40B4-BE49-F238E27FC236}">
              <a16:creationId xmlns:a16="http://schemas.microsoft.com/office/drawing/2014/main" id="{65E3D52F-85C1-41C3-AF99-CF44E307E9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" name="Elipse 464">
          <a:extLst>
            <a:ext uri="{FF2B5EF4-FFF2-40B4-BE49-F238E27FC236}">
              <a16:creationId xmlns:a16="http://schemas.microsoft.com/office/drawing/2014/main" id="{21F0E3DA-853B-4173-B656-A5C81294A8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" name="Elipse 465">
          <a:extLst>
            <a:ext uri="{FF2B5EF4-FFF2-40B4-BE49-F238E27FC236}">
              <a16:creationId xmlns:a16="http://schemas.microsoft.com/office/drawing/2014/main" id="{8DFB15A8-FB61-483D-A7E5-FD95BF38C8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" name="Elipse 466">
          <a:extLst>
            <a:ext uri="{FF2B5EF4-FFF2-40B4-BE49-F238E27FC236}">
              <a16:creationId xmlns:a16="http://schemas.microsoft.com/office/drawing/2014/main" id="{A9239422-7F26-4C45-96EB-62149D898F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" name="Elipse 467">
          <a:extLst>
            <a:ext uri="{FF2B5EF4-FFF2-40B4-BE49-F238E27FC236}">
              <a16:creationId xmlns:a16="http://schemas.microsoft.com/office/drawing/2014/main" id="{BEBC8968-C0A3-4A31-BDF0-92EF097A1D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" name="Elipse 468">
          <a:extLst>
            <a:ext uri="{FF2B5EF4-FFF2-40B4-BE49-F238E27FC236}">
              <a16:creationId xmlns:a16="http://schemas.microsoft.com/office/drawing/2014/main" id="{B27ECD0D-6621-4ADA-AFB8-989B7CE6E4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" name="Elipse 469">
          <a:extLst>
            <a:ext uri="{FF2B5EF4-FFF2-40B4-BE49-F238E27FC236}">
              <a16:creationId xmlns:a16="http://schemas.microsoft.com/office/drawing/2014/main" id="{B0476884-6F0A-4E37-BC4D-07FE37BEAD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" name="Elipse 470">
          <a:extLst>
            <a:ext uri="{FF2B5EF4-FFF2-40B4-BE49-F238E27FC236}">
              <a16:creationId xmlns:a16="http://schemas.microsoft.com/office/drawing/2014/main" id="{87E254AA-6328-4885-92A4-6D026A1038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" name="Elipse 471">
          <a:extLst>
            <a:ext uri="{FF2B5EF4-FFF2-40B4-BE49-F238E27FC236}">
              <a16:creationId xmlns:a16="http://schemas.microsoft.com/office/drawing/2014/main" id="{F5E3413F-3046-4718-B2BA-087AFD9D8D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" name="Elipse 472">
          <a:extLst>
            <a:ext uri="{FF2B5EF4-FFF2-40B4-BE49-F238E27FC236}">
              <a16:creationId xmlns:a16="http://schemas.microsoft.com/office/drawing/2014/main" id="{4136E633-3B56-49E3-A95D-481000B395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" name="Elipse 473">
          <a:extLst>
            <a:ext uri="{FF2B5EF4-FFF2-40B4-BE49-F238E27FC236}">
              <a16:creationId xmlns:a16="http://schemas.microsoft.com/office/drawing/2014/main" id="{C4C361E8-5203-4207-A543-B5E4CD17D9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" name="Elipse 474">
          <a:extLst>
            <a:ext uri="{FF2B5EF4-FFF2-40B4-BE49-F238E27FC236}">
              <a16:creationId xmlns:a16="http://schemas.microsoft.com/office/drawing/2014/main" id="{BFFA53E0-6A24-4752-ACDF-CAAE82E4ED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" name="Elipse 475">
          <a:extLst>
            <a:ext uri="{FF2B5EF4-FFF2-40B4-BE49-F238E27FC236}">
              <a16:creationId xmlns:a16="http://schemas.microsoft.com/office/drawing/2014/main" id="{2E2FD40F-1777-41A5-94C4-51B33BEDCA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" name="Elipse 476">
          <a:extLst>
            <a:ext uri="{FF2B5EF4-FFF2-40B4-BE49-F238E27FC236}">
              <a16:creationId xmlns:a16="http://schemas.microsoft.com/office/drawing/2014/main" id="{453AE699-6F5A-4725-B2EA-B43D8702D6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" name="Elipse 477">
          <a:extLst>
            <a:ext uri="{FF2B5EF4-FFF2-40B4-BE49-F238E27FC236}">
              <a16:creationId xmlns:a16="http://schemas.microsoft.com/office/drawing/2014/main" id="{0E191B1B-876A-4194-A814-732567943C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" name="Elipse 478">
          <a:extLst>
            <a:ext uri="{FF2B5EF4-FFF2-40B4-BE49-F238E27FC236}">
              <a16:creationId xmlns:a16="http://schemas.microsoft.com/office/drawing/2014/main" id="{1C30E24E-0A71-4B41-B117-3F99212649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" name="Elipse 479">
          <a:extLst>
            <a:ext uri="{FF2B5EF4-FFF2-40B4-BE49-F238E27FC236}">
              <a16:creationId xmlns:a16="http://schemas.microsoft.com/office/drawing/2014/main" id="{D70B92A7-7AFC-4CD0-868F-A860A95923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" name="Elipse 480">
          <a:extLst>
            <a:ext uri="{FF2B5EF4-FFF2-40B4-BE49-F238E27FC236}">
              <a16:creationId xmlns:a16="http://schemas.microsoft.com/office/drawing/2014/main" id="{7A488448-1547-4C68-8D77-DEE06D0972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" name="Elipse 481">
          <a:extLst>
            <a:ext uri="{FF2B5EF4-FFF2-40B4-BE49-F238E27FC236}">
              <a16:creationId xmlns:a16="http://schemas.microsoft.com/office/drawing/2014/main" id="{9074D877-458F-4B0F-98E1-1D730FB22E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" name="Elipse 482">
          <a:extLst>
            <a:ext uri="{FF2B5EF4-FFF2-40B4-BE49-F238E27FC236}">
              <a16:creationId xmlns:a16="http://schemas.microsoft.com/office/drawing/2014/main" id="{C2E54CA2-222A-4753-9353-381D6BE2BD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" name="Elipse 483">
          <a:extLst>
            <a:ext uri="{FF2B5EF4-FFF2-40B4-BE49-F238E27FC236}">
              <a16:creationId xmlns:a16="http://schemas.microsoft.com/office/drawing/2014/main" id="{021E8C2B-FCA5-457D-89E7-F4F0623058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" name="Elipse 484">
          <a:extLst>
            <a:ext uri="{FF2B5EF4-FFF2-40B4-BE49-F238E27FC236}">
              <a16:creationId xmlns:a16="http://schemas.microsoft.com/office/drawing/2014/main" id="{CD55CFB1-DFD2-4106-8F3B-5172583F2E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" name="Elipse 485">
          <a:extLst>
            <a:ext uri="{FF2B5EF4-FFF2-40B4-BE49-F238E27FC236}">
              <a16:creationId xmlns:a16="http://schemas.microsoft.com/office/drawing/2014/main" id="{425581AB-C4E3-422E-BCEC-7C00C1E345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" name="Elipse 486">
          <a:extLst>
            <a:ext uri="{FF2B5EF4-FFF2-40B4-BE49-F238E27FC236}">
              <a16:creationId xmlns:a16="http://schemas.microsoft.com/office/drawing/2014/main" id="{BE1E3C05-9D49-4C9E-BE2A-808622AFEF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" name="Elipse 487">
          <a:extLst>
            <a:ext uri="{FF2B5EF4-FFF2-40B4-BE49-F238E27FC236}">
              <a16:creationId xmlns:a16="http://schemas.microsoft.com/office/drawing/2014/main" id="{48D46C5D-B346-4894-98EF-486BA91B7E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" name="Elipse 488">
          <a:extLst>
            <a:ext uri="{FF2B5EF4-FFF2-40B4-BE49-F238E27FC236}">
              <a16:creationId xmlns:a16="http://schemas.microsoft.com/office/drawing/2014/main" id="{EEB33031-5425-4272-BBD2-9CAE834D5A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" name="Elipse 489">
          <a:extLst>
            <a:ext uri="{FF2B5EF4-FFF2-40B4-BE49-F238E27FC236}">
              <a16:creationId xmlns:a16="http://schemas.microsoft.com/office/drawing/2014/main" id="{BA4B3685-6208-426F-A015-B3B4163F47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" name="Elipse 490">
          <a:extLst>
            <a:ext uri="{FF2B5EF4-FFF2-40B4-BE49-F238E27FC236}">
              <a16:creationId xmlns:a16="http://schemas.microsoft.com/office/drawing/2014/main" id="{17C7F436-3216-4956-94D9-523CF596AC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" name="Elipse 491">
          <a:extLst>
            <a:ext uri="{FF2B5EF4-FFF2-40B4-BE49-F238E27FC236}">
              <a16:creationId xmlns:a16="http://schemas.microsoft.com/office/drawing/2014/main" id="{0B6A00C4-D78F-4EC3-8FE7-A4666AB62A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" name="Elipse 492">
          <a:extLst>
            <a:ext uri="{FF2B5EF4-FFF2-40B4-BE49-F238E27FC236}">
              <a16:creationId xmlns:a16="http://schemas.microsoft.com/office/drawing/2014/main" id="{1B15CDCF-D8C5-4E97-A472-BC2C33A8D2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" name="Elipse 493">
          <a:extLst>
            <a:ext uri="{FF2B5EF4-FFF2-40B4-BE49-F238E27FC236}">
              <a16:creationId xmlns:a16="http://schemas.microsoft.com/office/drawing/2014/main" id="{F317A49B-725B-4ED6-BA20-500260BDC1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" name="Elipse 494">
          <a:extLst>
            <a:ext uri="{FF2B5EF4-FFF2-40B4-BE49-F238E27FC236}">
              <a16:creationId xmlns:a16="http://schemas.microsoft.com/office/drawing/2014/main" id="{DB07FE81-3374-4320-A484-8C5A593C4F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" name="Elipse 495">
          <a:extLst>
            <a:ext uri="{FF2B5EF4-FFF2-40B4-BE49-F238E27FC236}">
              <a16:creationId xmlns:a16="http://schemas.microsoft.com/office/drawing/2014/main" id="{DE5A1E66-2078-468B-B41D-5394FF4FCE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" name="Elipse 496">
          <a:extLst>
            <a:ext uri="{FF2B5EF4-FFF2-40B4-BE49-F238E27FC236}">
              <a16:creationId xmlns:a16="http://schemas.microsoft.com/office/drawing/2014/main" id="{D8CAE319-360D-4364-878F-78D8DC3885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" name="Elipse 497">
          <a:extLst>
            <a:ext uri="{FF2B5EF4-FFF2-40B4-BE49-F238E27FC236}">
              <a16:creationId xmlns:a16="http://schemas.microsoft.com/office/drawing/2014/main" id="{3DAB4AF1-97DE-437D-82B0-1F3734CDE4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" name="Elipse 498">
          <a:extLst>
            <a:ext uri="{FF2B5EF4-FFF2-40B4-BE49-F238E27FC236}">
              <a16:creationId xmlns:a16="http://schemas.microsoft.com/office/drawing/2014/main" id="{A1969A42-94B8-402A-81D2-79EB743A2A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" name="Elipse 499">
          <a:extLst>
            <a:ext uri="{FF2B5EF4-FFF2-40B4-BE49-F238E27FC236}">
              <a16:creationId xmlns:a16="http://schemas.microsoft.com/office/drawing/2014/main" id="{A70D328D-964F-421E-9883-F9C456F978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" name="Elipse 500">
          <a:extLst>
            <a:ext uri="{FF2B5EF4-FFF2-40B4-BE49-F238E27FC236}">
              <a16:creationId xmlns:a16="http://schemas.microsoft.com/office/drawing/2014/main" id="{42131D0D-AF36-4FFA-893C-486F85E91C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" name="Elipse 501">
          <a:extLst>
            <a:ext uri="{FF2B5EF4-FFF2-40B4-BE49-F238E27FC236}">
              <a16:creationId xmlns:a16="http://schemas.microsoft.com/office/drawing/2014/main" id="{989B8274-9D2A-44D5-B190-9CE595DAAB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" name="Elipse 502">
          <a:extLst>
            <a:ext uri="{FF2B5EF4-FFF2-40B4-BE49-F238E27FC236}">
              <a16:creationId xmlns:a16="http://schemas.microsoft.com/office/drawing/2014/main" id="{E1E80C6F-51C2-4758-9F6E-EF2804DA33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" name="Elipse 503">
          <a:extLst>
            <a:ext uri="{FF2B5EF4-FFF2-40B4-BE49-F238E27FC236}">
              <a16:creationId xmlns:a16="http://schemas.microsoft.com/office/drawing/2014/main" id="{43BA2873-035B-466D-8989-63B620700F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" name="Elipse 504">
          <a:extLst>
            <a:ext uri="{FF2B5EF4-FFF2-40B4-BE49-F238E27FC236}">
              <a16:creationId xmlns:a16="http://schemas.microsoft.com/office/drawing/2014/main" id="{28EC8A75-F748-46A6-8451-9A0FAE8D9D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" name="Elipse 505">
          <a:extLst>
            <a:ext uri="{FF2B5EF4-FFF2-40B4-BE49-F238E27FC236}">
              <a16:creationId xmlns:a16="http://schemas.microsoft.com/office/drawing/2014/main" id="{06901EC7-F4EF-40B7-970F-7D1E4C650B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" name="Elipse 506">
          <a:extLst>
            <a:ext uri="{FF2B5EF4-FFF2-40B4-BE49-F238E27FC236}">
              <a16:creationId xmlns:a16="http://schemas.microsoft.com/office/drawing/2014/main" id="{EAE0A640-1A8A-4F5C-837E-754F7E132D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" name="Elipse 507">
          <a:extLst>
            <a:ext uri="{FF2B5EF4-FFF2-40B4-BE49-F238E27FC236}">
              <a16:creationId xmlns:a16="http://schemas.microsoft.com/office/drawing/2014/main" id="{F16BB449-9D32-46AA-80C2-D5DBF71BFF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" name="Elipse 508">
          <a:extLst>
            <a:ext uri="{FF2B5EF4-FFF2-40B4-BE49-F238E27FC236}">
              <a16:creationId xmlns:a16="http://schemas.microsoft.com/office/drawing/2014/main" id="{90BDDCA6-0827-4493-B860-EFCD0A33CD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" name="Elipse 509">
          <a:extLst>
            <a:ext uri="{FF2B5EF4-FFF2-40B4-BE49-F238E27FC236}">
              <a16:creationId xmlns:a16="http://schemas.microsoft.com/office/drawing/2014/main" id="{1FE5339B-9364-44A2-9075-01BAF5C1C6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" name="Elipse 510">
          <a:extLst>
            <a:ext uri="{FF2B5EF4-FFF2-40B4-BE49-F238E27FC236}">
              <a16:creationId xmlns:a16="http://schemas.microsoft.com/office/drawing/2014/main" id="{35C7CC6B-9581-4527-A1B5-088F88E1B9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" name="Elipse 511">
          <a:extLst>
            <a:ext uri="{FF2B5EF4-FFF2-40B4-BE49-F238E27FC236}">
              <a16:creationId xmlns:a16="http://schemas.microsoft.com/office/drawing/2014/main" id="{A43618F6-1CB4-4062-99D9-27A21C0556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" name="Elipse 512">
          <a:extLst>
            <a:ext uri="{FF2B5EF4-FFF2-40B4-BE49-F238E27FC236}">
              <a16:creationId xmlns:a16="http://schemas.microsoft.com/office/drawing/2014/main" id="{727BEC73-1205-48F9-9D2B-0C98079E81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" name="Elipse 513">
          <a:extLst>
            <a:ext uri="{FF2B5EF4-FFF2-40B4-BE49-F238E27FC236}">
              <a16:creationId xmlns:a16="http://schemas.microsoft.com/office/drawing/2014/main" id="{73C6CDFE-E2EC-489A-9990-584D555533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" name="Elipse 514">
          <a:extLst>
            <a:ext uri="{FF2B5EF4-FFF2-40B4-BE49-F238E27FC236}">
              <a16:creationId xmlns:a16="http://schemas.microsoft.com/office/drawing/2014/main" id="{48CB4349-CCA0-4B0E-96A1-08E2C93348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" name="Elipse 515">
          <a:extLst>
            <a:ext uri="{FF2B5EF4-FFF2-40B4-BE49-F238E27FC236}">
              <a16:creationId xmlns:a16="http://schemas.microsoft.com/office/drawing/2014/main" id="{124D8DA5-A540-46D4-A1E4-14441EA2E4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" name="Elipse 516">
          <a:extLst>
            <a:ext uri="{FF2B5EF4-FFF2-40B4-BE49-F238E27FC236}">
              <a16:creationId xmlns:a16="http://schemas.microsoft.com/office/drawing/2014/main" id="{4F003C79-5444-489D-B8CC-5AA6E90AAC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" name="Elipse 517">
          <a:extLst>
            <a:ext uri="{FF2B5EF4-FFF2-40B4-BE49-F238E27FC236}">
              <a16:creationId xmlns:a16="http://schemas.microsoft.com/office/drawing/2014/main" id="{A443C3D0-7C0B-408F-B6A9-1CD84CF8CE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" name="Elipse 518">
          <a:extLst>
            <a:ext uri="{FF2B5EF4-FFF2-40B4-BE49-F238E27FC236}">
              <a16:creationId xmlns:a16="http://schemas.microsoft.com/office/drawing/2014/main" id="{08CD82AE-C210-4CD3-8115-C37DD93CFF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" name="Elipse 519">
          <a:extLst>
            <a:ext uri="{FF2B5EF4-FFF2-40B4-BE49-F238E27FC236}">
              <a16:creationId xmlns:a16="http://schemas.microsoft.com/office/drawing/2014/main" id="{31AC7906-AC78-42B1-A4D5-32AB2DAF7D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" name="Elipse 520">
          <a:extLst>
            <a:ext uri="{FF2B5EF4-FFF2-40B4-BE49-F238E27FC236}">
              <a16:creationId xmlns:a16="http://schemas.microsoft.com/office/drawing/2014/main" id="{10FB9DED-05D8-46F0-825E-6F9AD0BE31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" name="Elipse 521">
          <a:extLst>
            <a:ext uri="{FF2B5EF4-FFF2-40B4-BE49-F238E27FC236}">
              <a16:creationId xmlns:a16="http://schemas.microsoft.com/office/drawing/2014/main" id="{6750D3A9-321F-457B-97E9-B8FA8D4D38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" name="Elipse 522">
          <a:extLst>
            <a:ext uri="{FF2B5EF4-FFF2-40B4-BE49-F238E27FC236}">
              <a16:creationId xmlns:a16="http://schemas.microsoft.com/office/drawing/2014/main" id="{15089312-EBD5-4227-A5C0-4CE88CBF90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" name="Elipse 523">
          <a:extLst>
            <a:ext uri="{FF2B5EF4-FFF2-40B4-BE49-F238E27FC236}">
              <a16:creationId xmlns:a16="http://schemas.microsoft.com/office/drawing/2014/main" id="{2986CC3E-D680-4A77-BD73-46580F3D72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" name="Elipse 524">
          <a:extLst>
            <a:ext uri="{FF2B5EF4-FFF2-40B4-BE49-F238E27FC236}">
              <a16:creationId xmlns:a16="http://schemas.microsoft.com/office/drawing/2014/main" id="{69163BD1-636A-4477-9A93-9E60CA5419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" name="Elipse 525">
          <a:extLst>
            <a:ext uri="{FF2B5EF4-FFF2-40B4-BE49-F238E27FC236}">
              <a16:creationId xmlns:a16="http://schemas.microsoft.com/office/drawing/2014/main" id="{0467DE02-8BF1-4D47-9CE9-350BA7A280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" name="Elipse 526">
          <a:extLst>
            <a:ext uri="{FF2B5EF4-FFF2-40B4-BE49-F238E27FC236}">
              <a16:creationId xmlns:a16="http://schemas.microsoft.com/office/drawing/2014/main" id="{56EA2DBE-E58B-4C03-BF19-41DC6BC7FF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" name="Elipse 527">
          <a:extLst>
            <a:ext uri="{FF2B5EF4-FFF2-40B4-BE49-F238E27FC236}">
              <a16:creationId xmlns:a16="http://schemas.microsoft.com/office/drawing/2014/main" id="{C8373287-F0D3-44FF-8E98-BD96F7CC20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" name="Elipse 528">
          <a:extLst>
            <a:ext uri="{FF2B5EF4-FFF2-40B4-BE49-F238E27FC236}">
              <a16:creationId xmlns:a16="http://schemas.microsoft.com/office/drawing/2014/main" id="{4B65A759-BDC7-46A8-8928-1D230FAA3E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" name="Elipse 529">
          <a:extLst>
            <a:ext uri="{FF2B5EF4-FFF2-40B4-BE49-F238E27FC236}">
              <a16:creationId xmlns:a16="http://schemas.microsoft.com/office/drawing/2014/main" id="{87D5676E-1978-4253-AABE-FEC751C3BE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" name="Elipse 530">
          <a:extLst>
            <a:ext uri="{FF2B5EF4-FFF2-40B4-BE49-F238E27FC236}">
              <a16:creationId xmlns:a16="http://schemas.microsoft.com/office/drawing/2014/main" id="{C42D097E-5CF4-4781-A9E9-70A6079369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" name="Elipse 531">
          <a:extLst>
            <a:ext uri="{FF2B5EF4-FFF2-40B4-BE49-F238E27FC236}">
              <a16:creationId xmlns:a16="http://schemas.microsoft.com/office/drawing/2014/main" id="{10BD8305-812A-4B43-AAAD-3E740D53AC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" name="Elipse 532">
          <a:extLst>
            <a:ext uri="{FF2B5EF4-FFF2-40B4-BE49-F238E27FC236}">
              <a16:creationId xmlns:a16="http://schemas.microsoft.com/office/drawing/2014/main" id="{6DAA0318-41C4-4E43-9745-5C7C46E8B8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" name="Elipse 533">
          <a:extLst>
            <a:ext uri="{FF2B5EF4-FFF2-40B4-BE49-F238E27FC236}">
              <a16:creationId xmlns:a16="http://schemas.microsoft.com/office/drawing/2014/main" id="{A4194088-C23C-4D40-8D14-48DD8AC267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" name="Elipse 534">
          <a:extLst>
            <a:ext uri="{FF2B5EF4-FFF2-40B4-BE49-F238E27FC236}">
              <a16:creationId xmlns:a16="http://schemas.microsoft.com/office/drawing/2014/main" id="{82948C5F-F747-4ECE-8530-E4CC7EDD48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" name="Elipse 535">
          <a:extLst>
            <a:ext uri="{FF2B5EF4-FFF2-40B4-BE49-F238E27FC236}">
              <a16:creationId xmlns:a16="http://schemas.microsoft.com/office/drawing/2014/main" id="{2B3A4EE3-D2D7-4774-B5DD-191ABC6517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" name="Elipse 536">
          <a:extLst>
            <a:ext uri="{FF2B5EF4-FFF2-40B4-BE49-F238E27FC236}">
              <a16:creationId xmlns:a16="http://schemas.microsoft.com/office/drawing/2014/main" id="{024E1C37-70ED-4F4A-BE81-899C570652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" name="Elipse 537">
          <a:extLst>
            <a:ext uri="{FF2B5EF4-FFF2-40B4-BE49-F238E27FC236}">
              <a16:creationId xmlns:a16="http://schemas.microsoft.com/office/drawing/2014/main" id="{29299DF7-582E-4AE4-8CDD-39AB96FEBC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" name="Elipse 538">
          <a:extLst>
            <a:ext uri="{FF2B5EF4-FFF2-40B4-BE49-F238E27FC236}">
              <a16:creationId xmlns:a16="http://schemas.microsoft.com/office/drawing/2014/main" id="{B7088012-86D7-40D9-AB54-B9CC0297A1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" name="Elipse 539">
          <a:extLst>
            <a:ext uri="{FF2B5EF4-FFF2-40B4-BE49-F238E27FC236}">
              <a16:creationId xmlns:a16="http://schemas.microsoft.com/office/drawing/2014/main" id="{D8F1C992-41BC-4CA9-BACA-69369492A5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" name="Elipse 540">
          <a:extLst>
            <a:ext uri="{FF2B5EF4-FFF2-40B4-BE49-F238E27FC236}">
              <a16:creationId xmlns:a16="http://schemas.microsoft.com/office/drawing/2014/main" id="{582ED7DA-11BD-413B-B4D1-CFE41D5AC4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" name="Elipse 541">
          <a:extLst>
            <a:ext uri="{FF2B5EF4-FFF2-40B4-BE49-F238E27FC236}">
              <a16:creationId xmlns:a16="http://schemas.microsoft.com/office/drawing/2014/main" id="{5BF9D6DE-A575-4D08-9855-AC001735C0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" name="Elipse 542">
          <a:extLst>
            <a:ext uri="{FF2B5EF4-FFF2-40B4-BE49-F238E27FC236}">
              <a16:creationId xmlns:a16="http://schemas.microsoft.com/office/drawing/2014/main" id="{1F885D16-10A7-4266-9910-73D3603D2B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" name="Elipse 543">
          <a:extLst>
            <a:ext uri="{FF2B5EF4-FFF2-40B4-BE49-F238E27FC236}">
              <a16:creationId xmlns:a16="http://schemas.microsoft.com/office/drawing/2014/main" id="{2ECEE2FB-DD75-430C-858B-E5928372E6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" name="Elipse 544">
          <a:extLst>
            <a:ext uri="{FF2B5EF4-FFF2-40B4-BE49-F238E27FC236}">
              <a16:creationId xmlns:a16="http://schemas.microsoft.com/office/drawing/2014/main" id="{7B86FBD6-6779-4DFA-8F2A-64A03AB856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" name="Elipse 545">
          <a:extLst>
            <a:ext uri="{FF2B5EF4-FFF2-40B4-BE49-F238E27FC236}">
              <a16:creationId xmlns:a16="http://schemas.microsoft.com/office/drawing/2014/main" id="{A33B0850-73C6-4B0A-B25C-2993F2DFCF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" name="Elipse 546">
          <a:extLst>
            <a:ext uri="{FF2B5EF4-FFF2-40B4-BE49-F238E27FC236}">
              <a16:creationId xmlns:a16="http://schemas.microsoft.com/office/drawing/2014/main" id="{02891957-8BEF-4418-BE63-CC7174CAB2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" name="Elipse 547">
          <a:extLst>
            <a:ext uri="{FF2B5EF4-FFF2-40B4-BE49-F238E27FC236}">
              <a16:creationId xmlns:a16="http://schemas.microsoft.com/office/drawing/2014/main" id="{045CBDD8-A38D-4DD6-9C42-559CA706DB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" name="Elipse 548">
          <a:extLst>
            <a:ext uri="{FF2B5EF4-FFF2-40B4-BE49-F238E27FC236}">
              <a16:creationId xmlns:a16="http://schemas.microsoft.com/office/drawing/2014/main" id="{DF20DB6E-B50A-4D79-A3EF-283D65B189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" name="Elipse 549">
          <a:extLst>
            <a:ext uri="{FF2B5EF4-FFF2-40B4-BE49-F238E27FC236}">
              <a16:creationId xmlns:a16="http://schemas.microsoft.com/office/drawing/2014/main" id="{7CF8BB0E-D417-4C86-8B8B-87E576650F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" name="Elipse 550">
          <a:extLst>
            <a:ext uri="{FF2B5EF4-FFF2-40B4-BE49-F238E27FC236}">
              <a16:creationId xmlns:a16="http://schemas.microsoft.com/office/drawing/2014/main" id="{FAAF0C50-A4E6-4C28-B1C7-9120301313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" name="Elipse 551">
          <a:extLst>
            <a:ext uri="{FF2B5EF4-FFF2-40B4-BE49-F238E27FC236}">
              <a16:creationId xmlns:a16="http://schemas.microsoft.com/office/drawing/2014/main" id="{F8D5B67C-7B0D-44C5-B589-D80FBF5290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" name="Elipse 552">
          <a:extLst>
            <a:ext uri="{FF2B5EF4-FFF2-40B4-BE49-F238E27FC236}">
              <a16:creationId xmlns:a16="http://schemas.microsoft.com/office/drawing/2014/main" id="{D27C2161-CC8D-480C-915D-8C8B91BC81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" name="Elipse 553">
          <a:extLst>
            <a:ext uri="{FF2B5EF4-FFF2-40B4-BE49-F238E27FC236}">
              <a16:creationId xmlns:a16="http://schemas.microsoft.com/office/drawing/2014/main" id="{A820A368-C567-4928-BACC-C5BE3C3DC3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" name="Elipse 554">
          <a:extLst>
            <a:ext uri="{FF2B5EF4-FFF2-40B4-BE49-F238E27FC236}">
              <a16:creationId xmlns:a16="http://schemas.microsoft.com/office/drawing/2014/main" id="{371544A2-E5D4-4651-BBFD-F83A9E193E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" name="Elipse 555">
          <a:extLst>
            <a:ext uri="{FF2B5EF4-FFF2-40B4-BE49-F238E27FC236}">
              <a16:creationId xmlns:a16="http://schemas.microsoft.com/office/drawing/2014/main" id="{9FF52FDB-A296-4264-814D-9F7B914025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" name="Elipse 556">
          <a:extLst>
            <a:ext uri="{FF2B5EF4-FFF2-40B4-BE49-F238E27FC236}">
              <a16:creationId xmlns:a16="http://schemas.microsoft.com/office/drawing/2014/main" id="{D29745BF-93C9-42AC-8D48-CF86E62596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" name="Elipse 557">
          <a:extLst>
            <a:ext uri="{FF2B5EF4-FFF2-40B4-BE49-F238E27FC236}">
              <a16:creationId xmlns:a16="http://schemas.microsoft.com/office/drawing/2014/main" id="{65B6DAB0-B046-4D23-88D9-83D4A92FC0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" name="Elipse 558">
          <a:extLst>
            <a:ext uri="{FF2B5EF4-FFF2-40B4-BE49-F238E27FC236}">
              <a16:creationId xmlns:a16="http://schemas.microsoft.com/office/drawing/2014/main" id="{418C2902-BC7E-4556-92F7-42369F4447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" name="Elipse 559">
          <a:extLst>
            <a:ext uri="{FF2B5EF4-FFF2-40B4-BE49-F238E27FC236}">
              <a16:creationId xmlns:a16="http://schemas.microsoft.com/office/drawing/2014/main" id="{9B49614F-D17A-4B9C-997F-49F16BF984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" name="Elipse 560">
          <a:extLst>
            <a:ext uri="{FF2B5EF4-FFF2-40B4-BE49-F238E27FC236}">
              <a16:creationId xmlns:a16="http://schemas.microsoft.com/office/drawing/2014/main" id="{08BCFC95-7268-4344-BE76-92E84EB2A7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" name="Elipse 561">
          <a:extLst>
            <a:ext uri="{FF2B5EF4-FFF2-40B4-BE49-F238E27FC236}">
              <a16:creationId xmlns:a16="http://schemas.microsoft.com/office/drawing/2014/main" id="{E268877F-909A-4E0E-895E-1BCB719989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" name="Elipse 562">
          <a:extLst>
            <a:ext uri="{FF2B5EF4-FFF2-40B4-BE49-F238E27FC236}">
              <a16:creationId xmlns:a16="http://schemas.microsoft.com/office/drawing/2014/main" id="{3BAC5872-0E73-48A5-975F-921BDEE305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" name="Elipse 563">
          <a:extLst>
            <a:ext uri="{FF2B5EF4-FFF2-40B4-BE49-F238E27FC236}">
              <a16:creationId xmlns:a16="http://schemas.microsoft.com/office/drawing/2014/main" id="{BB85DE13-CB35-4524-9630-DAF7F98127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" name="Elipse 564">
          <a:extLst>
            <a:ext uri="{FF2B5EF4-FFF2-40B4-BE49-F238E27FC236}">
              <a16:creationId xmlns:a16="http://schemas.microsoft.com/office/drawing/2014/main" id="{3B9EC86A-A850-48CD-ADED-ECBF0088ED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" name="Elipse 565">
          <a:extLst>
            <a:ext uri="{FF2B5EF4-FFF2-40B4-BE49-F238E27FC236}">
              <a16:creationId xmlns:a16="http://schemas.microsoft.com/office/drawing/2014/main" id="{436DD2D7-141B-4129-8B93-C096FFBD21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" name="Elipse 566">
          <a:extLst>
            <a:ext uri="{FF2B5EF4-FFF2-40B4-BE49-F238E27FC236}">
              <a16:creationId xmlns:a16="http://schemas.microsoft.com/office/drawing/2014/main" id="{7AF23123-23E3-4CC7-AD0C-B92A09DBE2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" name="Elipse 567">
          <a:extLst>
            <a:ext uri="{FF2B5EF4-FFF2-40B4-BE49-F238E27FC236}">
              <a16:creationId xmlns:a16="http://schemas.microsoft.com/office/drawing/2014/main" id="{C1F57A19-B0A2-4E89-A27A-72F9411358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" name="Elipse 568">
          <a:extLst>
            <a:ext uri="{FF2B5EF4-FFF2-40B4-BE49-F238E27FC236}">
              <a16:creationId xmlns:a16="http://schemas.microsoft.com/office/drawing/2014/main" id="{0A4E7C88-225B-41C5-9D92-647CD0B18E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" name="Elipse 569">
          <a:extLst>
            <a:ext uri="{FF2B5EF4-FFF2-40B4-BE49-F238E27FC236}">
              <a16:creationId xmlns:a16="http://schemas.microsoft.com/office/drawing/2014/main" id="{5748CAF6-6E76-43F7-80FE-F49496AC24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" name="Elipse 570">
          <a:extLst>
            <a:ext uri="{FF2B5EF4-FFF2-40B4-BE49-F238E27FC236}">
              <a16:creationId xmlns:a16="http://schemas.microsoft.com/office/drawing/2014/main" id="{3AF46D0D-998A-4F99-BCC6-C375308D89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" name="Elipse 571">
          <a:extLst>
            <a:ext uri="{FF2B5EF4-FFF2-40B4-BE49-F238E27FC236}">
              <a16:creationId xmlns:a16="http://schemas.microsoft.com/office/drawing/2014/main" id="{0C625285-E4BC-4404-B6AB-BF6E3CF956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" name="Elipse 572">
          <a:extLst>
            <a:ext uri="{FF2B5EF4-FFF2-40B4-BE49-F238E27FC236}">
              <a16:creationId xmlns:a16="http://schemas.microsoft.com/office/drawing/2014/main" id="{3014DF80-68AA-4724-8D15-BD0276E8C8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" name="Elipse 573">
          <a:extLst>
            <a:ext uri="{FF2B5EF4-FFF2-40B4-BE49-F238E27FC236}">
              <a16:creationId xmlns:a16="http://schemas.microsoft.com/office/drawing/2014/main" id="{DCCCDB68-E80F-4468-82B8-89969A19A1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" name="Elipse 574">
          <a:extLst>
            <a:ext uri="{FF2B5EF4-FFF2-40B4-BE49-F238E27FC236}">
              <a16:creationId xmlns:a16="http://schemas.microsoft.com/office/drawing/2014/main" id="{123A8C5B-7E9A-4EE4-8389-B57CC0C846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" name="Elipse 575">
          <a:extLst>
            <a:ext uri="{FF2B5EF4-FFF2-40B4-BE49-F238E27FC236}">
              <a16:creationId xmlns:a16="http://schemas.microsoft.com/office/drawing/2014/main" id="{BA0730DF-359D-48B7-85DF-1E94060C14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" name="Elipse 576">
          <a:extLst>
            <a:ext uri="{FF2B5EF4-FFF2-40B4-BE49-F238E27FC236}">
              <a16:creationId xmlns:a16="http://schemas.microsoft.com/office/drawing/2014/main" id="{8844382B-75BF-42B7-911A-0004BFABD8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" name="Elipse 577">
          <a:extLst>
            <a:ext uri="{FF2B5EF4-FFF2-40B4-BE49-F238E27FC236}">
              <a16:creationId xmlns:a16="http://schemas.microsoft.com/office/drawing/2014/main" id="{A56CE31E-F6B5-467C-BB7C-1FC94B2EB9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" name="Elipse 578">
          <a:extLst>
            <a:ext uri="{FF2B5EF4-FFF2-40B4-BE49-F238E27FC236}">
              <a16:creationId xmlns:a16="http://schemas.microsoft.com/office/drawing/2014/main" id="{AE5915FB-9F4C-480A-8206-220FBB3D00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" name="Elipse 579">
          <a:extLst>
            <a:ext uri="{FF2B5EF4-FFF2-40B4-BE49-F238E27FC236}">
              <a16:creationId xmlns:a16="http://schemas.microsoft.com/office/drawing/2014/main" id="{CA6C25BE-2684-43B9-B5D0-65306503DF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" name="Elipse 580">
          <a:extLst>
            <a:ext uri="{FF2B5EF4-FFF2-40B4-BE49-F238E27FC236}">
              <a16:creationId xmlns:a16="http://schemas.microsoft.com/office/drawing/2014/main" id="{BF21F617-4AFD-41A2-A1A2-6BCE4F6CD0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" name="Elipse 581">
          <a:extLst>
            <a:ext uri="{FF2B5EF4-FFF2-40B4-BE49-F238E27FC236}">
              <a16:creationId xmlns:a16="http://schemas.microsoft.com/office/drawing/2014/main" id="{09424B13-804E-4315-A293-E8B026FD66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" name="Elipse 582">
          <a:extLst>
            <a:ext uri="{FF2B5EF4-FFF2-40B4-BE49-F238E27FC236}">
              <a16:creationId xmlns:a16="http://schemas.microsoft.com/office/drawing/2014/main" id="{B703DC3F-0417-43C4-9753-1BA9FCEC85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" name="Elipse 583">
          <a:extLst>
            <a:ext uri="{FF2B5EF4-FFF2-40B4-BE49-F238E27FC236}">
              <a16:creationId xmlns:a16="http://schemas.microsoft.com/office/drawing/2014/main" id="{C2F120C6-74F9-4C5D-B3E4-2F3F3DA7DE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" name="Elipse 584">
          <a:extLst>
            <a:ext uri="{FF2B5EF4-FFF2-40B4-BE49-F238E27FC236}">
              <a16:creationId xmlns:a16="http://schemas.microsoft.com/office/drawing/2014/main" id="{2A3F94E4-253F-459F-AD3D-675646F463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" name="Elipse 585">
          <a:extLst>
            <a:ext uri="{FF2B5EF4-FFF2-40B4-BE49-F238E27FC236}">
              <a16:creationId xmlns:a16="http://schemas.microsoft.com/office/drawing/2014/main" id="{28D206F3-EA44-4A3D-BDF0-8E13E91F8A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" name="Elipse 586">
          <a:extLst>
            <a:ext uri="{FF2B5EF4-FFF2-40B4-BE49-F238E27FC236}">
              <a16:creationId xmlns:a16="http://schemas.microsoft.com/office/drawing/2014/main" id="{DCDB7004-313B-47DA-9538-7B159F4967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" name="Elipse 587">
          <a:extLst>
            <a:ext uri="{FF2B5EF4-FFF2-40B4-BE49-F238E27FC236}">
              <a16:creationId xmlns:a16="http://schemas.microsoft.com/office/drawing/2014/main" id="{487A1D55-770B-4BE7-AE56-76C33E1B7E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" name="Elipse 588">
          <a:extLst>
            <a:ext uri="{FF2B5EF4-FFF2-40B4-BE49-F238E27FC236}">
              <a16:creationId xmlns:a16="http://schemas.microsoft.com/office/drawing/2014/main" id="{E56F4784-C4B6-4E2E-B8D2-887DB4E136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" name="Elipse 589">
          <a:extLst>
            <a:ext uri="{FF2B5EF4-FFF2-40B4-BE49-F238E27FC236}">
              <a16:creationId xmlns:a16="http://schemas.microsoft.com/office/drawing/2014/main" id="{7B01C2CF-B5E9-4BE2-98AD-D426F2C90D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" name="Elipse 590">
          <a:extLst>
            <a:ext uri="{FF2B5EF4-FFF2-40B4-BE49-F238E27FC236}">
              <a16:creationId xmlns:a16="http://schemas.microsoft.com/office/drawing/2014/main" id="{2A1D930D-1CBC-4321-9210-632F6B918B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" name="Elipse 591">
          <a:extLst>
            <a:ext uri="{FF2B5EF4-FFF2-40B4-BE49-F238E27FC236}">
              <a16:creationId xmlns:a16="http://schemas.microsoft.com/office/drawing/2014/main" id="{7DAB36FA-29DE-4CD6-875F-281C8F462B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" name="Elipse 592">
          <a:extLst>
            <a:ext uri="{FF2B5EF4-FFF2-40B4-BE49-F238E27FC236}">
              <a16:creationId xmlns:a16="http://schemas.microsoft.com/office/drawing/2014/main" id="{84BAA1B1-D36C-4299-92E0-A2D4937FC9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" name="Elipse 593">
          <a:extLst>
            <a:ext uri="{FF2B5EF4-FFF2-40B4-BE49-F238E27FC236}">
              <a16:creationId xmlns:a16="http://schemas.microsoft.com/office/drawing/2014/main" id="{55D8F146-99A0-4F23-A120-090F9690D5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" name="Elipse 594">
          <a:extLst>
            <a:ext uri="{FF2B5EF4-FFF2-40B4-BE49-F238E27FC236}">
              <a16:creationId xmlns:a16="http://schemas.microsoft.com/office/drawing/2014/main" id="{B562FDFD-EB53-4EFF-8019-D0E6F35468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" name="Elipse 595">
          <a:extLst>
            <a:ext uri="{FF2B5EF4-FFF2-40B4-BE49-F238E27FC236}">
              <a16:creationId xmlns:a16="http://schemas.microsoft.com/office/drawing/2014/main" id="{D65E0B47-06D3-4616-A439-20D1F564C0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" name="Elipse 596">
          <a:extLst>
            <a:ext uri="{FF2B5EF4-FFF2-40B4-BE49-F238E27FC236}">
              <a16:creationId xmlns:a16="http://schemas.microsoft.com/office/drawing/2014/main" id="{956E33A9-B0E1-4B96-968E-E63433DBC9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" name="Elipse 597">
          <a:extLst>
            <a:ext uri="{FF2B5EF4-FFF2-40B4-BE49-F238E27FC236}">
              <a16:creationId xmlns:a16="http://schemas.microsoft.com/office/drawing/2014/main" id="{8E264063-E23A-4F3A-8994-1F3E37A463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" name="Elipse 598">
          <a:extLst>
            <a:ext uri="{FF2B5EF4-FFF2-40B4-BE49-F238E27FC236}">
              <a16:creationId xmlns:a16="http://schemas.microsoft.com/office/drawing/2014/main" id="{27E061CF-5D63-439C-8E20-260C9421E6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" name="Elipse 599">
          <a:extLst>
            <a:ext uri="{FF2B5EF4-FFF2-40B4-BE49-F238E27FC236}">
              <a16:creationId xmlns:a16="http://schemas.microsoft.com/office/drawing/2014/main" id="{9A9F7CA7-C999-4843-A7BF-E7C1352998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" name="Elipse 600">
          <a:extLst>
            <a:ext uri="{FF2B5EF4-FFF2-40B4-BE49-F238E27FC236}">
              <a16:creationId xmlns:a16="http://schemas.microsoft.com/office/drawing/2014/main" id="{FBE5EA71-C1A2-40E7-BD7A-D72120424C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" name="Elipse 601">
          <a:extLst>
            <a:ext uri="{FF2B5EF4-FFF2-40B4-BE49-F238E27FC236}">
              <a16:creationId xmlns:a16="http://schemas.microsoft.com/office/drawing/2014/main" id="{CECDF475-B971-46CC-AD99-FBD19115E8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" name="Elipse 602">
          <a:extLst>
            <a:ext uri="{FF2B5EF4-FFF2-40B4-BE49-F238E27FC236}">
              <a16:creationId xmlns:a16="http://schemas.microsoft.com/office/drawing/2014/main" id="{025DFE59-FDC1-4F69-A4C3-28CE9B0B18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" name="Elipse 603">
          <a:extLst>
            <a:ext uri="{FF2B5EF4-FFF2-40B4-BE49-F238E27FC236}">
              <a16:creationId xmlns:a16="http://schemas.microsoft.com/office/drawing/2014/main" id="{C4914BD8-8CAF-4879-82B9-9553E5E367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" name="Elipse 604">
          <a:extLst>
            <a:ext uri="{FF2B5EF4-FFF2-40B4-BE49-F238E27FC236}">
              <a16:creationId xmlns:a16="http://schemas.microsoft.com/office/drawing/2014/main" id="{CD4E9CBC-C55B-400A-A65C-5B72CAD90C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" name="Elipse 605">
          <a:extLst>
            <a:ext uri="{FF2B5EF4-FFF2-40B4-BE49-F238E27FC236}">
              <a16:creationId xmlns:a16="http://schemas.microsoft.com/office/drawing/2014/main" id="{7A8E9489-FA46-465B-8375-183844604C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" name="Elipse 606">
          <a:extLst>
            <a:ext uri="{FF2B5EF4-FFF2-40B4-BE49-F238E27FC236}">
              <a16:creationId xmlns:a16="http://schemas.microsoft.com/office/drawing/2014/main" id="{2A1DB5DA-CE4A-4E2E-98F2-79F7D4B8D2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" name="Elipse 607">
          <a:extLst>
            <a:ext uri="{FF2B5EF4-FFF2-40B4-BE49-F238E27FC236}">
              <a16:creationId xmlns:a16="http://schemas.microsoft.com/office/drawing/2014/main" id="{27E2459B-645A-4C26-AE08-461727B897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" name="Elipse 608">
          <a:extLst>
            <a:ext uri="{FF2B5EF4-FFF2-40B4-BE49-F238E27FC236}">
              <a16:creationId xmlns:a16="http://schemas.microsoft.com/office/drawing/2014/main" id="{7A07A1A3-90CB-482D-BAD9-5BD5DB4814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" name="Elipse 609">
          <a:extLst>
            <a:ext uri="{FF2B5EF4-FFF2-40B4-BE49-F238E27FC236}">
              <a16:creationId xmlns:a16="http://schemas.microsoft.com/office/drawing/2014/main" id="{1EABFC8A-BF29-4FE1-AD18-85A3788528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" name="Elipse 610">
          <a:extLst>
            <a:ext uri="{FF2B5EF4-FFF2-40B4-BE49-F238E27FC236}">
              <a16:creationId xmlns:a16="http://schemas.microsoft.com/office/drawing/2014/main" id="{4B9FDCC9-E68D-4B9F-98D4-9C5F30CCA4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" name="Elipse 611">
          <a:extLst>
            <a:ext uri="{FF2B5EF4-FFF2-40B4-BE49-F238E27FC236}">
              <a16:creationId xmlns:a16="http://schemas.microsoft.com/office/drawing/2014/main" id="{556CB535-FD8B-4B25-91AB-EC73279620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" name="Elipse 612">
          <a:extLst>
            <a:ext uri="{FF2B5EF4-FFF2-40B4-BE49-F238E27FC236}">
              <a16:creationId xmlns:a16="http://schemas.microsoft.com/office/drawing/2014/main" id="{1FDA7530-10ED-478A-9DAB-BF9386CBF8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4" name="Elipse 613">
          <a:extLst>
            <a:ext uri="{FF2B5EF4-FFF2-40B4-BE49-F238E27FC236}">
              <a16:creationId xmlns:a16="http://schemas.microsoft.com/office/drawing/2014/main" id="{E370AC00-AB46-4F6F-A0CF-CE9AB8B106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5" name="Elipse 614">
          <a:extLst>
            <a:ext uri="{FF2B5EF4-FFF2-40B4-BE49-F238E27FC236}">
              <a16:creationId xmlns:a16="http://schemas.microsoft.com/office/drawing/2014/main" id="{F901BC6F-6550-4C63-97EF-268FDEFA1F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6" name="Elipse 615">
          <a:extLst>
            <a:ext uri="{FF2B5EF4-FFF2-40B4-BE49-F238E27FC236}">
              <a16:creationId xmlns:a16="http://schemas.microsoft.com/office/drawing/2014/main" id="{A9D940A2-2E1A-4F4B-AFE5-8980656BE2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7" name="Elipse 616">
          <a:extLst>
            <a:ext uri="{FF2B5EF4-FFF2-40B4-BE49-F238E27FC236}">
              <a16:creationId xmlns:a16="http://schemas.microsoft.com/office/drawing/2014/main" id="{550AF269-A183-45AA-8652-EF43BFABCB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8" name="Elipse 617">
          <a:extLst>
            <a:ext uri="{FF2B5EF4-FFF2-40B4-BE49-F238E27FC236}">
              <a16:creationId xmlns:a16="http://schemas.microsoft.com/office/drawing/2014/main" id="{997451F3-09D3-42C7-BB15-AB476A26E7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9" name="Elipse 618">
          <a:extLst>
            <a:ext uri="{FF2B5EF4-FFF2-40B4-BE49-F238E27FC236}">
              <a16:creationId xmlns:a16="http://schemas.microsoft.com/office/drawing/2014/main" id="{06C4545D-BFB6-4356-9D80-D665409B72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0" name="Elipse 619">
          <a:extLst>
            <a:ext uri="{FF2B5EF4-FFF2-40B4-BE49-F238E27FC236}">
              <a16:creationId xmlns:a16="http://schemas.microsoft.com/office/drawing/2014/main" id="{A1A6F8B8-0C3D-4FB2-ADD3-91443711E5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1" name="Elipse 620">
          <a:extLst>
            <a:ext uri="{FF2B5EF4-FFF2-40B4-BE49-F238E27FC236}">
              <a16:creationId xmlns:a16="http://schemas.microsoft.com/office/drawing/2014/main" id="{E8ABFC6B-0569-4DD7-8A67-22E733879C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2" name="Elipse 621">
          <a:extLst>
            <a:ext uri="{FF2B5EF4-FFF2-40B4-BE49-F238E27FC236}">
              <a16:creationId xmlns:a16="http://schemas.microsoft.com/office/drawing/2014/main" id="{482040CD-0E3B-4E28-B451-AED56EECED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3" name="Elipse 622">
          <a:extLst>
            <a:ext uri="{FF2B5EF4-FFF2-40B4-BE49-F238E27FC236}">
              <a16:creationId xmlns:a16="http://schemas.microsoft.com/office/drawing/2014/main" id="{290DC15A-C1DA-4D7A-B5FD-63F0F757C2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4" name="Elipse 623">
          <a:extLst>
            <a:ext uri="{FF2B5EF4-FFF2-40B4-BE49-F238E27FC236}">
              <a16:creationId xmlns:a16="http://schemas.microsoft.com/office/drawing/2014/main" id="{844C2633-2D3B-4A89-9D00-980386D78B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5" name="Elipse 624">
          <a:extLst>
            <a:ext uri="{FF2B5EF4-FFF2-40B4-BE49-F238E27FC236}">
              <a16:creationId xmlns:a16="http://schemas.microsoft.com/office/drawing/2014/main" id="{44D29595-9A19-4B7D-A590-4AB6859730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6" name="Elipse 625">
          <a:extLst>
            <a:ext uri="{FF2B5EF4-FFF2-40B4-BE49-F238E27FC236}">
              <a16:creationId xmlns:a16="http://schemas.microsoft.com/office/drawing/2014/main" id="{319292C8-341A-461C-9A12-B56E17DDF2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7" name="Elipse 626">
          <a:extLst>
            <a:ext uri="{FF2B5EF4-FFF2-40B4-BE49-F238E27FC236}">
              <a16:creationId xmlns:a16="http://schemas.microsoft.com/office/drawing/2014/main" id="{37B00697-9F21-4D27-942B-7A95FE2C71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8" name="Elipse 627">
          <a:extLst>
            <a:ext uri="{FF2B5EF4-FFF2-40B4-BE49-F238E27FC236}">
              <a16:creationId xmlns:a16="http://schemas.microsoft.com/office/drawing/2014/main" id="{65F602A1-1E2C-49CE-8030-06B3BF2595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9" name="Elipse 628">
          <a:extLst>
            <a:ext uri="{FF2B5EF4-FFF2-40B4-BE49-F238E27FC236}">
              <a16:creationId xmlns:a16="http://schemas.microsoft.com/office/drawing/2014/main" id="{C2B33AF4-000E-42CF-A958-EB4793D885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0" name="Elipse 629">
          <a:extLst>
            <a:ext uri="{FF2B5EF4-FFF2-40B4-BE49-F238E27FC236}">
              <a16:creationId xmlns:a16="http://schemas.microsoft.com/office/drawing/2014/main" id="{6D093B46-D430-4B82-BE9B-60A263F2B9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1" name="Elipse 630">
          <a:extLst>
            <a:ext uri="{FF2B5EF4-FFF2-40B4-BE49-F238E27FC236}">
              <a16:creationId xmlns:a16="http://schemas.microsoft.com/office/drawing/2014/main" id="{05C53A9A-1678-4443-A344-EA9D56CB9A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2" name="Elipse 631">
          <a:extLst>
            <a:ext uri="{FF2B5EF4-FFF2-40B4-BE49-F238E27FC236}">
              <a16:creationId xmlns:a16="http://schemas.microsoft.com/office/drawing/2014/main" id="{530DA5B7-5925-44D0-8D2D-92C9D3CC77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3" name="Elipse 632">
          <a:extLst>
            <a:ext uri="{FF2B5EF4-FFF2-40B4-BE49-F238E27FC236}">
              <a16:creationId xmlns:a16="http://schemas.microsoft.com/office/drawing/2014/main" id="{B352BF94-5160-4E07-9617-71DCB843BC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4" name="Elipse 633">
          <a:extLst>
            <a:ext uri="{FF2B5EF4-FFF2-40B4-BE49-F238E27FC236}">
              <a16:creationId xmlns:a16="http://schemas.microsoft.com/office/drawing/2014/main" id="{24458636-360A-4BE0-B440-52B919BFE6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5" name="Elipse 634">
          <a:extLst>
            <a:ext uri="{FF2B5EF4-FFF2-40B4-BE49-F238E27FC236}">
              <a16:creationId xmlns:a16="http://schemas.microsoft.com/office/drawing/2014/main" id="{ECB54405-FC52-4A52-BE9D-FB06509A4F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6" name="Elipse 635">
          <a:extLst>
            <a:ext uri="{FF2B5EF4-FFF2-40B4-BE49-F238E27FC236}">
              <a16:creationId xmlns:a16="http://schemas.microsoft.com/office/drawing/2014/main" id="{FF61061D-ECF7-4FE7-AD5D-BD050ADBEF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7" name="Elipse 636">
          <a:extLst>
            <a:ext uri="{FF2B5EF4-FFF2-40B4-BE49-F238E27FC236}">
              <a16:creationId xmlns:a16="http://schemas.microsoft.com/office/drawing/2014/main" id="{AC8798B5-E3AF-4874-A0AF-2EA05A38D4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8" name="Elipse 637">
          <a:extLst>
            <a:ext uri="{FF2B5EF4-FFF2-40B4-BE49-F238E27FC236}">
              <a16:creationId xmlns:a16="http://schemas.microsoft.com/office/drawing/2014/main" id="{9F472712-985F-4326-9DAC-9CD62817A3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9" name="Elipse 638">
          <a:extLst>
            <a:ext uri="{FF2B5EF4-FFF2-40B4-BE49-F238E27FC236}">
              <a16:creationId xmlns:a16="http://schemas.microsoft.com/office/drawing/2014/main" id="{73E9DCD1-55FA-4E06-95A4-4D7D583E4F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0" name="Elipse 639">
          <a:extLst>
            <a:ext uri="{FF2B5EF4-FFF2-40B4-BE49-F238E27FC236}">
              <a16:creationId xmlns:a16="http://schemas.microsoft.com/office/drawing/2014/main" id="{F8CBB177-7129-4506-8DD2-EDC1415D87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1" name="Elipse 640">
          <a:extLst>
            <a:ext uri="{FF2B5EF4-FFF2-40B4-BE49-F238E27FC236}">
              <a16:creationId xmlns:a16="http://schemas.microsoft.com/office/drawing/2014/main" id="{1E6E3822-480E-47A4-8F2E-815E2008A4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2" name="Elipse 641">
          <a:extLst>
            <a:ext uri="{FF2B5EF4-FFF2-40B4-BE49-F238E27FC236}">
              <a16:creationId xmlns:a16="http://schemas.microsoft.com/office/drawing/2014/main" id="{86DCD446-422E-49E8-B8DB-5142CAB0CA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3" name="Elipse 642">
          <a:extLst>
            <a:ext uri="{FF2B5EF4-FFF2-40B4-BE49-F238E27FC236}">
              <a16:creationId xmlns:a16="http://schemas.microsoft.com/office/drawing/2014/main" id="{5F4BD9E5-EF1B-4EFB-9798-9D7A3D0798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4" name="Elipse 643">
          <a:extLst>
            <a:ext uri="{FF2B5EF4-FFF2-40B4-BE49-F238E27FC236}">
              <a16:creationId xmlns:a16="http://schemas.microsoft.com/office/drawing/2014/main" id="{ABBE3531-1572-491E-ACBA-FBC7CDD841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5" name="Elipse 644">
          <a:extLst>
            <a:ext uri="{FF2B5EF4-FFF2-40B4-BE49-F238E27FC236}">
              <a16:creationId xmlns:a16="http://schemas.microsoft.com/office/drawing/2014/main" id="{5E1771FE-D7C9-4833-BF60-A59CBD4892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6" name="Elipse 645">
          <a:extLst>
            <a:ext uri="{FF2B5EF4-FFF2-40B4-BE49-F238E27FC236}">
              <a16:creationId xmlns:a16="http://schemas.microsoft.com/office/drawing/2014/main" id="{9E189393-6AB2-44B4-B9C0-E77929A3E9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7" name="Elipse 646">
          <a:extLst>
            <a:ext uri="{FF2B5EF4-FFF2-40B4-BE49-F238E27FC236}">
              <a16:creationId xmlns:a16="http://schemas.microsoft.com/office/drawing/2014/main" id="{33E7CB58-8788-4F28-9FE5-35575BC399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8" name="Elipse 647">
          <a:extLst>
            <a:ext uri="{FF2B5EF4-FFF2-40B4-BE49-F238E27FC236}">
              <a16:creationId xmlns:a16="http://schemas.microsoft.com/office/drawing/2014/main" id="{24EA7D83-4412-4BD3-B3A3-3B097538A3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9" name="Elipse 648">
          <a:extLst>
            <a:ext uri="{FF2B5EF4-FFF2-40B4-BE49-F238E27FC236}">
              <a16:creationId xmlns:a16="http://schemas.microsoft.com/office/drawing/2014/main" id="{1F961B41-812A-49FC-AB5B-2A98220ED0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0" name="Elipse 649">
          <a:extLst>
            <a:ext uri="{FF2B5EF4-FFF2-40B4-BE49-F238E27FC236}">
              <a16:creationId xmlns:a16="http://schemas.microsoft.com/office/drawing/2014/main" id="{6E125450-7743-4693-89FA-A5E2811161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1" name="Elipse 650">
          <a:extLst>
            <a:ext uri="{FF2B5EF4-FFF2-40B4-BE49-F238E27FC236}">
              <a16:creationId xmlns:a16="http://schemas.microsoft.com/office/drawing/2014/main" id="{5FC84EA3-7B28-402F-BA57-A73D64D7F6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2" name="Elipse 651">
          <a:extLst>
            <a:ext uri="{FF2B5EF4-FFF2-40B4-BE49-F238E27FC236}">
              <a16:creationId xmlns:a16="http://schemas.microsoft.com/office/drawing/2014/main" id="{F89C7451-909E-4B0A-A6A3-8DF2D68D00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3" name="Elipse 652">
          <a:extLst>
            <a:ext uri="{FF2B5EF4-FFF2-40B4-BE49-F238E27FC236}">
              <a16:creationId xmlns:a16="http://schemas.microsoft.com/office/drawing/2014/main" id="{8476810D-DA9F-4335-B874-FA0AFF456E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4" name="Elipse 653">
          <a:extLst>
            <a:ext uri="{FF2B5EF4-FFF2-40B4-BE49-F238E27FC236}">
              <a16:creationId xmlns:a16="http://schemas.microsoft.com/office/drawing/2014/main" id="{A768027A-CFEA-411F-998D-A13846AD22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5" name="Elipse 654">
          <a:extLst>
            <a:ext uri="{FF2B5EF4-FFF2-40B4-BE49-F238E27FC236}">
              <a16:creationId xmlns:a16="http://schemas.microsoft.com/office/drawing/2014/main" id="{C8A109EE-796B-491F-A1C0-A3F1538C6E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6" name="Elipse 655">
          <a:extLst>
            <a:ext uri="{FF2B5EF4-FFF2-40B4-BE49-F238E27FC236}">
              <a16:creationId xmlns:a16="http://schemas.microsoft.com/office/drawing/2014/main" id="{B9AB7B42-B2EC-4DCE-BDC7-3F9E4329C0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7" name="Elipse 656">
          <a:extLst>
            <a:ext uri="{FF2B5EF4-FFF2-40B4-BE49-F238E27FC236}">
              <a16:creationId xmlns:a16="http://schemas.microsoft.com/office/drawing/2014/main" id="{A5A8D264-AFCD-4765-BD29-16D9E8B481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8" name="Elipse 657">
          <a:extLst>
            <a:ext uri="{FF2B5EF4-FFF2-40B4-BE49-F238E27FC236}">
              <a16:creationId xmlns:a16="http://schemas.microsoft.com/office/drawing/2014/main" id="{6B4E68E4-3393-494B-97C9-55337A0EE2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9" name="Elipse 658">
          <a:extLst>
            <a:ext uri="{FF2B5EF4-FFF2-40B4-BE49-F238E27FC236}">
              <a16:creationId xmlns:a16="http://schemas.microsoft.com/office/drawing/2014/main" id="{E354F6C6-2A0E-4C86-A98E-24F5F631AC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0" name="Elipse 659">
          <a:extLst>
            <a:ext uri="{FF2B5EF4-FFF2-40B4-BE49-F238E27FC236}">
              <a16:creationId xmlns:a16="http://schemas.microsoft.com/office/drawing/2014/main" id="{13D68CD8-4636-4F8E-904B-89EF8A174C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1" name="Elipse 660">
          <a:extLst>
            <a:ext uri="{FF2B5EF4-FFF2-40B4-BE49-F238E27FC236}">
              <a16:creationId xmlns:a16="http://schemas.microsoft.com/office/drawing/2014/main" id="{1DE4DA05-85EB-4AF7-907A-4B516473F4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2" name="Elipse 661">
          <a:extLst>
            <a:ext uri="{FF2B5EF4-FFF2-40B4-BE49-F238E27FC236}">
              <a16:creationId xmlns:a16="http://schemas.microsoft.com/office/drawing/2014/main" id="{5F58EF30-0892-4F9D-88EB-F7D7B39522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3" name="Elipse 662">
          <a:extLst>
            <a:ext uri="{FF2B5EF4-FFF2-40B4-BE49-F238E27FC236}">
              <a16:creationId xmlns:a16="http://schemas.microsoft.com/office/drawing/2014/main" id="{54FAEFA5-F3E7-4AB1-B4BD-194BBD4BFE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4" name="Elipse 663">
          <a:extLst>
            <a:ext uri="{FF2B5EF4-FFF2-40B4-BE49-F238E27FC236}">
              <a16:creationId xmlns:a16="http://schemas.microsoft.com/office/drawing/2014/main" id="{122B66E5-E5AA-4863-901B-0CA3F907A2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5" name="Elipse 664">
          <a:extLst>
            <a:ext uri="{FF2B5EF4-FFF2-40B4-BE49-F238E27FC236}">
              <a16:creationId xmlns:a16="http://schemas.microsoft.com/office/drawing/2014/main" id="{CA07F91D-44E2-4DEA-A3AF-9BCA26A792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6" name="Elipse 665">
          <a:extLst>
            <a:ext uri="{FF2B5EF4-FFF2-40B4-BE49-F238E27FC236}">
              <a16:creationId xmlns:a16="http://schemas.microsoft.com/office/drawing/2014/main" id="{0672693E-6A4A-4687-B72E-801A36B5C3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7" name="Elipse 666">
          <a:extLst>
            <a:ext uri="{FF2B5EF4-FFF2-40B4-BE49-F238E27FC236}">
              <a16:creationId xmlns:a16="http://schemas.microsoft.com/office/drawing/2014/main" id="{7DF70566-A448-45E5-A099-B044ED3C6C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8" name="Elipse 667">
          <a:extLst>
            <a:ext uri="{FF2B5EF4-FFF2-40B4-BE49-F238E27FC236}">
              <a16:creationId xmlns:a16="http://schemas.microsoft.com/office/drawing/2014/main" id="{02A146F8-5E19-4D87-938B-F2FDD5D4B3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9" name="Elipse 668">
          <a:extLst>
            <a:ext uri="{FF2B5EF4-FFF2-40B4-BE49-F238E27FC236}">
              <a16:creationId xmlns:a16="http://schemas.microsoft.com/office/drawing/2014/main" id="{B504D7FD-6271-4947-B53F-BE7887138C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0" name="Elipse 669">
          <a:extLst>
            <a:ext uri="{FF2B5EF4-FFF2-40B4-BE49-F238E27FC236}">
              <a16:creationId xmlns:a16="http://schemas.microsoft.com/office/drawing/2014/main" id="{F1AB0E61-E7F5-4463-9853-519D1DB6BF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1" name="Elipse 670">
          <a:extLst>
            <a:ext uri="{FF2B5EF4-FFF2-40B4-BE49-F238E27FC236}">
              <a16:creationId xmlns:a16="http://schemas.microsoft.com/office/drawing/2014/main" id="{575A880F-E3A8-4B01-A485-32A92CDB74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2" name="Elipse 671">
          <a:extLst>
            <a:ext uri="{FF2B5EF4-FFF2-40B4-BE49-F238E27FC236}">
              <a16:creationId xmlns:a16="http://schemas.microsoft.com/office/drawing/2014/main" id="{22972C63-373E-4B64-ACAC-BF21524ED0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3" name="Elipse 672">
          <a:extLst>
            <a:ext uri="{FF2B5EF4-FFF2-40B4-BE49-F238E27FC236}">
              <a16:creationId xmlns:a16="http://schemas.microsoft.com/office/drawing/2014/main" id="{C0336E41-8ED8-480F-845D-33AE5D5671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4" name="Elipse 673">
          <a:extLst>
            <a:ext uri="{FF2B5EF4-FFF2-40B4-BE49-F238E27FC236}">
              <a16:creationId xmlns:a16="http://schemas.microsoft.com/office/drawing/2014/main" id="{C4AFD335-0574-4CD4-9F7A-23A83053DA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5" name="Elipse 674">
          <a:extLst>
            <a:ext uri="{FF2B5EF4-FFF2-40B4-BE49-F238E27FC236}">
              <a16:creationId xmlns:a16="http://schemas.microsoft.com/office/drawing/2014/main" id="{C9704F35-94A1-48D8-9125-12F7363F95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6" name="Elipse 675">
          <a:extLst>
            <a:ext uri="{FF2B5EF4-FFF2-40B4-BE49-F238E27FC236}">
              <a16:creationId xmlns:a16="http://schemas.microsoft.com/office/drawing/2014/main" id="{44045BA6-B637-4353-8027-46879810CE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7" name="Elipse 676">
          <a:extLst>
            <a:ext uri="{FF2B5EF4-FFF2-40B4-BE49-F238E27FC236}">
              <a16:creationId xmlns:a16="http://schemas.microsoft.com/office/drawing/2014/main" id="{7FC745E6-D3B7-4427-8735-898FA92186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8" name="Elipse 677">
          <a:extLst>
            <a:ext uri="{FF2B5EF4-FFF2-40B4-BE49-F238E27FC236}">
              <a16:creationId xmlns:a16="http://schemas.microsoft.com/office/drawing/2014/main" id="{FB75DA88-F987-4FBA-9137-24B2700F67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9" name="Elipse 678">
          <a:extLst>
            <a:ext uri="{FF2B5EF4-FFF2-40B4-BE49-F238E27FC236}">
              <a16:creationId xmlns:a16="http://schemas.microsoft.com/office/drawing/2014/main" id="{317FC679-5B92-4721-9FB9-E2DAA70CA3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0" name="Elipse 679">
          <a:extLst>
            <a:ext uri="{FF2B5EF4-FFF2-40B4-BE49-F238E27FC236}">
              <a16:creationId xmlns:a16="http://schemas.microsoft.com/office/drawing/2014/main" id="{CE0D9D19-1122-48A8-A42B-C97E01B825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1" name="Elipse 680">
          <a:extLst>
            <a:ext uri="{FF2B5EF4-FFF2-40B4-BE49-F238E27FC236}">
              <a16:creationId xmlns:a16="http://schemas.microsoft.com/office/drawing/2014/main" id="{B05719F5-63D0-4972-AEBE-6D79F7C55D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2" name="Elipse 681">
          <a:extLst>
            <a:ext uri="{FF2B5EF4-FFF2-40B4-BE49-F238E27FC236}">
              <a16:creationId xmlns:a16="http://schemas.microsoft.com/office/drawing/2014/main" id="{EE2144BC-465D-4BB0-9334-369ECC164B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3" name="Elipse 682">
          <a:extLst>
            <a:ext uri="{FF2B5EF4-FFF2-40B4-BE49-F238E27FC236}">
              <a16:creationId xmlns:a16="http://schemas.microsoft.com/office/drawing/2014/main" id="{DB995527-5978-41BE-9B1C-63B6F73C62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4" name="Elipse 683">
          <a:extLst>
            <a:ext uri="{FF2B5EF4-FFF2-40B4-BE49-F238E27FC236}">
              <a16:creationId xmlns:a16="http://schemas.microsoft.com/office/drawing/2014/main" id="{C8EDE697-E31B-4820-B771-49DB3F9E23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5" name="Elipse 684">
          <a:extLst>
            <a:ext uri="{FF2B5EF4-FFF2-40B4-BE49-F238E27FC236}">
              <a16:creationId xmlns:a16="http://schemas.microsoft.com/office/drawing/2014/main" id="{59E86BD1-4137-4CF5-A7F0-9122B549D0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6" name="Elipse 685">
          <a:extLst>
            <a:ext uri="{FF2B5EF4-FFF2-40B4-BE49-F238E27FC236}">
              <a16:creationId xmlns:a16="http://schemas.microsoft.com/office/drawing/2014/main" id="{5694D0B8-439B-46A0-8E98-EA50220BFE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7" name="Elipse 686">
          <a:extLst>
            <a:ext uri="{FF2B5EF4-FFF2-40B4-BE49-F238E27FC236}">
              <a16:creationId xmlns:a16="http://schemas.microsoft.com/office/drawing/2014/main" id="{AC6A2DC5-98B5-46B9-B0A4-7E60F4C77C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8" name="Elipse 687">
          <a:extLst>
            <a:ext uri="{FF2B5EF4-FFF2-40B4-BE49-F238E27FC236}">
              <a16:creationId xmlns:a16="http://schemas.microsoft.com/office/drawing/2014/main" id="{8A8810D6-83BB-4EAD-A28F-624D7988FD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9" name="Elipse 688">
          <a:extLst>
            <a:ext uri="{FF2B5EF4-FFF2-40B4-BE49-F238E27FC236}">
              <a16:creationId xmlns:a16="http://schemas.microsoft.com/office/drawing/2014/main" id="{026A63B6-ADB9-49C2-9F8D-12BF05F94B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0" name="Elipse 689">
          <a:extLst>
            <a:ext uri="{FF2B5EF4-FFF2-40B4-BE49-F238E27FC236}">
              <a16:creationId xmlns:a16="http://schemas.microsoft.com/office/drawing/2014/main" id="{1F45054D-A089-4D85-9697-FDF4D78BFE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1" name="Elipse 690">
          <a:extLst>
            <a:ext uri="{FF2B5EF4-FFF2-40B4-BE49-F238E27FC236}">
              <a16:creationId xmlns:a16="http://schemas.microsoft.com/office/drawing/2014/main" id="{33953957-A80E-4C11-B21A-F842FDE71C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2" name="Elipse 691">
          <a:extLst>
            <a:ext uri="{FF2B5EF4-FFF2-40B4-BE49-F238E27FC236}">
              <a16:creationId xmlns:a16="http://schemas.microsoft.com/office/drawing/2014/main" id="{577D6347-E5C8-4E2A-BE1C-ED30C87D21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3" name="Elipse 692">
          <a:extLst>
            <a:ext uri="{FF2B5EF4-FFF2-40B4-BE49-F238E27FC236}">
              <a16:creationId xmlns:a16="http://schemas.microsoft.com/office/drawing/2014/main" id="{59A60166-1430-4A38-97A1-DD4EC91293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4" name="Elipse 693">
          <a:extLst>
            <a:ext uri="{FF2B5EF4-FFF2-40B4-BE49-F238E27FC236}">
              <a16:creationId xmlns:a16="http://schemas.microsoft.com/office/drawing/2014/main" id="{B68E8D93-7AD4-4AC5-97BB-7FB21CAB46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5" name="Elipse 694">
          <a:extLst>
            <a:ext uri="{FF2B5EF4-FFF2-40B4-BE49-F238E27FC236}">
              <a16:creationId xmlns:a16="http://schemas.microsoft.com/office/drawing/2014/main" id="{AB02D255-C6D8-4A14-840F-22360DAB28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6" name="Elipse 695">
          <a:extLst>
            <a:ext uri="{FF2B5EF4-FFF2-40B4-BE49-F238E27FC236}">
              <a16:creationId xmlns:a16="http://schemas.microsoft.com/office/drawing/2014/main" id="{D2CF8F93-35CD-4678-A5EE-001AF4DADD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7" name="Elipse 696">
          <a:extLst>
            <a:ext uri="{FF2B5EF4-FFF2-40B4-BE49-F238E27FC236}">
              <a16:creationId xmlns:a16="http://schemas.microsoft.com/office/drawing/2014/main" id="{F4CBC1B7-E9DE-4F29-AE93-24DC70B687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8" name="Elipse 697">
          <a:extLst>
            <a:ext uri="{FF2B5EF4-FFF2-40B4-BE49-F238E27FC236}">
              <a16:creationId xmlns:a16="http://schemas.microsoft.com/office/drawing/2014/main" id="{18756043-5C1C-404F-B0DA-8D78602199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9" name="Elipse 698">
          <a:extLst>
            <a:ext uri="{FF2B5EF4-FFF2-40B4-BE49-F238E27FC236}">
              <a16:creationId xmlns:a16="http://schemas.microsoft.com/office/drawing/2014/main" id="{5B1A3F70-7955-434D-AAD6-316A3E3176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0" name="Elipse 699">
          <a:extLst>
            <a:ext uri="{FF2B5EF4-FFF2-40B4-BE49-F238E27FC236}">
              <a16:creationId xmlns:a16="http://schemas.microsoft.com/office/drawing/2014/main" id="{683A4709-1FBA-47D5-BDA1-F30060B6EC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1" name="Elipse 700">
          <a:extLst>
            <a:ext uri="{FF2B5EF4-FFF2-40B4-BE49-F238E27FC236}">
              <a16:creationId xmlns:a16="http://schemas.microsoft.com/office/drawing/2014/main" id="{8F284731-7830-4C87-8EF5-6BA56FF72D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2" name="Elipse 701">
          <a:extLst>
            <a:ext uri="{FF2B5EF4-FFF2-40B4-BE49-F238E27FC236}">
              <a16:creationId xmlns:a16="http://schemas.microsoft.com/office/drawing/2014/main" id="{DF3AB274-C273-4A1B-8F57-D437CFEFAD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3" name="Elipse 702">
          <a:extLst>
            <a:ext uri="{FF2B5EF4-FFF2-40B4-BE49-F238E27FC236}">
              <a16:creationId xmlns:a16="http://schemas.microsoft.com/office/drawing/2014/main" id="{38AE06AC-E831-4CDA-8C35-3AD96A70F0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4" name="Elipse 703">
          <a:extLst>
            <a:ext uri="{FF2B5EF4-FFF2-40B4-BE49-F238E27FC236}">
              <a16:creationId xmlns:a16="http://schemas.microsoft.com/office/drawing/2014/main" id="{75845D70-4AAE-44C1-AAA3-5D5A324E8B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5" name="Elipse 704">
          <a:extLst>
            <a:ext uri="{FF2B5EF4-FFF2-40B4-BE49-F238E27FC236}">
              <a16:creationId xmlns:a16="http://schemas.microsoft.com/office/drawing/2014/main" id="{DFEBA472-2E70-4A5E-93B3-A90B21D1AB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6" name="Elipse 705">
          <a:extLst>
            <a:ext uri="{FF2B5EF4-FFF2-40B4-BE49-F238E27FC236}">
              <a16:creationId xmlns:a16="http://schemas.microsoft.com/office/drawing/2014/main" id="{A32646A7-C55F-4498-A513-C0D55C30E9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7" name="Elipse 706">
          <a:extLst>
            <a:ext uri="{FF2B5EF4-FFF2-40B4-BE49-F238E27FC236}">
              <a16:creationId xmlns:a16="http://schemas.microsoft.com/office/drawing/2014/main" id="{531E0FCA-80AE-41F5-929C-0468E60AB7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8" name="Elipse 707">
          <a:extLst>
            <a:ext uri="{FF2B5EF4-FFF2-40B4-BE49-F238E27FC236}">
              <a16:creationId xmlns:a16="http://schemas.microsoft.com/office/drawing/2014/main" id="{CC535914-9395-4BBF-B115-5BC62DDAA7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9" name="Elipse 708">
          <a:extLst>
            <a:ext uri="{FF2B5EF4-FFF2-40B4-BE49-F238E27FC236}">
              <a16:creationId xmlns:a16="http://schemas.microsoft.com/office/drawing/2014/main" id="{C8AE2B2F-B1A1-4E8A-A74D-D0D0A4C28D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0" name="Elipse 709">
          <a:extLst>
            <a:ext uri="{FF2B5EF4-FFF2-40B4-BE49-F238E27FC236}">
              <a16:creationId xmlns:a16="http://schemas.microsoft.com/office/drawing/2014/main" id="{8B27AE9C-01D5-4672-872F-87FC9963A5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1" name="Elipse 710">
          <a:extLst>
            <a:ext uri="{FF2B5EF4-FFF2-40B4-BE49-F238E27FC236}">
              <a16:creationId xmlns:a16="http://schemas.microsoft.com/office/drawing/2014/main" id="{E208C429-DFBB-4295-9A53-E2D2D4611E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2" name="Elipse 711">
          <a:extLst>
            <a:ext uri="{FF2B5EF4-FFF2-40B4-BE49-F238E27FC236}">
              <a16:creationId xmlns:a16="http://schemas.microsoft.com/office/drawing/2014/main" id="{B10D8A55-BA0F-4472-BC14-5446AF5F20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3" name="Elipse 712">
          <a:extLst>
            <a:ext uri="{FF2B5EF4-FFF2-40B4-BE49-F238E27FC236}">
              <a16:creationId xmlns:a16="http://schemas.microsoft.com/office/drawing/2014/main" id="{812A845D-8CBF-4E8B-B214-6594CB0CB7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4" name="Elipse 713">
          <a:extLst>
            <a:ext uri="{FF2B5EF4-FFF2-40B4-BE49-F238E27FC236}">
              <a16:creationId xmlns:a16="http://schemas.microsoft.com/office/drawing/2014/main" id="{06BE55BB-AC06-4CE8-8BA6-80DDCB68DD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5" name="Elipse 714">
          <a:extLst>
            <a:ext uri="{FF2B5EF4-FFF2-40B4-BE49-F238E27FC236}">
              <a16:creationId xmlns:a16="http://schemas.microsoft.com/office/drawing/2014/main" id="{9E7F9EC4-AE2F-46E6-87D3-560AB816C3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6" name="Elipse 715">
          <a:extLst>
            <a:ext uri="{FF2B5EF4-FFF2-40B4-BE49-F238E27FC236}">
              <a16:creationId xmlns:a16="http://schemas.microsoft.com/office/drawing/2014/main" id="{2AAB1AAB-DC34-415A-9649-9D66A8E743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7" name="Elipse 716">
          <a:extLst>
            <a:ext uri="{FF2B5EF4-FFF2-40B4-BE49-F238E27FC236}">
              <a16:creationId xmlns:a16="http://schemas.microsoft.com/office/drawing/2014/main" id="{ADBAA062-BD1E-4B49-B5F5-862FEFEEFB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8" name="Elipse 717">
          <a:extLst>
            <a:ext uri="{FF2B5EF4-FFF2-40B4-BE49-F238E27FC236}">
              <a16:creationId xmlns:a16="http://schemas.microsoft.com/office/drawing/2014/main" id="{7B5F0723-8130-4C4C-B94F-9BD51B1C1C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9" name="Elipse 718">
          <a:extLst>
            <a:ext uri="{FF2B5EF4-FFF2-40B4-BE49-F238E27FC236}">
              <a16:creationId xmlns:a16="http://schemas.microsoft.com/office/drawing/2014/main" id="{604F1C50-5541-449B-9104-3B47E1E1AC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0" name="Elipse 719">
          <a:extLst>
            <a:ext uri="{FF2B5EF4-FFF2-40B4-BE49-F238E27FC236}">
              <a16:creationId xmlns:a16="http://schemas.microsoft.com/office/drawing/2014/main" id="{425B62F6-81FA-4DB0-9C86-9505F5111F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1" name="Elipse 720">
          <a:extLst>
            <a:ext uri="{FF2B5EF4-FFF2-40B4-BE49-F238E27FC236}">
              <a16:creationId xmlns:a16="http://schemas.microsoft.com/office/drawing/2014/main" id="{E4974488-AA29-4A94-9424-B5F314C4E0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2" name="Elipse 721">
          <a:extLst>
            <a:ext uri="{FF2B5EF4-FFF2-40B4-BE49-F238E27FC236}">
              <a16:creationId xmlns:a16="http://schemas.microsoft.com/office/drawing/2014/main" id="{0DBAEEB3-0E47-4159-AAC1-3D765A3ADB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3" name="Elipse 722">
          <a:extLst>
            <a:ext uri="{FF2B5EF4-FFF2-40B4-BE49-F238E27FC236}">
              <a16:creationId xmlns:a16="http://schemas.microsoft.com/office/drawing/2014/main" id="{F3AB5CC7-8E96-4182-843E-28B6A8487C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4" name="Elipse 723">
          <a:extLst>
            <a:ext uri="{FF2B5EF4-FFF2-40B4-BE49-F238E27FC236}">
              <a16:creationId xmlns:a16="http://schemas.microsoft.com/office/drawing/2014/main" id="{D4FC3A08-E662-48C8-8302-42F725F04C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5" name="Elipse 724">
          <a:extLst>
            <a:ext uri="{FF2B5EF4-FFF2-40B4-BE49-F238E27FC236}">
              <a16:creationId xmlns:a16="http://schemas.microsoft.com/office/drawing/2014/main" id="{043D42D4-15B3-4177-AE29-D28E93A2F0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6" name="Elipse 725">
          <a:extLst>
            <a:ext uri="{FF2B5EF4-FFF2-40B4-BE49-F238E27FC236}">
              <a16:creationId xmlns:a16="http://schemas.microsoft.com/office/drawing/2014/main" id="{3EAA7D30-22D0-4597-BF29-C517947893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7" name="Elipse 726">
          <a:extLst>
            <a:ext uri="{FF2B5EF4-FFF2-40B4-BE49-F238E27FC236}">
              <a16:creationId xmlns:a16="http://schemas.microsoft.com/office/drawing/2014/main" id="{C314D4F9-5030-4095-9C66-DFA387B07B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8" name="Elipse 727">
          <a:extLst>
            <a:ext uri="{FF2B5EF4-FFF2-40B4-BE49-F238E27FC236}">
              <a16:creationId xmlns:a16="http://schemas.microsoft.com/office/drawing/2014/main" id="{2B790449-4B01-4F9A-9A03-3CEA4587EC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9" name="Elipse 728">
          <a:extLst>
            <a:ext uri="{FF2B5EF4-FFF2-40B4-BE49-F238E27FC236}">
              <a16:creationId xmlns:a16="http://schemas.microsoft.com/office/drawing/2014/main" id="{F7AA1440-5DDD-477C-9C10-77CD5F7255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0" name="Elipse 729">
          <a:extLst>
            <a:ext uri="{FF2B5EF4-FFF2-40B4-BE49-F238E27FC236}">
              <a16:creationId xmlns:a16="http://schemas.microsoft.com/office/drawing/2014/main" id="{5DFA5DB6-618E-433A-A6BF-3B349206B6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1" name="Elipse 730">
          <a:extLst>
            <a:ext uri="{FF2B5EF4-FFF2-40B4-BE49-F238E27FC236}">
              <a16:creationId xmlns:a16="http://schemas.microsoft.com/office/drawing/2014/main" id="{ED045740-8986-42AF-A465-8267E9FE96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2" name="Elipse 731">
          <a:extLst>
            <a:ext uri="{FF2B5EF4-FFF2-40B4-BE49-F238E27FC236}">
              <a16:creationId xmlns:a16="http://schemas.microsoft.com/office/drawing/2014/main" id="{0F74027F-231A-4402-B197-06A90704BD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3" name="Elipse 732">
          <a:extLst>
            <a:ext uri="{FF2B5EF4-FFF2-40B4-BE49-F238E27FC236}">
              <a16:creationId xmlns:a16="http://schemas.microsoft.com/office/drawing/2014/main" id="{C7CE0302-F59C-4AB1-88E6-ADF0B49EB6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4" name="Elipse 733">
          <a:extLst>
            <a:ext uri="{FF2B5EF4-FFF2-40B4-BE49-F238E27FC236}">
              <a16:creationId xmlns:a16="http://schemas.microsoft.com/office/drawing/2014/main" id="{E1A53B9E-E09C-4C45-A158-AC7F4D1548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5" name="Elipse 734">
          <a:extLst>
            <a:ext uri="{FF2B5EF4-FFF2-40B4-BE49-F238E27FC236}">
              <a16:creationId xmlns:a16="http://schemas.microsoft.com/office/drawing/2014/main" id="{B5BA2B10-1D76-4F13-AE99-CD39677423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6" name="Elipse 735">
          <a:extLst>
            <a:ext uri="{FF2B5EF4-FFF2-40B4-BE49-F238E27FC236}">
              <a16:creationId xmlns:a16="http://schemas.microsoft.com/office/drawing/2014/main" id="{8245E17A-3362-45A5-9A73-53C51C7DB1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7" name="Elipse 736">
          <a:extLst>
            <a:ext uri="{FF2B5EF4-FFF2-40B4-BE49-F238E27FC236}">
              <a16:creationId xmlns:a16="http://schemas.microsoft.com/office/drawing/2014/main" id="{63228A58-64A2-47D1-82B9-72474D325F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8" name="Elipse 737">
          <a:extLst>
            <a:ext uri="{FF2B5EF4-FFF2-40B4-BE49-F238E27FC236}">
              <a16:creationId xmlns:a16="http://schemas.microsoft.com/office/drawing/2014/main" id="{94EBBFEA-EFD5-470F-997C-54821B825E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9" name="Elipse 738">
          <a:extLst>
            <a:ext uri="{FF2B5EF4-FFF2-40B4-BE49-F238E27FC236}">
              <a16:creationId xmlns:a16="http://schemas.microsoft.com/office/drawing/2014/main" id="{0677F0CE-6DB2-4989-8E0B-CFF85D00E7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0" name="Elipse 739">
          <a:extLst>
            <a:ext uri="{FF2B5EF4-FFF2-40B4-BE49-F238E27FC236}">
              <a16:creationId xmlns:a16="http://schemas.microsoft.com/office/drawing/2014/main" id="{C1925019-25B3-497D-9BEA-9695E6C196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1" name="Elipse 740">
          <a:extLst>
            <a:ext uri="{FF2B5EF4-FFF2-40B4-BE49-F238E27FC236}">
              <a16:creationId xmlns:a16="http://schemas.microsoft.com/office/drawing/2014/main" id="{7707D6D3-3299-45E0-81C5-9620C6D1CB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2" name="Elipse 741">
          <a:extLst>
            <a:ext uri="{FF2B5EF4-FFF2-40B4-BE49-F238E27FC236}">
              <a16:creationId xmlns:a16="http://schemas.microsoft.com/office/drawing/2014/main" id="{7D3E5A7A-EE84-4C88-807B-F8D8345CAB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3" name="Elipse 742">
          <a:extLst>
            <a:ext uri="{FF2B5EF4-FFF2-40B4-BE49-F238E27FC236}">
              <a16:creationId xmlns:a16="http://schemas.microsoft.com/office/drawing/2014/main" id="{11B06BBC-3D45-48C1-9FC6-37FEA0B8CB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4" name="Elipse 743">
          <a:extLst>
            <a:ext uri="{FF2B5EF4-FFF2-40B4-BE49-F238E27FC236}">
              <a16:creationId xmlns:a16="http://schemas.microsoft.com/office/drawing/2014/main" id="{5F24A240-D3F6-4976-87C8-F030D7A839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5" name="Elipse 744">
          <a:extLst>
            <a:ext uri="{FF2B5EF4-FFF2-40B4-BE49-F238E27FC236}">
              <a16:creationId xmlns:a16="http://schemas.microsoft.com/office/drawing/2014/main" id="{FF9B48B6-30EB-4462-8494-6228B2FBBE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6" name="Elipse 745">
          <a:extLst>
            <a:ext uri="{FF2B5EF4-FFF2-40B4-BE49-F238E27FC236}">
              <a16:creationId xmlns:a16="http://schemas.microsoft.com/office/drawing/2014/main" id="{4F42F192-36AC-4231-9A27-A0BD98123A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7" name="Elipse 746">
          <a:extLst>
            <a:ext uri="{FF2B5EF4-FFF2-40B4-BE49-F238E27FC236}">
              <a16:creationId xmlns:a16="http://schemas.microsoft.com/office/drawing/2014/main" id="{1595E778-0FB7-40BF-99B5-54266BA2BF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8" name="Elipse 747">
          <a:extLst>
            <a:ext uri="{FF2B5EF4-FFF2-40B4-BE49-F238E27FC236}">
              <a16:creationId xmlns:a16="http://schemas.microsoft.com/office/drawing/2014/main" id="{94ACCB46-5570-478D-9FA8-A84832B69F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9" name="Elipse 748">
          <a:extLst>
            <a:ext uri="{FF2B5EF4-FFF2-40B4-BE49-F238E27FC236}">
              <a16:creationId xmlns:a16="http://schemas.microsoft.com/office/drawing/2014/main" id="{D957FA93-BA03-4242-9BE3-B7D0CF1EA5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0" name="Elipse 749">
          <a:extLst>
            <a:ext uri="{FF2B5EF4-FFF2-40B4-BE49-F238E27FC236}">
              <a16:creationId xmlns:a16="http://schemas.microsoft.com/office/drawing/2014/main" id="{B0AB4A1D-9633-4C71-9917-4A2944A7D4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1" name="Elipse 750">
          <a:extLst>
            <a:ext uri="{FF2B5EF4-FFF2-40B4-BE49-F238E27FC236}">
              <a16:creationId xmlns:a16="http://schemas.microsoft.com/office/drawing/2014/main" id="{3A868A31-0F81-40E2-875C-DF51EF38C4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2" name="Elipse 751">
          <a:extLst>
            <a:ext uri="{FF2B5EF4-FFF2-40B4-BE49-F238E27FC236}">
              <a16:creationId xmlns:a16="http://schemas.microsoft.com/office/drawing/2014/main" id="{7441032B-737F-4B6B-8AB3-2B2DB23165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3" name="Elipse 752">
          <a:extLst>
            <a:ext uri="{FF2B5EF4-FFF2-40B4-BE49-F238E27FC236}">
              <a16:creationId xmlns:a16="http://schemas.microsoft.com/office/drawing/2014/main" id="{A5457D4E-5DBE-4FC1-94B2-6E40A0A66D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4" name="Elipse 753">
          <a:extLst>
            <a:ext uri="{FF2B5EF4-FFF2-40B4-BE49-F238E27FC236}">
              <a16:creationId xmlns:a16="http://schemas.microsoft.com/office/drawing/2014/main" id="{AEC53173-124B-48EE-B0F1-2A4E9F64F9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5" name="Elipse 754">
          <a:extLst>
            <a:ext uri="{FF2B5EF4-FFF2-40B4-BE49-F238E27FC236}">
              <a16:creationId xmlns:a16="http://schemas.microsoft.com/office/drawing/2014/main" id="{FD102E16-F4C3-4C29-9535-E1B50C5DD3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6" name="Elipse 755">
          <a:extLst>
            <a:ext uri="{FF2B5EF4-FFF2-40B4-BE49-F238E27FC236}">
              <a16:creationId xmlns:a16="http://schemas.microsoft.com/office/drawing/2014/main" id="{7A766CF1-74BE-434E-9A5B-0DA0D418F2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7" name="Elipse 756">
          <a:extLst>
            <a:ext uri="{FF2B5EF4-FFF2-40B4-BE49-F238E27FC236}">
              <a16:creationId xmlns:a16="http://schemas.microsoft.com/office/drawing/2014/main" id="{1848DF58-F569-4321-942A-F22ACE449E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8" name="Elipse 757">
          <a:extLst>
            <a:ext uri="{FF2B5EF4-FFF2-40B4-BE49-F238E27FC236}">
              <a16:creationId xmlns:a16="http://schemas.microsoft.com/office/drawing/2014/main" id="{1BA71782-12C9-496B-816A-3FB7B33446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9" name="Elipse 758">
          <a:extLst>
            <a:ext uri="{FF2B5EF4-FFF2-40B4-BE49-F238E27FC236}">
              <a16:creationId xmlns:a16="http://schemas.microsoft.com/office/drawing/2014/main" id="{5A29681E-3E2D-47F3-AC03-8C9100CC30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0" name="Elipse 759">
          <a:extLst>
            <a:ext uri="{FF2B5EF4-FFF2-40B4-BE49-F238E27FC236}">
              <a16:creationId xmlns:a16="http://schemas.microsoft.com/office/drawing/2014/main" id="{F8ED3DCC-A503-44E6-AE08-5C40F990F3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1" name="Elipse 760">
          <a:extLst>
            <a:ext uri="{FF2B5EF4-FFF2-40B4-BE49-F238E27FC236}">
              <a16:creationId xmlns:a16="http://schemas.microsoft.com/office/drawing/2014/main" id="{25492FE8-9FBA-407A-A5C3-62DE513687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2" name="Elipse 761">
          <a:extLst>
            <a:ext uri="{FF2B5EF4-FFF2-40B4-BE49-F238E27FC236}">
              <a16:creationId xmlns:a16="http://schemas.microsoft.com/office/drawing/2014/main" id="{3F235445-0E24-4262-B6C7-8D61BEA6D5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3" name="Elipse 762">
          <a:extLst>
            <a:ext uri="{FF2B5EF4-FFF2-40B4-BE49-F238E27FC236}">
              <a16:creationId xmlns:a16="http://schemas.microsoft.com/office/drawing/2014/main" id="{227CF563-34BB-4D5C-9D22-F07D8781D9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4" name="Elipse 763">
          <a:extLst>
            <a:ext uri="{FF2B5EF4-FFF2-40B4-BE49-F238E27FC236}">
              <a16:creationId xmlns:a16="http://schemas.microsoft.com/office/drawing/2014/main" id="{E4122C77-F1ED-43AA-BA5B-CDF6C958CF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5" name="Elipse 764">
          <a:extLst>
            <a:ext uri="{FF2B5EF4-FFF2-40B4-BE49-F238E27FC236}">
              <a16:creationId xmlns:a16="http://schemas.microsoft.com/office/drawing/2014/main" id="{7DA6CF3B-8E7C-4A18-9195-7CA9207172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6" name="Elipse 765">
          <a:extLst>
            <a:ext uri="{FF2B5EF4-FFF2-40B4-BE49-F238E27FC236}">
              <a16:creationId xmlns:a16="http://schemas.microsoft.com/office/drawing/2014/main" id="{88C2E9A1-E025-48BB-AAF9-BB2EADCCC2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7" name="Elipse 766">
          <a:extLst>
            <a:ext uri="{FF2B5EF4-FFF2-40B4-BE49-F238E27FC236}">
              <a16:creationId xmlns:a16="http://schemas.microsoft.com/office/drawing/2014/main" id="{DFD9FBEB-289B-48F2-9981-92B1506FA2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8" name="Elipse 767">
          <a:extLst>
            <a:ext uri="{FF2B5EF4-FFF2-40B4-BE49-F238E27FC236}">
              <a16:creationId xmlns:a16="http://schemas.microsoft.com/office/drawing/2014/main" id="{10337E6D-16AF-4BB9-8F0E-E8A736ECF6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9" name="Elipse 768">
          <a:extLst>
            <a:ext uri="{FF2B5EF4-FFF2-40B4-BE49-F238E27FC236}">
              <a16:creationId xmlns:a16="http://schemas.microsoft.com/office/drawing/2014/main" id="{0A3B30A0-5A37-4F03-88AC-A7CD5C644E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0" name="Elipse 769">
          <a:extLst>
            <a:ext uri="{FF2B5EF4-FFF2-40B4-BE49-F238E27FC236}">
              <a16:creationId xmlns:a16="http://schemas.microsoft.com/office/drawing/2014/main" id="{53AC298A-5E71-4798-AE16-B03158D924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1" name="Elipse 770">
          <a:extLst>
            <a:ext uri="{FF2B5EF4-FFF2-40B4-BE49-F238E27FC236}">
              <a16:creationId xmlns:a16="http://schemas.microsoft.com/office/drawing/2014/main" id="{D7B5E2DD-FAC0-41A5-8622-89AD9E086E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2" name="Elipse 771">
          <a:extLst>
            <a:ext uri="{FF2B5EF4-FFF2-40B4-BE49-F238E27FC236}">
              <a16:creationId xmlns:a16="http://schemas.microsoft.com/office/drawing/2014/main" id="{A61DA5D5-632E-4368-A8C7-3A31A5B5AB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3" name="Elipse 772">
          <a:extLst>
            <a:ext uri="{FF2B5EF4-FFF2-40B4-BE49-F238E27FC236}">
              <a16:creationId xmlns:a16="http://schemas.microsoft.com/office/drawing/2014/main" id="{A066D440-51E9-471D-A572-0213FB7234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4" name="Elipse 773">
          <a:extLst>
            <a:ext uri="{FF2B5EF4-FFF2-40B4-BE49-F238E27FC236}">
              <a16:creationId xmlns:a16="http://schemas.microsoft.com/office/drawing/2014/main" id="{752E8749-B42C-4B18-9438-88A6BA5BB9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5" name="Elipse 774">
          <a:extLst>
            <a:ext uri="{FF2B5EF4-FFF2-40B4-BE49-F238E27FC236}">
              <a16:creationId xmlns:a16="http://schemas.microsoft.com/office/drawing/2014/main" id="{D8272CDC-73AE-4008-9B0B-F0630C503D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6" name="Elipse 775">
          <a:extLst>
            <a:ext uri="{FF2B5EF4-FFF2-40B4-BE49-F238E27FC236}">
              <a16:creationId xmlns:a16="http://schemas.microsoft.com/office/drawing/2014/main" id="{428B2FBE-2774-4D40-8862-02B2B7EBAD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7" name="Elipse 776">
          <a:extLst>
            <a:ext uri="{FF2B5EF4-FFF2-40B4-BE49-F238E27FC236}">
              <a16:creationId xmlns:a16="http://schemas.microsoft.com/office/drawing/2014/main" id="{5038C78D-4640-438A-9699-A5F33BB490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8" name="Elipse 777">
          <a:extLst>
            <a:ext uri="{FF2B5EF4-FFF2-40B4-BE49-F238E27FC236}">
              <a16:creationId xmlns:a16="http://schemas.microsoft.com/office/drawing/2014/main" id="{77CF5D05-3F49-44ED-8FF5-BE7F57F5E9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9" name="Elipse 778">
          <a:extLst>
            <a:ext uri="{FF2B5EF4-FFF2-40B4-BE49-F238E27FC236}">
              <a16:creationId xmlns:a16="http://schemas.microsoft.com/office/drawing/2014/main" id="{DC362542-45F7-4DC1-9F89-6E2C78391C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0" name="Elipse 779">
          <a:extLst>
            <a:ext uri="{FF2B5EF4-FFF2-40B4-BE49-F238E27FC236}">
              <a16:creationId xmlns:a16="http://schemas.microsoft.com/office/drawing/2014/main" id="{43EBDEA2-1C55-4069-A2FD-1E30C7CAC5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1" name="Elipse 780">
          <a:extLst>
            <a:ext uri="{FF2B5EF4-FFF2-40B4-BE49-F238E27FC236}">
              <a16:creationId xmlns:a16="http://schemas.microsoft.com/office/drawing/2014/main" id="{5757E569-C294-4B31-B44F-D735A93C56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2" name="Elipse 781">
          <a:extLst>
            <a:ext uri="{FF2B5EF4-FFF2-40B4-BE49-F238E27FC236}">
              <a16:creationId xmlns:a16="http://schemas.microsoft.com/office/drawing/2014/main" id="{D8716680-8D6E-4AEC-9DE6-DDE2BC29C3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3" name="Elipse 782">
          <a:extLst>
            <a:ext uri="{FF2B5EF4-FFF2-40B4-BE49-F238E27FC236}">
              <a16:creationId xmlns:a16="http://schemas.microsoft.com/office/drawing/2014/main" id="{F2A63732-EFBB-4236-A8FB-7A829A8757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4" name="Elipse 783">
          <a:extLst>
            <a:ext uri="{FF2B5EF4-FFF2-40B4-BE49-F238E27FC236}">
              <a16:creationId xmlns:a16="http://schemas.microsoft.com/office/drawing/2014/main" id="{9CDFE1C3-6D21-448B-AB73-5F96277F7F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5" name="Elipse 784">
          <a:extLst>
            <a:ext uri="{FF2B5EF4-FFF2-40B4-BE49-F238E27FC236}">
              <a16:creationId xmlns:a16="http://schemas.microsoft.com/office/drawing/2014/main" id="{D6941305-4119-4612-B2F2-B9A4FE320F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6" name="Elipse 785">
          <a:extLst>
            <a:ext uri="{FF2B5EF4-FFF2-40B4-BE49-F238E27FC236}">
              <a16:creationId xmlns:a16="http://schemas.microsoft.com/office/drawing/2014/main" id="{3D8E170C-B2F5-4FEA-A6EE-8E42C03932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7" name="Elipse 786">
          <a:extLst>
            <a:ext uri="{FF2B5EF4-FFF2-40B4-BE49-F238E27FC236}">
              <a16:creationId xmlns:a16="http://schemas.microsoft.com/office/drawing/2014/main" id="{0ABF040D-F9F1-489B-8193-81F85C20AE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8" name="Elipse 787">
          <a:extLst>
            <a:ext uri="{FF2B5EF4-FFF2-40B4-BE49-F238E27FC236}">
              <a16:creationId xmlns:a16="http://schemas.microsoft.com/office/drawing/2014/main" id="{C394BEDF-D892-4511-8232-8630465AA1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9" name="Elipse 788">
          <a:extLst>
            <a:ext uri="{FF2B5EF4-FFF2-40B4-BE49-F238E27FC236}">
              <a16:creationId xmlns:a16="http://schemas.microsoft.com/office/drawing/2014/main" id="{35F6606D-2847-4158-BF1D-A97F903EBE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0" name="Elipse 789">
          <a:extLst>
            <a:ext uri="{FF2B5EF4-FFF2-40B4-BE49-F238E27FC236}">
              <a16:creationId xmlns:a16="http://schemas.microsoft.com/office/drawing/2014/main" id="{416A0702-C79C-41C7-B466-ABDAA1569C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1" name="Elipse 790">
          <a:extLst>
            <a:ext uri="{FF2B5EF4-FFF2-40B4-BE49-F238E27FC236}">
              <a16:creationId xmlns:a16="http://schemas.microsoft.com/office/drawing/2014/main" id="{5009F127-46A2-450C-A9D2-CAB2D05DEE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2" name="Elipse 791">
          <a:extLst>
            <a:ext uri="{FF2B5EF4-FFF2-40B4-BE49-F238E27FC236}">
              <a16:creationId xmlns:a16="http://schemas.microsoft.com/office/drawing/2014/main" id="{E0999BF8-7374-4191-B81F-86EF102B89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3" name="Elipse 792">
          <a:extLst>
            <a:ext uri="{FF2B5EF4-FFF2-40B4-BE49-F238E27FC236}">
              <a16:creationId xmlns:a16="http://schemas.microsoft.com/office/drawing/2014/main" id="{E081CA8E-3283-4E4E-B812-360A6737BC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4" name="Elipse 793">
          <a:extLst>
            <a:ext uri="{FF2B5EF4-FFF2-40B4-BE49-F238E27FC236}">
              <a16:creationId xmlns:a16="http://schemas.microsoft.com/office/drawing/2014/main" id="{7E375560-2901-4D3B-B5D1-00497CC049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5" name="Elipse 794">
          <a:extLst>
            <a:ext uri="{FF2B5EF4-FFF2-40B4-BE49-F238E27FC236}">
              <a16:creationId xmlns:a16="http://schemas.microsoft.com/office/drawing/2014/main" id="{A851ECBA-845D-4654-BB1F-6B286F28AB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6" name="Elipse 795">
          <a:extLst>
            <a:ext uri="{FF2B5EF4-FFF2-40B4-BE49-F238E27FC236}">
              <a16:creationId xmlns:a16="http://schemas.microsoft.com/office/drawing/2014/main" id="{4A913414-8129-4328-AB76-5F638F7712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7" name="Elipse 796">
          <a:extLst>
            <a:ext uri="{FF2B5EF4-FFF2-40B4-BE49-F238E27FC236}">
              <a16:creationId xmlns:a16="http://schemas.microsoft.com/office/drawing/2014/main" id="{D7EF6BDA-9EFE-48EE-8BCF-29EBD49BE5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8" name="Elipse 797">
          <a:extLst>
            <a:ext uri="{FF2B5EF4-FFF2-40B4-BE49-F238E27FC236}">
              <a16:creationId xmlns:a16="http://schemas.microsoft.com/office/drawing/2014/main" id="{1E03083B-2AF5-4E25-AA37-D01BD1EBBD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9" name="Elipse 798">
          <a:extLst>
            <a:ext uri="{FF2B5EF4-FFF2-40B4-BE49-F238E27FC236}">
              <a16:creationId xmlns:a16="http://schemas.microsoft.com/office/drawing/2014/main" id="{90EDAF06-E809-4313-82B7-6C943917D2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0" name="Elipse 799">
          <a:extLst>
            <a:ext uri="{FF2B5EF4-FFF2-40B4-BE49-F238E27FC236}">
              <a16:creationId xmlns:a16="http://schemas.microsoft.com/office/drawing/2014/main" id="{D2FE11C8-A45A-48A3-BC0D-463C9DD007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1" name="Elipse 800">
          <a:extLst>
            <a:ext uri="{FF2B5EF4-FFF2-40B4-BE49-F238E27FC236}">
              <a16:creationId xmlns:a16="http://schemas.microsoft.com/office/drawing/2014/main" id="{C110B171-CCA0-4DC1-9789-10F1DE4A9C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2" name="Elipse 801">
          <a:extLst>
            <a:ext uri="{FF2B5EF4-FFF2-40B4-BE49-F238E27FC236}">
              <a16:creationId xmlns:a16="http://schemas.microsoft.com/office/drawing/2014/main" id="{DC790F00-A9DF-4B48-8285-1AF49EBD53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3" name="Elipse 802">
          <a:extLst>
            <a:ext uri="{FF2B5EF4-FFF2-40B4-BE49-F238E27FC236}">
              <a16:creationId xmlns:a16="http://schemas.microsoft.com/office/drawing/2014/main" id="{8B07A60A-3DA6-4275-9608-07717938A9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4" name="Elipse 803">
          <a:extLst>
            <a:ext uri="{FF2B5EF4-FFF2-40B4-BE49-F238E27FC236}">
              <a16:creationId xmlns:a16="http://schemas.microsoft.com/office/drawing/2014/main" id="{71B8BF05-554F-465E-AB19-943C8718EB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5" name="Elipse 804">
          <a:extLst>
            <a:ext uri="{FF2B5EF4-FFF2-40B4-BE49-F238E27FC236}">
              <a16:creationId xmlns:a16="http://schemas.microsoft.com/office/drawing/2014/main" id="{F5240305-7F2A-4D50-A873-396C3D3085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6" name="Elipse 805">
          <a:extLst>
            <a:ext uri="{FF2B5EF4-FFF2-40B4-BE49-F238E27FC236}">
              <a16:creationId xmlns:a16="http://schemas.microsoft.com/office/drawing/2014/main" id="{56EBDCCB-3A50-4FEB-B664-72CCF4A8D7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7" name="Elipse 806">
          <a:extLst>
            <a:ext uri="{FF2B5EF4-FFF2-40B4-BE49-F238E27FC236}">
              <a16:creationId xmlns:a16="http://schemas.microsoft.com/office/drawing/2014/main" id="{72F283E9-6372-4479-AD90-E3907CE3C8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8" name="Elipse 807">
          <a:extLst>
            <a:ext uri="{FF2B5EF4-FFF2-40B4-BE49-F238E27FC236}">
              <a16:creationId xmlns:a16="http://schemas.microsoft.com/office/drawing/2014/main" id="{2D6CAEE1-C0BC-47B9-BE48-2EFB63448E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9" name="Elipse 808">
          <a:extLst>
            <a:ext uri="{FF2B5EF4-FFF2-40B4-BE49-F238E27FC236}">
              <a16:creationId xmlns:a16="http://schemas.microsoft.com/office/drawing/2014/main" id="{46C8B954-EF7F-493A-897B-487A94F4F9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0" name="Elipse 809">
          <a:extLst>
            <a:ext uri="{FF2B5EF4-FFF2-40B4-BE49-F238E27FC236}">
              <a16:creationId xmlns:a16="http://schemas.microsoft.com/office/drawing/2014/main" id="{155E43C1-7172-4B26-AB9F-DA66705279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1" name="Elipse 810">
          <a:extLst>
            <a:ext uri="{FF2B5EF4-FFF2-40B4-BE49-F238E27FC236}">
              <a16:creationId xmlns:a16="http://schemas.microsoft.com/office/drawing/2014/main" id="{6E6C85EF-0024-41A0-894A-5ABC7952E2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2" name="Elipse 811">
          <a:extLst>
            <a:ext uri="{FF2B5EF4-FFF2-40B4-BE49-F238E27FC236}">
              <a16:creationId xmlns:a16="http://schemas.microsoft.com/office/drawing/2014/main" id="{9E66159F-095F-4E1C-9F4C-29BA1F1489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3" name="Elipse 812">
          <a:extLst>
            <a:ext uri="{FF2B5EF4-FFF2-40B4-BE49-F238E27FC236}">
              <a16:creationId xmlns:a16="http://schemas.microsoft.com/office/drawing/2014/main" id="{5895A806-2712-419A-9735-68F25425A8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4" name="Elipse 813">
          <a:extLst>
            <a:ext uri="{FF2B5EF4-FFF2-40B4-BE49-F238E27FC236}">
              <a16:creationId xmlns:a16="http://schemas.microsoft.com/office/drawing/2014/main" id="{809B3DFF-0AA8-457F-A688-29C5C160D7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5" name="Elipse 814">
          <a:extLst>
            <a:ext uri="{FF2B5EF4-FFF2-40B4-BE49-F238E27FC236}">
              <a16:creationId xmlns:a16="http://schemas.microsoft.com/office/drawing/2014/main" id="{05461C6F-CEB5-4E9E-A9F9-08E1337B27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6" name="Elipse 815">
          <a:extLst>
            <a:ext uri="{FF2B5EF4-FFF2-40B4-BE49-F238E27FC236}">
              <a16:creationId xmlns:a16="http://schemas.microsoft.com/office/drawing/2014/main" id="{2490144D-EC29-4E0A-A1C3-059DB0D630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7" name="Elipse 816">
          <a:extLst>
            <a:ext uri="{FF2B5EF4-FFF2-40B4-BE49-F238E27FC236}">
              <a16:creationId xmlns:a16="http://schemas.microsoft.com/office/drawing/2014/main" id="{F16E51CB-DB61-4518-AA07-609FB837C9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8" name="Elipse 817">
          <a:extLst>
            <a:ext uri="{FF2B5EF4-FFF2-40B4-BE49-F238E27FC236}">
              <a16:creationId xmlns:a16="http://schemas.microsoft.com/office/drawing/2014/main" id="{60CC85AA-5EF7-4238-9430-1AD557D288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9" name="Elipse 818">
          <a:extLst>
            <a:ext uri="{FF2B5EF4-FFF2-40B4-BE49-F238E27FC236}">
              <a16:creationId xmlns:a16="http://schemas.microsoft.com/office/drawing/2014/main" id="{335C9928-F2EF-40F9-B152-20E00DA6D0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0" name="Elipse 819">
          <a:extLst>
            <a:ext uri="{FF2B5EF4-FFF2-40B4-BE49-F238E27FC236}">
              <a16:creationId xmlns:a16="http://schemas.microsoft.com/office/drawing/2014/main" id="{6B2CA666-BEC2-4DC1-9CE5-4D2F6DCC51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1" name="Elipse 820">
          <a:extLst>
            <a:ext uri="{FF2B5EF4-FFF2-40B4-BE49-F238E27FC236}">
              <a16:creationId xmlns:a16="http://schemas.microsoft.com/office/drawing/2014/main" id="{CD72C0B1-52C8-4C44-A45F-76EC472489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2" name="Elipse 821">
          <a:extLst>
            <a:ext uri="{FF2B5EF4-FFF2-40B4-BE49-F238E27FC236}">
              <a16:creationId xmlns:a16="http://schemas.microsoft.com/office/drawing/2014/main" id="{1871638D-F933-4876-B044-F0CDB6E5CE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3" name="Elipse 822">
          <a:extLst>
            <a:ext uri="{FF2B5EF4-FFF2-40B4-BE49-F238E27FC236}">
              <a16:creationId xmlns:a16="http://schemas.microsoft.com/office/drawing/2014/main" id="{59C536C4-D8CE-4130-B9D5-6ED11765B2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4" name="Elipse 823">
          <a:extLst>
            <a:ext uri="{FF2B5EF4-FFF2-40B4-BE49-F238E27FC236}">
              <a16:creationId xmlns:a16="http://schemas.microsoft.com/office/drawing/2014/main" id="{46CF0907-D891-4DD9-95F7-91781F6BE9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5" name="Elipse 824">
          <a:extLst>
            <a:ext uri="{FF2B5EF4-FFF2-40B4-BE49-F238E27FC236}">
              <a16:creationId xmlns:a16="http://schemas.microsoft.com/office/drawing/2014/main" id="{33951074-533F-44CA-90C7-66F9037025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6" name="Elipse 825">
          <a:extLst>
            <a:ext uri="{FF2B5EF4-FFF2-40B4-BE49-F238E27FC236}">
              <a16:creationId xmlns:a16="http://schemas.microsoft.com/office/drawing/2014/main" id="{C2362C7D-FE59-4BA4-B67B-1B68EBE5FA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7" name="Elipse 826">
          <a:extLst>
            <a:ext uri="{FF2B5EF4-FFF2-40B4-BE49-F238E27FC236}">
              <a16:creationId xmlns:a16="http://schemas.microsoft.com/office/drawing/2014/main" id="{114C8D09-25EC-4548-A7CA-09EF5DFB92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8" name="Elipse 827">
          <a:extLst>
            <a:ext uri="{FF2B5EF4-FFF2-40B4-BE49-F238E27FC236}">
              <a16:creationId xmlns:a16="http://schemas.microsoft.com/office/drawing/2014/main" id="{74B08270-44E0-4C69-9056-A80859ED52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9" name="Elipse 828">
          <a:extLst>
            <a:ext uri="{FF2B5EF4-FFF2-40B4-BE49-F238E27FC236}">
              <a16:creationId xmlns:a16="http://schemas.microsoft.com/office/drawing/2014/main" id="{C37F8123-BC65-4F35-8FB2-157F81D0A0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0" name="Elipse 829">
          <a:extLst>
            <a:ext uri="{FF2B5EF4-FFF2-40B4-BE49-F238E27FC236}">
              <a16:creationId xmlns:a16="http://schemas.microsoft.com/office/drawing/2014/main" id="{86D94E1F-B8DD-4E32-89A2-EBA1733378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1" name="Elipse 830">
          <a:extLst>
            <a:ext uri="{FF2B5EF4-FFF2-40B4-BE49-F238E27FC236}">
              <a16:creationId xmlns:a16="http://schemas.microsoft.com/office/drawing/2014/main" id="{4034A524-F7B6-4FA9-8FEB-CCBDE5F9CD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2" name="Elipse 831">
          <a:extLst>
            <a:ext uri="{FF2B5EF4-FFF2-40B4-BE49-F238E27FC236}">
              <a16:creationId xmlns:a16="http://schemas.microsoft.com/office/drawing/2014/main" id="{10D379FC-5D12-41D1-8EDB-E5465DA4AC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3" name="Elipse 832">
          <a:extLst>
            <a:ext uri="{FF2B5EF4-FFF2-40B4-BE49-F238E27FC236}">
              <a16:creationId xmlns:a16="http://schemas.microsoft.com/office/drawing/2014/main" id="{98961736-BBE4-493A-9688-00FB247104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4" name="Elipse 833">
          <a:extLst>
            <a:ext uri="{FF2B5EF4-FFF2-40B4-BE49-F238E27FC236}">
              <a16:creationId xmlns:a16="http://schemas.microsoft.com/office/drawing/2014/main" id="{0714827C-9D42-41B7-A3F9-8533C83493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5" name="Elipse 834">
          <a:extLst>
            <a:ext uri="{FF2B5EF4-FFF2-40B4-BE49-F238E27FC236}">
              <a16:creationId xmlns:a16="http://schemas.microsoft.com/office/drawing/2014/main" id="{527416D6-7E60-4D3F-AD3B-59E39E503B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6" name="Elipse 835">
          <a:extLst>
            <a:ext uri="{FF2B5EF4-FFF2-40B4-BE49-F238E27FC236}">
              <a16:creationId xmlns:a16="http://schemas.microsoft.com/office/drawing/2014/main" id="{B10C2EBE-2265-41C2-81D8-BCAB79751F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7" name="Elipse 836">
          <a:extLst>
            <a:ext uri="{FF2B5EF4-FFF2-40B4-BE49-F238E27FC236}">
              <a16:creationId xmlns:a16="http://schemas.microsoft.com/office/drawing/2014/main" id="{086A8309-DE35-47F8-ABA3-918203E06B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8" name="Elipse 837">
          <a:extLst>
            <a:ext uri="{FF2B5EF4-FFF2-40B4-BE49-F238E27FC236}">
              <a16:creationId xmlns:a16="http://schemas.microsoft.com/office/drawing/2014/main" id="{7665BCB5-6AA8-43F8-85C8-BDE4598A85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9" name="Elipse 838">
          <a:extLst>
            <a:ext uri="{FF2B5EF4-FFF2-40B4-BE49-F238E27FC236}">
              <a16:creationId xmlns:a16="http://schemas.microsoft.com/office/drawing/2014/main" id="{559927BA-A7B9-4B57-A9F7-199054769F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0" name="Elipse 839">
          <a:extLst>
            <a:ext uri="{FF2B5EF4-FFF2-40B4-BE49-F238E27FC236}">
              <a16:creationId xmlns:a16="http://schemas.microsoft.com/office/drawing/2014/main" id="{7814744B-5AD0-410A-B7F1-01F7DBF341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1" name="Elipse 840">
          <a:extLst>
            <a:ext uri="{FF2B5EF4-FFF2-40B4-BE49-F238E27FC236}">
              <a16:creationId xmlns:a16="http://schemas.microsoft.com/office/drawing/2014/main" id="{7F7F8224-BE4F-4994-93FB-A51FFB47C9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2" name="Elipse 841">
          <a:extLst>
            <a:ext uri="{FF2B5EF4-FFF2-40B4-BE49-F238E27FC236}">
              <a16:creationId xmlns:a16="http://schemas.microsoft.com/office/drawing/2014/main" id="{719FD7A8-33C6-4725-AE4E-2A9B791300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3" name="Elipse 842">
          <a:extLst>
            <a:ext uri="{FF2B5EF4-FFF2-40B4-BE49-F238E27FC236}">
              <a16:creationId xmlns:a16="http://schemas.microsoft.com/office/drawing/2014/main" id="{16E1D135-9FA8-4DED-B120-48EE235FBE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4" name="Elipse 843">
          <a:extLst>
            <a:ext uri="{FF2B5EF4-FFF2-40B4-BE49-F238E27FC236}">
              <a16:creationId xmlns:a16="http://schemas.microsoft.com/office/drawing/2014/main" id="{4F5EC466-FCE4-4F19-919E-E2F736E121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5" name="Elipse 844">
          <a:extLst>
            <a:ext uri="{FF2B5EF4-FFF2-40B4-BE49-F238E27FC236}">
              <a16:creationId xmlns:a16="http://schemas.microsoft.com/office/drawing/2014/main" id="{1AB787FB-2E69-4839-971C-FBAF8F06A3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6" name="Elipse 845">
          <a:extLst>
            <a:ext uri="{FF2B5EF4-FFF2-40B4-BE49-F238E27FC236}">
              <a16:creationId xmlns:a16="http://schemas.microsoft.com/office/drawing/2014/main" id="{C93A49BA-3E7D-49D1-9D25-98C5C36F9F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7" name="Elipse 846">
          <a:extLst>
            <a:ext uri="{FF2B5EF4-FFF2-40B4-BE49-F238E27FC236}">
              <a16:creationId xmlns:a16="http://schemas.microsoft.com/office/drawing/2014/main" id="{193273A9-D1AD-4F2E-B5EF-95B549C443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8" name="Elipse 847">
          <a:extLst>
            <a:ext uri="{FF2B5EF4-FFF2-40B4-BE49-F238E27FC236}">
              <a16:creationId xmlns:a16="http://schemas.microsoft.com/office/drawing/2014/main" id="{FC144DC2-E6B2-4767-8205-261A5C534A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9" name="Elipse 848">
          <a:extLst>
            <a:ext uri="{FF2B5EF4-FFF2-40B4-BE49-F238E27FC236}">
              <a16:creationId xmlns:a16="http://schemas.microsoft.com/office/drawing/2014/main" id="{FD600883-90ED-4BEE-8907-09EB03E233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0" name="Elipse 849">
          <a:extLst>
            <a:ext uri="{FF2B5EF4-FFF2-40B4-BE49-F238E27FC236}">
              <a16:creationId xmlns:a16="http://schemas.microsoft.com/office/drawing/2014/main" id="{D85828FF-3F28-43F2-901C-4F20518A5C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1" name="Elipse 850">
          <a:extLst>
            <a:ext uri="{FF2B5EF4-FFF2-40B4-BE49-F238E27FC236}">
              <a16:creationId xmlns:a16="http://schemas.microsoft.com/office/drawing/2014/main" id="{DA42E048-A53B-4D04-BDDB-2F69817567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2" name="Elipse 851">
          <a:extLst>
            <a:ext uri="{FF2B5EF4-FFF2-40B4-BE49-F238E27FC236}">
              <a16:creationId xmlns:a16="http://schemas.microsoft.com/office/drawing/2014/main" id="{825577DB-B6C7-49F3-A76C-04F9F4E887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3" name="Elipse 852">
          <a:extLst>
            <a:ext uri="{FF2B5EF4-FFF2-40B4-BE49-F238E27FC236}">
              <a16:creationId xmlns:a16="http://schemas.microsoft.com/office/drawing/2014/main" id="{77C3C60A-E70C-4862-80F9-607BC7BC08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4" name="Elipse 853">
          <a:extLst>
            <a:ext uri="{FF2B5EF4-FFF2-40B4-BE49-F238E27FC236}">
              <a16:creationId xmlns:a16="http://schemas.microsoft.com/office/drawing/2014/main" id="{784C247B-6C28-44C8-B620-38DE049721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5" name="Elipse 854">
          <a:extLst>
            <a:ext uri="{FF2B5EF4-FFF2-40B4-BE49-F238E27FC236}">
              <a16:creationId xmlns:a16="http://schemas.microsoft.com/office/drawing/2014/main" id="{C6C3E22A-F77C-4BFF-8FC5-B0F033A3BB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6" name="Elipse 855">
          <a:extLst>
            <a:ext uri="{FF2B5EF4-FFF2-40B4-BE49-F238E27FC236}">
              <a16:creationId xmlns:a16="http://schemas.microsoft.com/office/drawing/2014/main" id="{940DCBAE-5B8D-47FB-8B05-EFB413CC8A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7" name="Elipse 856">
          <a:extLst>
            <a:ext uri="{FF2B5EF4-FFF2-40B4-BE49-F238E27FC236}">
              <a16:creationId xmlns:a16="http://schemas.microsoft.com/office/drawing/2014/main" id="{33B02B0C-02CE-4D88-8229-82D8DFA52D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8" name="Elipse 857">
          <a:extLst>
            <a:ext uri="{FF2B5EF4-FFF2-40B4-BE49-F238E27FC236}">
              <a16:creationId xmlns:a16="http://schemas.microsoft.com/office/drawing/2014/main" id="{6576C2D4-B780-489E-8F15-9438788E6F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9" name="Elipse 858">
          <a:extLst>
            <a:ext uri="{FF2B5EF4-FFF2-40B4-BE49-F238E27FC236}">
              <a16:creationId xmlns:a16="http://schemas.microsoft.com/office/drawing/2014/main" id="{F51EC115-296D-41CB-B02D-2BA99FB855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0" name="Elipse 859">
          <a:extLst>
            <a:ext uri="{FF2B5EF4-FFF2-40B4-BE49-F238E27FC236}">
              <a16:creationId xmlns:a16="http://schemas.microsoft.com/office/drawing/2014/main" id="{0410315B-C7BE-43E4-8E86-4D3DACABE1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1" name="Elipse 860">
          <a:extLst>
            <a:ext uri="{FF2B5EF4-FFF2-40B4-BE49-F238E27FC236}">
              <a16:creationId xmlns:a16="http://schemas.microsoft.com/office/drawing/2014/main" id="{22EC77BB-2145-4CC5-A747-43021E0716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2" name="Elipse 861">
          <a:extLst>
            <a:ext uri="{FF2B5EF4-FFF2-40B4-BE49-F238E27FC236}">
              <a16:creationId xmlns:a16="http://schemas.microsoft.com/office/drawing/2014/main" id="{B57C3870-80EA-4971-BE8F-5490B82D44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3" name="Elipse 862">
          <a:extLst>
            <a:ext uri="{FF2B5EF4-FFF2-40B4-BE49-F238E27FC236}">
              <a16:creationId xmlns:a16="http://schemas.microsoft.com/office/drawing/2014/main" id="{B8BCF282-B181-4CAD-8822-2D817CAE8F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4" name="Elipse 863">
          <a:extLst>
            <a:ext uri="{FF2B5EF4-FFF2-40B4-BE49-F238E27FC236}">
              <a16:creationId xmlns:a16="http://schemas.microsoft.com/office/drawing/2014/main" id="{9E52F34E-A644-4673-8457-0833456CFF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5" name="Elipse 864">
          <a:extLst>
            <a:ext uri="{FF2B5EF4-FFF2-40B4-BE49-F238E27FC236}">
              <a16:creationId xmlns:a16="http://schemas.microsoft.com/office/drawing/2014/main" id="{A2B228BE-431B-4773-860B-AA9E07882B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6" name="Elipse 865">
          <a:extLst>
            <a:ext uri="{FF2B5EF4-FFF2-40B4-BE49-F238E27FC236}">
              <a16:creationId xmlns:a16="http://schemas.microsoft.com/office/drawing/2014/main" id="{8D93C4F7-B643-40BB-A4D3-20CBDF604F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7" name="Elipse 866">
          <a:extLst>
            <a:ext uri="{FF2B5EF4-FFF2-40B4-BE49-F238E27FC236}">
              <a16:creationId xmlns:a16="http://schemas.microsoft.com/office/drawing/2014/main" id="{B394578A-B11A-4B4A-B5FF-237F990C99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8" name="Elipse 867">
          <a:extLst>
            <a:ext uri="{FF2B5EF4-FFF2-40B4-BE49-F238E27FC236}">
              <a16:creationId xmlns:a16="http://schemas.microsoft.com/office/drawing/2014/main" id="{C4CCFCE0-AD1B-48EC-AC39-8A153100D2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9" name="Elipse 868">
          <a:extLst>
            <a:ext uri="{FF2B5EF4-FFF2-40B4-BE49-F238E27FC236}">
              <a16:creationId xmlns:a16="http://schemas.microsoft.com/office/drawing/2014/main" id="{63A63CC8-2676-4377-B85F-44106CAA3D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0" name="Elipse 869">
          <a:extLst>
            <a:ext uri="{FF2B5EF4-FFF2-40B4-BE49-F238E27FC236}">
              <a16:creationId xmlns:a16="http://schemas.microsoft.com/office/drawing/2014/main" id="{7444B9B3-B889-4D94-B3CB-5BFD4B20C5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1" name="Elipse 870">
          <a:extLst>
            <a:ext uri="{FF2B5EF4-FFF2-40B4-BE49-F238E27FC236}">
              <a16:creationId xmlns:a16="http://schemas.microsoft.com/office/drawing/2014/main" id="{AD4CFFEB-E887-4416-ADA1-0549CCFA24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2" name="Elipse 871">
          <a:extLst>
            <a:ext uri="{FF2B5EF4-FFF2-40B4-BE49-F238E27FC236}">
              <a16:creationId xmlns:a16="http://schemas.microsoft.com/office/drawing/2014/main" id="{33A61D66-5796-44C7-BFDD-00BDE41BCF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3" name="Elipse 872">
          <a:extLst>
            <a:ext uri="{FF2B5EF4-FFF2-40B4-BE49-F238E27FC236}">
              <a16:creationId xmlns:a16="http://schemas.microsoft.com/office/drawing/2014/main" id="{3127A8CE-3EFB-4A1F-BFA0-4374594547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4" name="Elipse 873">
          <a:extLst>
            <a:ext uri="{FF2B5EF4-FFF2-40B4-BE49-F238E27FC236}">
              <a16:creationId xmlns:a16="http://schemas.microsoft.com/office/drawing/2014/main" id="{E5878C2E-02FB-4705-9E9D-E5473A8743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5" name="Elipse 874">
          <a:extLst>
            <a:ext uri="{FF2B5EF4-FFF2-40B4-BE49-F238E27FC236}">
              <a16:creationId xmlns:a16="http://schemas.microsoft.com/office/drawing/2014/main" id="{FD0A9759-3AE3-4DC7-8E9C-B091431F96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6" name="Elipse 875">
          <a:extLst>
            <a:ext uri="{FF2B5EF4-FFF2-40B4-BE49-F238E27FC236}">
              <a16:creationId xmlns:a16="http://schemas.microsoft.com/office/drawing/2014/main" id="{19063637-09D3-40A4-AD12-1DC879D48A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7" name="Elipse 876">
          <a:extLst>
            <a:ext uri="{FF2B5EF4-FFF2-40B4-BE49-F238E27FC236}">
              <a16:creationId xmlns:a16="http://schemas.microsoft.com/office/drawing/2014/main" id="{C74DF9E3-3CDF-4377-AB2F-34E7BADA70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8" name="Elipse 877">
          <a:extLst>
            <a:ext uri="{FF2B5EF4-FFF2-40B4-BE49-F238E27FC236}">
              <a16:creationId xmlns:a16="http://schemas.microsoft.com/office/drawing/2014/main" id="{B4E040DB-8AC0-431E-98F9-08126D2AAF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9" name="Elipse 878">
          <a:extLst>
            <a:ext uri="{FF2B5EF4-FFF2-40B4-BE49-F238E27FC236}">
              <a16:creationId xmlns:a16="http://schemas.microsoft.com/office/drawing/2014/main" id="{6C4FB88D-C609-4BC1-84C6-CB2E544933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0" name="Elipse 879">
          <a:extLst>
            <a:ext uri="{FF2B5EF4-FFF2-40B4-BE49-F238E27FC236}">
              <a16:creationId xmlns:a16="http://schemas.microsoft.com/office/drawing/2014/main" id="{1614DD16-0E72-4908-A83B-FBB61FCFF0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1" name="Elipse 880">
          <a:extLst>
            <a:ext uri="{FF2B5EF4-FFF2-40B4-BE49-F238E27FC236}">
              <a16:creationId xmlns:a16="http://schemas.microsoft.com/office/drawing/2014/main" id="{FC0C68CD-BE5D-4EE0-9E16-EFCC1073EC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2" name="Elipse 881">
          <a:extLst>
            <a:ext uri="{FF2B5EF4-FFF2-40B4-BE49-F238E27FC236}">
              <a16:creationId xmlns:a16="http://schemas.microsoft.com/office/drawing/2014/main" id="{8527AA9F-3C32-4C41-B943-5A1E0878C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3" name="Elipse 882">
          <a:extLst>
            <a:ext uri="{FF2B5EF4-FFF2-40B4-BE49-F238E27FC236}">
              <a16:creationId xmlns:a16="http://schemas.microsoft.com/office/drawing/2014/main" id="{98A2BE48-BA1C-4DDE-BB0A-330FA33B1C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4" name="Elipse 883">
          <a:extLst>
            <a:ext uri="{FF2B5EF4-FFF2-40B4-BE49-F238E27FC236}">
              <a16:creationId xmlns:a16="http://schemas.microsoft.com/office/drawing/2014/main" id="{E17FF9CF-0064-42C5-94ED-AFF82AC3AC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5" name="Elipse 884">
          <a:extLst>
            <a:ext uri="{FF2B5EF4-FFF2-40B4-BE49-F238E27FC236}">
              <a16:creationId xmlns:a16="http://schemas.microsoft.com/office/drawing/2014/main" id="{52D57EF1-BF65-4B01-A1E4-A9A62F7F39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6" name="Elipse 885">
          <a:extLst>
            <a:ext uri="{FF2B5EF4-FFF2-40B4-BE49-F238E27FC236}">
              <a16:creationId xmlns:a16="http://schemas.microsoft.com/office/drawing/2014/main" id="{C0922052-1305-4546-AD07-DB8EA19A1C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7" name="Elipse 886">
          <a:extLst>
            <a:ext uri="{FF2B5EF4-FFF2-40B4-BE49-F238E27FC236}">
              <a16:creationId xmlns:a16="http://schemas.microsoft.com/office/drawing/2014/main" id="{54B10BD2-7FE3-473B-A4ED-41B1583F11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8" name="Elipse 887">
          <a:extLst>
            <a:ext uri="{FF2B5EF4-FFF2-40B4-BE49-F238E27FC236}">
              <a16:creationId xmlns:a16="http://schemas.microsoft.com/office/drawing/2014/main" id="{1CF2E9C1-E474-492D-B0BA-DC701D3D97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9" name="Elipse 888">
          <a:extLst>
            <a:ext uri="{FF2B5EF4-FFF2-40B4-BE49-F238E27FC236}">
              <a16:creationId xmlns:a16="http://schemas.microsoft.com/office/drawing/2014/main" id="{2F44D63B-76FA-4D1D-9A60-92386B18F8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0" name="Elipse 889">
          <a:extLst>
            <a:ext uri="{FF2B5EF4-FFF2-40B4-BE49-F238E27FC236}">
              <a16:creationId xmlns:a16="http://schemas.microsoft.com/office/drawing/2014/main" id="{DCB62FDA-59CB-4FE9-B13F-863037FC83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1" name="Elipse 890">
          <a:extLst>
            <a:ext uri="{FF2B5EF4-FFF2-40B4-BE49-F238E27FC236}">
              <a16:creationId xmlns:a16="http://schemas.microsoft.com/office/drawing/2014/main" id="{E8C29EB0-BB58-4B56-B5FC-18D7248804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2" name="Elipse 891">
          <a:extLst>
            <a:ext uri="{FF2B5EF4-FFF2-40B4-BE49-F238E27FC236}">
              <a16:creationId xmlns:a16="http://schemas.microsoft.com/office/drawing/2014/main" id="{FF21DC33-58C3-4311-AACB-45E68C34A6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3" name="Elipse 892">
          <a:extLst>
            <a:ext uri="{FF2B5EF4-FFF2-40B4-BE49-F238E27FC236}">
              <a16:creationId xmlns:a16="http://schemas.microsoft.com/office/drawing/2014/main" id="{AEA9F108-C7C6-4E1C-B692-D52C15D84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4" name="Elipse 893">
          <a:extLst>
            <a:ext uri="{FF2B5EF4-FFF2-40B4-BE49-F238E27FC236}">
              <a16:creationId xmlns:a16="http://schemas.microsoft.com/office/drawing/2014/main" id="{ACF1A627-6243-4FB2-B9A5-B117B8F659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5" name="Elipse 894">
          <a:extLst>
            <a:ext uri="{FF2B5EF4-FFF2-40B4-BE49-F238E27FC236}">
              <a16:creationId xmlns:a16="http://schemas.microsoft.com/office/drawing/2014/main" id="{AC6726B1-9CFD-44D5-B2F8-CF60410C1C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6" name="Elipse 895">
          <a:extLst>
            <a:ext uri="{FF2B5EF4-FFF2-40B4-BE49-F238E27FC236}">
              <a16:creationId xmlns:a16="http://schemas.microsoft.com/office/drawing/2014/main" id="{8D7260DD-2136-4C0C-BD74-1E1BE09F2E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7" name="Elipse 896">
          <a:extLst>
            <a:ext uri="{FF2B5EF4-FFF2-40B4-BE49-F238E27FC236}">
              <a16:creationId xmlns:a16="http://schemas.microsoft.com/office/drawing/2014/main" id="{BFBD8BE4-3F4E-4F4D-9FE6-4CD5159CE7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8" name="Elipse 897">
          <a:extLst>
            <a:ext uri="{FF2B5EF4-FFF2-40B4-BE49-F238E27FC236}">
              <a16:creationId xmlns:a16="http://schemas.microsoft.com/office/drawing/2014/main" id="{5DFF1C66-E47F-4E7B-B5F9-FBD29BEFD9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9" name="Elipse 898">
          <a:extLst>
            <a:ext uri="{FF2B5EF4-FFF2-40B4-BE49-F238E27FC236}">
              <a16:creationId xmlns:a16="http://schemas.microsoft.com/office/drawing/2014/main" id="{D2D781D1-3406-49BA-BE50-8436C18683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0" name="Elipse 899">
          <a:extLst>
            <a:ext uri="{FF2B5EF4-FFF2-40B4-BE49-F238E27FC236}">
              <a16:creationId xmlns:a16="http://schemas.microsoft.com/office/drawing/2014/main" id="{97EC232A-A0DA-4B64-A685-2525BB530F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1" name="Elipse 900">
          <a:extLst>
            <a:ext uri="{FF2B5EF4-FFF2-40B4-BE49-F238E27FC236}">
              <a16:creationId xmlns:a16="http://schemas.microsoft.com/office/drawing/2014/main" id="{28BA6C24-09A2-4EB9-9660-43B592217A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2" name="Elipse 901">
          <a:extLst>
            <a:ext uri="{FF2B5EF4-FFF2-40B4-BE49-F238E27FC236}">
              <a16:creationId xmlns:a16="http://schemas.microsoft.com/office/drawing/2014/main" id="{B89F424C-8773-4E89-AAEB-755D7E98C9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3" name="Elipse 902">
          <a:extLst>
            <a:ext uri="{FF2B5EF4-FFF2-40B4-BE49-F238E27FC236}">
              <a16:creationId xmlns:a16="http://schemas.microsoft.com/office/drawing/2014/main" id="{7CCA9B1C-419B-48BC-A174-8EE1DC8226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4" name="Elipse 903">
          <a:extLst>
            <a:ext uri="{FF2B5EF4-FFF2-40B4-BE49-F238E27FC236}">
              <a16:creationId xmlns:a16="http://schemas.microsoft.com/office/drawing/2014/main" id="{4D1ACA6D-7D61-436F-BE5E-21FDEC50B8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5" name="Elipse 904">
          <a:extLst>
            <a:ext uri="{FF2B5EF4-FFF2-40B4-BE49-F238E27FC236}">
              <a16:creationId xmlns:a16="http://schemas.microsoft.com/office/drawing/2014/main" id="{91FDD541-11E2-4A48-AFB1-EDB48449BF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6" name="Elipse 905">
          <a:extLst>
            <a:ext uri="{FF2B5EF4-FFF2-40B4-BE49-F238E27FC236}">
              <a16:creationId xmlns:a16="http://schemas.microsoft.com/office/drawing/2014/main" id="{829C5283-D4A4-489D-98A0-5966AC4DCB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7" name="Elipse 906">
          <a:extLst>
            <a:ext uri="{FF2B5EF4-FFF2-40B4-BE49-F238E27FC236}">
              <a16:creationId xmlns:a16="http://schemas.microsoft.com/office/drawing/2014/main" id="{F9151058-E881-46D2-A679-9EB724B83D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8" name="Elipse 907">
          <a:extLst>
            <a:ext uri="{FF2B5EF4-FFF2-40B4-BE49-F238E27FC236}">
              <a16:creationId xmlns:a16="http://schemas.microsoft.com/office/drawing/2014/main" id="{8F8CACEE-28FA-4CE2-9592-BD9E3E9E22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9" name="Elipse 908">
          <a:extLst>
            <a:ext uri="{FF2B5EF4-FFF2-40B4-BE49-F238E27FC236}">
              <a16:creationId xmlns:a16="http://schemas.microsoft.com/office/drawing/2014/main" id="{93DE490D-E57C-4EC5-BA47-80B64E6514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0" name="Elipse 909">
          <a:extLst>
            <a:ext uri="{FF2B5EF4-FFF2-40B4-BE49-F238E27FC236}">
              <a16:creationId xmlns:a16="http://schemas.microsoft.com/office/drawing/2014/main" id="{C1795BF6-1730-4C8F-A668-C8C9CE12B0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1" name="Elipse 910">
          <a:extLst>
            <a:ext uri="{FF2B5EF4-FFF2-40B4-BE49-F238E27FC236}">
              <a16:creationId xmlns:a16="http://schemas.microsoft.com/office/drawing/2014/main" id="{8591B0FE-E9BF-4335-9E56-48709ED4A9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2" name="Elipse 911">
          <a:extLst>
            <a:ext uri="{FF2B5EF4-FFF2-40B4-BE49-F238E27FC236}">
              <a16:creationId xmlns:a16="http://schemas.microsoft.com/office/drawing/2014/main" id="{6EA9A0B3-ED20-4332-8697-E0C6514E72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3" name="Elipse 912">
          <a:extLst>
            <a:ext uri="{FF2B5EF4-FFF2-40B4-BE49-F238E27FC236}">
              <a16:creationId xmlns:a16="http://schemas.microsoft.com/office/drawing/2014/main" id="{979EFDB9-536C-4842-88F2-5B459AF26A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4" name="Elipse 913">
          <a:extLst>
            <a:ext uri="{FF2B5EF4-FFF2-40B4-BE49-F238E27FC236}">
              <a16:creationId xmlns:a16="http://schemas.microsoft.com/office/drawing/2014/main" id="{5388385F-B5DE-418F-AD54-F6B83F77DB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5" name="Elipse 914">
          <a:extLst>
            <a:ext uri="{FF2B5EF4-FFF2-40B4-BE49-F238E27FC236}">
              <a16:creationId xmlns:a16="http://schemas.microsoft.com/office/drawing/2014/main" id="{9D39BA65-4FC1-47D1-A26A-F3A851F358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6" name="Elipse 915">
          <a:extLst>
            <a:ext uri="{FF2B5EF4-FFF2-40B4-BE49-F238E27FC236}">
              <a16:creationId xmlns:a16="http://schemas.microsoft.com/office/drawing/2014/main" id="{8432B0F2-C2E5-4A9F-B539-EAC01FFB60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7" name="Elipse 916">
          <a:extLst>
            <a:ext uri="{FF2B5EF4-FFF2-40B4-BE49-F238E27FC236}">
              <a16:creationId xmlns:a16="http://schemas.microsoft.com/office/drawing/2014/main" id="{D0E1297F-768E-413E-B84A-05A3807173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8" name="Elipse 917">
          <a:extLst>
            <a:ext uri="{FF2B5EF4-FFF2-40B4-BE49-F238E27FC236}">
              <a16:creationId xmlns:a16="http://schemas.microsoft.com/office/drawing/2014/main" id="{25659446-2BBB-41AC-B0C2-39AD67A436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9" name="Elipse 918">
          <a:extLst>
            <a:ext uri="{FF2B5EF4-FFF2-40B4-BE49-F238E27FC236}">
              <a16:creationId xmlns:a16="http://schemas.microsoft.com/office/drawing/2014/main" id="{6BBE1A0F-35E3-4C28-BBF4-D234780CDD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0" name="Elipse 919">
          <a:extLst>
            <a:ext uri="{FF2B5EF4-FFF2-40B4-BE49-F238E27FC236}">
              <a16:creationId xmlns:a16="http://schemas.microsoft.com/office/drawing/2014/main" id="{A1FB8A28-B81D-4B8B-AC65-297AE76FB7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1" name="Elipse 920">
          <a:extLst>
            <a:ext uri="{FF2B5EF4-FFF2-40B4-BE49-F238E27FC236}">
              <a16:creationId xmlns:a16="http://schemas.microsoft.com/office/drawing/2014/main" id="{9173A740-8A82-4965-AD6F-4D48C27429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2" name="Elipse 921">
          <a:extLst>
            <a:ext uri="{FF2B5EF4-FFF2-40B4-BE49-F238E27FC236}">
              <a16:creationId xmlns:a16="http://schemas.microsoft.com/office/drawing/2014/main" id="{810AD5D7-1087-4D31-BD87-F7B2A4E316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3" name="Elipse 922">
          <a:extLst>
            <a:ext uri="{FF2B5EF4-FFF2-40B4-BE49-F238E27FC236}">
              <a16:creationId xmlns:a16="http://schemas.microsoft.com/office/drawing/2014/main" id="{88295EDE-75D7-4CD6-829E-C16F445331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4" name="Elipse 923">
          <a:extLst>
            <a:ext uri="{FF2B5EF4-FFF2-40B4-BE49-F238E27FC236}">
              <a16:creationId xmlns:a16="http://schemas.microsoft.com/office/drawing/2014/main" id="{98ED2547-FD06-4418-BE6A-F9D6C45E54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5" name="Elipse 924">
          <a:extLst>
            <a:ext uri="{FF2B5EF4-FFF2-40B4-BE49-F238E27FC236}">
              <a16:creationId xmlns:a16="http://schemas.microsoft.com/office/drawing/2014/main" id="{EE64BBEB-7B7A-4048-B8BD-6D69FEE05C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6" name="Elipse 925">
          <a:extLst>
            <a:ext uri="{FF2B5EF4-FFF2-40B4-BE49-F238E27FC236}">
              <a16:creationId xmlns:a16="http://schemas.microsoft.com/office/drawing/2014/main" id="{E3403D23-3AD1-4DD4-B766-7083BE9CCB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7" name="Elipse 926">
          <a:extLst>
            <a:ext uri="{FF2B5EF4-FFF2-40B4-BE49-F238E27FC236}">
              <a16:creationId xmlns:a16="http://schemas.microsoft.com/office/drawing/2014/main" id="{B42B9D7F-FF8E-4353-9FF9-FEE5FDC74F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8" name="Elipse 927">
          <a:extLst>
            <a:ext uri="{FF2B5EF4-FFF2-40B4-BE49-F238E27FC236}">
              <a16:creationId xmlns:a16="http://schemas.microsoft.com/office/drawing/2014/main" id="{21AE95FE-713C-4CDA-9DB0-2F5AF2E695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9" name="Elipse 928">
          <a:extLst>
            <a:ext uri="{FF2B5EF4-FFF2-40B4-BE49-F238E27FC236}">
              <a16:creationId xmlns:a16="http://schemas.microsoft.com/office/drawing/2014/main" id="{F4691A87-081D-42DF-9BEB-65C8B019AE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0" name="Elipse 929">
          <a:extLst>
            <a:ext uri="{FF2B5EF4-FFF2-40B4-BE49-F238E27FC236}">
              <a16:creationId xmlns:a16="http://schemas.microsoft.com/office/drawing/2014/main" id="{62EC93B9-4936-48DB-BCE5-D2A5EF1D3D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1" name="Elipse 930">
          <a:extLst>
            <a:ext uri="{FF2B5EF4-FFF2-40B4-BE49-F238E27FC236}">
              <a16:creationId xmlns:a16="http://schemas.microsoft.com/office/drawing/2014/main" id="{85269271-8449-40F8-B8D7-4E3DF99571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2" name="Elipse 931">
          <a:extLst>
            <a:ext uri="{FF2B5EF4-FFF2-40B4-BE49-F238E27FC236}">
              <a16:creationId xmlns:a16="http://schemas.microsoft.com/office/drawing/2014/main" id="{620FF487-663D-48B2-9751-D8B0F6E45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3" name="Elipse 932">
          <a:extLst>
            <a:ext uri="{FF2B5EF4-FFF2-40B4-BE49-F238E27FC236}">
              <a16:creationId xmlns:a16="http://schemas.microsoft.com/office/drawing/2014/main" id="{AEA91A37-485F-45D8-934A-E18ED98598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4" name="Elipse 933">
          <a:extLst>
            <a:ext uri="{FF2B5EF4-FFF2-40B4-BE49-F238E27FC236}">
              <a16:creationId xmlns:a16="http://schemas.microsoft.com/office/drawing/2014/main" id="{CAA90253-FB42-4F10-8B91-FE3DD96635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5" name="Elipse 934">
          <a:extLst>
            <a:ext uri="{FF2B5EF4-FFF2-40B4-BE49-F238E27FC236}">
              <a16:creationId xmlns:a16="http://schemas.microsoft.com/office/drawing/2014/main" id="{CBF08171-FBBA-4E0F-A4B6-55140B4F11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6" name="Elipse 935">
          <a:extLst>
            <a:ext uri="{FF2B5EF4-FFF2-40B4-BE49-F238E27FC236}">
              <a16:creationId xmlns:a16="http://schemas.microsoft.com/office/drawing/2014/main" id="{24F22125-2154-41AD-B926-E6433D1125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7" name="Elipse 936">
          <a:extLst>
            <a:ext uri="{FF2B5EF4-FFF2-40B4-BE49-F238E27FC236}">
              <a16:creationId xmlns:a16="http://schemas.microsoft.com/office/drawing/2014/main" id="{64FACA12-2FAE-4167-86CE-C4728447CA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8" name="Elipse 937">
          <a:extLst>
            <a:ext uri="{FF2B5EF4-FFF2-40B4-BE49-F238E27FC236}">
              <a16:creationId xmlns:a16="http://schemas.microsoft.com/office/drawing/2014/main" id="{C4086E4B-25DA-4730-9254-1717B5B53E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9" name="Elipse 938">
          <a:extLst>
            <a:ext uri="{FF2B5EF4-FFF2-40B4-BE49-F238E27FC236}">
              <a16:creationId xmlns:a16="http://schemas.microsoft.com/office/drawing/2014/main" id="{8D079418-BED7-487E-B94D-A139AC2624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0" name="Elipse 939">
          <a:extLst>
            <a:ext uri="{FF2B5EF4-FFF2-40B4-BE49-F238E27FC236}">
              <a16:creationId xmlns:a16="http://schemas.microsoft.com/office/drawing/2014/main" id="{4C5805DA-FE0C-4A1E-A0CE-8EA0BBACF7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1" name="Elipse 940">
          <a:extLst>
            <a:ext uri="{FF2B5EF4-FFF2-40B4-BE49-F238E27FC236}">
              <a16:creationId xmlns:a16="http://schemas.microsoft.com/office/drawing/2014/main" id="{008C1FC2-69CB-4527-88CB-AC27A64226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2" name="Elipse 941">
          <a:extLst>
            <a:ext uri="{FF2B5EF4-FFF2-40B4-BE49-F238E27FC236}">
              <a16:creationId xmlns:a16="http://schemas.microsoft.com/office/drawing/2014/main" id="{DBA8401E-3C9C-43CD-86B0-D0F1A1EAC9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3" name="Elipse 942">
          <a:extLst>
            <a:ext uri="{FF2B5EF4-FFF2-40B4-BE49-F238E27FC236}">
              <a16:creationId xmlns:a16="http://schemas.microsoft.com/office/drawing/2014/main" id="{1DD262E9-3E02-481B-92D6-91CDB952DD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4" name="Elipse 943">
          <a:extLst>
            <a:ext uri="{FF2B5EF4-FFF2-40B4-BE49-F238E27FC236}">
              <a16:creationId xmlns:a16="http://schemas.microsoft.com/office/drawing/2014/main" id="{EC89D616-5D31-4F40-8F6A-D2B07F3A33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5" name="Elipse 944">
          <a:extLst>
            <a:ext uri="{FF2B5EF4-FFF2-40B4-BE49-F238E27FC236}">
              <a16:creationId xmlns:a16="http://schemas.microsoft.com/office/drawing/2014/main" id="{866352A2-B07C-4155-B6BD-CBA1D10EF9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6" name="Elipse 945">
          <a:extLst>
            <a:ext uri="{FF2B5EF4-FFF2-40B4-BE49-F238E27FC236}">
              <a16:creationId xmlns:a16="http://schemas.microsoft.com/office/drawing/2014/main" id="{563BAC91-B5BE-4995-BC55-0558F67F1D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7" name="Elipse 946">
          <a:extLst>
            <a:ext uri="{FF2B5EF4-FFF2-40B4-BE49-F238E27FC236}">
              <a16:creationId xmlns:a16="http://schemas.microsoft.com/office/drawing/2014/main" id="{DD0AC78F-F619-4968-A46A-5BFE6A52A3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8" name="Elipse 947">
          <a:extLst>
            <a:ext uri="{FF2B5EF4-FFF2-40B4-BE49-F238E27FC236}">
              <a16:creationId xmlns:a16="http://schemas.microsoft.com/office/drawing/2014/main" id="{849490DC-1CF0-4595-8AF1-8C5AD1662C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9" name="Elipse 948">
          <a:extLst>
            <a:ext uri="{FF2B5EF4-FFF2-40B4-BE49-F238E27FC236}">
              <a16:creationId xmlns:a16="http://schemas.microsoft.com/office/drawing/2014/main" id="{FF69E922-26E3-4337-8082-4AACE78710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0" name="Elipse 949">
          <a:extLst>
            <a:ext uri="{FF2B5EF4-FFF2-40B4-BE49-F238E27FC236}">
              <a16:creationId xmlns:a16="http://schemas.microsoft.com/office/drawing/2014/main" id="{43A46219-3711-4184-B5A9-BD23E163F7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1" name="Elipse 950">
          <a:extLst>
            <a:ext uri="{FF2B5EF4-FFF2-40B4-BE49-F238E27FC236}">
              <a16:creationId xmlns:a16="http://schemas.microsoft.com/office/drawing/2014/main" id="{4B85C2C9-7C90-4D88-B3B7-E66F74C5D3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2" name="Elipse 951">
          <a:extLst>
            <a:ext uri="{FF2B5EF4-FFF2-40B4-BE49-F238E27FC236}">
              <a16:creationId xmlns:a16="http://schemas.microsoft.com/office/drawing/2014/main" id="{65CAC8B6-6605-4F0A-A4A1-C520CCA76C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3" name="Elipse 952">
          <a:extLst>
            <a:ext uri="{FF2B5EF4-FFF2-40B4-BE49-F238E27FC236}">
              <a16:creationId xmlns:a16="http://schemas.microsoft.com/office/drawing/2014/main" id="{14CED92E-F998-485F-B65F-5B092AEE3B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4" name="Elipse 953">
          <a:extLst>
            <a:ext uri="{FF2B5EF4-FFF2-40B4-BE49-F238E27FC236}">
              <a16:creationId xmlns:a16="http://schemas.microsoft.com/office/drawing/2014/main" id="{0243782C-75BE-419E-B20F-5B136D9921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5" name="Elipse 954">
          <a:extLst>
            <a:ext uri="{FF2B5EF4-FFF2-40B4-BE49-F238E27FC236}">
              <a16:creationId xmlns:a16="http://schemas.microsoft.com/office/drawing/2014/main" id="{DFF00AFE-4FBC-469B-AB7C-BA3D5414F5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6" name="Elipse 955">
          <a:extLst>
            <a:ext uri="{FF2B5EF4-FFF2-40B4-BE49-F238E27FC236}">
              <a16:creationId xmlns:a16="http://schemas.microsoft.com/office/drawing/2014/main" id="{A34934E8-461E-4E98-8C36-3B6ABE26FB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7" name="Elipse 956">
          <a:extLst>
            <a:ext uri="{FF2B5EF4-FFF2-40B4-BE49-F238E27FC236}">
              <a16:creationId xmlns:a16="http://schemas.microsoft.com/office/drawing/2014/main" id="{3C5A5EE1-7589-46CD-B66F-93756C1CAE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8" name="Elipse 957">
          <a:extLst>
            <a:ext uri="{FF2B5EF4-FFF2-40B4-BE49-F238E27FC236}">
              <a16:creationId xmlns:a16="http://schemas.microsoft.com/office/drawing/2014/main" id="{621E4BB4-131E-4C3E-9887-D0F549FFF8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9" name="Elipse 958">
          <a:extLst>
            <a:ext uri="{FF2B5EF4-FFF2-40B4-BE49-F238E27FC236}">
              <a16:creationId xmlns:a16="http://schemas.microsoft.com/office/drawing/2014/main" id="{821F05AC-80C7-4460-AF8F-4D0224E401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0" name="Elipse 959">
          <a:extLst>
            <a:ext uri="{FF2B5EF4-FFF2-40B4-BE49-F238E27FC236}">
              <a16:creationId xmlns:a16="http://schemas.microsoft.com/office/drawing/2014/main" id="{208672F3-7D63-41C8-B276-09E8FCFD29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1" name="Elipse 960">
          <a:extLst>
            <a:ext uri="{FF2B5EF4-FFF2-40B4-BE49-F238E27FC236}">
              <a16:creationId xmlns:a16="http://schemas.microsoft.com/office/drawing/2014/main" id="{B91BCE1B-0175-40F3-A53F-2BB618026C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2" name="Elipse 961">
          <a:extLst>
            <a:ext uri="{FF2B5EF4-FFF2-40B4-BE49-F238E27FC236}">
              <a16:creationId xmlns:a16="http://schemas.microsoft.com/office/drawing/2014/main" id="{1D576CD7-6FB3-4E6D-BB95-FC4D279CE5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3" name="Elipse 962">
          <a:extLst>
            <a:ext uri="{FF2B5EF4-FFF2-40B4-BE49-F238E27FC236}">
              <a16:creationId xmlns:a16="http://schemas.microsoft.com/office/drawing/2014/main" id="{7E1D5016-533F-4C6E-BBE5-66DB632092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4" name="Elipse 963">
          <a:extLst>
            <a:ext uri="{FF2B5EF4-FFF2-40B4-BE49-F238E27FC236}">
              <a16:creationId xmlns:a16="http://schemas.microsoft.com/office/drawing/2014/main" id="{B484CBBE-CF20-4EDF-ACA3-799C45BCA8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5" name="Elipse 964">
          <a:extLst>
            <a:ext uri="{FF2B5EF4-FFF2-40B4-BE49-F238E27FC236}">
              <a16:creationId xmlns:a16="http://schemas.microsoft.com/office/drawing/2014/main" id="{9CB6AEDA-9B88-4CCC-B086-D617EF5023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6" name="Elipse 965">
          <a:extLst>
            <a:ext uri="{FF2B5EF4-FFF2-40B4-BE49-F238E27FC236}">
              <a16:creationId xmlns:a16="http://schemas.microsoft.com/office/drawing/2014/main" id="{B01BC5EF-9871-468F-AEC6-DC6F675A23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7" name="Elipse 966">
          <a:extLst>
            <a:ext uri="{FF2B5EF4-FFF2-40B4-BE49-F238E27FC236}">
              <a16:creationId xmlns:a16="http://schemas.microsoft.com/office/drawing/2014/main" id="{8D0EF2AC-7A14-4692-8FE2-F3AA59336A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8" name="Elipse 967">
          <a:extLst>
            <a:ext uri="{FF2B5EF4-FFF2-40B4-BE49-F238E27FC236}">
              <a16:creationId xmlns:a16="http://schemas.microsoft.com/office/drawing/2014/main" id="{BDD2CD0F-CF84-4589-B9FD-41A1FD8AB8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9" name="Elipse 968">
          <a:extLst>
            <a:ext uri="{FF2B5EF4-FFF2-40B4-BE49-F238E27FC236}">
              <a16:creationId xmlns:a16="http://schemas.microsoft.com/office/drawing/2014/main" id="{C1EBF3F1-B42E-4A40-B490-55B6AB22B4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0" name="Elipse 969">
          <a:extLst>
            <a:ext uri="{FF2B5EF4-FFF2-40B4-BE49-F238E27FC236}">
              <a16:creationId xmlns:a16="http://schemas.microsoft.com/office/drawing/2014/main" id="{35C1C3F9-C923-4D41-96DA-BD88274199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1" name="Elipse 970">
          <a:extLst>
            <a:ext uri="{FF2B5EF4-FFF2-40B4-BE49-F238E27FC236}">
              <a16:creationId xmlns:a16="http://schemas.microsoft.com/office/drawing/2014/main" id="{9EC4B8C0-B2CD-4078-9B29-C4C3398CEC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2" name="Elipse 971">
          <a:extLst>
            <a:ext uri="{FF2B5EF4-FFF2-40B4-BE49-F238E27FC236}">
              <a16:creationId xmlns:a16="http://schemas.microsoft.com/office/drawing/2014/main" id="{169A7E5A-1449-46DD-A8F8-B07525F8A9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3" name="Elipse 972">
          <a:extLst>
            <a:ext uri="{FF2B5EF4-FFF2-40B4-BE49-F238E27FC236}">
              <a16:creationId xmlns:a16="http://schemas.microsoft.com/office/drawing/2014/main" id="{C6A8EA26-402C-47B3-9054-3643C4C1D8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4" name="Elipse 973">
          <a:extLst>
            <a:ext uri="{FF2B5EF4-FFF2-40B4-BE49-F238E27FC236}">
              <a16:creationId xmlns:a16="http://schemas.microsoft.com/office/drawing/2014/main" id="{C9FCFAE2-847A-4FD3-89F5-B07056B156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5" name="Elipse 974">
          <a:extLst>
            <a:ext uri="{FF2B5EF4-FFF2-40B4-BE49-F238E27FC236}">
              <a16:creationId xmlns:a16="http://schemas.microsoft.com/office/drawing/2014/main" id="{81D0BB93-755B-498E-97D8-8550523DCA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6" name="Elipse 975">
          <a:extLst>
            <a:ext uri="{FF2B5EF4-FFF2-40B4-BE49-F238E27FC236}">
              <a16:creationId xmlns:a16="http://schemas.microsoft.com/office/drawing/2014/main" id="{3F9D6611-44CB-4DAA-BB1D-3D704F4CF0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7" name="Elipse 976">
          <a:extLst>
            <a:ext uri="{FF2B5EF4-FFF2-40B4-BE49-F238E27FC236}">
              <a16:creationId xmlns:a16="http://schemas.microsoft.com/office/drawing/2014/main" id="{BFFBE28D-84C7-4D72-B0C2-4BC60D058E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8" name="Elipse 977">
          <a:extLst>
            <a:ext uri="{FF2B5EF4-FFF2-40B4-BE49-F238E27FC236}">
              <a16:creationId xmlns:a16="http://schemas.microsoft.com/office/drawing/2014/main" id="{7E7CFFC0-AA71-428E-AAE8-4B0806EB74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9" name="Elipse 978">
          <a:extLst>
            <a:ext uri="{FF2B5EF4-FFF2-40B4-BE49-F238E27FC236}">
              <a16:creationId xmlns:a16="http://schemas.microsoft.com/office/drawing/2014/main" id="{331BB04F-0BAA-4E7A-9D39-B7FC39D0FE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0" name="Elipse 979">
          <a:extLst>
            <a:ext uri="{FF2B5EF4-FFF2-40B4-BE49-F238E27FC236}">
              <a16:creationId xmlns:a16="http://schemas.microsoft.com/office/drawing/2014/main" id="{5FC6D97E-0FD3-4B22-8FF6-7CC11351CE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1" name="Elipse 980">
          <a:extLst>
            <a:ext uri="{FF2B5EF4-FFF2-40B4-BE49-F238E27FC236}">
              <a16:creationId xmlns:a16="http://schemas.microsoft.com/office/drawing/2014/main" id="{59005723-2F24-4C0B-BE1D-47EDF725AF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2" name="Elipse 981">
          <a:extLst>
            <a:ext uri="{FF2B5EF4-FFF2-40B4-BE49-F238E27FC236}">
              <a16:creationId xmlns:a16="http://schemas.microsoft.com/office/drawing/2014/main" id="{B276B74B-D00C-4FFF-B44E-CA0B771A7F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3" name="Elipse 982">
          <a:extLst>
            <a:ext uri="{FF2B5EF4-FFF2-40B4-BE49-F238E27FC236}">
              <a16:creationId xmlns:a16="http://schemas.microsoft.com/office/drawing/2014/main" id="{51932573-2B50-40E6-8197-08337C1C5F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4" name="Elipse 983">
          <a:extLst>
            <a:ext uri="{FF2B5EF4-FFF2-40B4-BE49-F238E27FC236}">
              <a16:creationId xmlns:a16="http://schemas.microsoft.com/office/drawing/2014/main" id="{1789B606-A861-406B-82AF-61EA0E4703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5" name="Elipse 984">
          <a:extLst>
            <a:ext uri="{FF2B5EF4-FFF2-40B4-BE49-F238E27FC236}">
              <a16:creationId xmlns:a16="http://schemas.microsoft.com/office/drawing/2014/main" id="{35C128B6-4AD5-4D82-B2EC-75526C2D05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6" name="Elipse 985">
          <a:extLst>
            <a:ext uri="{FF2B5EF4-FFF2-40B4-BE49-F238E27FC236}">
              <a16:creationId xmlns:a16="http://schemas.microsoft.com/office/drawing/2014/main" id="{5DA42BD8-4DDC-4A55-920D-C6D9D1AD98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7" name="Elipse 986">
          <a:extLst>
            <a:ext uri="{FF2B5EF4-FFF2-40B4-BE49-F238E27FC236}">
              <a16:creationId xmlns:a16="http://schemas.microsoft.com/office/drawing/2014/main" id="{A629B215-A7E1-4867-844F-4592212649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8" name="Elipse 987">
          <a:extLst>
            <a:ext uri="{FF2B5EF4-FFF2-40B4-BE49-F238E27FC236}">
              <a16:creationId xmlns:a16="http://schemas.microsoft.com/office/drawing/2014/main" id="{59618993-7C7B-4D95-BBC5-6AFE0A9547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9" name="Elipse 988">
          <a:extLst>
            <a:ext uri="{FF2B5EF4-FFF2-40B4-BE49-F238E27FC236}">
              <a16:creationId xmlns:a16="http://schemas.microsoft.com/office/drawing/2014/main" id="{812B7915-D962-4320-ABC7-A816D34172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0" name="Elipse 989">
          <a:extLst>
            <a:ext uri="{FF2B5EF4-FFF2-40B4-BE49-F238E27FC236}">
              <a16:creationId xmlns:a16="http://schemas.microsoft.com/office/drawing/2014/main" id="{42BD351B-E1EC-4023-B121-E2E509F953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1" name="Elipse 990">
          <a:extLst>
            <a:ext uri="{FF2B5EF4-FFF2-40B4-BE49-F238E27FC236}">
              <a16:creationId xmlns:a16="http://schemas.microsoft.com/office/drawing/2014/main" id="{2CE9C92E-64A8-43B9-946F-6280834A02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2" name="Elipse 991">
          <a:extLst>
            <a:ext uri="{FF2B5EF4-FFF2-40B4-BE49-F238E27FC236}">
              <a16:creationId xmlns:a16="http://schemas.microsoft.com/office/drawing/2014/main" id="{A8F709E8-7662-4DF7-94A3-18BDFBDAFB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3" name="Elipse 992">
          <a:extLst>
            <a:ext uri="{FF2B5EF4-FFF2-40B4-BE49-F238E27FC236}">
              <a16:creationId xmlns:a16="http://schemas.microsoft.com/office/drawing/2014/main" id="{1AE73E06-C3DD-4697-905C-6083DF8EFF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4" name="Elipse 993">
          <a:extLst>
            <a:ext uri="{FF2B5EF4-FFF2-40B4-BE49-F238E27FC236}">
              <a16:creationId xmlns:a16="http://schemas.microsoft.com/office/drawing/2014/main" id="{B24C9BAD-F3E5-45D2-BF66-5301DA7841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5" name="Elipse 994">
          <a:extLst>
            <a:ext uri="{FF2B5EF4-FFF2-40B4-BE49-F238E27FC236}">
              <a16:creationId xmlns:a16="http://schemas.microsoft.com/office/drawing/2014/main" id="{B5CA5E72-1C18-448B-88A7-1855A42FC4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6" name="Elipse 995">
          <a:extLst>
            <a:ext uri="{FF2B5EF4-FFF2-40B4-BE49-F238E27FC236}">
              <a16:creationId xmlns:a16="http://schemas.microsoft.com/office/drawing/2014/main" id="{A1361D23-43B8-487A-9DAC-EA2CDC6CA2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7" name="Elipse 996">
          <a:extLst>
            <a:ext uri="{FF2B5EF4-FFF2-40B4-BE49-F238E27FC236}">
              <a16:creationId xmlns:a16="http://schemas.microsoft.com/office/drawing/2014/main" id="{9B19F317-FC62-468C-82B5-FBF2820138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8" name="Elipse 997">
          <a:extLst>
            <a:ext uri="{FF2B5EF4-FFF2-40B4-BE49-F238E27FC236}">
              <a16:creationId xmlns:a16="http://schemas.microsoft.com/office/drawing/2014/main" id="{3F0025A1-49CE-48D9-931E-7892B687C8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9" name="Elipse 998">
          <a:extLst>
            <a:ext uri="{FF2B5EF4-FFF2-40B4-BE49-F238E27FC236}">
              <a16:creationId xmlns:a16="http://schemas.microsoft.com/office/drawing/2014/main" id="{A0B060EC-A07F-45EE-B359-249D8C29BE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0" name="Elipse 999">
          <a:extLst>
            <a:ext uri="{FF2B5EF4-FFF2-40B4-BE49-F238E27FC236}">
              <a16:creationId xmlns:a16="http://schemas.microsoft.com/office/drawing/2014/main" id="{4F826713-A9CF-4A1B-A29E-E0EB2772A3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1" name="Elipse 1000">
          <a:extLst>
            <a:ext uri="{FF2B5EF4-FFF2-40B4-BE49-F238E27FC236}">
              <a16:creationId xmlns:a16="http://schemas.microsoft.com/office/drawing/2014/main" id="{D3D33E35-37D5-404F-9633-1FF747981A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2" name="Elipse 1001">
          <a:extLst>
            <a:ext uri="{FF2B5EF4-FFF2-40B4-BE49-F238E27FC236}">
              <a16:creationId xmlns:a16="http://schemas.microsoft.com/office/drawing/2014/main" id="{69758DA4-5561-4FAD-9BCF-25D7F96A42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3" name="Elipse 1002">
          <a:extLst>
            <a:ext uri="{FF2B5EF4-FFF2-40B4-BE49-F238E27FC236}">
              <a16:creationId xmlns:a16="http://schemas.microsoft.com/office/drawing/2014/main" id="{76C15A54-83FB-423F-BBE4-97A4BF1536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4" name="Elipse 1003">
          <a:extLst>
            <a:ext uri="{FF2B5EF4-FFF2-40B4-BE49-F238E27FC236}">
              <a16:creationId xmlns:a16="http://schemas.microsoft.com/office/drawing/2014/main" id="{3FD99A87-EE67-43A7-B468-B929DC74B8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5" name="Elipse 1004">
          <a:extLst>
            <a:ext uri="{FF2B5EF4-FFF2-40B4-BE49-F238E27FC236}">
              <a16:creationId xmlns:a16="http://schemas.microsoft.com/office/drawing/2014/main" id="{F615717B-E9F2-48E8-81AE-D91DCB9276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6" name="Elipse 1005">
          <a:extLst>
            <a:ext uri="{FF2B5EF4-FFF2-40B4-BE49-F238E27FC236}">
              <a16:creationId xmlns:a16="http://schemas.microsoft.com/office/drawing/2014/main" id="{FCFEC883-E818-4BDC-A5E7-58A3DCEC3C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7" name="Elipse 1006">
          <a:extLst>
            <a:ext uri="{FF2B5EF4-FFF2-40B4-BE49-F238E27FC236}">
              <a16:creationId xmlns:a16="http://schemas.microsoft.com/office/drawing/2014/main" id="{1E0EE1AA-6CF3-4170-80A5-12104CCC91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8" name="Elipse 1007">
          <a:extLst>
            <a:ext uri="{FF2B5EF4-FFF2-40B4-BE49-F238E27FC236}">
              <a16:creationId xmlns:a16="http://schemas.microsoft.com/office/drawing/2014/main" id="{2C0956D9-DC0B-4E40-BF05-3F7EFF5343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9" name="Elipse 1008">
          <a:extLst>
            <a:ext uri="{FF2B5EF4-FFF2-40B4-BE49-F238E27FC236}">
              <a16:creationId xmlns:a16="http://schemas.microsoft.com/office/drawing/2014/main" id="{198AF764-812F-4A3C-99F2-0D2596ADFD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0" name="Elipse 1009">
          <a:extLst>
            <a:ext uri="{FF2B5EF4-FFF2-40B4-BE49-F238E27FC236}">
              <a16:creationId xmlns:a16="http://schemas.microsoft.com/office/drawing/2014/main" id="{DD0B0754-1E0F-42EF-9FA0-4AF002AAD8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1" name="Elipse 1010">
          <a:extLst>
            <a:ext uri="{FF2B5EF4-FFF2-40B4-BE49-F238E27FC236}">
              <a16:creationId xmlns:a16="http://schemas.microsoft.com/office/drawing/2014/main" id="{B8348197-B4A3-4952-8891-79338916A1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2" name="Elipse 1011">
          <a:extLst>
            <a:ext uri="{FF2B5EF4-FFF2-40B4-BE49-F238E27FC236}">
              <a16:creationId xmlns:a16="http://schemas.microsoft.com/office/drawing/2014/main" id="{CDEC0B1E-11C1-40ED-9270-F288F50CCC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3" name="Elipse 1012">
          <a:extLst>
            <a:ext uri="{FF2B5EF4-FFF2-40B4-BE49-F238E27FC236}">
              <a16:creationId xmlns:a16="http://schemas.microsoft.com/office/drawing/2014/main" id="{3CB6D130-6622-46BE-84E8-D6791FD3C4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4" name="Elipse 1013">
          <a:extLst>
            <a:ext uri="{FF2B5EF4-FFF2-40B4-BE49-F238E27FC236}">
              <a16:creationId xmlns:a16="http://schemas.microsoft.com/office/drawing/2014/main" id="{AABDE3D6-D563-402B-B356-59A7BBB377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5" name="Elipse 1014">
          <a:extLst>
            <a:ext uri="{FF2B5EF4-FFF2-40B4-BE49-F238E27FC236}">
              <a16:creationId xmlns:a16="http://schemas.microsoft.com/office/drawing/2014/main" id="{EEC0969C-B474-4FEF-9E7F-2D1809D0C9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6" name="Elipse 1015">
          <a:extLst>
            <a:ext uri="{FF2B5EF4-FFF2-40B4-BE49-F238E27FC236}">
              <a16:creationId xmlns:a16="http://schemas.microsoft.com/office/drawing/2014/main" id="{E5CB7371-5279-4AE2-B139-669365DDE1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7" name="Elipse 1016">
          <a:extLst>
            <a:ext uri="{FF2B5EF4-FFF2-40B4-BE49-F238E27FC236}">
              <a16:creationId xmlns:a16="http://schemas.microsoft.com/office/drawing/2014/main" id="{083E74CE-5486-4AA6-99DF-6BC347E04E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8" name="Elipse 1017">
          <a:extLst>
            <a:ext uri="{FF2B5EF4-FFF2-40B4-BE49-F238E27FC236}">
              <a16:creationId xmlns:a16="http://schemas.microsoft.com/office/drawing/2014/main" id="{DAB4B854-E723-4648-85B9-7D3958E1F6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9" name="Elipse 1018">
          <a:extLst>
            <a:ext uri="{FF2B5EF4-FFF2-40B4-BE49-F238E27FC236}">
              <a16:creationId xmlns:a16="http://schemas.microsoft.com/office/drawing/2014/main" id="{8D9BCCC2-61DA-4175-A962-A9BA811EDB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0" name="Elipse 1019">
          <a:extLst>
            <a:ext uri="{FF2B5EF4-FFF2-40B4-BE49-F238E27FC236}">
              <a16:creationId xmlns:a16="http://schemas.microsoft.com/office/drawing/2014/main" id="{F9B28268-8C7B-45D8-8D1E-38CAB11DEC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1" name="Elipse 1020">
          <a:extLst>
            <a:ext uri="{FF2B5EF4-FFF2-40B4-BE49-F238E27FC236}">
              <a16:creationId xmlns:a16="http://schemas.microsoft.com/office/drawing/2014/main" id="{2E73664E-AEF8-4867-828B-D39BDD3A40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2" name="Elipse 1021">
          <a:extLst>
            <a:ext uri="{FF2B5EF4-FFF2-40B4-BE49-F238E27FC236}">
              <a16:creationId xmlns:a16="http://schemas.microsoft.com/office/drawing/2014/main" id="{71F5EDAF-A9BA-49D3-91B1-F634F2ACE5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3" name="Elipse 1022">
          <a:extLst>
            <a:ext uri="{FF2B5EF4-FFF2-40B4-BE49-F238E27FC236}">
              <a16:creationId xmlns:a16="http://schemas.microsoft.com/office/drawing/2014/main" id="{7B0D99FD-01C2-4FFA-AF2D-73984049F1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4" name="Elipse 1023">
          <a:extLst>
            <a:ext uri="{FF2B5EF4-FFF2-40B4-BE49-F238E27FC236}">
              <a16:creationId xmlns:a16="http://schemas.microsoft.com/office/drawing/2014/main" id="{E79E8A9E-3D58-4B69-8DA1-70800C6069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5" name="Elipse 1024">
          <a:extLst>
            <a:ext uri="{FF2B5EF4-FFF2-40B4-BE49-F238E27FC236}">
              <a16:creationId xmlns:a16="http://schemas.microsoft.com/office/drawing/2014/main" id="{464A6099-18D2-4381-A306-68F093560D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6" name="Elipse 1025">
          <a:extLst>
            <a:ext uri="{FF2B5EF4-FFF2-40B4-BE49-F238E27FC236}">
              <a16:creationId xmlns:a16="http://schemas.microsoft.com/office/drawing/2014/main" id="{FB2E452F-7172-4BF9-810E-AA0BFEC4DA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7" name="Elipse 1026">
          <a:extLst>
            <a:ext uri="{FF2B5EF4-FFF2-40B4-BE49-F238E27FC236}">
              <a16:creationId xmlns:a16="http://schemas.microsoft.com/office/drawing/2014/main" id="{51E7065F-393F-4E00-9E70-438BA3E37F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8" name="Elipse 1027">
          <a:extLst>
            <a:ext uri="{FF2B5EF4-FFF2-40B4-BE49-F238E27FC236}">
              <a16:creationId xmlns:a16="http://schemas.microsoft.com/office/drawing/2014/main" id="{37C30009-076E-4811-80FC-B599931F93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9" name="Elipse 1028">
          <a:extLst>
            <a:ext uri="{FF2B5EF4-FFF2-40B4-BE49-F238E27FC236}">
              <a16:creationId xmlns:a16="http://schemas.microsoft.com/office/drawing/2014/main" id="{5C4DCC6F-AC2D-4A25-9B9E-DE80F20596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0" name="Elipse 1029">
          <a:extLst>
            <a:ext uri="{FF2B5EF4-FFF2-40B4-BE49-F238E27FC236}">
              <a16:creationId xmlns:a16="http://schemas.microsoft.com/office/drawing/2014/main" id="{90C8813A-011F-4B45-B4B7-AF3A9879BF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1" name="Elipse 1030">
          <a:extLst>
            <a:ext uri="{FF2B5EF4-FFF2-40B4-BE49-F238E27FC236}">
              <a16:creationId xmlns:a16="http://schemas.microsoft.com/office/drawing/2014/main" id="{A776539E-B6A8-49F7-9AB3-116E93155D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2" name="Elipse 1031">
          <a:extLst>
            <a:ext uri="{FF2B5EF4-FFF2-40B4-BE49-F238E27FC236}">
              <a16:creationId xmlns:a16="http://schemas.microsoft.com/office/drawing/2014/main" id="{15A4195E-7BFC-47C4-928A-5172887E0F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3" name="Elipse 1032">
          <a:extLst>
            <a:ext uri="{FF2B5EF4-FFF2-40B4-BE49-F238E27FC236}">
              <a16:creationId xmlns:a16="http://schemas.microsoft.com/office/drawing/2014/main" id="{F17D35D9-D23B-48C1-AB2C-74BF95828F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4" name="Elipse 1033">
          <a:extLst>
            <a:ext uri="{FF2B5EF4-FFF2-40B4-BE49-F238E27FC236}">
              <a16:creationId xmlns:a16="http://schemas.microsoft.com/office/drawing/2014/main" id="{B69A3225-578B-4F09-84A9-7A17929547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5" name="Elipse 1034">
          <a:extLst>
            <a:ext uri="{FF2B5EF4-FFF2-40B4-BE49-F238E27FC236}">
              <a16:creationId xmlns:a16="http://schemas.microsoft.com/office/drawing/2014/main" id="{115934AF-D6A0-493B-968A-8704B1D93B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6" name="Elipse 1035">
          <a:extLst>
            <a:ext uri="{FF2B5EF4-FFF2-40B4-BE49-F238E27FC236}">
              <a16:creationId xmlns:a16="http://schemas.microsoft.com/office/drawing/2014/main" id="{CB1D49F5-8457-46E2-8DC3-BA3EB02801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7" name="Elipse 1036">
          <a:extLst>
            <a:ext uri="{FF2B5EF4-FFF2-40B4-BE49-F238E27FC236}">
              <a16:creationId xmlns:a16="http://schemas.microsoft.com/office/drawing/2014/main" id="{2C2C4913-59FB-4ED2-BE34-22B060A0FD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8" name="Elipse 1037">
          <a:extLst>
            <a:ext uri="{FF2B5EF4-FFF2-40B4-BE49-F238E27FC236}">
              <a16:creationId xmlns:a16="http://schemas.microsoft.com/office/drawing/2014/main" id="{47D4FD5F-A5E4-4793-8876-3837B82520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9" name="Elipse 1038">
          <a:extLst>
            <a:ext uri="{FF2B5EF4-FFF2-40B4-BE49-F238E27FC236}">
              <a16:creationId xmlns:a16="http://schemas.microsoft.com/office/drawing/2014/main" id="{E0DD5523-4A7B-4BA8-8CE3-050996D6D1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0" name="Elipse 1039">
          <a:extLst>
            <a:ext uri="{FF2B5EF4-FFF2-40B4-BE49-F238E27FC236}">
              <a16:creationId xmlns:a16="http://schemas.microsoft.com/office/drawing/2014/main" id="{7211D0B7-E8B6-4BDA-9116-8D57E0873C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1" name="Elipse 1040">
          <a:extLst>
            <a:ext uri="{FF2B5EF4-FFF2-40B4-BE49-F238E27FC236}">
              <a16:creationId xmlns:a16="http://schemas.microsoft.com/office/drawing/2014/main" id="{147506DD-5555-418D-9894-8C34D9920F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2" name="Elipse 1041">
          <a:extLst>
            <a:ext uri="{FF2B5EF4-FFF2-40B4-BE49-F238E27FC236}">
              <a16:creationId xmlns:a16="http://schemas.microsoft.com/office/drawing/2014/main" id="{DF50B037-EDA3-42E1-98B5-63AD0F76B1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3" name="Elipse 1042">
          <a:extLst>
            <a:ext uri="{FF2B5EF4-FFF2-40B4-BE49-F238E27FC236}">
              <a16:creationId xmlns:a16="http://schemas.microsoft.com/office/drawing/2014/main" id="{9782857A-A5C9-448B-901F-C8698E9518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4" name="Elipse 1043">
          <a:extLst>
            <a:ext uri="{FF2B5EF4-FFF2-40B4-BE49-F238E27FC236}">
              <a16:creationId xmlns:a16="http://schemas.microsoft.com/office/drawing/2014/main" id="{3D9FDC1A-727D-46B2-99B6-57DEC717F0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5" name="Elipse 1044">
          <a:extLst>
            <a:ext uri="{FF2B5EF4-FFF2-40B4-BE49-F238E27FC236}">
              <a16:creationId xmlns:a16="http://schemas.microsoft.com/office/drawing/2014/main" id="{5E6F61EF-1FEA-42FD-B63A-260B337CD2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6" name="Elipse 1045">
          <a:extLst>
            <a:ext uri="{FF2B5EF4-FFF2-40B4-BE49-F238E27FC236}">
              <a16:creationId xmlns:a16="http://schemas.microsoft.com/office/drawing/2014/main" id="{B21055DF-A9AD-4854-AA30-7ED10A130D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7" name="Elipse 1046">
          <a:extLst>
            <a:ext uri="{FF2B5EF4-FFF2-40B4-BE49-F238E27FC236}">
              <a16:creationId xmlns:a16="http://schemas.microsoft.com/office/drawing/2014/main" id="{D09A3721-1D61-4962-A866-8FF41CB4AF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8" name="Elipse 1047">
          <a:extLst>
            <a:ext uri="{FF2B5EF4-FFF2-40B4-BE49-F238E27FC236}">
              <a16:creationId xmlns:a16="http://schemas.microsoft.com/office/drawing/2014/main" id="{45EF43BA-F708-4A37-BDDD-83B78BA055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9" name="Elipse 1048">
          <a:extLst>
            <a:ext uri="{FF2B5EF4-FFF2-40B4-BE49-F238E27FC236}">
              <a16:creationId xmlns:a16="http://schemas.microsoft.com/office/drawing/2014/main" id="{7DF7199B-879C-421D-9748-9E976DC3AE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0" name="Elipse 1049">
          <a:extLst>
            <a:ext uri="{FF2B5EF4-FFF2-40B4-BE49-F238E27FC236}">
              <a16:creationId xmlns:a16="http://schemas.microsoft.com/office/drawing/2014/main" id="{515209A3-D037-4924-A6A0-910DC9F05B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1" name="Elipse 1050">
          <a:extLst>
            <a:ext uri="{FF2B5EF4-FFF2-40B4-BE49-F238E27FC236}">
              <a16:creationId xmlns:a16="http://schemas.microsoft.com/office/drawing/2014/main" id="{7E81123D-44A8-4233-A723-B1E423BF40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2" name="Elipse 1051">
          <a:extLst>
            <a:ext uri="{FF2B5EF4-FFF2-40B4-BE49-F238E27FC236}">
              <a16:creationId xmlns:a16="http://schemas.microsoft.com/office/drawing/2014/main" id="{1DBB4DD0-0769-4008-B53C-E3CA0ACB4B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3" name="Elipse 1052">
          <a:extLst>
            <a:ext uri="{FF2B5EF4-FFF2-40B4-BE49-F238E27FC236}">
              <a16:creationId xmlns:a16="http://schemas.microsoft.com/office/drawing/2014/main" id="{FD6D99DA-FF2C-4E68-9C3B-04F8C208C1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4" name="Elipse 1053">
          <a:extLst>
            <a:ext uri="{FF2B5EF4-FFF2-40B4-BE49-F238E27FC236}">
              <a16:creationId xmlns:a16="http://schemas.microsoft.com/office/drawing/2014/main" id="{19021CF0-EE0F-4F7A-B9A4-94D6FDCDF2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5" name="Elipse 1054">
          <a:extLst>
            <a:ext uri="{FF2B5EF4-FFF2-40B4-BE49-F238E27FC236}">
              <a16:creationId xmlns:a16="http://schemas.microsoft.com/office/drawing/2014/main" id="{D986FD89-9AFC-469D-9505-E69C8133D3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6" name="Elipse 1055">
          <a:extLst>
            <a:ext uri="{FF2B5EF4-FFF2-40B4-BE49-F238E27FC236}">
              <a16:creationId xmlns:a16="http://schemas.microsoft.com/office/drawing/2014/main" id="{1936BE9B-3B00-49EC-8689-863BC52F00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7" name="Elipse 1056">
          <a:extLst>
            <a:ext uri="{FF2B5EF4-FFF2-40B4-BE49-F238E27FC236}">
              <a16:creationId xmlns:a16="http://schemas.microsoft.com/office/drawing/2014/main" id="{90F496BC-13FE-43B5-8D5D-4468ED0CC5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8" name="Elipse 1057">
          <a:extLst>
            <a:ext uri="{FF2B5EF4-FFF2-40B4-BE49-F238E27FC236}">
              <a16:creationId xmlns:a16="http://schemas.microsoft.com/office/drawing/2014/main" id="{EB9FC8E4-A241-42F4-B4A1-3B38621004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9" name="Elipse 1058">
          <a:extLst>
            <a:ext uri="{FF2B5EF4-FFF2-40B4-BE49-F238E27FC236}">
              <a16:creationId xmlns:a16="http://schemas.microsoft.com/office/drawing/2014/main" id="{4E672205-7360-49E1-BEEB-5C05661355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0" name="Elipse 1059">
          <a:extLst>
            <a:ext uri="{FF2B5EF4-FFF2-40B4-BE49-F238E27FC236}">
              <a16:creationId xmlns:a16="http://schemas.microsoft.com/office/drawing/2014/main" id="{6A4144F6-784A-44C2-B299-63243E1BE1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1" name="Elipse 1060">
          <a:extLst>
            <a:ext uri="{FF2B5EF4-FFF2-40B4-BE49-F238E27FC236}">
              <a16:creationId xmlns:a16="http://schemas.microsoft.com/office/drawing/2014/main" id="{4EC395BB-02BD-4D37-85CF-17C144830D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2" name="Elipse 1061">
          <a:extLst>
            <a:ext uri="{FF2B5EF4-FFF2-40B4-BE49-F238E27FC236}">
              <a16:creationId xmlns:a16="http://schemas.microsoft.com/office/drawing/2014/main" id="{6E5B67A2-DF09-41F3-86E6-C294090338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3" name="Elipse 1062">
          <a:extLst>
            <a:ext uri="{FF2B5EF4-FFF2-40B4-BE49-F238E27FC236}">
              <a16:creationId xmlns:a16="http://schemas.microsoft.com/office/drawing/2014/main" id="{A71C21AD-C407-4729-9733-003F8C97D0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4" name="Elipse 1063">
          <a:extLst>
            <a:ext uri="{FF2B5EF4-FFF2-40B4-BE49-F238E27FC236}">
              <a16:creationId xmlns:a16="http://schemas.microsoft.com/office/drawing/2014/main" id="{0E480CF7-0974-434C-AFB9-4F6F75E60B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5" name="Elipse 1064">
          <a:extLst>
            <a:ext uri="{FF2B5EF4-FFF2-40B4-BE49-F238E27FC236}">
              <a16:creationId xmlns:a16="http://schemas.microsoft.com/office/drawing/2014/main" id="{AA5209B5-2067-4674-A120-B46EDFCA8C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6" name="Elipse 1065">
          <a:extLst>
            <a:ext uri="{FF2B5EF4-FFF2-40B4-BE49-F238E27FC236}">
              <a16:creationId xmlns:a16="http://schemas.microsoft.com/office/drawing/2014/main" id="{59AD5B31-47AB-492D-89AB-04418678CE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7" name="Elipse 1066">
          <a:extLst>
            <a:ext uri="{FF2B5EF4-FFF2-40B4-BE49-F238E27FC236}">
              <a16:creationId xmlns:a16="http://schemas.microsoft.com/office/drawing/2014/main" id="{CA878076-B667-47E5-B35A-89801CCD37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8" name="Elipse 1067">
          <a:extLst>
            <a:ext uri="{FF2B5EF4-FFF2-40B4-BE49-F238E27FC236}">
              <a16:creationId xmlns:a16="http://schemas.microsoft.com/office/drawing/2014/main" id="{A55E946C-9FEC-45C4-9EB9-A115FAF0EB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9" name="Elipse 1068">
          <a:extLst>
            <a:ext uri="{FF2B5EF4-FFF2-40B4-BE49-F238E27FC236}">
              <a16:creationId xmlns:a16="http://schemas.microsoft.com/office/drawing/2014/main" id="{4A24CA33-DE7E-4125-81A3-A9B35367E9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0" name="Elipse 1069">
          <a:extLst>
            <a:ext uri="{FF2B5EF4-FFF2-40B4-BE49-F238E27FC236}">
              <a16:creationId xmlns:a16="http://schemas.microsoft.com/office/drawing/2014/main" id="{3E1712A7-1E1B-47BE-A26A-6F4233C83D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1" name="Elipse 1070">
          <a:extLst>
            <a:ext uri="{FF2B5EF4-FFF2-40B4-BE49-F238E27FC236}">
              <a16:creationId xmlns:a16="http://schemas.microsoft.com/office/drawing/2014/main" id="{83A58FD5-40CA-4769-A83D-923E1890EB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2" name="Elipse 1071">
          <a:extLst>
            <a:ext uri="{FF2B5EF4-FFF2-40B4-BE49-F238E27FC236}">
              <a16:creationId xmlns:a16="http://schemas.microsoft.com/office/drawing/2014/main" id="{437AB71B-4EF2-4406-B33E-F36DCC71A4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3" name="Elipse 1072">
          <a:extLst>
            <a:ext uri="{FF2B5EF4-FFF2-40B4-BE49-F238E27FC236}">
              <a16:creationId xmlns:a16="http://schemas.microsoft.com/office/drawing/2014/main" id="{40A01823-D63A-4722-A1D9-A3DEAA699E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4" name="Elipse 1073">
          <a:extLst>
            <a:ext uri="{FF2B5EF4-FFF2-40B4-BE49-F238E27FC236}">
              <a16:creationId xmlns:a16="http://schemas.microsoft.com/office/drawing/2014/main" id="{2CCFC892-64C9-4861-BA7E-9B326EB88F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5" name="Elipse 1074">
          <a:extLst>
            <a:ext uri="{FF2B5EF4-FFF2-40B4-BE49-F238E27FC236}">
              <a16:creationId xmlns:a16="http://schemas.microsoft.com/office/drawing/2014/main" id="{3A17FE6F-E809-44B0-B26B-E20A49FD84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6" name="Elipse 1075">
          <a:extLst>
            <a:ext uri="{FF2B5EF4-FFF2-40B4-BE49-F238E27FC236}">
              <a16:creationId xmlns:a16="http://schemas.microsoft.com/office/drawing/2014/main" id="{D134DB3A-A708-4A12-A051-BF40C00D91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7" name="Elipse 1076">
          <a:extLst>
            <a:ext uri="{FF2B5EF4-FFF2-40B4-BE49-F238E27FC236}">
              <a16:creationId xmlns:a16="http://schemas.microsoft.com/office/drawing/2014/main" id="{217A1060-8C9D-4222-B8DD-F482191BAE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8" name="Elipse 1077">
          <a:extLst>
            <a:ext uri="{FF2B5EF4-FFF2-40B4-BE49-F238E27FC236}">
              <a16:creationId xmlns:a16="http://schemas.microsoft.com/office/drawing/2014/main" id="{B4344BC9-E4F2-49ED-AB79-ABB493009C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9" name="Elipse 1078">
          <a:extLst>
            <a:ext uri="{FF2B5EF4-FFF2-40B4-BE49-F238E27FC236}">
              <a16:creationId xmlns:a16="http://schemas.microsoft.com/office/drawing/2014/main" id="{23D20E77-F3AC-4FA5-92E1-366992877C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0" name="Elipse 1079">
          <a:extLst>
            <a:ext uri="{FF2B5EF4-FFF2-40B4-BE49-F238E27FC236}">
              <a16:creationId xmlns:a16="http://schemas.microsoft.com/office/drawing/2014/main" id="{6E35755D-49CF-47EE-96F2-1535FF3711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1" name="Elipse 1080">
          <a:extLst>
            <a:ext uri="{FF2B5EF4-FFF2-40B4-BE49-F238E27FC236}">
              <a16:creationId xmlns:a16="http://schemas.microsoft.com/office/drawing/2014/main" id="{CAF70309-B726-4EF5-99E9-F158BDCFC7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2" name="Elipse 1081">
          <a:extLst>
            <a:ext uri="{FF2B5EF4-FFF2-40B4-BE49-F238E27FC236}">
              <a16:creationId xmlns:a16="http://schemas.microsoft.com/office/drawing/2014/main" id="{E179C2D2-767D-4D96-9FA2-2D102FEA04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3" name="Elipse 1082">
          <a:extLst>
            <a:ext uri="{FF2B5EF4-FFF2-40B4-BE49-F238E27FC236}">
              <a16:creationId xmlns:a16="http://schemas.microsoft.com/office/drawing/2014/main" id="{17A011D4-DD5A-45C3-8B0B-D727E371B2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4" name="Elipse 1083">
          <a:extLst>
            <a:ext uri="{FF2B5EF4-FFF2-40B4-BE49-F238E27FC236}">
              <a16:creationId xmlns:a16="http://schemas.microsoft.com/office/drawing/2014/main" id="{C977D0E2-0D84-4E09-8FFA-F69202D381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5" name="Elipse 1084">
          <a:extLst>
            <a:ext uri="{FF2B5EF4-FFF2-40B4-BE49-F238E27FC236}">
              <a16:creationId xmlns:a16="http://schemas.microsoft.com/office/drawing/2014/main" id="{15487237-3A1D-46B1-9FAB-43604310CA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6" name="Elipse 1085">
          <a:extLst>
            <a:ext uri="{FF2B5EF4-FFF2-40B4-BE49-F238E27FC236}">
              <a16:creationId xmlns:a16="http://schemas.microsoft.com/office/drawing/2014/main" id="{F8B31D65-408A-4598-9276-4E66941B96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7" name="Elipse 1086">
          <a:extLst>
            <a:ext uri="{FF2B5EF4-FFF2-40B4-BE49-F238E27FC236}">
              <a16:creationId xmlns:a16="http://schemas.microsoft.com/office/drawing/2014/main" id="{6CB08E75-3BD7-4B5B-971C-BB78992B26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8" name="Elipse 1087">
          <a:extLst>
            <a:ext uri="{FF2B5EF4-FFF2-40B4-BE49-F238E27FC236}">
              <a16:creationId xmlns:a16="http://schemas.microsoft.com/office/drawing/2014/main" id="{34A81055-89BE-4CFC-BC10-98DB00F595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9" name="Elipse 1088">
          <a:extLst>
            <a:ext uri="{FF2B5EF4-FFF2-40B4-BE49-F238E27FC236}">
              <a16:creationId xmlns:a16="http://schemas.microsoft.com/office/drawing/2014/main" id="{0262A8D5-4E96-4D5C-8AE1-E7FD6AEF73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0" name="Elipse 1089">
          <a:extLst>
            <a:ext uri="{FF2B5EF4-FFF2-40B4-BE49-F238E27FC236}">
              <a16:creationId xmlns:a16="http://schemas.microsoft.com/office/drawing/2014/main" id="{CA7262A0-37C3-4734-87FD-0E30FE4A42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1" name="Elipse 1090">
          <a:extLst>
            <a:ext uri="{FF2B5EF4-FFF2-40B4-BE49-F238E27FC236}">
              <a16:creationId xmlns:a16="http://schemas.microsoft.com/office/drawing/2014/main" id="{88064F53-86E4-4519-B5AF-70F74281AC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2" name="Elipse 1091">
          <a:extLst>
            <a:ext uri="{FF2B5EF4-FFF2-40B4-BE49-F238E27FC236}">
              <a16:creationId xmlns:a16="http://schemas.microsoft.com/office/drawing/2014/main" id="{5AB18976-BB78-4344-9765-97CD00A899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3" name="Elipse 1092">
          <a:extLst>
            <a:ext uri="{FF2B5EF4-FFF2-40B4-BE49-F238E27FC236}">
              <a16:creationId xmlns:a16="http://schemas.microsoft.com/office/drawing/2014/main" id="{C478DDCE-2B58-4EDB-A7DA-6EE397BC63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4" name="Elipse 1093">
          <a:extLst>
            <a:ext uri="{FF2B5EF4-FFF2-40B4-BE49-F238E27FC236}">
              <a16:creationId xmlns:a16="http://schemas.microsoft.com/office/drawing/2014/main" id="{4801F4C7-1F26-491D-AB6F-968FEE7933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5" name="Elipse 1094">
          <a:extLst>
            <a:ext uri="{FF2B5EF4-FFF2-40B4-BE49-F238E27FC236}">
              <a16:creationId xmlns:a16="http://schemas.microsoft.com/office/drawing/2014/main" id="{5A897A01-7A10-499E-AE4C-4DD5D3A7CC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6" name="Elipse 1095">
          <a:extLst>
            <a:ext uri="{FF2B5EF4-FFF2-40B4-BE49-F238E27FC236}">
              <a16:creationId xmlns:a16="http://schemas.microsoft.com/office/drawing/2014/main" id="{F343A562-8DA5-4AE7-8E49-539F5DC5EF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7" name="Elipse 1096">
          <a:extLst>
            <a:ext uri="{FF2B5EF4-FFF2-40B4-BE49-F238E27FC236}">
              <a16:creationId xmlns:a16="http://schemas.microsoft.com/office/drawing/2014/main" id="{D148C2F1-14ED-422D-900E-CC7A0DD8BA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8" name="Elipse 1097">
          <a:extLst>
            <a:ext uri="{FF2B5EF4-FFF2-40B4-BE49-F238E27FC236}">
              <a16:creationId xmlns:a16="http://schemas.microsoft.com/office/drawing/2014/main" id="{0D5263F2-C811-4139-84C0-1C5DD53809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9" name="Elipse 1098">
          <a:extLst>
            <a:ext uri="{FF2B5EF4-FFF2-40B4-BE49-F238E27FC236}">
              <a16:creationId xmlns:a16="http://schemas.microsoft.com/office/drawing/2014/main" id="{A914C038-BCF1-4FB0-875A-278EB4C4E3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0" name="Elipse 1099">
          <a:extLst>
            <a:ext uri="{FF2B5EF4-FFF2-40B4-BE49-F238E27FC236}">
              <a16:creationId xmlns:a16="http://schemas.microsoft.com/office/drawing/2014/main" id="{9513E088-DA5F-421D-8978-D563BE1015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1" name="Elipse 1100">
          <a:extLst>
            <a:ext uri="{FF2B5EF4-FFF2-40B4-BE49-F238E27FC236}">
              <a16:creationId xmlns:a16="http://schemas.microsoft.com/office/drawing/2014/main" id="{0CB0A4B4-9CA1-4674-8BD5-6C3E839029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2" name="Elipse 1101">
          <a:extLst>
            <a:ext uri="{FF2B5EF4-FFF2-40B4-BE49-F238E27FC236}">
              <a16:creationId xmlns:a16="http://schemas.microsoft.com/office/drawing/2014/main" id="{2090A6CD-B796-4981-982F-CF23E9DCF0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3" name="Elipse 1102">
          <a:extLst>
            <a:ext uri="{FF2B5EF4-FFF2-40B4-BE49-F238E27FC236}">
              <a16:creationId xmlns:a16="http://schemas.microsoft.com/office/drawing/2014/main" id="{2CE19F9E-B0E8-4BDD-B488-3997543D34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4" name="Elipse 1103">
          <a:extLst>
            <a:ext uri="{FF2B5EF4-FFF2-40B4-BE49-F238E27FC236}">
              <a16:creationId xmlns:a16="http://schemas.microsoft.com/office/drawing/2014/main" id="{37899629-E488-42C9-9E9E-2DDE66F1A2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5" name="Elipse 1104">
          <a:extLst>
            <a:ext uri="{FF2B5EF4-FFF2-40B4-BE49-F238E27FC236}">
              <a16:creationId xmlns:a16="http://schemas.microsoft.com/office/drawing/2014/main" id="{17881A27-53B7-4B2E-A24A-E6160A0A40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6" name="Elipse 1105">
          <a:extLst>
            <a:ext uri="{FF2B5EF4-FFF2-40B4-BE49-F238E27FC236}">
              <a16:creationId xmlns:a16="http://schemas.microsoft.com/office/drawing/2014/main" id="{65F51227-28BE-4208-A834-72124EA121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7" name="Elipse 1106">
          <a:extLst>
            <a:ext uri="{FF2B5EF4-FFF2-40B4-BE49-F238E27FC236}">
              <a16:creationId xmlns:a16="http://schemas.microsoft.com/office/drawing/2014/main" id="{F60D365B-DA8C-47B7-B4B9-0AFA6BC025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8" name="Elipse 1107">
          <a:extLst>
            <a:ext uri="{FF2B5EF4-FFF2-40B4-BE49-F238E27FC236}">
              <a16:creationId xmlns:a16="http://schemas.microsoft.com/office/drawing/2014/main" id="{D630B5EC-D238-472C-A8D4-9D56663249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9" name="Elipse 1108">
          <a:extLst>
            <a:ext uri="{FF2B5EF4-FFF2-40B4-BE49-F238E27FC236}">
              <a16:creationId xmlns:a16="http://schemas.microsoft.com/office/drawing/2014/main" id="{9A21B379-C98F-4C59-9E77-941A0D5070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0" name="Elipse 1109">
          <a:extLst>
            <a:ext uri="{FF2B5EF4-FFF2-40B4-BE49-F238E27FC236}">
              <a16:creationId xmlns:a16="http://schemas.microsoft.com/office/drawing/2014/main" id="{14BEBC4B-B9FB-4A01-A347-1BB56F00D7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1" name="Elipse 1110">
          <a:extLst>
            <a:ext uri="{FF2B5EF4-FFF2-40B4-BE49-F238E27FC236}">
              <a16:creationId xmlns:a16="http://schemas.microsoft.com/office/drawing/2014/main" id="{CDF76367-E5CB-4441-84AD-6B75580CC9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2" name="Elipse 1111">
          <a:extLst>
            <a:ext uri="{FF2B5EF4-FFF2-40B4-BE49-F238E27FC236}">
              <a16:creationId xmlns:a16="http://schemas.microsoft.com/office/drawing/2014/main" id="{0472A1A5-7248-4D67-9DF9-6A24A3ABB1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3" name="Elipse 1112">
          <a:extLst>
            <a:ext uri="{FF2B5EF4-FFF2-40B4-BE49-F238E27FC236}">
              <a16:creationId xmlns:a16="http://schemas.microsoft.com/office/drawing/2014/main" id="{2B6B3914-22C8-4D07-A61F-C1A1FEADCE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4" name="Elipse 1113">
          <a:extLst>
            <a:ext uri="{FF2B5EF4-FFF2-40B4-BE49-F238E27FC236}">
              <a16:creationId xmlns:a16="http://schemas.microsoft.com/office/drawing/2014/main" id="{2E4F90D9-E9A7-475C-8252-072DA32EB3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5" name="Elipse 1114">
          <a:extLst>
            <a:ext uri="{FF2B5EF4-FFF2-40B4-BE49-F238E27FC236}">
              <a16:creationId xmlns:a16="http://schemas.microsoft.com/office/drawing/2014/main" id="{A33F50A0-C65C-4E21-A395-7CC1913AB7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6" name="Elipse 1115">
          <a:extLst>
            <a:ext uri="{FF2B5EF4-FFF2-40B4-BE49-F238E27FC236}">
              <a16:creationId xmlns:a16="http://schemas.microsoft.com/office/drawing/2014/main" id="{4FF32078-9872-4E5D-933A-2074B66E69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7" name="Elipse 1116">
          <a:extLst>
            <a:ext uri="{FF2B5EF4-FFF2-40B4-BE49-F238E27FC236}">
              <a16:creationId xmlns:a16="http://schemas.microsoft.com/office/drawing/2014/main" id="{89EACAE8-234A-4886-A4DF-108A79E789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8" name="Elipse 1117">
          <a:extLst>
            <a:ext uri="{FF2B5EF4-FFF2-40B4-BE49-F238E27FC236}">
              <a16:creationId xmlns:a16="http://schemas.microsoft.com/office/drawing/2014/main" id="{3D2D4B01-9C18-44EC-8F78-A867CA01D5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9" name="Elipse 1118">
          <a:extLst>
            <a:ext uri="{FF2B5EF4-FFF2-40B4-BE49-F238E27FC236}">
              <a16:creationId xmlns:a16="http://schemas.microsoft.com/office/drawing/2014/main" id="{078D594F-CCD8-448B-938B-23BF1610EF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0" name="Elipse 1119">
          <a:extLst>
            <a:ext uri="{FF2B5EF4-FFF2-40B4-BE49-F238E27FC236}">
              <a16:creationId xmlns:a16="http://schemas.microsoft.com/office/drawing/2014/main" id="{E144BAFA-D73B-4249-B667-96AC8A31C9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1" name="Elipse 1120">
          <a:extLst>
            <a:ext uri="{FF2B5EF4-FFF2-40B4-BE49-F238E27FC236}">
              <a16:creationId xmlns:a16="http://schemas.microsoft.com/office/drawing/2014/main" id="{96F1935B-69D0-4832-971E-F2D83FD901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2" name="Elipse 1121">
          <a:extLst>
            <a:ext uri="{FF2B5EF4-FFF2-40B4-BE49-F238E27FC236}">
              <a16:creationId xmlns:a16="http://schemas.microsoft.com/office/drawing/2014/main" id="{D8A0FA9D-BFB7-43C5-AD7B-1A5D1FAED5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3" name="Elipse 1122">
          <a:extLst>
            <a:ext uri="{FF2B5EF4-FFF2-40B4-BE49-F238E27FC236}">
              <a16:creationId xmlns:a16="http://schemas.microsoft.com/office/drawing/2014/main" id="{3AAD60DB-D93A-4FDD-8739-5CC79D8293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4" name="Elipse 1123">
          <a:extLst>
            <a:ext uri="{FF2B5EF4-FFF2-40B4-BE49-F238E27FC236}">
              <a16:creationId xmlns:a16="http://schemas.microsoft.com/office/drawing/2014/main" id="{4E799CD3-5F58-4115-BBAE-CCA6D12908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5" name="Elipse 1124">
          <a:extLst>
            <a:ext uri="{FF2B5EF4-FFF2-40B4-BE49-F238E27FC236}">
              <a16:creationId xmlns:a16="http://schemas.microsoft.com/office/drawing/2014/main" id="{0195BFBD-010B-44E0-8C96-F7E9B70B8B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6" name="Elipse 1125">
          <a:extLst>
            <a:ext uri="{FF2B5EF4-FFF2-40B4-BE49-F238E27FC236}">
              <a16:creationId xmlns:a16="http://schemas.microsoft.com/office/drawing/2014/main" id="{063505FA-8F8A-44E2-B8BE-90569507A4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7" name="Elipse 1126">
          <a:extLst>
            <a:ext uri="{FF2B5EF4-FFF2-40B4-BE49-F238E27FC236}">
              <a16:creationId xmlns:a16="http://schemas.microsoft.com/office/drawing/2014/main" id="{9F190CF1-CBD8-4802-8BF9-56CA2755B7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8" name="Elipse 1127">
          <a:extLst>
            <a:ext uri="{FF2B5EF4-FFF2-40B4-BE49-F238E27FC236}">
              <a16:creationId xmlns:a16="http://schemas.microsoft.com/office/drawing/2014/main" id="{A3775AA6-8338-4A45-B704-8A72166C13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9" name="Elipse 1128">
          <a:extLst>
            <a:ext uri="{FF2B5EF4-FFF2-40B4-BE49-F238E27FC236}">
              <a16:creationId xmlns:a16="http://schemas.microsoft.com/office/drawing/2014/main" id="{3845DBCD-C617-4ADD-BDD7-0F3ABBD1FF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0" name="Elipse 1129">
          <a:extLst>
            <a:ext uri="{FF2B5EF4-FFF2-40B4-BE49-F238E27FC236}">
              <a16:creationId xmlns:a16="http://schemas.microsoft.com/office/drawing/2014/main" id="{E57C8828-9A19-4316-BB0D-44D10FE3E3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1" name="Elipse 1130">
          <a:extLst>
            <a:ext uri="{FF2B5EF4-FFF2-40B4-BE49-F238E27FC236}">
              <a16:creationId xmlns:a16="http://schemas.microsoft.com/office/drawing/2014/main" id="{906CE2E4-5E1F-43E9-8766-EBB6640C47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2" name="Elipse 1131">
          <a:extLst>
            <a:ext uri="{FF2B5EF4-FFF2-40B4-BE49-F238E27FC236}">
              <a16:creationId xmlns:a16="http://schemas.microsoft.com/office/drawing/2014/main" id="{4FA7F460-2ACD-444E-99FB-8B70E5EE0D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3" name="Elipse 1132">
          <a:extLst>
            <a:ext uri="{FF2B5EF4-FFF2-40B4-BE49-F238E27FC236}">
              <a16:creationId xmlns:a16="http://schemas.microsoft.com/office/drawing/2014/main" id="{1E55DA40-CA01-44AB-8239-BFE1C6E52E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4" name="Elipse 1133">
          <a:extLst>
            <a:ext uri="{FF2B5EF4-FFF2-40B4-BE49-F238E27FC236}">
              <a16:creationId xmlns:a16="http://schemas.microsoft.com/office/drawing/2014/main" id="{9B14D3F1-C04F-4505-8DE2-CAD29D9381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5" name="Elipse 1134">
          <a:extLst>
            <a:ext uri="{FF2B5EF4-FFF2-40B4-BE49-F238E27FC236}">
              <a16:creationId xmlns:a16="http://schemas.microsoft.com/office/drawing/2014/main" id="{603C40AE-4AA5-441B-8006-5974CD7E24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6" name="Elipse 1135">
          <a:extLst>
            <a:ext uri="{FF2B5EF4-FFF2-40B4-BE49-F238E27FC236}">
              <a16:creationId xmlns:a16="http://schemas.microsoft.com/office/drawing/2014/main" id="{97E65E23-2FEA-421D-85B7-A307069D7C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7" name="Elipse 1136">
          <a:extLst>
            <a:ext uri="{FF2B5EF4-FFF2-40B4-BE49-F238E27FC236}">
              <a16:creationId xmlns:a16="http://schemas.microsoft.com/office/drawing/2014/main" id="{B619BB7E-D718-4A20-AFAE-7C092D831C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8" name="Elipse 1137">
          <a:extLst>
            <a:ext uri="{FF2B5EF4-FFF2-40B4-BE49-F238E27FC236}">
              <a16:creationId xmlns:a16="http://schemas.microsoft.com/office/drawing/2014/main" id="{42F23B3F-CD38-4F2E-B9AA-BB47FC1012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9" name="Elipse 1138">
          <a:extLst>
            <a:ext uri="{FF2B5EF4-FFF2-40B4-BE49-F238E27FC236}">
              <a16:creationId xmlns:a16="http://schemas.microsoft.com/office/drawing/2014/main" id="{EAD04CBC-5949-4795-B2CE-E417929F58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0" name="Elipse 1139">
          <a:extLst>
            <a:ext uri="{FF2B5EF4-FFF2-40B4-BE49-F238E27FC236}">
              <a16:creationId xmlns:a16="http://schemas.microsoft.com/office/drawing/2014/main" id="{7B57BD91-2940-407E-BF1E-79DD91F044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1" name="Elipse 1140">
          <a:extLst>
            <a:ext uri="{FF2B5EF4-FFF2-40B4-BE49-F238E27FC236}">
              <a16:creationId xmlns:a16="http://schemas.microsoft.com/office/drawing/2014/main" id="{65EE0213-219C-4306-8BC3-7F5905A2E7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2" name="Elipse 1141">
          <a:extLst>
            <a:ext uri="{FF2B5EF4-FFF2-40B4-BE49-F238E27FC236}">
              <a16:creationId xmlns:a16="http://schemas.microsoft.com/office/drawing/2014/main" id="{2411CDB5-0254-47DA-A39D-7954164FE0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3" name="Elipse 1142">
          <a:extLst>
            <a:ext uri="{FF2B5EF4-FFF2-40B4-BE49-F238E27FC236}">
              <a16:creationId xmlns:a16="http://schemas.microsoft.com/office/drawing/2014/main" id="{7899DA53-B70A-4021-B7B4-55AD9DC2D0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4" name="Elipse 1143">
          <a:extLst>
            <a:ext uri="{FF2B5EF4-FFF2-40B4-BE49-F238E27FC236}">
              <a16:creationId xmlns:a16="http://schemas.microsoft.com/office/drawing/2014/main" id="{3B1C64DD-30BB-4972-BCA6-4BC6FF3983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5" name="Elipse 1144">
          <a:extLst>
            <a:ext uri="{FF2B5EF4-FFF2-40B4-BE49-F238E27FC236}">
              <a16:creationId xmlns:a16="http://schemas.microsoft.com/office/drawing/2014/main" id="{9211D6C3-8F27-4E5F-98FF-8CAAACC747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6" name="Elipse 1145">
          <a:extLst>
            <a:ext uri="{FF2B5EF4-FFF2-40B4-BE49-F238E27FC236}">
              <a16:creationId xmlns:a16="http://schemas.microsoft.com/office/drawing/2014/main" id="{1A53998E-B8A0-4970-A40E-31ED1EF55E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7" name="Elipse 1146">
          <a:extLst>
            <a:ext uri="{FF2B5EF4-FFF2-40B4-BE49-F238E27FC236}">
              <a16:creationId xmlns:a16="http://schemas.microsoft.com/office/drawing/2014/main" id="{4056BC8B-4961-441F-BA59-3583A5082D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8" name="Elipse 1147">
          <a:extLst>
            <a:ext uri="{FF2B5EF4-FFF2-40B4-BE49-F238E27FC236}">
              <a16:creationId xmlns:a16="http://schemas.microsoft.com/office/drawing/2014/main" id="{C4F0A4D4-54FC-4B52-B93A-1421D6EF31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9" name="Elipse 1148">
          <a:extLst>
            <a:ext uri="{FF2B5EF4-FFF2-40B4-BE49-F238E27FC236}">
              <a16:creationId xmlns:a16="http://schemas.microsoft.com/office/drawing/2014/main" id="{0199D7B3-445C-4F7E-AA29-EDE10A0AA1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0" name="Elipse 1149">
          <a:extLst>
            <a:ext uri="{FF2B5EF4-FFF2-40B4-BE49-F238E27FC236}">
              <a16:creationId xmlns:a16="http://schemas.microsoft.com/office/drawing/2014/main" id="{76A8E3FA-DD50-4109-8F08-8549F0BAB5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1" name="Elipse 1150">
          <a:extLst>
            <a:ext uri="{FF2B5EF4-FFF2-40B4-BE49-F238E27FC236}">
              <a16:creationId xmlns:a16="http://schemas.microsoft.com/office/drawing/2014/main" id="{CC4E0093-2E87-4810-993B-2E28C1E4FA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2" name="Elipse 1151">
          <a:extLst>
            <a:ext uri="{FF2B5EF4-FFF2-40B4-BE49-F238E27FC236}">
              <a16:creationId xmlns:a16="http://schemas.microsoft.com/office/drawing/2014/main" id="{03232BB7-5BED-4379-8489-BED410613D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3" name="Elipse 1152">
          <a:extLst>
            <a:ext uri="{FF2B5EF4-FFF2-40B4-BE49-F238E27FC236}">
              <a16:creationId xmlns:a16="http://schemas.microsoft.com/office/drawing/2014/main" id="{0DFDBDE6-C8DB-41AA-ADAC-E87C006FB4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4" name="Elipse 1153">
          <a:extLst>
            <a:ext uri="{FF2B5EF4-FFF2-40B4-BE49-F238E27FC236}">
              <a16:creationId xmlns:a16="http://schemas.microsoft.com/office/drawing/2014/main" id="{0B9C6CCF-7A28-4317-BECB-A7A5A08979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5" name="Elipse 1154">
          <a:extLst>
            <a:ext uri="{FF2B5EF4-FFF2-40B4-BE49-F238E27FC236}">
              <a16:creationId xmlns:a16="http://schemas.microsoft.com/office/drawing/2014/main" id="{B5378F44-C299-4D0A-8E3A-E078345225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6" name="Elipse 1155">
          <a:extLst>
            <a:ext uri="{FF2B5EF4-FFF2-40B4-BE49-F238E27FC236}">
              <a16:creationId xmlns:a16="http://schemas.microsoft.com/office/drawing/2014/main" id="{4F51340A-6E08-4D5C-AB23-373913CF88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7" name="Elipse 1156">
          <a:extLst>
            <a:ext uri="{FF2B5EF4-FFF2-40B4-BE49-F238E27FC236}">
              <a16:creationId xmlns:a16="http://schemas.microsoft.com/office/drawing/2014/main" id="{A21EF900-6BDB-42B6-96FC-4F67B5BDCC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8" name="Elipse 1157">
          <a:extLst>
            <a:ext uri="{FF2B5EF4-FFF2-40B4-BE49-F238E27FC236}">
              <a16:creationId xmlns:a16="http://schemas.microsoft.com/office/drawing/2014/main" id="{A4CEF85E-1C0F-481D-B729-8BD553EBBE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9" name="Elipse 1158">
          <a:extLst>
            <a:ext uri="{FF2B5EF4-FFF2-40B4-BE49-F238E27FC236}">
              <a16:creationId xmlns:a16="http://schemas.microsoft.com/office/drawing/2014/main" id="{37ED52FC-7383-4B2C-A2B0-E7E5C38BAD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0" name="Elipse 1159">
          <a:extLst>
            <a:ext uri="{FF2B5EF4-FFF2-40B4-BE49-F238E27FC236}">
              <a16:creationId xmlns:a16="http://schemas.microsoft.com/office/drawing/2014/main" id="{6C5C03CB-76EF-4128-A642-B44F3167DA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1" name="Elipse 1160">
          <a:extLst>
            <a:ext uri="{FF2B5EF4-FFF2-40B4-BE49-F238E27FC236}">
              <a16:creationId xmlns:a16="http://schemas.microsoft.com/office/drawing/2014/main" id="{8507B6B2-5156-4E06-89E4-DB66640CE1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2" name="Elipse 1161">
          <a:extLst>
            <a:ext uri="{FF2B5EF4-FFF2-40B4-BE49-F238E27FC236}">
              <a16:creationId xmlns:a16="http://schemas.microsoft.com/office/drawing/2014/main" id="{4850CA8B-E558-4DD7-A78C-6A4016232B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3" name="Elipse 1162">
          <a:extLst>
            <a:ext uri="{FF2B5EF4-FFF2-40B4-BE49-F238E27FC236}">
              <a16:creationId xmlns:a16="http://schemas.microsoft.com/office/drawing/2014/main" id="{DC42BC0A-64AA-488A-A42F-011D2AEED7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4" name="Elipse 1163">
          <a:extLst>
            <a:ext uri="{FF2B5EF4-FFF2-40B4-BE49-F238E27FC236}">
              <a16:creationId xmlns:a16="http://schemas.microsoft.com/office/drawing/2014/main" id="{B86C89AD-85FC-470F-8D89-F7AD65C8D8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5" name="Elipse 1164">
          <a:extLst>
            <a:ext uri="{FF2B5EF4-FFF2-40B4-BE49-F238E27FC236}">
              <a16:creationId xmlns:a16="http://schemas.microsoft.com/office/drawing/2014/main" id="{CCE8EC3A-19F3-4237-99E5-EEEE5870EE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6" name="Elipse 1165">
          <a:extLst>
            <a:ext uri="{FF2B5EF4-FFF2-40B4-BE49-F238E27FC236}">
              <a16:creationId xmlns:a16="http://schemas.microsoft.com/office/drawing/2014/main" id="{00144FE6-004C-4F3B-92D5-5984189FB4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7" name="Elipse 1166">
          <a:extLst>
            <a:ext uri="{FF2B5EF4-FFF2-40B4-BE49-F238E27FC236}">
              <a16:creationId xmlns:a16="http://schemas.microsoft.com/office/drawing/2014/main" id="{4D5BDDE7-5797-4952-8FB4-41DA5DDAB3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8" name="Elipse 1167">
          <a:extLst>
            <a:ext uri="{FF2B5EF4-FFF2-40B4-BE49-F238E27FC236}">
              <a16:creationId xmlns:a16="http://schemas.microsoft.com/office/drawing/2014/main" id="{9499393C-7C2C-4D7A-8B33-C4C56A1DA7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9" name="Elipse 1168">
          <a:extLst>
            <a:ext uri="{FF2B5EF4-FFF2-40B4-BE49-F238E27FC236}">
              <a16:creationId xmlns:a16="http://schemas.microsoft.com/office/drawing/2014/main" id="{9292699A-F88F-4BE7-AD96-38A1D8EEC6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0" name="Elipse 1169">
          <a:extLst>
            <a:ext uri="{FF2B5EF4-FFF2-40B4-BE49-F238E27FC236}">
              <a16:creationId xmlns:a16="http://schemas.microsoft.com/office/drawing/2014/main" id="{4E040B40-31D2-418D-9C81-74F59C3AA4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1" name="Elipse 1170">
          <a:extLst>
            <a:ext uri="{FF2B5EF4-FFF2-40B4-BE49-F238E27FC236}">
              <a16:creationId xmlns:a16="http://schemas.microsoft.com/office/drawing/2014/main" id="{E9D240FC-EED9-4C69-B4BA-51FA3C3E01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2" name="Elipse 1171">
          <a:extLst>
            <a:ext uri="{FF2B5EF4-FFF2-40B4-BE49-F238E27FC236}">
              <a16:creationId xmlns:a16="http://schemas.microsoft.com/office/drawing/2014/main" id="{11593E8D-68D0-4E1B-B26F-3DACAF6804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3" name="Elipse 1172">
          <a:extLst>
            <a:ext uri="{FF2B5EF4-FFF2-40B4-BE49-F238E27FC236}">
              <a16:creationId xmlns:a16="http://schemas.microsoft.com/office/drawing/2014/main" id="{4237FBC4-9CA2-4E1C-8F0A-E56152EBCD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4" name="Elipse 1173">
          <a:extLst>
            <a:ext uri="{FF2B5EF4-FFF2-40B4-BE49-F238E27FC236}">
              <a16:creationId xmlns:a16="http://schemas.microsoft.com/office/drawing/2014/main" id="{389C7DF0-94F4-44EB-B71B-C8B2A34A3F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5" name="Elipse 1174">
          <a:extLst>
            <a:ext uri="{FF2B5EF4-FFF2-40B4-BE49-F238E27FC236}">
              <a16:creationId xmlns:a16="http://schemas.microsoft.com/office/drawing/2014/main" id="{709C054D-E4C7-4F91-AE67-F0394ABC8A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6" name="Elipse 1175">
          <a:extLst>
            <a:ext uri="{FF2B5EF4-FFF2-40B4-BE49-F238E27FC236}">
              <a16:creationId xmlns:a16="http://schemas.microsoft.com/office/drawing/2014/main" id="{B2A9C01F-3E8F-465F-9FCA-C4E879B363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7" name="Elipse 1176">
          <a:extLst>
            <a:ext uri="{FF2B5EF4-FFF2-40B4-BE49-F238E27FC236}">
              <a16:creationId xmlns:a16="http://schemas.microsoft.com/office/drawing/2014/main" id="{46E5C9AE-DC71-4B7E-888A-3DFF0D9ACC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8" name="Elipse 1177">
          <a:extLst>
            <a:ext uri="{FF2B5EF4-FFF2-40B4-BE49-F238E27FC236}">
              <a16:creationId xmlns:a16="http://schemas.microsoft.com/office/drawing/2014/main" id="{C3ADECC4-CC3E-421A-8BA4-5FD77B6A43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9" name="Elipse 1178">
          <a:extLst>
            <a:ext uri="{FF2B5EF4-FFF2-40B4-BE49-F238E27FC236}">
              <a16:creationId xmlns:a16="http://schemas.microsoft.com/office/drawing/2014/main" id="{0CF8491C-EFD5-4060-A19C-4C7F3A1B72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0" name="Elipse 1179">
          <a:extLst>
            <a:ext uri="{FF2B5EF4-FFF2-40B4-BE49-F238E27FC236}">
              <a16:creationId xmlns:a16="http://schemas.microsoft.com/office/drawing/2014/main" id="{4ADA2445-6620-4346-87A0-7C52319A25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1" name="Elipse 1180">
          <a:extLst>
            <a:ext uri="{FF2B5EF4-FFF2-40B4-BE49-F238E27FC236}">
              <a16:creationId xmlns:a16="http://schemas.microsoft.com/office/drawing/2014/main" id="{99D4888C-B1C3-4555-8D70-AA4BF8BD9D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2" name="Elipse 1181">
          <a:extLst>
            <a:ext uri="{FF2B5EF4-FFF2-40B4-BE49-F238E27FC236}">
              <a16:creationId xmlns:a16="http://schemas.microsoft.com/office/drawing/2014/main" id="{CF94163B-642D-4067-8D90-295DCC690E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3" name="Elipse 1182">
          <a:extLst>
            <a:ext uri="{FF2B5EF4-FFF2-40B4-BE49-F238E27FC236}">
              <a16:creationId xmlns:a16="http://schemas.microsoft.com/office/drawing/2014/main" id="{D794CD0F-8A0A-4490-AA6B-3C0756A326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4" name="Elipse 1183">
          <a:extLst>
            <a:ext uri="{FF2B5EF4-FFF2-40B4-BE49-F238E27FC236}">
              <a16:creationId xmlns:a16="http://schemas.microsoft.com/office/drawing/2014/main" id="{CD69E931-BC7F-4610-A4BD-064BBF543A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5" name="Elipse 1184">
          <a:extLst>
            <a:ext uri="{FF2B5EF4-FFF2-40B4-BE49-F238E27FC236}">
              <a16:creationId xmlns:a16="http://schemas.microsoft.com/office/drawing/2014/main" id="{218A2F8E-6B09-4002-90BE-505B421390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6" name="Elipse 1185">
          <a:extLst>
            <a:ext uri="{FF2B5EF4-FFF2-40B4-BE49-F238E27FC236}">
              <a16:creationId xmlns:a16="http://schemas.microsoft.com/office/drawing/2014/main" id="{233B657A-F7E6-4380-9ED8-165FF51269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7" name="Elipse 1186">
          <a:extLst>
            <a:ext uri="{FF2B5EF4-FFF2-40B4-BE49-F238E27FC236}">
              <a16:creationId xmlns:a16="http://schemas.microsoft.com/office/drawing/2014/main" id="{A6D9A041-242B-48EC-B9E2-22BCDD817E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8" name="Elipse 1187">
          <a:extLst>
            <a:ext uri="{FF2B5EF4-FFF2-40B4-BE49-F238E27FC236}">
              <a16:creationId xmlns:a16="http://schemas.microsoft.com/office/drawing/2014/main" id="{388DCE47-4EB6-4504-8E36-E05D714DA6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9" name="Elipse 1188">
          <a:extLst>
            <a:ext uri="{FF2B5EF4-FFF2-40B4-BE49-F238E27FC236}">
              <a16:creationId xmlns:a16="http://schemas.microsoft.com/office/drawing/2014/main" id="{5C3141FF-34A5-4938-9D5B-0A304B9F55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0" name="Elipse 1189">
          <a:extLst>
            <a:ext uri="{FF2B5EF4-FFF2-40B4-BE49-F238E27FC236}">
              <a16:creationId xmlns:a16="http://schemas.microsoft.com/office/drawing/2014/main" id="{AD78A0B3-FBDE-43D0-8FC1-4F5D6348C0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1" name="Elipse 1190">
          <a:extLst>
            <a:ext uri="{FF2B5EF4-FFF2-40B4-BE49-F238E27FC236}">
              <a16:creationId xmlns:a16="http://schemas.microsoft.com/office/drawing/2014/main" id="{C7546F5D-DBBF-4DEF-AF2C-2C5C62C7DA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2" name="Elipse 1191">
          <a:extLst>
            <a:ext uri="{FF2B5EF4-FFF2-40B4-BE49-F238E27FC236}">
              <a16:creationId xmlns:a16="http://schemas.microsoft.com/office/drawing/2014/main" id="{ABFF9D8D-BD54-4249-A8C6-B765E7C4F1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3" name="Elipse 1192">
          <a:extLst>
            <a:ext uri="{FF2B5EF4-FFF2-40B4-BE49-F238E27FC236}">
              <a16:creationId xmlns:a16="http://schemas.microsoft.com/office/drawing/2014/main" id="{B27F6456-E280-4D05-8D3F-BE16AE9254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4" name="Elipse 1193">
          <a:extLst>
            <a:ext uri="{FF2B5EF4-FFF2-40B4-BE49-F238E27FC236}">
              <a16:creationId xmlns:a16="http://schemas.microsoft.com/office/drawing/2014/main" id="{F84FD78F-B57B-45B8-9351-E354BDF3E1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5" name="Elipse 1194">
          <a:extLst>
            <a:ext uri="{FF2B5EF4-FFF2-40B4-BE49-F238E27FC236}">
              <a16:creationId xmlns:a16="http://schemas.microsoft.com/office/drawing/2014/main" id="{4E9CE5F9-4D98-4438-8D10-9107324050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6" name="Elipse 1195">
          <a:extLst>
            <a:ext uri="{FF2B5EF4-FFF2-40B4-BE49-F238E27FC236}">
              <a16:creationId xmlns:a16="http://schemas.microsoft.com/office/drawing/2014/main" id="{F171EF26-DEA4-4EBC-9E3E-B87CA9424E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7" name="Elipse 1196">
          <a:extLst>
            <a:ext uri="{FF2B5EF4-FFF2-40B4-BE49-F238E27FC236}">
              <a16:creationId xmlns:a16="http://schemas.microsoft.com/office/drawing/2014/main" id="{E52F64B4-46B2-4415-99FC-C9C4BF56C6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8" name="Elipse 1197">
          <a:extLst>
            <a:ext uri="{FF2B5EF4-FFF2-40B4-BE49-F238E27FC236}">
              <a16:creationId xmlns:a16="http://schemas.microsoft.com/office/drawing/2014/main" id="{BDC2AC42-C021-4C80-BEE0-6131B7EE7D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9" name="Elipse 1198">
          <a:extLst>
            <a:ext uri="{FF2B5EF4-FFF2-40B4-BE49-F238E27FC236}">
              <a16:creationId xmlns:a16="http://schemas.microsoft.com/office/drawing/2014/main" id="{81F01B6E-0A1A-4BDB-B5DE-8CC867ECC6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0" name="Elipse 1199">
          <a:extLst>
            <a:ext uri="{FF2B5EF4-FFF2-40B4-BE49-F238E27FC236}">
              <a16:creationId xmlns:a16="http://schemas.microsoft.com/office/drawing/2014/main" id="{2F0C2093-60B4-417D-9A8C-F3229BFA62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1" name="Elipse 1200">
          <a:extLst>
            <a:ext uri="{FF2B5EF4-FFF2-40B4-BE49-F238E27FC236}">
              <a16:creationId xmlns:a16="http://schemas.microsoft.com/office/drawing/2014/main" id="{2DCC3B57-CECB-4B4C-8053-1F96C137E2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2" name="Elipse 1201">
          <a:extLst>
            <a:ext uri="{FF2B5EF4-FFF2-40B4-BE49-F238E27FC236}">
              <a16:creationId xmlns:a16="http://schemas.microsoft.com/office/drawing/2014/main" id="{E891D2A5-62EF-4BA5-ADD0-DBEC253C38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3" name="Elipse 1202">
          <a:extLst>
            <a:ext uri="{FF2B5EF4-FFF2-40B4-BE49-F238E27FC236}">
              <a16:creationId xmlns:a16="http://schemas.microsoft.com/office/drawing/2014/main" id="{3039C586-A0DF-47BC-937A-48404C7768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4" name="Elipse 1203">
          <a:extLst>
            <a:ext uri="{FF2B5EF4-FFF2-40B4-BE49-F238E27FC236}">
              <a16:creationId xmlns:a16="http://schemas.microsoft.com/office/drawing/2014/main" id="{106337C9-3E50-4C73-B917-ECCA03B5B1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5" name="Elipse 1204">
          <a:extLst>
            <a:ext uri="{FF2B5EF4-FFF2-40B4-BE49-F238E27FC236}">
              <a16:creationId xmlns:a16="http://schemas.microsoft.com/office/drawing/2014/main" id="{BEAC4AF2-81CB-41B4-A537-10C917B14C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6" name="Elipse 1205">
          <a:extLst>
            <a:ext uri="{FF2B5EF4-FFF2-40B4-BE49-F238E27FC236}">
              <a16:creationId xmlns:a16="http://schemas.microsoft.com/office/drawing/2014/main" id="{5E41ACE8-4432-48AC-AC90-40D43DBB9C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7" name="Elipse 1206">
          <a:extLst>
            <a:ext uri="{FF2B5EF4-FFF2-40B4-BE49-F238E27FC236}">
              <a16:creationId xmlns:a16="http://schemas.microsoft.com/office/drawing/2014/main" id="{1F7CC555-9C54-4E53-B8F5-831F8095FA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8" name="Elipse 1207">
          <a:extLst>
            <a:ext uri="{FF2B5EF4-FFF2-40B4-BE49-F238E27FC236}">
              <a16:creationId xmlns:a16="http://schemas.microsoft.com/office/drawing/2014/main" id="{12AA6E90-E121-48C7-956D-CF6259C978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9" name="Elipse 1208">
          <a:extLst>
            <a:ext uri="{FF2B5EF4-FFF2-40B4-BE49-F238E27FC236}">
              <a16:creationId xmlns:a16="http://schemas.microsoft.com/office/drawing/2014/main" id="{F94B63FF-3DFF-4E2D-B9EB-104480A1F4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0" name="Elipse 1209">
          <a:extLst>
            <a:ext uri="{FF2B5EF4-FFF2-40B4-BE49-F238E27FC236}">
              <a16:creationId xmlns:a16="http://schemas.microsoft.com/office/drawing/2014/main" id="{F29E977D-2E90-46E4-B0F2-D394859132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1" name="Elipse 1210">
          <a:extLst>
            <a:ext uri="{FF2B5EF4-FFF2-40B4-BE49-F238E27FC236}">
              <a16:creationId xmlns:a16="http://schemas.microsoft.com/office/drawing/2014/main" id="{99B3E9F6-6D14-47D4-A321-AE66A878D9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2" name="Elipse 1211">
          <a:extLst>
            <a:ext uri="{FF2B5EF4-FFF2-40B4-BE49-F238E27FC236}">
              <a16:creationId xmlns:a16="http://schemas.microsoft.com/office/drawing/2014/main" id="{692E7C8F-2085-4B11-BBD3-A5E6A8D85B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3" name="Elipse 1212">
          <a:extLst>
            <a:ext uri="{FF2B5EF4-FFF2-40B4-BE49-F238E27FC236}">
              <a16:creationId xmlns:a16="http://schemas.microsoft.com/office/drawing/2014/main" id="{6D3EE56D-9CD3-4178-BDFD-A110B78CC1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4" name="Elipse 1213">
          <a:extLst>
            <a:ext uri="{FF2B5EF4-FFF2-40B4-BE49-F238E27FC236}">
              <a16:creationId xmlns:a16="http://schemas.microsoft.com/office/drawing/2014/main" id="{3C7234A6-D210-41D1-969B-F060F42DE9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5" name="Elipse 1214">
          <a:extLst>
            <a:ext uri="{FF2B5EF4-FFF2-40B4-BE49-F238E27FC236}">
              <a16:creationId xmlns:a16="http://schemas.microsoft.com/office/drawing/2014/main" id="{7C41D044-A247-438F-8919-E5B37B3C6E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6" name="Elipse 1215">
          <a:extLst>
            <a:ext uri="{FF2B5EF4-FFF2-40B4-BE49-F238E27FC236}">
              <a16:creationId xmlns:a16="http://schemas.microsoft.com/office/drawing/2014/main" id="{30D6B494-0FCB-4632-8EF2-E7EDAADE4D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7" name="Elipse 1216">
          <a:extLst>
            <a:ext uri="{FF2B5EF4-FFF2-40B4-BE49-F238E27FC236}">
              <a16:creationId xmlns:a16="http://schemas.microsoft.com/office/drawing/2014/main" id="{FE6241AF-C8D8-4B9B-B8DA-711557FAD2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8" name="Elipse 1217">
          <a:extLst>
            <a:ext uri="{FF2B5EF4-FFF2-40B4-BE49-F238E27FC236}">
              <a16:creationId xmlns:a16="http://schemas.microsoft.com/office/drawing/2014/main" id="{6F7E4409-BFD7-44F0-93E0-F1573B6BF8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9" name="Elipse 1218">
          <a:extLst>
            <a:ext uri="{FF2B5EF4-FFF2-40B4-BE49-F238E27FC236}">
              <a16:creationId xmlns:a16="http://schemas.microsoft.com/office/drawing/2014/main" id="{55D14471-ECC4-4F59-BEAC-72C9B024FC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0" name="Elipse 1219">
          <a:extLst>
            <a:ext uri="{FF2B5EF4-FFF2-40B4-BE49-F238E27FC236}">
              <a16:creationId xmlns:a16="http://schemas.microsoft.com/office/drawing/2014/main" id="{611714FF-C037-4662-AA43-EB4F0715E5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1" name="Elipse 1220">
          <a:extLst>
            <a:ext uri="{FF2B5EF4-FFF2-40B4-BE49-F238E27FC236}">
              <a16:creationId xmlns:a16="http://schemas.microsoft.com/office/drawing/2014/main" id="{63003549-9FA9-4607-BEEA-F3595CC642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2" name="Elipse 1221">
          <a:extLst>
            <a:ext uri="{FF2B5EF4-FFF2-40B4-BE49-F238E27FC236}">
              <a16:creationId xmlns:a16="http://schemas.microsoft.com/office/drawing/2014/main" id="{F99E9417-C92A-4D80-A01F-06E11D71A6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3" name="Elipse 1222">
          <a:extLst>
            <a:ext uri="{FF2B5EF4-FFF2-40B4-BE49-F238E27FC236}">
              <a16:creationId xmlns:a16="http://schemas.microsoft.com/office/drawing/2014/main" id="{D80F852E-F18C-41AF-B6F5-CB597343C0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4" name="Elipse 1223">
          <a:extLst>
            <a:ext uri="{FF2B5EF4-FFF2-40B4-BE49-F238E27FC236}">
              <a16:creationId xmlns:a16="http://schemas.microsoft.com/office/drawing/2014/main" id="{28499BF1-5D8C-47F3-A4A2-DE9E3DB97E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5" name="Elipse 1224">
          <a:extLst>
            <a:ext uri="{FF2B5EF4-FFF2-40B4-BE49-F238E27FC236}">
              <a16:creationId xmlns:a16="http://schemas.microsoft.com/office/drawing/2014/main" id="{9BDCD8A7-5901-43EB-AD8D-B246DA953C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6" name="Elipse 1225">
          <a:extLst>
            <a:ext uri="{FF2B5EF4-FFF2-40B4-BE49-F238E27FC236}">
              <a16:creationId xmlns:a16="http://schemas.microsoft.com/office/drawing/2014/main" id="{87A3A334-1AFB-4685-BB21-BD392FE78F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7" name="Elipse 1226">
          <a:extLst>
            <a:ext uri="{FF2B5EF4-FFF2-40B4-BE49-F238E27FC236}">
              <a16:creationId xmlns:a16="http://schemas.microsoft.com/office/drawing/2014/main" id="{05956D42-0064-4A77-AB20-8379B980A9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8" name="Elipse 1227">
          <a:extLst>
            <a:ext uri="{FF2B5EF4-FFF2-40B4-BE49-F238E27FC236}">
              <a16:creationId xmlns:a16="http://schemas.microsoft.com/office/drawing/2014/main" id="{3A8D2DF2-16DF-4310-8AC9-2FD8CC89B7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9" name="Elipse 1228">
          <a:extLst>
            <a:ext uri="{FF2B5EF4-FFF2-40B4-BE49-F238E27FC236}">
              <a16:creationId xmlns:a16="http://schemas.microsoft.com/office/drawing/2014/main" id="{763EFC9E-907D-448F-8BE0-190C916C3F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0" name="Elipse 1229">
          <a:extLst>
            <a:ext uri="{FF2B5EF4-FFF2-40B4-BE49-F238E27FC236}">
              <a16:creationId xmlns:a16="http://schemas.microsoft.com/office/drawing/2014/main" id="{8A79557C-534D-4B8B-96E3-ED54D29F7B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1" name="Elipse 1230">
          <a:extLst>
            <a:ext uri="{FF2B5EF4-FFF2-40B4-BE49-F238E27FC236}">
              <a16:creationId xmlns:a16="http://schemas.microsoft.com/office/drawing/2014/main" id="{E1D6A782-45BA-4556-9575-C7915AA3F4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2" name="Elipse 1231">
          <a:extLst>
            <a:ext uri="{FF2B5EF4-FFF2-40B4-BE49-F238E27FC236}">
              <a16:creationId xmlns:a16="http://schemas.microsoft.com/office/drawing/2014/main" id="{F610BC98-2A2A-4928-9DCD-AC0F25B06D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3" name="Elipse 1232">
          <a:extLst>
            <a:ext uri="{FF2B5EF4-FFF2-40B4-BE49-F238E27FC236}">
              <a16:creationId xmlns:a16="http://schemas.microsoft.com/office/drawing/2014/main" id="{FE96777E-AC29-48BF-A093-AE1675CFA9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4" name="Elipse 1233">
          <a:extLst>
            <a:ext uri="{FF2B5EF4-FFF2-40B4-BE49-F238E27FC236}">
              <a16:creationId xmlns:a16="http://schemas.microsoft.com/office/drawing/2014/main" id="{F50DD1AD-01C5-43A2-824D-227647E2E9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5" name="Elipse 1234">
          <a:extLst>
            <a:ext uri="{FF2B5EF4-FFF2-40B4-BE49-F238E27FC236}">
              <a16:creationId xmlns:a16="http://schemas.microsoft.com/office/drawing/2014/main" id="{A992BC6F-B9C2-4A2B-9127-917D81CCB5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6" name="Elipse 1235">
          <a:extLst>
            <a:ext uri="{FF2B5EF4-FFF2-40B4-BE49-F238E27FC236}">
              <a16:creationId xmlns:a16="http://schemas.microsoft.com/office/drawing/2014/main" id="{4A6CD4F2-0664-4224-9018-9666C43D2B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7" name="Elipse 1236">
          <a:extLst>
            <a:ext uri="{FF2B5EF4-FFF2-40B4-BE49-F238E27FC236}">
              <a16:creationId xmlns:a16="http://schemas.microsoft.com/office/drawing/2014/main" id="{3D9CB31D-720A-487B-A3E8-65D435B99C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8" name="Elipse 1237">
          <a:extLst>
            <a:ext uri="{FF2B5EF4-FFF2-40B4-BE49-F238E27FC236}">
              <a16:creationId xmlns:a16="http://schemas.microsoft.com/office/drawing/2014/main" id="{4F0BD97B-2CBE-489E-B840-1883F26426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9" name="Elipse 1238">
          <a:extLst>
            <a:ext uri="{FF2B5EF4-FFF2-40B4-BE49-F238E27FC236}">
              <a16:creationId xmlns:a16="http://schemas.microsoft.com/office/drawing/2014/main" id="{61CB33EB-CDB3-4127-B0FA-3B7074ADFD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0" name="Elipse 1239">
          <a:extLst>
            <a:ext uri="{FF2B5EF4-FFF2-40B4-BE49-F238E27FC236}">
              <a16:creationId xmlns:a16="http://schemas.microsoft.com/office/drawing/2014/main" id="{7CAFE22A-7119-469C-B0B4-473D38EFFA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1" name="Elipse 1240">
          <a:extLst>
            <a:ext uri="{FF2B5EF4-FFF2-40B4-BE49-F238E27FC236}">
              <a16:creationId xmlns:a16="http://schemas.microsoft.com/office/drawing/2014/main" id="{C3338DDB-83EF-44D5-9001-09D14FA3BA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2" name="Elipse 1241">
          <a:extLst>
            <a:ext uri="{FF2B5EF4-FFF2-40B4-BE49-F238E27FC236}">
              <a16:creationId xmlns:a16="http://schemas.microsoft.com/office/drawing/2014/main" id="{D6ADCD43-EF4B-47DC-94E4-0668197B89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3" name="Elipse 1242">
          <a:extLst>
            <a:ext uri="{FF2B5EF4-FFF2-40B4-BE49-F238E27FC236}">
              <a16:creationId xmlns:a16="http://schemas.microsoft.com/office/drawing/2014/main" id="{159D3280-86DD-43B1-8F36-3C556E9886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4" name="Elipse 1243">
          <a:extLst>
            <a:ext uri="{FF2B5EF4-FFF2-40B4-BE49-F238E27FC236}">
              <a16:creationId xmlns:a16="http://schemas.microsoft.com/office/drawing/2014/main" id="{7ED249BE-B22C-4FE6-8146-22249D136E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5" name="Elipse 1244">
          <a:extLst>
            <a:ext uri="{FF2B5EF4-FFF2-40B4-BE49-F238E27FC236}">
              <a16:creationId xmlns:a16="http://schemas.microsoft.com/office/drawing/2014/main" id="{8B550A97-1E36-465C-ADB2-93233E087B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6" name="Elipse 1245">
          <a:extLst>
            <a:ext uri="{FF2B5EF4-FFF2-40B4-BE49-F238E27FC236}">
              <a16:creationId xmlns:a16="http://schemas.microsoft.com/office/drawing/2014/main" id="{256494C9-66B6-4BA5-B0FB-1C3DB5CA1A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7" name="Elipse 1246">
          <a:extLst>
            <a:ext uri="{FF2B5EF4-FFF2-40B4-BE49-F238E27FC236}">
              <a16:creationId xmlns:a16="http://schemas.microsoft.com/office/drawing/2014/main" id="{6B52AACE-EA1A-4BE0-A9B5-48B04C062F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8" name="Elipse 1247">
          <a:extLst>
            <a:ext uri="{FF2B5EF4-FFF2-40B4-BE49-F238E27FC236}">
              <a16:creationId xmlns:a16="http://schemas.microsoft.com/office/drawing/2014/main" id="{23133D74-DBC0-40D5-81B0-B658D8AF9B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9" name="Elipse 1248">
          <a:extLst>
            <a:ext uri="{FF2B5EF4-FFF2-40B4-BE49-F238E27FC236}">
              <a16:creationId xmlns:a16="http://schemas.microsoft.com/office/drawing/2014/main" id="{B96420B9-C070-4A88-A726-B6EC657E5A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0" name="Elipse 1249">
          <a:extLst>
            <a:ext uri="{FF2B5EF4-FFF2-40B4-BE49-F238E27FC236}">
              <a16:creationId xmlns:a16="http://schemas.microsoft.com/office/drawing/2014/main" id="{93023DD3-E99A-4E4C-A3FF-6B8558AB7A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1" name="Elipse 1250">
          <a:extLst>
            <a:ext uri="{FF2B5EF4-FFF2-40B4-BE49-F238E27FC236}">
              <a16:creationId xmlns:a16="http://schemas.microsoft.com/office/drawing/2014/main" id="{458AC4AD-9D08-49FA-A8BC-2B97B84E66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2" name="Elipse 1251">
          <a:extLst>
            <a:ext uri="{FF2B5EF4-FFF2-40B4-BE49-F238E27FC236}">
              <a16:creationId xmlns:a16="http://schemas.microsoft.com/office/drawing/2014/main" id="{CD3B46DF-C29F-4CCF-A6E3-BB3987C98F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3" name="Elipse 1252">
          <a:extLst>
            <a:ext uri="{FF2B5EF4-FFF2-40B4-BE49-F238E27FC236}">
              <a16:creationId xmlns:a16="http://schemas.microsoft.com/office/drawing/2014/main" id="{B9556AA8-36C5-405B-B150-0B52624F0E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4" name="Elipse 1253">
          <a:extLst>
            <a:ext uri="{FF2B5EF4-FFF2-40B4-BE49-F238E27FC236}">
              <a16:creationId xmlns:a16="http://schemas.microsoft.com/office/drawing/2014/main" id="{A5F2D670-143C-4CB3-BE5B-3F4657973A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5" name="Elipse 1254">
          <a:extLst>
            <a:ext uri="{FF2B5EF4-FFF2-40B4-BE49-F238E27FC236}">
              <a16:creationId xmlns:a16="http://schemas.microsoft.com/office/drawing/2014/main" id="{B71C61C2-EE00-4EF3-9EB3-370E74CCFE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6" name="Elipse 1255">
          <a:extLst>
            <a:ext uri="{FF2B5EF4-FFF2-40B4-BE49-F238E27FC236}">
              <a16:creationId xmlns:a16="http://schemas.microsoft.com/office/drawing/2014/main" id="{87FD789B-A831-4FB7-AC21-52020BBC2D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7" name="Elipse 1256">
          <a:extLst>
            <a:ext uri="{FF2B5EF4-FFF2-40B4-BE49-F238E27FC236}">
              <a16:creationId xmlns:a16="http://schemas.microsoft.com/office/drawing/2014/main" id="{78BBE0E6-DF78-462B-9C37-DB9C68BCCA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8" name="Elipse 1257">
          <a:extLst>
            <a:ext uri="{FF2B5EF4-FFF2-40B4-BE49-F238E27FC236}">
              <a16:creationId xmlns:a16="http://schemas.microsoft.com/office/drawing/2014/main" id="{525CA84E-D43E-4668-8775-1387F7E89D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9" name="Elipse 1258">
          <a:extLst>
            <a:ext uri="{FF2B5EF4-FFF2-40B4-BE49-F238E27FC236}">
              <a16:creationId xmlns:a16="http://schemas.microsoft.com/office/drawing/2014/main" id="{A5FF00D5-55EF-4C9F-9656-DE603DBD5F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0" name="Elipse 1259">
          <a:extLst>
            <a:ext uri="{FF2B5EF4-FFF2-40B4-BE49-F238E27FC236}">
              <a16:creationId xmlns:a16="http://schemas.microsoft.com/office/drawing/2014/main" id="{FFFCD175-81FA-40C2-B74F-7F5441DE70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1" name="Elipse 1260">
          <a:extLst>
            <a:ext uri="{FF2B5EF4-FFF2-40B4-BE49-F238E27FC236}">
              <a16:creationId xmlns:a16="http://schemas.microsoft.com/office/drawing/2014/main" id="{EDD98E5C-79C4-42E4-9E90-D888975187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2" name="Elipse 1261">
          <a:extLst>
            <a:ext uri="{FF2B5EF4-FFF2-40B4-BE49-F238E27FC236}">
              <a16:creationId xmlns:a16="http://schemas.microsoft.com/office/drawing/2014/main" id="{8D55C940-BAD2-40C9-BF26-CA4AEB3B75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3" name="Elipse 1262">
          <a:extLst>
            <a:ext uri="{FF2B5EF4-FFF2-40B4-BE49-F238E27FC236}">
              <a16:creationId xmlns:a16="http://schemas.microsoft.com/office/drawing/2014/main" id="{002C03B3-10E2-4CAA-8974-E3B174BBE2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4" name="Elipse 1263">
          <a:extLst>
            <a:ext uri="{FF2B5EF4-FFF2-40B4-BE49-F238E27FC236}">
              <a16:creationId xmlns:a16="http://schemas.microsoft.com/office/drawing/2014/main" id="{8D13C4E9-F148-4841-A36B-F4323A5135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5" name="Elipse 1264">
          <a:extLst>
            <a:ext uri="{FF2B5EF4-FFF2-40B4-BE49-F238E27FC236}">
              <a16:creationId xmlns:a16="http://schemas.microsoft.com/office/drawing/2014/main" id="{4747937A-1532-46A8-A114-8D310D2B15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6" name="Elipse 1265">
          <a:extLst>
            <a:ext uri="{FF2B5EF4-FFF2-40B4-BE49-F238E27FC236}">
              <a16:creationId xmlns:a16="http://schemas.microsoft.com/office/drawing/2014/main" id="{0A95611F-1959-4872-9377-AFD28C8DB0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7" name="Elipse 1266">
          <a:extLst>
            <a:ext uri="{FF2B5EF4-FFF2-40B4-BE49-F238E27FC236}">
              <a16:creationId xmlns:a16="http://schemas.microsoft.com/office/drawing/2014/main" id="{2326E4B4-6993-4E3C-82D6-573FB3EBAB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8" name="Elipse 1267">
          <a:extLst>
            <a:ext uri="{FF2B5EF4-FFF2-40B4-BE49-F238E27FC236}">
              <a16:creationId xmlns:a16="http://schemas.microsoft.com/office/drawing/2014/main" id="{53BD2577-B3FB-4E26-8D5F-B6084BA101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9" name="Elipse 1268">
          <a:extLst>
            <a:ext uri="{FF2B5EF4-FFF2-40B4-BE49-F238E27FC236}">
              <a16:creationId xmlns:a16="http://schemas.microsoft.com/office/drawing/2014/main" id="{F1D3F8B2-0F36-4B7C-AB33-61C92680FF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0" name="Elipse 1269">
          <a:extLst>
            <a:ext uri="{FF2B5EF4-FFF2-40B4-BE49-F238E27FC236}">
              <a16:creationId xmlns:a16="http://schemas.microsoft.com/office/drawing/2014/main" id="{5D3FCFE6-491B-4C40-A77F-A7098F54DE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1" name="Elipse 1270">
          <a:extLst>
            <a:ext uri="{FF2B5EF4-FFF2-40B4-BE49-F238E27FC236}">
              <a16:creationId xmlns:a16="http://schemas.microsoft.com/office/drawing/2014/main" id="{5C79209F-FF82-49DE-9591-7558D76684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2" name="Elipse 1271">
          <a:extLst>
            <a:ext uri="{FF2B5EF4-FFF2-40B4-BE49-F238E27FC236}">
              <a16:creationId xmlns:a16="http://schemas.microsoft.com/office/drawing/2014/main" id="{220B7A3F-4EE9-4096-90A8-9150178518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3" name="Elipse 1272">
          <a:extLst>
            <a:ext uri="{FF2B5EF4-FFF2-40B4-BE49-F238E27FC236}">
              <a16:creationId xmlns:a16="http://schemas.microsoft.com/office/drawing/2014/main" id="{B0515C4B-951E-4A58-9F4C-410009B2BF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4" name="Elipse 1273">
          <a:extLst>
            <a:ext uri="{FF2B5EF4-FFF2-40B4-BE49-F238E27FC236}">
              <a16:creationId xmlns:a16="http://schemas.microsoft.com/office/drawing/2014/main" id="{1514D5C2-BEED-462A-8A06-A3F0C991C1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5" name="Elipse 1274">
          <a:extLst>
            <a:ext uri="{FF2B5EF4-FFF2-40B4-BE49-F238E27FC236}">
              <a16:creationId xmlns:a16="http://schemas.microsoft.com/office/drawing/2014/main" id="{8A48A21F-2539-4E4B-B0AB-32DB13618E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6" name="Elipse 1275">
          <a:extLst>
            <a:ext uri="{FF2B5EF4-FFF2-40B4-BE49-F238E27FC236}">
              <a16:creationId xmlns:a16="http://schemas.microsoft.com/office/drawing/2014/main" id="{5D7BF7B8-5E8A-43F6-9BB7-C62CDAB6AD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7" name="Elipse 1276">
          <a:extLst>
            <a:ext uri="{FF2B5EF4-FFF2-40B4-BE49-F238E27FC236}">
              <a16:creationId xmlns:a16="http://schemas.microsoft.com/office/drawing/2014/main" id="{36F8FFC6-34B9-4581-826E-00B12C944D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8" name="Elipse 1277">
          <a:extLst>
            <a:ext uri="{FF2B5EF4-FFF2-40B4-BE49-F238E27FC236}">
              <a16:creationId xmlns:a16="http://schemas.microsoft.com/office/drawing/2014/main" id="{39DB4941-CE1B-45D6-B875-A2F010D218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9" name="Elipse 1278">
          <a:extLst>
            <a:ext uri="{FF2B5EF4-FFF2-40B4-BE49-F238E27FC236}">
              <a16:creationId xmlns:a16="http://schemas.microsoft.com/office/drawing/2014/main" id="{0EB6131E-A28D-4136-946A-8001E0F348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0" name="Elipse 1279">
          <a:extLst>
            <a:ext uri="{FF2B5EF4-FFF2-40B4-BE49-F238E27FC236}">
              <a16:creationId xmlns:a16="http://schemas.microsoft.com/office/drawing/2014/main" id="{C3EC34B1-DFAD-4198-A6C3-2FAEB77BBF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1" name="Elipse 1280">
          <a:extLst>
            <a:ext uri="{FF2B5EF4-FFF2-40B4-BE49-F238E27FC236}">
              <a16:creationId xmlns:a16="http://schemas.microsoft.com/office/drawing/2014/main" id="{4F895C57-D7F1-431E-B60C-8505C8BD74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2" name="Elipse 1281">
          <a:extLst>
            <a:ext uri="{FF2B5EF4-FFF2-40B4-BE49-F238E27FC236}">
              <a16:creationId xmlns:a16="http://schemas.microsoft.com/office/drawing/2014/main" id="{0F13BFDD-67C1-41F9-80FA-78553ECF5A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3" name="Elipse 1282">
          <a:extLst>
            <a:ext uri="{FF2B5EF4-FFF2-40B4-BE49-F238E27FC236}">
              <a16:creationId xmlns:a16="http://schemas.microsoft.com/office/drawing/2014/main" id="{FF595D26-A7A1-405E-AABE-44C0A21150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4" name="Elipse 1283">
          <a:extLst>
            <a:ext uri="{FF2B5EF4-FFF2-40B4-BE49-F238E27FC236}">
              <a16:creationId xmlns:a16="http://schemas.microsoft.com/office/drawing/2014/main" id="{E06B713F-9EEB-41C6-8759-BEA0432782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5" name="Elipse 1284">
          <a:extLst>
            <a:ext uri="{FF2B5EF4-FFF2-40B4-BE49-F238E27FC236}">
              <a16:creationId xmlns:a16="http://schemas.microsoft.com/office/drawing/2014/main" id="{19D77893-028B-4EF7-BF0B-F4D6AFDC94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6" name="Elipse 1285">
          <a:extLst>
            <a:ext uri="{FF2B5EF4-FFF2-40B4-BE49-F238E27FC236}">
              <a16:creationId xmlns:a16="http://schemas.microsoft.com/office/drawing/2014/main" id="{52A3B5FB-06C6-4102-A651-D651F87567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7" name="Elipse 1286">
          <a:extLst>
            <a:ext uri="{FF2B5EF4-FFF2-40B4-BE49-F238E27FC236}">
              <a16:creationId xmlns:a16="http://schemas.microsoft.com/office/drawing/2014/main" id="{569DADB7-3596-4007-BE1C-092C3D1300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8" name="Elipse 1287">
          <a:extLst>
            <a:ext uri="{FF2B5EF4-FFF2-40B4-BE49-F238E27FC236}">
              <a16:creationId xmlns:a16="http://schemas.microsoft.com/office/drawing/2014/main" id="{7D1BB561-61B4-44DA-996B-B0619AAB7C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9" name="Elipse 1288">
          <a:extLst>
            <a:ext uri="{FF2B5EF4-FFF2-40B4-BE49-F238E27FC236}">
              <a16:creationId xmlns:a16="http://schemas.microsoft.com/office/drawing/2014/main" id="{008E0621-AE4C-4403-8029-FA9B6D9F76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0" name="Elipse 1289">
          <a:extLst>
            <a:ext uri="{FF2B5EF4-FFF2-40B4-BE49-F238E27FC236}">
              <a16:creationId xmlns:a16="http://schemas.microsoft.com/office/drawing/2014/main" id="{F5831EA2-62E3-4ACD-8914-22C71ABB0F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1" name="Elipse 1290">
          <a:extLst>
            <a:ext uri="{FF2B5EF4-FFF2-40B4-BE49-F238E27FC236}">
              <a16:creationId xmlns:a16="http://schemas.microsoft.com/office/drawing/2014/main" id="{3061876E-9F09-4CF1-8D57-C4B29A4750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2" name="Elipse 1291">
          <a:extLst>
            <a:ext uri="{FF2B5EF4-FFF2-40B4-BE49-F238E27FC236}">
              <a16:creationId xmlns:a16="http://schemas.microsoft.com/office/drawing/2014/main" id="{91F4AA7F-404E-4076-A5F4-70021D9627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3" name="Elipse 1292">
          <a:extLst>
            <a:ext uri="{FF2B5EF4-FFF2-40B4-BE49-F238E27FC236}">
              <a16:creationId xmlns:a16="http://schemas.microsoft.com/office/drawing/2014/main" id="{63E44997-9AC9-4785-968C-FA7B1E437D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4" name="Elipse 1293">
          <a:extLst>
            <a:ext uri="{FF2B5EF4-FFF2-40B4-BE49-F238E27FC236}">
              <a16:creationId xmlns:a16="http://schemas.microsoft.com/office/drawing/2014/main" id="{3E1DEBC9-BE13-4922-AFB3-0AFF368F1E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5" name="Elipse 1294">
          <a:extLst>
            <a:ext uri="{FF2B5EF4-FFF2-40B4-BE49-F238E27FC236}">
              <a16:creationId xmlns:a16="http://schemas.microsoft.com/office/drawing/2014/main" id="{82052CBC-7B8E-4914-952C-5972EB9777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6" name="Elipse 1295">
          <a:extLst>
            <a:ext uri="{FF2B5EF4-FFF2-40B4-BE49-F238E27FC236}">
              <a16:creationId xmlns:a16="http://schemas.microsoft.com/office/drawing/2014/main" id="{CE708D72-72C5-4D35-82F6-85B57ED402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7" name="Elipse 1296">
          <a:extLst>
            <a:ext uri="{FF2B5EF4-FFF2-40B4-BE49-F238E27FC236}">
              <a16:creationId xmlns:a16="http://schemas.microsoft.com/office/drawing/2014/main" id="{EFA0A28B-E200-4E9C-849E-4FEC75F35F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8" name="Elipse 1297">
          <a:extLst>
            <a:ext uri="{FF2B5EF4-FFF2-40B4-BE49-F238E27FC236}">
              <a16:creationId xmlns:a16="http://schemas.microsoft.com/office/drawing/2014/main" id="{AF584404-F6CA-4453-A4CD-2793D0192C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9" name="Elipse 1298">
          <a:extLst>
            <a:ext uri="{FF2B5EF4-FFF2-40B4-BE49-F238E27FC236}">
              <a16:creationId xmlns:a16="http://schemas.microsoft.com/office/drawing/2014/main" id="{F1158EC2-1408-4541-8A8E-B4D9672859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0" name="Elipse 1299">
          <a:extLst>
            <a:ext uri="{FF2B5EF4-FFF2-40B4-BE49-F238E27FC236}">
              <a16:creationId xmlns:a16="http://schemas.microsoft.com/office/drawing/2014/main" id="{41816D02-BEFC-4A23-92AA-72762AA51D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1" name="Elipse 1300">
          <a:extLst>
            <a:ext uri="{FF2B5EF4-FFF2-40B4-BE49-F238E27FC236}">
              <a16:creationId xmlns:a16="http://schemas.microsoft.com/office/drawing/2014/main" id="{A9EA7CD3-45DB-460D-B3EE-1EC1585951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2" name="Elipse 1301">
          <a:extLst>
            <a:ext uri="{FF2B5EF4-FFF2-40B4-BE49-F238E27FC236}">
              <a16:creationId xmlns:a16="http://schemas.microsoft.com/office/drawing/2014/main" id="{AC3E7D22-D0D8-49F0-9AC0-7B5209E1EA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3" name="Elipse 1302">
          <a:extLst>
            <a:ext uri="{FF2B5EF4-FFF2-40B4-BE49-F238E27FC236}">
              <a16:creationId xmlns:a16="http://schemas.microsoft.com/office/drawing/2014/main" id="{C20E1A8C-73AD-4FB8-B4DB-4E9C0FCDB7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4" name="Elipse 1303">
          <a:extLst>
            <a:ext uri="{FF2B5EF4-FFF2-40B4-BE49-F238E27FC236}">
              <a16:creationId xmlns:a16="http://schemas.microsoft.com/office/drawing/2014/main" id="{651A27E1-2392-4E7E-A32E-F14B6073FA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5" name="Elipse 1304">
          <a:extLst>
            <a:ext uri="{FF2B5EF4-FFF2-40B4-BE49-F238E27FC236}">
              <a16:creationId xmlns:a16="http://schemas.microsoft.com/office/drawing/2014/main" id="{CE544D56-2063-4752-B8FB-96AC2FC0CA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6" name="Elipse 1305">
          <a:extLst>
            <a:ext uri="{FF2B5EF4-FFF2-40B4-BE49-F238E27FC236}">
              <a16:creationId xmlns:a16="http://schemas.microsoft.com/office/drawing/2014/main" id="{87533E38-9917-4AB0-8423-383BB3CCC0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7" name="Elipse 1306">
          <a:extLst>
            <a:ext uri="{FF2B5EF4-FFF2-40B4-BE49-F238E27FC236}">
              <a16:creationId xmlns:a16="http://schemas.microsoft.com/office/drawing/2014/main" id="{721E4569-22B3-4715-80CA-AFC67D70B7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8" name="Elipse 1307">
          <a:extLst>
            <a:ext uri="{FF2B5EF4-FFF2-40B4-BE49-F238E27FC236}">
              <a16:creationId xmlns:a16="http://schemas.microsoft.com/office/drawing/2014/main" id="{038BB85C-5173-4A25-9966-A2AE32D5C7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9" name="Elipse 1308">
          <a:extLst>
            <a:ext uri="{FF2B5EF4-FFF2-40B4-BE49-F238E27FC236}">
              <a16:creationId xmlns:a16="http://schemas.microsoft.com/office/drawing/2014/main" id="{CB251B6D-F3D8-45FD-AAFC-3FB73ABA30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0" name="Elipse 1309">
          <a:extLst>
            <a:ext uri="{FF2B5EF4-FFF2-40B4-BE49-F238E27FC236}">
              <a16:creationId xmlns:a16="http://schemas.microsoft.com/office/drawing/2014/main" id="{096FBA43-C37E-48B6-990B-5F656CFAE2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1" name="Elipse 1310">
          <a:extLst>
            <a:ext uri="{FF2B5EF4-FFF2-40B4-BE49-F238E27FC236}">
              <a16:creationId xmlns:a16="http://schemas.microsoft.com/office/drawing/2014/main" id="{A141E78D-9161-49C8-8AA8-6859B895E0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2" name="Elipse 1311">
          <a:extLst>
            <a:ext uri="{FF2B5EF4-FFF2-40B4-BE49-F238E27FC236}">
              <a16:creationId xmlns:a16="http://schemas.microsoft.com/office/drawing/2014/main" id="{38E12A4C-0D79-42E0-9553-518A7871EB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3" name="Elipse 1312">
          <a:extLst>
            <a:ext uri="{FF2B5EF4-FFF2-40B4-BE49-F238E27FC236}">
              <a16:creationId xmlns:a16="http://schemas.microsoft.com/office/drawing/2014/main" id="{9E35DD9F-35DD-48F7-91EB-B846244877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4" name="Elipse 1313">
          <a:extLst>
            <a:ext uri="{FF2B5EF4-FFF2-40B4-BE49-F238E27FC236}">
              <a16:creationId xmlns:a16="http://schemas.microsoft.com/office/drawing/2014/main" id="{AB4FEBF4-76E6-41CA-ACE5-D8BFDE7716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5" name="Elipse 1314">
          <a:extLst>
            <a:ext uri="{FF2B5EF4-FFF2-40B4-BE49-F238E27FC236}">
              <a16:creationId xmlns:a16="http://schemas.microsoft.com/office/drawing/2014/main" id="{ED09B61F-3EA4-40DC-B78B-69EF93A418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6" name="Elipse 1315">
          <a:extLst>
            <a:ext uri="{FF2B5EF4-FFF2-40B4-BE49-F238E27FC236}">
              <a16:creationId xmlns:a16="http://schemas.microsoft.com/office/drawing/2014/main" id="{E51F8404-35A5-4C0D-9FE9-8D3B4A0985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7" name="Elipse 1316">
          <a:extLst>
            <a:ext uri="{FF2B5EF4-FFF2-40B4-BE49-F238E27FC236}">
              <a16:creationId xmlns:a16="http://schemas.microsoft.com/office/drawing/2014/main" id="{361660FF-31A8-4093-A3AD-D851793E81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8" name="Elipse 1317">
          <a:extLst>
            <a:ext uri="{FF2B5EF4-FFF2-40B4-BE49-F238E27FC236}">
              <a16:creationId xmlns:a16="http://schemas.microsoft.com/office/drawing/2014/main" id="{5C24C5C8-7CB3-49AA-8949-CB98BA4D14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9" name="Elipse 1318">
          <a:extLst>
            <a:ext uri="{FF2B5EF4-FFF2-40B4-BE49-F238E27FC236}">
              <a16:creationId xmlns:a16="http://schemas.microsoft.com/office/drawing/2014/main" id="{CBE7A53F-9B79-47A9-A5EB-0BAE398DAC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0" name="Elipse 1319">
          <a:extLst>
            <a:ext uri="{FF2B5EF4-FFF2-40B4-BE49-F238E27FC236}">
              <a16:creationId xmlns:a16="http://schemas.microsoft.com/office/drawing/2014/main" id="{C691B643-8968-4D3F-9C01-430C48BF6C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1" name="Elipse 1320">
          <a:extLst>
            <a:ext uri="{FF2B5EF4-FFF2-40B4-BE49-F238E27FC236}">
              <a16:creationId xmlns:a16="http://schemas.microsoft.com/office/drawing/2014/main" id="{AF0F4767-1064-4436-B55D-C15AB432A7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2" name="Elipse 1321">
          <a:extLst>
            <a:ext uri="{FF2B5EF4-FFF2-40B4-BE49-F238E27FC236}">
              <a16:creationId xmlns:a16="http://schemas.microsoft.com/office/drawing/2014/main" id="{0D50B3C9-042B-4283-814D-325D5A7392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3" name="Elipse 1322">
          <a:extLst>
            <a:ext uri="{FF2B5EF4-FFF2-40B4-BE49-F238E27FC236}">
              <a16:creationId xmlns:a16="http://schemas.microsoft.com/office/drawing/2014/main" id="{2C7A8EC1-C276-460B-B9AF-7F223CB2D8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4" name="Elipse 1323">
          <a:extLst>
            <a:ext uri="{FF2B5EF4-FFF2-40B4-BE49-F238E27FC236}">
              <a16:creationId xmlns:a16="http://schemas.microsoft.com/office/drawing/2014/main" id="{931013D8-7215-44AB-9615-FEC7DA4BB6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5" name="Elipse 1324">
          <a:extLst>
            <a:ext uri="{FF2B5EF4-FFF2-40B4-BE49-F238E27FC236}">
              <a16:creationId xmlns:a16="http://schemas.microsoft.com/office/drawing/2014/main" id="{8C2D0747-F517-4BB5-A93E-68540B2ED6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6" name="Elipse 1325">
          <a:extLst>
            <a:ext uri="{FF2B5EF4-FFF2-40B4-BE49-F238E27FC236}">
              <a16:creationId xmlns:a16="http://schemas.microsoft.com/office/drawing/2014/main" id="{01D6CA05-72F8-4FD1-95A8-009D8CEE30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7" name="Elipse 1326">
          <a:extLst>
            <a:ext uri="{FF2B5EF4-FFF2-40B4-BE49-F238E27FC236}">
              <a16:creationId xmlns:a16="http://schemas.microsoft.com/office/drawing/2014/main" id="{8B518500-A213-4305-9276-E75CBF0E5E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8" name="Elipse 1327">
          <a:extLst>
            <a:ext uri="{FF2B5EF4-FFF2-40B4-BE49-F238E27FC236}">
              <a16:creationId xmlns:a16="http://schemas.microsoft.com/office/drawing/2014/main" id="{9CF82688-B413-42EC-B08D-3E55BA08C6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9" name="Elipse 1328">
          <a:extLst>
            <a:ext uri="{FF2B5EF4-FFF2-40B4-BE49-F238E27FC236}">
              <a16:creationId xmlns:a16="http://schemas.microsoft.com/office/drawing/2014/main" id="{69CE39D5-DD76-47AD-A613-FB102C3E61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0" name="Elipse 1329">
          <a:extLst>
            <a:ext uri="{FF2B5EF4-FFF2-40B4-BE49-F238E27FC236}">
              <a16:creationId xmlns:a16="http://schemas.microsoft.com/office/drawing/2014/main" id="{B4B0F3EB-E1BE-4D67-BAE2-35ECA57200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1" name="Elipse 1330">
          <a:extLst>
            <a:ext uri="{FF2B5EF4-FFF2-40B4-BE49-F238E27FC236}">
              <a16:creationId xmlns:a16="http://schemas.microsoft.com/office/drawing/2014/main" id="{4BF8BBC9-1D8F-487C-85FC-29DAD191AF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2" name="Elipse 1331">
          <a:extLst>
            <a:ext uri="{FF2B5EF4-FFF2-40B4-BE49-F238E27FC236}">
              <a16:creationId xmlns:a16="http://schemas.microsoft.com/office/drawing/2014/main" id="{195251BA-7E29-433A-82EE-4941451B52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3" name="Elipse 1332">
          <a:extLst>
            <a:ext uri="{FF2B5EF4-FFF2-40B4-BE49-F238E27FC236}">
              <a16:creationId xmlns:a16="http://schemas.microsoft.com/office/drawing/2014/main" id="{E1A4EB80-6E7A-40C2-92B6-90CE30D6B1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4" name="Elipse 1333">
          <a:extLst>
            <a:ext uri="{FF2B5EF4-FFF2-40B4-BE49-F238E27FC236}">
              <a16:creationId xmlns:a16="http://schemas.microsoft.com/office/drawing/2014/main" id="{24DC60D5-648C-4CD1-A780-2EFAF96E24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5" name="Elipse 1334">
          <a:extLst>
            <a:ext uri="{FF2B5EF4-FFF2-40B4-BE49-F238E27FC236}">
              <a16:creationId xmlns:a16="http://schemas.microsoft.com/office/drawing/2014/main" id="{ED58248F-4509-4F91-A7D0-CBC02B5D23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6" name="Elipse 1335">
          <a:extLst>
            <a:ext uri="{FF2B5EF4-FFF2-40B4-BE49-F238E27FC236}">
              <a16:creationId xmlns:a16="http://schemas.microsoft.com/office/drawing/2014/main" id="{AE73F34A-9188-425F-B835-F652CF0B36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7" name="Elipse 1336">
          <a:extLst>
            <a:ext uri="{FF2B5EF4-FFF2-40B4-BE49-F238E27FC236}">
              <a16:creationId xmlns:a16="http://schemas.microsoft.com/office/drawing/2014/main" id="{A4B14F90-0D2A-456D-BCDF-54317E8A2A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8" name="Elipse 1337">
          <a:extLst>
            <a:ext uri="{FF2B5EF4-FFF2-40B4-BE49-F238E27FC236}">
              <a16:creationId xmlns:a16="http://schemas.microsoft.com/office/drawing/2014/main" id="{9BE1D31E-96CE-48AB-A444-24F63B25C9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9" name="Elipse 1338">
          <a:extLst>
            <a:ext uri="{FF2B5EF4-FFF2-40B4-BE49-F238E27FC236}">
              <a16:creationId xmlns:a16="http://schemas.microsoft.com/office/drawing/2014/main" id="{937C3230-7E64-48CB-A5D0-282A89DA6E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0" name="Elipse 1339">
          <a:extLst>
            <a:ext uri="{FF2B5EF4-FFF2-40B4-BE49-F238E27FC236}">
              <a16:creationId xmlns:a16="http://schemas.microsoft.com/office/drawing/2014/main" id="{490FAC27-267D-476D-96A9-3147925EC7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1" name="Elipse 1340">
          <a:extLst>
            <a:ext uri="{FF2B5EF4-FFF2-40B4-BE49-F238E27FC236}">
              <a16:creationId xmlns:a16="http://schemas.microsoft.com/office/drawing/2014/main" id="{0AC4D2A2-20C9-4497-959E-72553D038A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2" name="Elipse 1341">
          <a:extLst>
            <a:ext uri="{FF2B5EF4-FFF2-40B4-BE49-F238E27FC236}">
              <a16:creationId xmlns:a16="http://schemas.microsoft.com/office/drawing/2014/main" id="{1FDE6EF7-5E85-4110-A713-31CF890BD4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3" name="Elipse 1342">
          <a:extLst>
            <a:ext uri="{FF2B5EF4-FFF2-40B4-BE49-F238E27FC236}">
              <a16:creationId xmlns:a16="http://schemas.microsoft.com/office/drawing/2014/main" id="{E287BB14-47D8-4077-ABC2-C1BCD5DA4B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4" name="Elipse 1343">
          <a:extLst>
            <a:ext uri="{FF2B5EF4-FFF2-40B4-BE49-F238E27FC236}">
              <a16:creationId xmlns:a16="http://schemas.microsoft.com/office/drawing/2014/main" id="{693BE15B-8816-4680-A980-BD99C791FF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5" name="Elipse 1344">
          <a:extLst>
            <a:ext uri="{FF2B5EF4-FFF2-40B4-BE49-F238E27FC236}">
              <a16:creationId xmlns:a16="http://schemas.microsoft.com/office/drawing/2014/main" id="{459A8A3B-8180-45D1-81CC-E4D1346047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6" name="Elipse 1345">
          <a:extLst>
            <a:ext uri="{FF2B5EF4-FFF2-40B4-BE49-F238E27FC236}">
              <a16:creationId xmlns:a16="http://schemas.microsoft.com/office/drawing/2014/main" id="{611448EC-2E35-4EE7-A544-9AFA30B03F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7" name="Elipse 1346">
          <a:extLst>
            <a:ext uri="{FF2B5EF4-FFF2-40B4-BE49-F238E27FC236}">
              <a16:creationId xmlns:a16="http://schemas.microsoft.com/office/drawing/2014/main" id="{499B09BE-9B63-4067-AE8C-236EC19EE0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8" name="Elipse 1347">
          <a:extLst>
            <a:ext uri="{FF2B5EF4-FFF2-40B4-BE49-F238E27FC236}">
              <a16:creationId xmlns:a16="http://schemas.microsoft.com/office/drawing/2014/main" id="{F33BA599-5492-417E-A58F-47457DAE56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9" name="Elipse 1348">
          <a:extLst>
            <a:ext uri="{FF2B5EF4-FFF2-40B4-BE49-F238E27FC236}">
              <a16:creationId xmlns:a16="http://schemas.microsoft.com/office/drawing/2014/main" id="{12B665BC-667B-44CC-85B4-EB7452B110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0" name="Elipse 1349">
          <a:extLst>
            <a:ext uri="{FF2B5EF4-FFF2-40B4-BE49-F238E27FC236}">
              <a16:creationId xmlns:a16="http://schemas.microsoft.com/office/drawing/2014/main" id="{D7F0A1F3-CB35-4676-B756-BA02EF5CBF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1" name="Elipse 1350">
          <a:extLst>
            <a:ext uri="{FF2B5EF4-FFF2-40B4-BE49-F238E27FC236}">
              <a16:creationId xmlns:a16="http://schemas.microsoft.com/office/drawing/2014/main" id="{264B42B9-90D3-4850-8EE8-F2C9F63867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2" name="Elipse 1351">
          <a:extLst>
            <a:ext uri="{FF2B5EF4-FFF2-40B4-BE49-F238E27FC236}">
              <a16:creationId xmlns:a16="http://schemas.microsoft.com/office/drawing/2014/main" id="{C468AADD-83DD-4C81-AA28-487E31768A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3" name="Elipse 1352">
          <a:extLst>
            <a:ext uri="{FF2B5EF4-FFF2-40B4-BE49-F238E27FC236}">
              <a16:creationId xmlns:a16="http://schemas.microsoft.com/office/drawing/2014/main" id="{8913D89F-8974-4771-9473-0DC9DB790F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4" name="Elipse 1353">
          <a:extLst>
            <a:ext uri="{FF2B5EF4-FFF2-40B4-BE49-F238E27FC236}">
              <a16:creationId xmlns:a16="http://schemas.microsoft.com/office/drawing/2014/main" id="{30C1D300-A65F-4C5E-B6F2-0E64BD2D74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5" name="Elipse 1354">
          <a:extLst>
            <a:ext uri="{FF2B5EF4-FFF2-40B4-BE49-F238E27FC236}">
              <a16:creationId xmlns:a16="http://schemas.microsoft.com/office/drawing/2014/main" id="{40C32E7D-C202-48B0-9285-62CFC9D54D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6" name="Elipse 1355">
          <a:extLst>
            <a:ext uri="{FF2B5EF4-FFF2-40B4-BE49-F238E27FC236}">
              <a16:creationId xmlns:a16="http://schemas.microsoft.com/office/drawing/2014/main" id="{BE3E7AD0-482E-479F-ACDC-43A9B8F3CC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7" name="Elipse 1356">
          <a:extLst>
            <a:ext uri="{FF2B5EF4-FFF2-40B4-BE49-F238E27FC236}">
              <a16:creationId xmlns:a16="http://schemas.microsoft.com/office/drawing/2014/main" id="{5364F078-C72A-464B-AB31-70649562CB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8" name="Elipse 1357">
          <a:extLst>
            <a:ext uri="{FF2B5EF4-FFF2-40B4-BE49-F238E27FC236}">
              <a16:creationId xmlns:a16="http://schemas.microsoft.com/office/drawing/2014/main" id="{B706BC1D-6F9D-4E3B-B1D6-01A7E7677B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9" name="Elipse 1358">
          <a:extLst>
            <a:ext uri="{FF2B5EF4-FFF2-40B4-BE49-F238E27FC236}">
              <a16:creationId xmlns:a16="http://schemas.microsoft.com/office/drawing/2014/main" id="{C7D79822-17C9-403A-94AF-70639B7092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0" name="Elipse 1359">
          <a:extLst>
            <a:ext uri="{FF2B5EF4-FFF2-40B4-BE49-F238E27FC236}">
              <a16:creationId xmlns:a16="http://schemas.microsoft.com/office/drawing/2014/main" id="{F84FC7F7-DCAD-4690-97F3-DB26B314D3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1" name="Elipse 1360">
          <a:extLst>
            <a:ext uri="{FF2B5EF4-FFF2-40B4-BE49-F238E27FC236}">
              <a16:creationId xmlns:a16="http://schemas.microsoft.com/office/drawing/2014/main" id="{A42772AC-85A4-4873-B8D5-DFB591B019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2" name="Elipse 1361">
          <a:extLst>
            <a:ext uri="{FF2B5EF4-FFF2-40B4-BE49-F238E27FC236}">
              <a16:creationId xmlns:a16="http://schemas.microsoft.com/office/drawing/2014/main" id="{5CCEADEE-A706-4509-B133-E9ED103994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3" name="Elipse 1362">
          <a:extLst>
            <a:ext uri="{FF2B5EF4-FFF2-40B4-BE49-F238E27FC236}">
              <a16:creationId xmlns:a16="http://schemas.microsoft.com/office/drawing/2014/main" id="{10D73FBA-21F0-4158-AB2B-1B3557BA66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4" name="Elipse 1363">
          <a:extLst>
            <a:ext uri="{FF2B5EF4-FFF2-40B4-BE49-F238E27FC236}">
              <a16:creationId xmlns:a16="http://schemas.microsoft.com/office/drawing/2014/main" id="{0233E0E1-BBA0-4D3B-88D7-0686BB601E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5" name="Elipse 1364">
          <a:extLst>
            <a:ext uri="{FF2B5EF4-FFF2-40B4-BE49-F238E27FC236}">
              <a16:creationId xmlns:a16="http://schemas.microsoft.com/office/drawing/2014/main" id="{22E4E5A1-ED85-424C-9996-C5AC417FC3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6" name="Elipse 1365">
          <a:extLst>
            <a:ext uri="{FF2B5EF4-FFF2-40B4-BE49-F238E27FC236}">
              <a16:creationId xmlns:a16="http://schemas.microsoft.com/office/drawing/2014/main" id="{571FD18A-7B3F-4AE2-AA60-D5312CC264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7" name="Elipse 1366">
          <a:extLst>
            <a:ext uri="{FF2B5EF4-FFF2-40B4-BE49-F238E27FC236}">
              <a16:creationId xmlns:a16="http://schemas.microsoft.com/office/drawing/2014/main" id="{B6AB01F1-0906-4047-86E4-9105BE9101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8" name="Elipse 1367">
          <a:extLst>
            <a:ext uri="{FF2B5EF4-FFF2-40B4-BE49-F238E27FC236}">
              <a16:creationId xmlns:a16="http://schemas.microsoft.com/office/drawing/2014/main" id="{8D020CF1-AF99-4F99-92E1-F0B5797134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9" name="Elipse 1368">
          <a:extLst>
            <a:ext uri="{FF2B5EF4-FFF2-40B4-BE49-F238E27FC236}">
              <a16:creationId xmlns:a16="http://schemas.microsoft.com/office/drawing/2014/main" id="{7E77EC94-9A41-40B3-94B3-42CA3666E0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0" name="Elipse 1369">
          <a:extLst>
            <a:ext uri="{FF2B5EF4-FFF2-40B4-BE49-F238E27FC236}">
              <a16:creationId xmlns:a16="http://schemas.microsoft.com/office/drawing/2014/main" id="{5E2D20C2-1A09-46A2-A786-0AF1FF3339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1" name="Elipse 1370">
          <a:extLst>
            <a:ext uri="{FF2B5EF4-FFF2-40B4-BE49-F238E27FC236}">
              <a16:creationId xmlns:a16="http://schemas.microsoft.com/office/drawing/2014/main" id="{46713DCB-23F1-41BC-B84E-6625BC3419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2" name="Elipse 1371">
          <a:extLst>
            <a:ext uri="{FF2B5EF4-FFF2-40B4-BE49-F238E27FC236}">
              <a16:creationId xmlns:a16="http://schemas.microsoft.com/office/drawing/2014/main" id="{5EF04694-8324-40F3-A53A-F4EA4E241D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3" name="Elipse 1372">
          <a:extLst>
            <a:ext uri="{FF2B5EF4-FFF2-40B4-BE49-F238E27FC236}">
              <a16:creationId xmlns:a16="http://schemas.microsoft.com/office/drawing/2014/main" id="{B2853DA8-A321-42B2-81F6-3479245BCE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4" name="Elipse 1373">
          <a:extLst>
            <a:ext uri="{FF2B5EF4-FFF2-40B4-BE49-F238E27FC236}">
              <a16:creationId xmlns:a16="http://schemas.microsoft.com/office/drawing/2014/main" id="{1E11D58E-0E75-4402-826A-F1D56111B1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5" name="Elipse 1374">
          <a:extLst>
            <a:ext uri="{FF2B5EF4-FFF2-40B4-BE49-F238E27FC236}">
              <a16:creationId xmlns:a16="http://schemas.microsoft.com/office/drawing/2014/main" id="{A059330E-BAFF-4AF8-A176-009217AFA6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6" name="Elipse 1375">
          <a:extLst>
            <a:ext uri="{FF2B5EF4-FFF2-40B4-BE49-F238E27FC236}">
              <a16:creationId xmlns:a16="http://schemas.microsoft.com/office/drawing/2014/main" id="{F1713E2E-7917-433C-AE82-044264CE17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7" name="Elipse 1376">
          <a:extLst>
            <a:ext uri="{FF2B5EF4-FFF2-40B4-BE49-F238E27FC236}">
              <a16:creationId xmlns:a16="http://schemas.microsoft.com/office/drawing/2014/main" id="{F9E1206B-894A-448F-8F7D-282A0230EE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8" name="Elipse 1377">
          <a:extLst>
            <a:ext uri="{FF2B5EF4-FFF2-40B4-BE49-F238E27FC236}">
              <a16:creationId xmlns:a16="http://schemas.microsoft.com/office/drawing/2014/main" id="{5C5F2E79-7305-407C-80FF-2C93AFDE4B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9" name="Elipse 1378">
          <a:extLst>
            <a:ext uri="{FF2B5EF4-FFF2-40B4-BE49-F238E27FC236}">
              <a16:creationId xmlns:a16="http://schemas.microsoft.com/office/drawing/2014/main" id="{A891230A-78D9-45ED-880D-60EF36912E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0" name="Elipse 1379">
          <a:extLst>
            <a:ext uri="{FF2B5EF4-FFF2-40B4-BE49-F238E27FC236}">
              <a16:creationId xmlns:a16="http://schemas.microsoft.com/office/drawing/2014/main" id="{15319A18-77D7-4D3A-B5F5-212C55F0D6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1" name="Elipse 1380">
          <a:extLst>
            <a:ext uri="{FF2B5EF4-FFF2-40B4-BE49-F238E27FC236}">
              <a16:creationId xmlns:a16="http://schemas.microsoft.com/office/drawing/2014/main" id="{25B3D020-BB19-4BC0-A164-6E12F71E8C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2" name="Elipse 1381">
          <a:extLst>
            <a:ext uri="{FF2B5EF4-FFF2-40B4-BE49-F238E27FC236}">
              <a16:creationId xmlns:a16="http://schemas.microsoft.com/office/drawing/2014/main" id="{047EB6BE-9304-4E5D-8D81-5FD4964398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3" name="Elipse 1382">
          <a:extLst>
            <a:ext uri="{FF2B5EF4-FFF2-40B4-BE49-F238E27FC236}">
              <a16:creationId xmlns:a16="http://schemas.microsoft.com/office/drawing/2014/main" id="{DB5B19CD-9C56-45A9-97C0-185E6ACA1C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4" name="Elipse 1383">
          <a:extLst>
            <a:ext uri="{FF2B5EF4-FFF2-40B4-BE49-F238E27FC236}">
              <a16:creationId xmlns:a16="http://schemas.microsoft.com/office/drawing/2014/main" id="{61424C89-16E0-457D-B5AA-1632C3AD7A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5" name="Elipse 1384">
          <a:extLst>
            <a:ext uri="{FF2B5EF4-FFF2-40B4-BE49-F238E27FC236}">
              <a16:creationId xmlns:a16="http://schemas.microsoft.com/office/drawing/2014/main" id="{5C3604A5-C87A-4867-BC95-32D1721CDD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6" name="Elipse 1385">
          <a:extLst>
            <a:ext uri="{FF2B5EF4-FFF2-40B4-BE49-F238E27FC236}">
              <a16:creationId xmlns:a16="http://schemas.microsoft.com/office/drawing/2014/main" id="{67EE5F0F-12A3-4CA3-89E1-49EEFC1470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7" name="Elipse 1386">
          <a:extLst>
            <a:ext uri="{FF2B5EF4-FFF2-40B4-BE49-F238E27FC236}">
              <a16:creationId xmlns:a16="http://schemas.microsoft.com/office/drawing/2014/main" id="{52B028AD-A117-49FC-B058-D02B06680E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8" name="Elipse 1387">
          <a:extLst>
            <a:ext uri="{FF2B5EF4-FFF2-40B4-BE49-F238E27FC236}">
              <a16:creationId xmlns:a16="http://schemas.microsoft.com/office/drawing/2014/main" id="{FBB1834A-3ACD-4A3E-B717-6AFB9CD916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9" name="Elipse 1388">
          <a:extLst>
            <a:ext uri="{FF2B5EF4-FFF2-40B4-BE49-F238E27FC236}">
              <a16:creationId xmlns:a16="http://schemas.microsoft.com/office/drawing/2014/main" id="{E4F31D34-1735-4E16-BCE9-077A327E45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0" name="Elipse 1389">
          <a:extLst>
            <a:ext uri="{FF2B5EF4-FFF2-40B4-BE49-F238E27FC236}">
              <a16:creationId xmlns:a16="http://schemas.microsoft.com/office/drawing/2014/main" id="{50779382-0515-4005-8A92-F1113C600F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1" name="Elipse 1390">
          <a:extLst>
            <a:ext uri="{FF2B5EF4-FFF2-40B4-BE49-F238E27FC236}">
              <a16:creationId xmlns:a16="http://schemas.microsoft.com/office/drawing/2014/main" id="{43F9FBF2-FA7F-41AB-AA73-A0D80D79A1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2" name="Elipse 1391">
          <a:extLst>
            <a:ext uri="{FF2B5EF4-FFF2-40B4-BE49-F238E27FC236}">
              <a16:creationId xmlns:a16="http://schemas.microsoft.com/office/drawing/2014/main" id="{CB7F6B3F-548D-4448-A44D-E4B158EFA2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3" name="Elipse 1392">
          <a:extLst>
            <a:ext uri="{FF2B5EF4-FFF2-40B4-BE49-F238E27FC236}">
              <a16:creationId xmlns:a16="http://schemas.microsoft.com/office/drawing/2014/main" id="{1527FF45-ABA1-41B4-8781-7AF96CABD6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4" name="Elipse 1393">
          <a:extLst>
            <a:ext uri="{FF2B5EF4-FFF2-40B4-BE49-F238E27FC236}">
              <a16:creationId xmlns:a16="http://schemas.microsoft.com/office/drawing/2014/main" id="{22872729-7497-4290-AA92-62667548A8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5" name="Elipse 1394">
          <a:extLst>
            <a:ext uri="{FF2B5EF4-FFF2-40B4-BE49-F238E27FC236}">
              <a16:creationId xmlns:a16="http://schemas.microsoft.com/office/drawing/2014/main" id="{22F1DE29-2F27-4E1F-8981-EBDAD4B116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6" name="Elipse 1395">
          <a:extLst>
            <a:ext uri="{FF2B5EF4-FFF2-40B4-BE49-F238E27FC236}">
              <a16:creationId xmlns:a16="http://schemas.microsoft.com/office/drawing/2014/main" id="{50DC56BD-7A4A-4019-AFF2-E4C429B56E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7" name="Elipse 1396">
          <a:extLst>
            <a:ext uri="{FF2B5EF4-FFF2-40B4-BE49-F238E27FC236}">
              <a16:creationId xmlns:a16="http://schemas.microsoft.com/office/drawing/2014/main" id="{06AB609A-3B30-4D23-8443-079EF1CB0C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8" name="Elipse 1397">
          <a:extLst>
            <a:ext uri="{FF2B5EF4-FFF2-40B4-BE49-F238E27FC236}">
              <a16:creationId xmlns:a16="http://schemas.microsoft.com/office/drawing/2014/main" id="{4D242348-516E-4B35-8403-1652B5DB98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9" name="Elipse 1398">
          <a:extLst>
            <a:ext uri="{FF2B5EF4-FFF2-40B4-BE49-F238E27FC236}">
              <a16:creationId xmlns:a16="http://schemas.microsoft.com/office/drawing/2014/main" id="{7DA4A27C-B50B-4860-AF83-6B5967E77C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0" name="Elipse 1399">
          <a:extLst>
            <a:ext uri="{FF2B5EF4-FFF2-40B4-BE49-F238E27FC236}">
              <a16:creationId xmlns:a16="http://schemas.microsoft.com/office/drawing/2014/main" id="{210C4D3B-34B2-40A2-9F1C-8147B5C37D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1" name="Elipse 1400">
          <a:extLst>
            <a:ext uri="{FF2B5EF4-FFF2-40B4-BE49-F238E27FC236}">
              <a16:creationId xmlns:a16="http://schemas.microsoft.com/office/drawing/2014/main" id="{DEE23C5E-66C4-47EA-ABF9-2712D558F1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2" name="Elipse 1401">
          <a:extLst>
            <a:ext uri="{FF2B5EF4-FFF2-40B4-BE49-F238E27FC236}">
              <a16:creationId xmlns:a16="http://schemas.microsoft.com/office/drawing/2014/main" id="{3CC58324-4CC9-4CAE-B855-D287C0EE45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3" name="Elipse 1402">
          <a:extLst>
            <a:ext uri="{FF2B5EF4-FFF2-40B4-BE49-F238E27FC236}">
              <a16:creationId xmlns:a16="http://schemas.microsoft.com/office/drawing/2014/main" id="{2C0934F2-1D26-4779-96B1-5BF35DF532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4" name="Elipse 1403">
          <a:extLst>
            <a:ext uri="{FF2B5EF4-FFF2-40B4-BE49-F238E27FC236}">
              <a16:creationId xmlns:a16="http://schemas.microsoft.com/office/drawing/2014/main" id="{7078F46C-DA41-4753-80B6-4EB5A0912A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5" name="Elipse 1404">
          <a:extLst>
            <a:ext uri="{FF2B5EF4-FFF2-40B4-BE49-F238E27FC236}">
              <a16:creationId xmlns:a16="http://schemas.microsoft.com/office/drawing/2014/main" id="{4CDFE015-A158-4CA9-97C6-23B34A82D8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6" name="Elipse 1405">
          <a:extLst>
            <a:ext uri="{FF2B5EF4-FFF2-40B4-BE49-F238E27FC236}">
              <a16:creationId xmlns:a16="http://schemas.microsoft.com/office/drawing/2014/main" id="{66D0C356-895B-4C71-98F8-AB91BD9E83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7" name="Elipse 1406">
          <a:extLst>
            <a:ext uri="{FF2B5EF4-FFF2-40B4-BE49-F238E27FC236}">
              <a16:creationId xmlns:a16="http://schemas.microsoft.com/office/drawing/2014/main" id="{86D71676-E4B9-456C-BB94-C47C0A23C0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8" name="Elipse 1407">
          <a:extLst>
            <a:ext uri="{FF2B5EF4-FFF2-40B4-BE49-F238E27FC236}">
              <a16:creationId xmlns:a16="http://schemas.microsoft.com/office/drawing/2014/main" id="{3B93334B-B12E-4256-A59C-2B19E7C7A2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9" name="Elipse 1408">
          <a:extLst>
            <a:ext uri="{FF2B5EF4-FFF2-40B4-BE49-F238E27FC236}">
              <a16:creationId xmlns:a16="http://schemas.microsoft.com/office/drawing/2014/main" id="{2ACFCB9D-779B-4061-BED4-0D0ED8DCCD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0" name="Elipse 1409">
          <a:extLst>
            <a:ext uri="{FF2B5EF4-FFF2-40B4-BE49-F238E27FC236}">
              <a16:creationId xmlns:a16="http://schemas.microsoft.com/office/drawing/2014/main" id="{5BAE0F88-A153-4C1C-B167-AA95801562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1" name="Elipse 1410">
          <a:extLst>
            <a:ext uri="{FF2B5EF4-FFF2-40B4-BE49-F238E27FC236}">
              <a16:creationId xmlns:a16="http://schemas.microsoft.com/office/drawing/2014/main" id="{08CB366D-9AE6-44D9-9C0E-0C8104FF63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2" name="Elipse 1411">
          <a:extLst>
            <a:ext uri="{FF2B5EF4-FFF2-40B4-BE49-F238E27FC236}">
              <a16:creationId xmlns:a16="http://schemas.microsoft.com/office/drawing/2014/main" id="{A87EA01C-65AA-464D-AB06-CA17875777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3" name="Elipse 1412">
          <a:extLst>
            <a:ext uri="{FF2B5EF4-FFF2-40B4-BE49-F238E27FC236}">
              <a16:creationId xmlns:a16="http://schemas.microsoft.com/office/drawing/2014/main" id="{068B1CBB-1F0A-4603-8FCE-43B0C2153B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4" name="Elipse 1413">
          <a:extLst>
            <a:ext uri="{FF2B5EF4-FFF2-40B4-BE49-F238E27FC236}">
              <a16:creationId xmlns:a16="http://schemas.microsoft.com/office/drawing/2014/main" id="{8B5B1726-3E02-4656-AB43-9494963CBD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5" name="Elipse 1414">
          <a:extLst>
            <a:ext uri="{FF2B5EF4-FFF2-40B4-BE49-F238E27FC236}">
              <a16:creationId xmlns:a16="http://schemas.microsoft.com/office/drawing/2014/main" id="{F27D6BDC-AA35-4243-A339-81EE679189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6" name="Elipse 1415">
          <a:extLst>
            <a:ext uri="{FF2B5EF4-FFF2-40B4-BE49-F238E27FC236}">
              <a16:creationId xmlns:a16="http://schemas.microsoft.com/office/drawing/2014/main" id="{35676F25-953D-4209-B804-5B165E0407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7" name="Elipse 1416">
          <a:extLst>
            <a:ext uri="{FF2B5EF4-FFF2-40B4-BE49-F238E27FC236}">
              <a16:creationId xmlns:a16="http://schemas.microsoft.com/office/drawing/2014/main" id="{9F913ED6-7B15-4EF4-B0B3-FE74DA9CC6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8" name="Elipse 1417">
          <a:extLst>
            <a:ext uri="{FF2B5EF4-FFF2-40B4-BE49-F238E27FC236}">
              <a16:creationId xmlns:a16="http://schemas.microsoft.com/office/drawing/2014/main" id="{88FC293F-C8B0-4877-A946-7E6B0129F2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9" name="Elipse 1418">
          <a:extLst>
            <a:ext uri="{FF2B5EF4-FFF2-40B4-BE49-F238E27FC236}">
              <a16:creationId xmlns:a16="http://schemas.microsoft.com/office/drawing/2014/main" id="{0293340B-DA49-4377-B893-0767BC6F1E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0" name="Elipse 1419">
          <a:extLst>
            <a:ext uri="{FF2B5EF4-FFF2-40B4-BE49-F238E27FC236}">
              <a16:creationId xmlns:a16="http://schemas.microsoft.com/office/drawing/2014/main" id="{DE05AF5C-21F5-422E-B57D-975B8D0379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1" name="Elipse 1420">
          <a:extLst>
            <a:ext uri="{FF2B5EF4-FFF2-40B4-BE49-F238E27FC236}">
              <a16:creationId xmlns:a16="http://schemas.microsoft.com/office/drawing/2014/main" id="{BC368EEB-7376-40FC-87CD-A6EAC0F5D3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2" name="Elipse 1421">
          <a:extLst>
            <a:ext uri="{FF2B5EF4-FFF2-40B4-BE49-F238E27FC236}">
              <a16:creationId xmlns:a16="http://schemas.microsoft.com/office/drawing/2014/main" id="{5CFBBA68-AE4D-47DB-9EF8-7F0B4CF540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3" name="Elipse 1422">
          <a:extLst>
            <a:ext uri="{FF2B5EF4-FFF2-40B4-BE49-F238E27FC236}">
              <a16:creationId xmlns:a16="http://schemas.microsoft.com/office/drawing/2014/main" id="{D1306DF1-88EB-449E-B765-EEFE946F4E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4" name="Elipse 1423">
          <a:extLst>
            <a:ext uri="{FF2B5EF4-FFF2-40B4-BE49-F238E27FC236}">
              <a16:creationId xmlns:a16="http://schemas.microsoft.com/office/drawing/2014/main" id="{51D0E213-1494-49D8-9328-979DCB625D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5" name="Elipse 1424">
          <a:extLst>
            <a:ext uri="{FF2B5EF4-FFF2-40B4-BE49-F238E27FC236}">
              <a16:creationId xmlns:a16="http://schemas.microsoft.com/office/drawing/2014/main" id="{B1AEC211-74C8-40AC-BE95-E119D5E0DA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6" name="Elipse 1425">
          <a:extLst>
            <a:ext uri="{FF2B5EF4-FFF2-40B4-BE49-F238E27FC236}">
              <a16:creationId xmlns:a16="http://schemas.microsoft.com/office/drawing/2014/main" id="{CE385203-BF45-4099-BFDB-FCA5219CCC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7" name="Elipse 1426">
          <a:extLst>
            <a:ext uri="{FF2B5EF4-FFF2-40B4-BE49-F238E27FC236}">
              <a16:creationId xmlns:a16="http://schemas.microsoft.com/office/drawing/2014/main" id="{EA0D6268-F4C7-461C-B7E4-FF829F1694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8" name="Elipse 1427">
          <a:extLst>
            <a:ext uri="{FF2B5EF4-FFF2-40B4-BE49-F238E27FC236}">
              <a16:creationId xmlns:a16="http://schemas.microsoft.com/office/drawing/2014/main" id="{E1443F2B-9187-4041-A39B-44AAF31EDB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9" name="Elipse 1428">
          <a:extLst>
            <a:ext uri="{FF2B5EF4-FFF2-40B4-BE49-F238E27FC236}">
              <a16:creationId xmlns:a16="http://schemas.microsoft.com/office/drawing/2014/main" id="{DA79D176-4C0C-4C80-A50E-09659947E0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0" name="Elipse 1429">
          <a:extLst>
            <a:ext uri="{FF2B5EF4-FFF2-40B4-BE49-F238E27FC236}">
              <a16:creationId xmlns:a16="http://schemas.microsoft.com/office/drawing/2014/main" id="{7FA1813A-EB94-47D1-8DC3-74F6B4DEBD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1" name="Elipse 1430">
          <a:extLst>
            <a:ext uri="{FF2B5EF4-FFF2-40B4-BE49-F238E27FC236}">
              <a16:creationId xmlns:a16="http://schemas.microsoft.com/office/drawing/2014/main" id="{403E4570-0AC3-45DD-A5C7-E580CB6BB2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2" name="Elipse 1431">
          <a:extLst>
            <a:ext uri="{FF2B5EF4-FFF2-40B4-BE49-F238E27FC236}">
              <a16:creationId xmlns:a16="http://schemas.microsoft.com/office/drawing/2014/main" id="{C6F7AC2F-77FE-4311-9E22-FC7F2D55B6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3" name="Elipse 1432">
          <a:extLst>
            <a:ext uri="{FF2B5EF4-FFF2-40B4-BE49-F238E27FC236}">
              <a16:creationId xmlns:a16="http://schemas.microsoft.com/office/drawing/2014/main" id="{1DB74EE2-99B5-4DA6-B5DB-4D3A3ABA0D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4" name="Elipse 1433">
          <a:extLst>
            <a:ext uri="{FF2B5EF4-FFF2-40B4-BE49-F238E27FC236}">
              <a16:creationId xmlns:a16="http://schemas.microsoft.com/office/drawing/2014/main" id="{62B0962E-0757-44B4-BC3B-D6CD1E45B1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5" name="Elipse 1434">
          <a:extLst>
            <a:ext uri="{FF2B5EF4-FFF2-40B4-BE49-F238E27FC236}">
              <a16:creationId xmlns:a16="http://schemas.microsoft.com/office/drawing/2014/main" id="{D39EC820-B109-4BB3-BDD0-A5C67707BE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6" name="Elipse 1435">
          <a:extLst>
            <a:ext uri="{FF2B5EF4-FFF2-40B4-BE49-F238E27FC236}">
              <a16:creationId xmlns:a16="http://schemas.microsoft.com/office/drawing/2014/main" id="{86130724-C52F-40B1-971B-A9CB702430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7" name="Elipse 1436">
          <a:extLst>
            <a:ext uri="{FF2B5EF4-FFF2-40B4-BE49-F238E27FC236}">
              <a16:creationId xmlns:a16="http://schemas.microsoft.com/office/drawing/2014/main" id="{F07F4283-0DFF-41A6-8191-219445158C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8" name="Elipse 1437">
          <a:extLst>
            <a:ext uri="{FF2B5EF4-FFF2-40B4-BE49-F238E27FC236}">
              <a16:creationId xmlns:a16="http://schemas.microsoft.com/office/drawing/2014/main" id="{573C6CB2-0461-4D52-9986-78D4E39936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9" name="Elipse 1438">
          <a:extLst>
            <a:ext uri="{FF2B5EF4-FFF2-40B4-BE49-F238E27FC236}">
              <a16:creationId xmlns:a16="http://schemas.microsoft.com/office/drawing/2014/main" id="{80DF6C0E-59E3-4450-93BA-99F4D46B8A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0" name="Elipse 1439">
          <a:extLst>
            <a:ext uri="{FF2B5EF4-FFF2-40B4-BE49-F238E27FC236}">
              <a16:creationId xmlns:a16="http://schemas.microsoft.com/office/drawing/2014/main" id="{172816B5-4BC5-404D-BE2F-7D4FC4D23A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1" name="Elipse 1440">
          <a:extLst>
            <a:ext uri="{FF2B5EF4-FFF2-40B4-BE49-F238E27FC236}">
              <a16:creationId xmlns:a16="http://schemas.microsoft.com/office/drawing/2014/main" id="{FA102A86-B6AF-4F95-99D9-D4B53C106E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2" name="Elipse 1441">
          <a:extLst>
            <a:ext uri="{FF2B5EF4-FFF2-40B4-BE49-F238E27FC236}">
              <a16:creationId xmlns:a16="http://schemas.microsoft.com/office/drawing/2014/main" id="{80803C2F-977D-4ADC-B8D9-B41A73490A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3" name="Elipse 1442">
          <a:extLst>
            <a:ext uri="{FF2B5EF4-FFF2-40B4-BE49-F238E27FC236}">
              <a16:creationId xmlns:a16="http://schemas.microsoft.com/office/drawing/2014/main" id="{3B70F3C6-DEAA-48DC-A25D-72C983D55E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4" name="Elipse 1443">
          <a:extLst>
            <a:ext uri="{FF2B5EF4-FFF2-40B4-BE49-F238E27FC236}">
              <a16:creationId xmlns:a16="http://schemas.microsoft.com/office/drawing/2014/main" id="{56DB31DB-FA8A-4A26-AA4C-D0D6EAB7C1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5" name="Elipse 1444">
          <a:extLst>
            <a:ext uri="{FF2B5EF4-FFF2-40B4-BE49-F238E27FC236}">
              <a16:creationId xmlns:a16="http://schemas.microsoft.com/office/drawing/2014/main" id="{17980F0F-37BF-4E2E-8B6E-7B3DE159DC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6" name="Elipse 1445">
          <a:extLst>
            <a:ext uri="{FF2B5EF4-FFF2-40B4-BE49-F238E27FC236}">
              <a16:creationId xmlns:a16="http://schemas.microsoft.com/office/drawing/2014/main" id="{05BAF7C5-02FA-4501-B6F1-8EDFC7325E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7" name="Elipse 1446">
          <a:extLst>
            <a:ext uri="{FF2B5EF4-FFF2-40B4-BE49-F238E27FC236}">
              <a16:creationId xmlns:a16="http://schemas.microsoft.com/office/drawing/2014/main" id="{F29F4179-BD45-4A7C-9BE6-FB5584B57A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8" name="Elipse 1447">
          <a:extLst>
            <a:ext uri="{FF2B5EF4-FFF2-40B4-BE49-F238E27FC236}">
              <a16:creationId xmlns:a16="http://schemas.microsoft.com/office/drawing/2014/main" id="{95254B38-1F1E-4149-894D-494BF3BA06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9" name="Elipse 1448">
          <a:extLst>
            <a:ext uri="{FF2B5EF4-FFF2-40B4-BE49-F238E27FC236}">
              <a16:creationId xmlns:a16="http://schemas.microsoft.com/office/drawing/2014/main" id="{2AE0BA08-E9DD-437E-AC1F-4BFEF584FF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0" name="Elipse 1449">
          <a:extLst>
            <a:ext uri="{FF2B5EF4-FFF2-40B4-BE49-F238E27FC236}">
              <a16:creationId xmlns:a16="http://schemas.microsoft.com/office/drawing/2014/main" id="{6601039D-E841-4802-A872-83C896CB65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1" name="Elipse 1450">
          <a:extLst>
            <a:ext uri="{FF2B5EF4-FFF2-40B4-BE49-F238E27FC236}">
              <a16:creationId xmlns:a16="http://schemas.microsoft.com/office/drawing/2014/main" id="{C5AE7A87-37B0-4A34-BA1F-3CA0E3874B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2" name="Elipse 1451">
          <a:extLst>
            <a:ext uri="{FF2B5EF4-FFF2-40B4-BE49-F238E27FC236}">
              <a16:creationId xmlns:a16="http://schemas.microsoft.com/office/drawing/2014/main" id="{46234A07-9643-43CC-A017-921A5CDA7E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3" name="Elipse 1452">
          <a:extLst>
            <a:ext uri="{FF2B5EF4-FFF2-40B4-BE49-F238E27FC236}">
              <a16:creationId xmlns:a16="http://schemas.microsoft.com/office/drawing/2014/main" id="{97071B8E-B9EA-49BC-A820-133C9547E8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4" name="Elipse 1453">
          <a:extLst>
            <a:ext uri="{FF2B5EF4-FFF2-40B4-BE49-F238E27FC236}">
              <a16:creationId xmlns:a16="http://schemas.microsoft.com/office/drawing/2014/main" id="{E7809077-ABF8-46C5-AF43-1580BBEF38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5" name="Elipse 1454">
          <a:extLst>
            <a:ext uri="{FF2B5EF4-FFF2-40B4-BE49-F238E27FC236}">
              <a16:creationId xmlns:a16="http://schemas.microsoft.com/office/drawing/2014/main" id="{3B708C95-9AA0-4200-A4A4-8A3D8EFD7F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6" name="Elipse 1455">
          <a:extLst>
            <a:ext uri="{FF2B5EF4-FFF2-40B4-BE49-F238E27FC236}">
              <a16:creationId xmlns:a16="http://schemas.microsoft.com/office/drawing/2014/main" id="{8E5644F7-C66E-4FA9-9C3E-B0F06BC175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7" name="Elipse 1456">
          <a:extLst>
            <a:ext uri="{FF2B5EF4-FFF2-40B4-BE49-F238E27FC236}">
              <a16:creationId xmlns:a16="http://schemas.microsoft.com/office/drawing/2014/main" id="{E9943933-E48F-4F76-AB26-184E87635B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8" name="Elipse 1457">
          <a:extLst>
            <a:ext uri="{FF2B5EF4-FFF2-40B4-BE49-F238E27FC236}">
              <a16:creationId xmlns:a16="http://schemas.microsoft.com/office/drawing/2014/main" id="{ADAD399C-48F6-4628-81FD-903699FA0B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9" name="Elipse 1458">
          <a:extLst>
            <a:ext uri="{FF2B5EF4-FFF2-40B4-BE49-F238E27FC236}">
              <a16:creationId xmlns:a16="http://schemas.microsoft.com/office/drawing/2014/main" id="{AB527681-957A-46AF-8C7A-BD4495E07A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0" name="Elipse 1459">
          <a:extLst>
            <a:ext uri="{FF2B5EF4-FFF2-40B4-BE49-F238E27FC236}">
              <a16:creationId xmlns:a16="http://schemas.microsoft.com/office/drawing/2014/main" id="{5B5305BE-D2F7-4ED4-A928-E920B607A3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1" name="Elipse 1460">
          <a:extLst>
            <a:ext uri="{FF2B5EF4-FFF2-40B4-BE49-F238E27FC236}">
              <a16:creationId xmlns:a16="http://schemas.microsoft.com/office/drawing/2014/main" id="{DF43DEFD-F012-44A9-95DD-BA5D4C509A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2" name="Elipse 1461">
          <a:extLst>
            <a:ext uri="{FF2B5EF4-FFF2-40B4-BE49-F238E27FC236}">
              <a16:creationId xmlns:a16="http://schemas.microsoft.com/office/drawing/2014/main" id="{9E711194-C729-4EB2-B9E8-90A5BEC1BE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3" name="Elipse 1462">
          <a:extLst>
            <a:ext uri="{FF2B5EF4-FFF2-40B4-BE49-F238E27FC236}">
              <a16:creationId xmlns:a16="http://schemas.microsoft.com/office/drawing/2014/main" id="{EB572254-2892-4AFB-9C5A-7E308EA804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4" name="Elipse 1463">
          <a:extLst>
            <a:ext uri="{FF2B5EF4-FFF2-40B4-BE49-F238E27FC236}">
              <a16:creationId xmlns:a16="http://schemas.microsoft.com/office/drawing/2014/main" id="{B62B77E3-53AC-4FA2-8796-00CF194B10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5" name="Elipse 1464">
          <a:extLst>
            <a:ext uri="{FF2B5EF4-FFF2-40B4-BE49-F238E27FC236}">
              <a16:creationId xmlns:a16="http://schemas.microsoft.com/office/drawing/2014/main" id="{6D9DDC70-7AD4-4DC3-9661-33390A04BD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6" name="Elipse 1465">
          <a:extLst>
            <a:ext uri="{FF2B5EF4-FFF2-40B4-BE49-F238E27FC236}">
              <a16:creationId xmlns:a16="http://schemas.microsoft.com/office/drawing/2014/main" id="{FC91C119-5AD5-49E3-9E11-A001B71A09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7" name="Elipse 1466">
          <a:extLst>
            <a:ext uri="{FF2B5EF4-FFF2-40B4-BE49-F238E27FC236}">
              <a16:creationId xmlns:a16="http://schemas.microsoft.com/office/drawing/2014/main" id="{5B9F04E0-A3D2-4BA8-B153-C113110828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8" name="Elipse 1467">
          <a:extLst>
            <a:ext uri="{FF2B5EF4-FFF2-40B4-BE49-F238E27FC236}">
              <a16:creationId xmlns:a16="http://schemas.microsoft.com/office/drawing/2014/main" id="{A94C67CB-29A3-43C6-A28D-EEFD7B8C31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9" name="Elipse 1468">
          <a:extLst>
            <a:ext uri="{FF2B5EF4-FFF2-40B4-BE49-F238E27FC236}">
              <a16:creationId xmlns:a16="http://schemas.microsoft.com/office/drawing/2014/main" id="{8AFD8239-070D-470A-BA2A-24BBBECDF9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0" name="Elipse 1469">
          <a:extLst>
            <a:ext uri="{FF2B5EF4-FFF2-40B4-BE49-F238E27FC236}">
              <a16:creationId xmlns:a16="http://schemas.microsoft.com/office/drawing/2014/main" id="{B7166E24-34AD-4FA6-8FDB-57688EEDAE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1" name="Elipse 1470">
          <a:extLst>
            <a:ext uri="{FF2B5EF4-FFF2-40B4-BE49-F238E27FC236}">
              <a16:creationId xmlns:a16="http://schemas.microsoft.com/office/drawing/2014/main" id="{3840726A-FF6D-46C3-BA8B-CEC2113AA0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2" name="Elipse 1471">
          <a:extLst>
            <a:ext uri="{FF2B5EF4-FFF2-40B4-BE49-F238E27FC236}">
              <a16:creationId xmlns:a16="http://schemas.microsoft.com/office/drawing/2014/main" id="{EEDCC304-7589-4026-9FE3-AA973EBF89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3" name="Elipse 1472">
          <a:extLst>
            <a:ext uri="{FF2B5EF4-FFF2-40B4-BE49-F238E27FC236}">
              <a16:creationId xmlns:a16="http://schemas.microsoft.com/office/drawing/2014/main" id="{2CA54A1D-25CD-4A6F-8AB8-62139FF9F5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4" name="Elipse 1473">
          <a:extLst>
            <a:ext uri="{FF2B5EF4-FFF2-40B4-BE49-F238E27FC236}">
              <a16:creationId xmlns:a16="http://schemas.microsoft.com/office/drawing/2014/main" id="{7BA8DE90-C496-4301-82C3-AD1F8EEDD7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5" name="Elipse 1474">
          <a:extLst>
            <a:ext uri="{FF2B5EF4-FFF2-40B4-BE49-F238E27FC236}">
              <a16:creationId xmlns:a16="http://schemas.microsoft.com/office/drawing/2014/main" id="{F001B958-A649-40A4-9C8F-140A83B8A6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6" name="Elipse 1475">
          <a:extLst>
            <a:ext uri="{FF2B5EF4-FFF2-40B4-BE49-F238E27FC236}">
              <a16:creationId xmlns:a16="http://schemas.microsoft.com/office/drawing/2014/main" id="{E963E7DD-8FB8-4E02-9D0A-23296E765C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7" name="Elipse 1476">
          <a:extLst>
            <a:ext uri="{FF2B5EF4-FFF2-40B4-BE49-F238E27FC236}">
              <a16:creationId xmlns:a16="http://schemas.microsoft.com/office/drawing/2014/main" id="{9100E6FC-62DF-48BA-8C18-08479C1032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8" name="Elipse 1477">
          <a:extLst>
            <a:ext uri="{FF2B5EF4-FFF2-40B4-BE49-F238E27FC236}">
              <a16:creationId xmlns:a16="http://schemas.microsoft.com/office/drawing/2014/main" id="{F4F88780-D7B8-46D0-84C2-2B43ACAEA2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9" name="Elipse 1478">
          <a:extLst>
            <a:ext uri="{FF2B5EF4-FFF2-40B4-BE49-F238E27FC236}">
              <a16:creationId xmlns:a16="http://schemas.microsoft.com/office/drawing/2014/main" id="{C800DE84-431E-4267-B078-BFB072731E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0" name="Elipse 1479">
          <a:extLst>
            <a:ext uri="{FF2B5EF4-FFF2-40B4-BE49-F238E27FC236}">
              <a16:creationId xmlns:a16="http://schemas.microsoft.com/office/drawing/2014/main" id="{DBB61967-ADD5-4BB6-93D2-CAD308E99F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1" name="Elipse 1480">
          <a:extLst>
            <a:ext uri="{FF2B5EF4-FFF2-40B4-BE49-F238E27FC236}">
              <a16:creationId xmlns:a16="http://schemas.microsoft.com/office/drawing/2014/main" id="{06D6B0F8-2769-49DC-84B0-5FAF46EA9A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2" name="Elipse 1481">
          <a:extLst>
            <a:ext uri="{FF2B5EF4-FFF2-40B4-BE49-F238E27FC236}">
              <a16:creationId xmlns:a16="http://schemas.microsoft.com/office/drawing/2014/main" id="{6C38B9BD-3C3C-4B96-A0CA-A8FCA5AF3B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3" name="Elipse 1482">
          <a:extLst>
            <a:ext uri="{FF2B5EF4-FFF2-40B4-BE49-F238E27FC236}">
              <a16:creationId xmlns:a16="http://schemas.microsoft.com/office/drawing/2014/main" id="{22F1B00B-8BFB-4EE4-A6D4-B6825A0DD6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4" name="Elipse 1483">
          <a:extLst>
            <a:ext uri="{FF2B5EF4-FFF2-40B4-BE49-F238E27FC236}">
              <a16:creationId xmlns:a16="http://schemas.microsoft.com/office/drawing/2014/main" id="{B8B75A6E-C2A6-4847-92A4-A97596D0B9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5" name="Elipse 1484">
          <a:extLst>
            <a:ext uri="{FF2B5EF4-FFF2-40B4-BE49-F238E27FC236}">
              <a16:creationId xmlns:a16="http://schemas.microsoft.com/office/drawing/2014/main" id="{DAE2A86D-C078-4097-8C04-6E2E30867D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6" name="Elipse 1485">
          <a:extLst>
            <a:ext uri="{FF2B5EF4-FFF2-40B4-BE49-F238E27FC236}">
              <a16:creationId xmlns:a16="http://schemas.microsoft.com/office/drawing/2014/main" id="{A2FA5CDB-8913-44AB-8914-DD8EC17807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7" name="Elipse 1486">
          <a:extLst>
            <a:ext uri="{FF2B5EF4-FFF2-40B4-BE49-F238E27FC236}">
              <a16:creationId xmlns:a16="http://schemas.microsoft.com/office/drawing/2014/main" id="{0B135625-3E43-46CF-9950-0091591160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8" name="Elipse 1487">
          <a:extLst>
            <a:ext uri="{FF2B5EF4-FFF2-40B4-BE49-F238E27FC236}">
              <a16:creationId xmlns:a16="http://schemas.microsoft.com/office/drawing/2014/main" id="{C6394A50-08CC-4C2E-8C73-34DC9E939D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9" name="Elipse 1488">
          <a:extLst>
            <a:ext uri="{FF2B5EF4-FFF2-40B4-BE49-F238E27FC236}">
              <a16:creationId xmlns:a16="http://schemas.microsoft.com/office/drawing/2014/main" id="{E5C9153F-FFAC-4F6D-B211-2DE72F90FE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0" name="Elipse 1489">
          <a:extLst>
            <a:ext uri="{FF2B5EF4-FFF2-40B4-BE49-F238E27FC236}">
              <a16:creationId xmlns:a16="http://schemas.microsoft.com/office/drawing/2014/main" id="{68517DC1-901F-4299-9D2D-BED869334B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1" name="Elipse 1490">
          <a:extLst>
            <a:ext uri="{FF2B5EF4-FFF2-40B4-BE49-F238E27FC236}">
              <a16:creationId xmlns:a16="http://schemas.microsoft.com/office/drawing/2014/main" id="{668192E1-56F9-40E0-B2C8-A15957957E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2" name="Elipse 1491">
          <a:extLst>
            <a:ext uri="{FF2B5EF4-FFF2-40B4-BE49-F238E27FC236}">
              <a16:creationId xmlns:a16="http://schemas.microsoft.com/office/drawing/2014/main" id="{AAF08200-87EA-4244-ABB0-74CF098DED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3" name="Elipse 1492">
          <a:extLst>
            <a:ext uri="{FF2B5EF4-FFF2-40B4-BE49-F238E27FC236}">
              <a16:creationId xmlns:a16="http://schemas.microsoft.com/office/drawing/2014/main" id="{F6E71FDA-5028-4ADA-A816-4CD1C96D33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4" name="Elipse 1493">
          <a:extLst>
            <a:ext uri="{FF2B5EF4-FFF2-40B4-BE49-F238E27FC236}">
              <a16:creationId xmlns:a16="http://schemas.microsoft.com/office/drawing/2014/main" id="{20AA88CD-9480-4AE9-9B68-BB7FB76C93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5" name="Elipse 1494">
          <a:extLst>
            <a:ext uri="{FF2B5EF4-FFF2-40B4-BE49-F238E27FC236}">
              <a16:creationId xmlns:a16="http://schemas.microsoft.com/office/drawing/2014/main" id="{23C8D389-7B55-4D2B-852F-AE33279605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6" name="Elipse 1495">
          <a:extLst>
            <a:ext uri="{FF2B5EF4-FFF2-40B4-BE49-F238E27FC236}">
              <a16:creationId xmlns:a16="http://schemas.microsoft.com/office/drawing/2014/main" id="{0EE6D4A7-8EA8-4444-86B6-74ACFE5B5A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7" name="Elipse 1496">
          <a:extLst>
            <a:ext uri="{FF2B5EF4-FFF2-40B4-BE49-F238E27FC236}">
              <a16:creationId xmlns:a16="http://schemas.microsoft.com/office/drawing/2014/main" id="{6B5D4D92-E4C4-4F74-89FA-A8674D648D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8" name="Elipse 1497">
          <a:extLst>
            <a:ext uri="{FF2B5EF4-FFF2-40B4-BE49-F238E27FC236}">
              <a16:creationId xmlns:a16="http://schemas.microsoft.com/office/drawing/2014/main" id="{C84D162F-139A-4728-8CA2-FB69148998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9" name="Elipse 1498">
          <a:extLst>
            <a:ext uri="{FF2B5EF4-FFF2-40B4-BE49-F238E27FC236}">
              <a16:creationId xmlns:a16="http://schemas.microsoft.com/office/drawing/2014/main" id="{51511A7D-13CC-4E0E-8D85-3D741CCC81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0" name="Elipse 1499">
          <a:extLst>
            <a:ext uri="{FF2B5EF4-FFF2-40B4-BE49-F238E27FC236}">
              <a16:creationId xmlns:a16="http://schemas.microsoft.com/office/drawing/2014/main" id="{166B83B9-3FD9-44E3-B13A-22AEBDC501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1" name="Elipse 1500">
          <a:extLst>
            <a:ext uri="{FF2B5EF4-FFF2-40B4-BE49-F238E27FC236}">
              <a16:creationId xmlns:a16="http://schemas.microsoft.com/office/drawing/2014/main" id="{255FF921-4DCA-424A-8DC0-2A850A72DF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2" name="Elipse 1501">
          <a:extLst>
            <a:ext uri="{FF2B5EF4-FFF2-40B4-BE49-F238E27FC236}">
              <a16:creationId xmlns:a16="http://schemas.microsoft.com/office/drawing/2014/main" id="{65E184A1-B4AD-4881-9C3E-D2F6809892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3" name="Elipse 1502">
          <a:extLst>
            <a:ext uri="{FF2B5EF4-FFF2-40B4-BE49-F238E27FC236}">
              <a16:creationId xmlns:a16="http://schemas.microsoft.com/office/drawing/2014/main" id="{F2992C22-A10B-4FC7-8061-2025C6E1AA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4" name="Elipse 1503">
          <a:extLst>
            <a:ext uri="{FF2B5EF4-FFF2-40B4-BE49-F238E27FC236}">
              <a16:creationId xmlns:a16="http://schemas.microsoft.com/office/drawing/2014/main" id="{911F13E5-7A37-4CBF-95ED-5FF55A78BE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5" name="Elipse 1504">
          <a:extLst>
            <a:ext uri="{FF2B5EF4-FFF2-40B4-BE49-F238E27FC236}">
              <a16:creationId xmlns:a16="http://schemas.microsoft.com/office/drawing/2014/main" id="{7D32BD40-60E1-483A-8ED9-15B38E65DA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6" name="Elipse 1505">
          <a:extLst>
            <a:ext uri="{FF2B5EF4-FFF2-40B4-BE49-F238E27FC236}">
              <a16:creationId xmlns:a16="http://schemas.microsoft.com/office/drawing/2014/main" id="{0C3ECE43-8F1F-4D69-B2C8-83DD8987E8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7" name="Elipse 1506">
          <a:extLst>
            <a:ext uri="{FF2B5EF4-FFF2-40B4-BE49-F238E27FC236}">
              <a16:creationId xmlns:a16="http://schemas.microsoft.com/office/drawing/2014/main" id="{6A1DA4FF-E687-4068-9040-7BF86CD771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8" name="Elipse 1507">
          <a:extLst>
            <a:ext uri="{FF2B5EF4-FFF2-40B4-BE49-F238E27FC236}">
              <a16:creationId xmlns:a16="http://schemas.microsoft.com/office/drawing/2014/main" id="{B873533E-47F8-42B5-9910-00CD2AE752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9" name="Elipse 1508">
          <a:extLst>
            <a:ext uri="{FF2B5EF4-FFF2-40B4-BE49-F238E27FC236}">
              <a16:creationId xmlns:a16="http://schemas.microsoft.com/office/drawing/2014/main" id="{6C04BD9B-6665-4634-96E5-658C125CAA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0" name="Elipse 1509">
          <a:extLst>
            <a:ext uri="{FF2B5EF4-FFF2-40B4-BE49-F238E27FC236}">
              <a16:creationId xmlns:a16="http://schemas.microsoft.com/office/drawing/2014/main" id="{47F23704-8142-4E1B-8877-A1F7682987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1" name="Elipse 1510">
          <a:extLst>
            <a:ext uri="{FF2B5EF4-FFF2-40B4-BE49-F238E27FC236}">
              <a16:creationId xmlns:a16="http://schemas.microsoft.com/office/drawing/2014/main" id="{908D88AA-4387-4B50-9BAE-583624D314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2" name="Elipse 1511">
          <a:extLst>
            <a:ext uri="{FF2B5EF4-FFF2-40B4-BE49-F238E27FC236}">
              <a16:creationId xmlns:a16="http://schemas.microsoft.com/office/drawing/2014/main" id="{3452EB7B-87F2-4896-B015-6E8711116E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3" name="Elipse 1512">
          <a:extLst>
            <a:ext uri="{FF2B5EF4-FFF2-40B4-BE49-F238E27FC236}">
              <a16:creationId xmlns:a16="http://schemas.microsoft.com/office/drawing/2014/main" id="{BC5F8C42-8BCD-4538-89D5-3A9DE0F4D1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4" name="Elipse 1513">
          <a:extLst>
            <a:ext uri="{FF2B5EF4-FFF2-40B4-BE49-F238E27FC236}">
              <a16:creationId xmlns:a16="http://schemas.microsoft.com/office/drawing/2014/main" id="{4E85ED6E-47A1-483A-AFA7-3521BB98F3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5" name="Elipse 1514">
          <a:extLst>
            <a:ext uri="{FF2B5EF4-FFF2-40B4-BE49-F238E27FC236}">
              <a16:creationId xmlns:a16="http://schemas.microsoft.com/office/drawing/2014/main" id="{9A68CCD0-687D-474C-9EE2-B524350357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6" name="Elipse 1515">
          <a:extLst>
            <a:ext uri="{FF2B5EF4-FFF2-40B4-BE49-F238E27FC236}">
              <a16:creationId xmlns:a16="http://schemas.microsoft.com/office/drawing/2014/main" id="{FCDCD5BE-BAB4-432E-89D3-14B006785A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7" name="Elipse 1516">
          <a:extLst>
            <a:ext uri="{FF2B5EF4-FFF2-40B4-BE49-F238E27FC236}">
              <a16:creationId xmlns:a16="http://schemas.microsoft.com/office/drawing/2014/main" id="{8B90ED4E-44B7-4924-AB26-4DA73A7672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8" name="Elipse 1517">
          <a:extLst>
            <a:ext uri="{FF2B5EF4-FFF2-40B4-BE49-F238E27FC236}">
              <a16:creationId xmlns:a16="http://schemas.microsoft.com/office/drawing/2014/main" id="{40605F12-4F35-45C6-86B4-FAD7B6D554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9" name="Elipse 1518">
          <a:extLst>
            <a:ext uri="{FF2B5EF4-FFF2-40B4-BE49-F238E27FC236}">
              <a16:creationId xmlns:a16="http://schemas.microsoft.com/office/drawing/2014/main" id="{53FE4F8B-355C-4C9F-AAFA-DDE36E0AC4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0" name="Elipse 1519">
          <a:extLst>
            <a:ext uri="{FF2B5EF4-FFF2-40B4-BE49-F238E27FC236}">
              <a16:creationId xmlns:a16="http://schemas.microsoft.com/office/drawing/2014/main" id="{1557A2E9-7388-41AB-B63C-1ABC12C33D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1" name="Elipse 1520">
          <a:extLst>
            <a:ext uri="{FF2B5EF4-FFF2-40B4-BE49-F238E27FC236}">
              <a16:creationId xmlns:a16="http://schemas.microsoft.com/office/drawing/2014/main" id="{843BDE2F-E9E5-40B5-ADF2-17EBD1EDE5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2" name="Elipse 1521">
          <a:extLst>
            <a:ext uri="{FF2B5EF4-FFF2-40B4-BE49-F238E27FC236}">
              <a16:creationId xmlns:a16="http://schemas.microsoft.com/office/drawing/2014/main" id="{ABD1EFC3-0BDA-4371-B272-CCCC3C86C0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3" name="Elipse 1522">
          <a:extLst>
            <a:ext uri="{FF2B5EF4-FFF2-40B4-BE49-F238E27FC236}">
              <a16:creationId xmlns:a16="http://schemas.microsoft.com/office/drawing/2014/main" id="{892FEAF1-5975-4107-85E6-6125057459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4" name="Elipse 1523">
          <a:extLst>
            <a:ext uri="{FF2B5EF4-FFF2-40B4-BE49-F238E27FC236}">
              <a16:creationId xmlns:a16="http://schemas.microsoft.com/office/drawing/2014/main" id="{6D3B1B1D-B5DF-47A7-9320-22785F0D27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5" name="Elipse 1524">
          <a:extLst>
            <a:ext uri="{FF2B5EF4-FFF2-40B4-BE49-F238E27FC236}">
              <a16:creationId xmlns:a16="http://schemas.microsoft.com/office/drawing/2014/main" id="{180EB28C-F36F-4536-B8A3-336F3B1549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6" name="Elipse 1525">
          <a:extLst>
            <a:ext uri="{FF2B5EF4-FFF2-40B4-BE49-F238E27FC236}">
              <a16:creationId xmlns:a16="http://schemas.microsoft.com/office/drawing/2014/main" id="{E874036E-E5DF-461D-8117-6423C5CCA0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7" name="Elipse 1526">
          <a:extLst>
            <a:ext uri="{FF2B5EF4-FFF2-40B4-BE49-F238E27FC236}">
              <a16:creationId xmlns:a16="http://schemas.microsoft.com/office/drawing/2014/main" id="{6143ED4A-6119-4DF3-BA2C-79540E8AFD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8" name="Elipse 1527">
          <a:extLst>
            <a:ext uri="{FF2B5EF4-FFF2-40B4-BE49-F238E27FC236}">
              <a16:creationId xmlns:a16="http://schemas.microsoft.com/office/drawing/2014/main" id="{4658854B-B50C-405D-A3F2-931B9EF29C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9" name="Elipse 1528">
          <a:extLst>
            <a:ext uri="{FF2B5EF4-FFF2-40B4-BE49-F238E27FC236}">
              <a16:creationId xmlns:a16="http://schemas.microsoft.com/office/drawing/2014/main" id="{9BE10BFB-A98F-47B2-8A35-9C8B804B5E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0" name="Elipse 1529">
          <a:extLst>
            <a:ext uri="{FF2B5EF4-FFF2-40B4-BE49-F238E27FC236}">
              <a16:creationId xmlns:a16="http://schemas.microsoft.com/office/drawing/2014/main" id="{9F40B199-93BA-4329-9903-E16C1D6019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1" name="Elipse 1530">
          <a:extLst>
            <a:ext uri="{FF2B5EF4-FFF2-40B4-BE49-F238E27FC236}">
              <a16:creationId xmlns:a16="http://schemas.microsoft.com/office/drawing/2014/main" id="{67FDEF4C-B388-4C57-92A0-6B81F54DC2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2" name="Elipse 1531">
          <a:extLst>
            <a:ext uri="{FF2B5EF4-FFF2-40B4-BE49-F238E27FC236}">
              <a16:creationId xmlns:a16="http://schemas.microsoft.com/office/drawing/2014/main" id="{1F98C07C-0B10-4180-B4B8-07E6A50557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3" name="Elipse 1532">
          <a:extLst>
            <a:ext uri="{FF2B5EF4-FFF2-40B4-BE49-F238E27FC236}">
              <a16:creationId xmlns:a16="http://schemas.microsoft.com/office/drawing/2014/main" id="{476EE17F-82E5-45B3-A536-6E6A885BB1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4" name="Elipse 1533">
          <a:extLst>
            <a:ext uri="{FF2B5EF4-FFF2-40B4-BE49-F238E27FC236}">
              <a16:creationId xmlns:a16="http://schemas.microsoft.com/office/drawing/2014/main" id="{BE57EF22-3F6B-41CD-B84E-1B1D2D1A29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5" name="Elipse 1534">
          <a:extLst>
            <a:ext uri="{FF2B5EF4-FFF2-40B4-BE49-F238E27FC236}">
              <a16:creationId xmlns:a16="http://schemas.microsoft.com/office/drawing/2014/main" id="{2CD1D534-6F7A-4726-9D72-9190BEFCBF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6" name="Elipse 1535">
          <a:extLst>
            <a:ext uri="{FF2B5EF4-FFF2-40B4-BE49-F238E27FC236}">
              <a16:creationId xmlns:a16="http://schemas.microsoft.com/office/drawing/2014/main" id="{0D4E064F-5332-4FB6-86A0-B58C365946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7" name="Elipse 1536">
          <a:extLst>
            <a:ext uri="{FF2B5EF4-FFF2-40B4-BE49-F238E27FC236}">
              <a16:creationId xmlns:a16="http://schemas.microsoft.com/office/drawing/2014/main" id="{D600163D-A029-4EB8-922B-A22B75F151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8" name="Elipse 1537">
          <a:extLst>
            <a:ext uri="{FF2B5EF4-FFF2-40B4-BE49-F238E27FC236}">
              <a16:creationId xmlns:a16="http://schemas.microsoft.com/office/drawing/2014/main" id="{EE6B9757-3AB6-447C-89AA-83B094D0DB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9" name="Elipse 1538">
          <a:extLst>
            <a:ext uri="{FF2B5EF4-FFF2-40B4-BE49-F238E27FC236}">
              <a16:creationId xmlns:a16="http://schemas.microsoft.com/office/drawing/2014/main" id="{261B1AEA-9CF9-4EF7-84B5-7E54A3DAEB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0" name="Elipse 1539">
          <a:extLst>
            <a:ext uri="{FF2B5EF4-FFF2-40B4-BE49-F238E27FC236}">
              <a16:creationId xmlns:a16="http://schemas.microsoft.com/office/drawing/2014/main" id="{6E8CFB58-0861-4B1B-9F1C-99810AAFE6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1" name="Elipse 1540">
          <a:extLst>
            <a:ext uri="{FF2B5EF4-FFF2-40B4-BE49-F238E27FC236}">
              <a16:creationId xmlns:a16="http://schemas.microsoft.com/office/drawing/2014/main" id="{66D85CC7-38BF-42A3-9FC3-360661AE93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2" name="Elipse 1541">
          <a:extLst>
            <a:ext uri="{FF2B5EF4-FFF2-40B4-BE49-F238E27FC236}">
              <a16:creationId xmlns:a16="http://schemas.microsoft.com/office/drawing/2014/main" id="{1087F68E-AB71-417D-9187-4499CF0972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3" name="Elipse 1542">
          <a:extLst>
            <a:ext uri="{FF2B5EF4-FFF2-40B4-BE49-F238E27FC236}">
              <a16:creationId xmlns:a16="http://schemas.microsoft.com/office/drawing/2014/main" id="{139A1F4F-6F05-4288-88AC-04775F4223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4" name="Elipse 1543">
          <a:extLst>
            <a:ext uri="{FF2B5EF4-FFF2-40B4-BE49-F238E27FC236}">
              <a16:creationId xmlns:a16="http://schemas.microsoft.com/office/drawing/2014/main" id="{02667829-9ABA-4375-99D5-896C76DE38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5" name="Elipse 1544">
          <a:extLst>
            <a:ext uri="{FF2B5EF4-FFF2-40B4-BE49-F238E27FC236}">
              <a16:creationId xmlns:a16="http://schemas.microsoft.com/office/drawing/2014/main" id="{7299ADE5-D163-4A1B-BAEA-FD052A737F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6" name="Elipse 1545">
          <a:extLst>
            <a:ext uri="{FF2B5EF4-FFF2-40B4-BE49-F238E27FC236}">
              <a16:creationId xmlns:a16="http://schemas.microsoft.com/office/drawing/2014/main" id="{A43E6A61-FCF4-4DE5-8919-3E3E83F990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7" name="Elipse 1546">
          <a:extLst>
            <a:ext uri="{FF2B5EF4-FFF2-40B4-BE49-F238E27FC236}">
              <a16:creationId xmlns:a16="http://schemas.microsoft.com/office/drawing/2014/main" id="{1D80EA17-4FE2-485C-908B-24C1480E0E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8" name="Elipse 1547">
          <a:extLst>
            <a:ext uri="{FF2B5EF4-FFF2-40B4-BE49-F238E27FC236}">
              <a16:creationId xmlns:a16="http://schemas.microsoft.com/office/drawing/2014/main" id="{3FFF47AB-EC89-4CBA-941C-33458B21DA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9" name="Elipse 1548">
          <a:extLst>
            <a:ext uri="{FF2B5EF4-FFF2-40B4-BE49-F238E27FC236}">
              <a16:creationId xmlns:a16="http://schemas.microsoft.com/office/drawing/2014/main" id="{4E4D18FF-370D-4819-BD4D-DB273489DC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0" name="Elipse 1549">
          <a:extLst>
            <a:ext uri="{FF2B5EF4-FFF2-40B4-BE49-F238E27FC236}">
              <a16:creationId xmlns:a16="http://schemas.microsoft.com/office/drawing/2014/main" id="{84104F07-2E6A-4C68-AD3B-D4C90976BF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1" name="Elipse 1550">
          <a:extLst>
            <a:ext uri="{FF2B5EF4-FFF2-40B4-BE49-F238E27FC236}">
              <a16:creationId xmlns:a16="http://schemas.microsoft.com/office/drawing/2014/main" id="{AB0C58CD-3A1B-408F-9AEF-C15FC9D624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2" name="Elipse 1551">
          <a:extLst>
            <a:ext uri="{FF2B5EF4-FFF2-40B4-BE49-F238E27FC236}">
              <a16:creationId xmlns:a16="http://schemas.microsoft.com/office/drawing/2014/main" id="{3E08FE5F-20E5-442C-816B-5E9D394FE6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3" name="Elipse 1552">
          <a:extLst>
            <a:ext uri="{FF2B5EF4-FFF2-40B4-BE49-F238E27FC236}">
              <a16:creationId xmlns:a16="http://schemas.microsoft.com/office/drawing/2014/main" id="{935CFF79-2ED5-4622-8D7C-878A81598C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4" name="Elipse 1553">
          <a:extLst>
            <a:ext uri="{FF2B5EF4-FFF2-40B4-BE49-F238E27FC236}">
              <a16:creationId xmlns:a16="http://schemas.microsoft.com/office/drawing/2014/main" id="{830660D2-CC9C-4117-83E2-DB125FD422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5" name="Elipse 1554">
          <a:extLst>
            <a:ext uri="{FF2B5EF4-FFF2-40B4-BE49-F238E27FC236}">
              <a16:creationId xmlns:a16="http://schemas.microsoft.com/office/drawing/2014/main" id="{FBCC9BDB-81FF-4433-AD86-79D0333D23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6" name="Elipse 1555">
          <a:extLst>
            <a:ext uri="{FF2B5EF4-FFF2-40B4-BE49-F238E27FC236}">
              <a16:creationId xmlns:a16="http://schemas.microsoft.com/office/drawing/2014/main" id="{F0415996-4A22-4C59-9A2A-CCA73A20D6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7" name="Elipse 1556">
          <a:extLst>
            <a:ext uri="{FF2B5EF4-FFF2-40B4-BE49-F238E27FC236}">
              <a16:creationId xmlns:a16="http://schemas.microsoft.com/office/drawing/2014/main" id="{2C873734-8174-4DA0-97EB-0D8E6886D4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8" name="Elipse 1557">
          <a:extLst>
            <a:ext uri="{FF2B5EF4-FFF2-40B4-BE49-F238E27FC236}">
              <a16:creationId xmlns:a16="http://schemas.microsoft.com/office/drawing/2014/main" id="{1B4C01E4-5F18-4C3A-8927-53F97D4D95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9" name="Elipse 1558">
          <a:extLst>
            <a:ext uri="{FF2B5EF4-FFF2-40B4-BE49-F238E27FC236}">
              <a16:creationId xmlns:a16="http://schemas.microsoft.com/office/drawing/2014/main" id="{32FFBAF5-CB54-46A1-9570-91E3F9E46B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0" name="Elipse 1559">
          <a:extLst>
            <a:ext uri="{FF2B5EF4-FFF2-40B4-BE49-F238E27FC236}">
              <a16:creationId xmlns:a16="http://schemas.microsoft.com/office/drawing/2014/main" id="{4829AB62-5434-4A20-9628-9A863D4029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1" name="Elipse 1560">
          <a:extLst>
            <a:ext uri="{FF2B5EF4-FFF2-40B4-BE49-F238E27FC236}">
              <a16:creationId xmlns:a16="http://schemas.microsoft.com/office/drawing/2014/main" id="{7F84CE64-6FA3-47E6-9819-01BC7955AB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2" name="Elipse 1561">
          <a:extLst>
            <a:ext uri="{FF2B5EF4-FFF2-40B4-BE49-F238E27FC236}">
              <a16:creationId xmlns:a16="http://schemas.microsoft.com/office/drawing/2014/main" id="{3EF83538-77CD-4759-AE6E-960915789B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3" name="Elipse 1562">
          <a:extLst>
            <a:ext uri="{FF2B5EF4-FFF2-40B4-BE49-F238E27FC236}">
              <a16:creationId xmlns:a16="http://schemas.microsoft.com/office/drawing/2014/main" id="{4591F104-1D39-438B-B05F-090685AAAF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4" name="Elipse 1563">
          <a:extLst>
            <a:ext uri="{FF2B5EF4-FFF2-40B4-BE49-F238E27FC236}">
              <a16:creationId xmlns:a16="http://schemas.microsoft.com/office/drawing/2014/main" id="{7A675991-C731-49A7-A9F1-F89D32A5BD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5" name="Elipse 1564">
          <a:extLst>
            <a:ext uri="{FF2B5EF4-FFF2-40B4-BE49-F238E27FC236}">
              <a16:creationId xmlns:a16="http://schemas.microsoft.com/office/drawing/2014/main" id="{0D1FA0A0-4C85-485F-8CDF-09CCA80E64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6" name="Elipse 1565">
          <a:extLst>
            <a:ext uri="{FF2B5EF4-FFF2-40B4-BE49-F238E27FC236}">
              <a16:creationId xmlns:a16="http://schemas.microsoft.com/office/drawing/2014/main" id="{4600136F-48BA-4CD5-B8A0-6E2C5A8E33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7" name="Elipse 1566">
          <a:extLst>
            <a:ext uri="{FF2B5EF4-FFF2-40B4-BE49-F238E27FC236}">
              <a16:creationId xmlns:a16="http://schemas.microsoft.com/office/drawing/2014/main" id="{260AB84D-1971-48F7-9527-D84FE0B692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8" name="Elipse 1567">
          <a:extLst>
            <a:ext uri="{FF2B5EF4-FFF2-40B4-BE49-F238E27FC236}">
              <a16:creationId xmlns:a16="http://schemas.microsoft.com/office/drawing/2014/main" id="{C3E3508F-27C6-46A6-95C9-D179B57591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9" name="Elipse 1568">
          <a:extLst>
            <a:ext uri="{FF2B5EF4-FFF2-40B4-BE49-F238E27FC236}">
              <a16:creationId xmlns:a16="http://schemas.microsoft.com/office/drawing/2014/main" id="{093AF6B1-2D31-449D-A802-538458B365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0" name="Elipse 1569">
          <a:extLst>
            <a:ext uri="{FF2B5EF4-FFF2-40B4-BE49-F238E27FC236}">
              <a16:creationId xmlns:a16="http://schemas.microsoft.com/office/drawing/2014/main" id="{BBFEA846-9131-4BDB-8971-5CC03CEA14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1" name="Elipse 1570">
          <a:extLst>
            <a:ext uri="{FF2B5EF4-FFF2-40B4-BE49-F238E27FC236}">
              <a16:creationId xmlns:a16="http://schemas.microsoft.com/office/drawing/2014/main" id="{0BDBD58E-E49D-41A5-9E71-869627C837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2" name="Elipse 1571">
          <a:extLst>
            <a:ext uri="{FF2B5EF4-FFF2-40B4-BE49-F238E27FC236}">
              <a16:creationId xmlns:a16="http://schemas.microsoft.com/office/drawing/2014/main" id="{E3A06923-2637-4385-BD47-01B2DA7B87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3" name="Elipse 1572">
          <a:extLst>
            <a:ext uri="{FF2B5EF4-FFF2-40B4-BE49-F238E27FC236}">
              <a16:creationId xmlns:a16="http://schemas.microsoft.com/office/drawing/2014/main" id="{B81E82CF-711E-45F6-8737-61FAB3CF7A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4" name="Elipse 1573">
          <a:extLst>
            <a:ext uri="{FF2B5EF4-FFF2-40B4-BE49-F238E27FC236}">
              <a16:creationId xmlns:a16="http://schemas.microsoft.com/office/drawing/2014/main" id="{04EF96D6-5029-4502-BF60-07ABB52745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5" name="Elipse 1574">
          <a:extLst>
            <a:ext uri="{FF2B5EF4-FFF2-40B4-BE49-F238E27FC236}">
              <a16:creationId xmlns:a16="http://schemas.microsoft.com/office/drawing/2014/main" id="{9F796394-DCAA-48E5-9277-E48FD41311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6" name="Elipse 1575">
          <a:extLst>
            <a:ext uri="{FF2B5EF4-FFF2-40B4-BE49-F238E27FC236}">
              <a16:creationId xmlns:a16="http://schemas.microsoft.com/office/drawing/2014/main" id="{B8B246E6-98A0-4F77-ABCD-556FEA816A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7" name="Elipse 1576">
          <a:extLst>
            <a:ext uri="{FF2B5EF4-FFF2-40B4-BE49-F238E27FC236}">
              <a16:creationId xmlns:a16="http://schemas.microsoft.com/office/drawing/2014/main" id="{2D973214-591F-4127-83EA-F4145875B8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8" name="Elipse 1577">
          <a:extLst>
            <a:ext uri="{FF2B5EF4-FFF2-40B4-BE49-F238E27FC236}">
              <a16:creationId xmlns:a16="http://schemas.microsoft.com/office/drawing/2014/main" id="{875C6FFB-5363-4DE3-808A-22B676CC82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9" name="Elipse 1578">
          <a:extLst>
            <a:ext uri="{FF2B5EF4-FFF2-40B4-BE49-F238E27FC236}">
              <a16:creationId xmlns:a16="http://schemas.microsoft.com/office/drawing/2014/main" id="{18A386BB-E8E9-4C6D-ACD8-7D4516ED7D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0" name="Elipse 1579">
          <a:extLst>
            <a:ext uri="{FF2B5EF4-FFF2-40B4-BE49-F238E27FC236}">
              <a16:creationId xmlns:a16="http://schemas.microsoft.com/office/drawing/2014/main" id="{1D26B0BF-BCC3-478B-8767-BA0BB0ED87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1" name="Elipse 1580">
          <a:extLst>
            <a:ext uri="{FF2B5EF4-FFF2-40B4-BE49-F238E27FC236}">
              <a16:creationId xmlns:a16="http://schemas.microsoft.com/office/drawing/2014/main" id="{F6BB9A62-EB96-438D-90E4-45687E0B40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2" name="Elipse 1581">
          <a:extLst>
            <a:ext uri="{FF2B5EF4-FFF2-40B4-BE49-F238E27FC236}">
              <a16:creationId xmlns:a16="http://schemas.microsoft.com/office/drawing/2014/main" id="{AD683BCF-B1AE-4EDA-B34A-E397F6189D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3" name="Elipse 1582">
          <a:extLst>
            <a:ext uri="{FF2B5EF4-FFF2-40B4-BE49-F238E27FC236}">
              <a16:creationId xmlns:a16="http://schemas.microsoft.com/office/drawing/2014/main" id="{8E94C9B3-28DC-4D25-84D5-C63698954A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4" name="Elipse 1583">
          <a:extLst>
            <a:ext uri="{FF2B5EF4-FFF2-40B4-BE49-F238E27FC236}">
              <a16:creationId xmlns:a16="http://schemas.microsoft.com/office/drawing/2014/main" id="{6FB8B62A-CE69-4277-B4AB-99D4D71965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5" name="Elipse 1584">
          <a:extLst>
            <a:ext uri="{FF2B5EF4-FFF2-40B4-BE49-F238E27FC236}">
              <a16:creationId xmlns:a16="http://schemas.microsoft.com/office/drawing/2014/main" id="{492DE646-E455-4C0F-A0EB-FBBA54C2A8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6" name="Elipse 1585">
          <a:extLst>
            <a:ext uri="{FF2B5EF4-FFF2-40B4-BE49-F238E27FC236}">
              <a16:creationId xmlns:a16="http://schemas.microsoft.com/office/drawing/2014/main" id="{B62A3359-859F-4B18-A76F-01ACCD7879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7" name="Elipse 1586">
          <a:extLst>
            <a:ext uri="{FF2B5EF4-FFF2-40B4-BE49-F238E27FC236}">
              <a16:creationId xmlns:a16="http://schemas.microsoft.com/office/drawing/2014/main" id="{993C0586-94E5-47C2-92A3-0A52280418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8" name="Elipse 1587">
          <a:extLst>
            <a:ext uri="{FF2B5EF4-FFF2-40B4-BE49-F238E27FC236}">
              <a16:creationId xmlns:a16="http://schemas.microsoft.com/office/drawing/2014/main" id="{11CE090E-7D13-4535-BBD4-DD93555AD2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9" name="Elipse 1588">
          <a:extLst>
            <a:ext uri="{FF2B5EF4-FFF2-40B4-BE49-F238E27FC236}">
              <a16:creationId xmlns:a16="http://schemas.microsoft.com/office/drawing/2014/main" id="{0DE5F2AD-68DC-415F-AC1C-E149C206F5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0" name="Elipse 1589">
          <a:extLst>
            <a:ext uri="{FF2B5EF4-FFF2-40B4-BE49-F238E27FC236}">
              <a16:creationId xmlns:a16="http://schemas.microsoft.com/office/drawing/2014/main" id="{A5968F7D-BA5C-4B46-B02A-004C76A4B1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1" name="Elipse 1590">
          <a:extLst>
            <a:ext uri="{FF2B5EF4-FFF2-40B4-BE49-F238E27FC236}">
              <a16:creationId xmlns:a16="http://schemas.microsoft.com/office/drawing/2014/main" id="{66DACD9D-C781-4A38-97E9-42D8EC08E6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2" name="Elipse 1591">
          <a:extLst>
            <a:ext uri="{FF2B5EF4-FFF2-40B4-BE49-F238E27FC236}">
              <a16:creationId xmlns:a16="http://schemas.microsoft.com/office/drawing/2014/main" id="{40E92324-949E-4B77-8846-8310EB52D8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3" name="Elipse 1592">
          <a:extLst>
            <a:ext uri="{FF2B5EF4-FFF2-40B4-BE49-F238E27FC236}">
              <a16:creationId xmlns:a16="http://schemas.microsoft.com/office/drawing/2014/main" id="{92384918-B06B-4D37-92E5-401E48D5FD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4" name="Elipse 1593">
          <a:extLst>
            <a:ext uri="{FF2B5EF4-FFF2-40B4-BE49-F238E27FC236}">
              <a16:creationId xmlns:a16="http://schemas.microsoft.com/office/drawing/2014/main" id="{31464ADF-A050-4AC5-837D-353D7D7F5B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5" name="Elipse 1594">
          <a:extLst>
            <a:ext uri="{FF2B5EF4-FFF2-40B4-BE49-F238E27FC236}">
              <a16:creationId xmlns:a16="http://schemas.microsoft.com/office/drawing/2014/main" id="{13A19CCF-205F-4BCE-82D5-3FB186A4DC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6" name="Elipse 1595">
          <a:extLst>
            <a:ext uri="{FF2B5EF4-FFF2-40B4-BE49-F238E27FC236}">
              <a16:creationId xmlns:a16="http://schemas.microsoft.com/office/drawing/2014/main" id="{CFDE5C7B-8FD3-4BCF-B22A-BC3037C3A1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7" name="Elipse 1596">
          <a:extLst>
            <a:ext uri="{FF2B5EF4-FFF2-40B4-BE49-F238E27FC236}">
              <a16:creationId xmlns:a16="http://schemas.microsoft.com/office/drawing/2014/main" id="{2EF3CF23-C28A-4857-9D4D-5BE8C59DA6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8" name="Elipse 1597">
          <a:extLst>
            <a:ext uri="{FF2B5EF4-FFF2-40B4-BE49-F238E27FC236}">
              <a16:creationId xmlns:a16="http://schemas.microsoft.com/office/drawing/2014/main" id="{A38902FD-160E-4612-ADAB-0B8A33F0B6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9" name="Elipse 1598">
          <a:extLst>
            <a:ext uri="{FF2B5EF4-FFF2-40B4-BE49-F238E27FC236}">
              <a16:creationId xmlns:a16="http://schemas.microsoft.com/office/drawing/2014/main" id="{30B5F623-B3F1-4B80-B0D6-34635D1786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0" name="Elipse 1599">
          <a:extLst>
            <a:ext uri="{FF2B5EF4-FFF2-40B4-BE49-F238E27FC236}">
              <a16:creationId xmlns:a16="http://schemas.microsoft.com/office/drawing/2014/main" id="{13702FF8-772F-4DE4-9DA2-826C56590A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1" name="Elipse 1600">
          <a:extLst>
            <a:ext uri="{FF2B5EF4-FFF2-40B4-BE49-F238E27FC236}">
              <a16:creationId xmlns:a16="http://schemas.microsoft.com/office/drawing/2014/main" id="{5040716A-ED81-4A80-8F14-00FBF3326F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2" name="Elipse 1601">
          <a:extLst>
            <a:ext uri="{FF2B5EF4-FFF2-40B4-BE49-F238E27FC236}">
              <a16:creationId xmlns:a16="http://schemas.microsoft.com/office/drawing/2014/main" id="{E96609DC-8A5F-4C79-B0A7-B22C5DB1EB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3" name="Elipse 1602">
          <a:extLst>
            <a:ext uri="{FF2B5EF4-FFF2-40B4-BE49-F238E27FC236}">
              <a16:creationId xmlns:a16="http://schemas.microsoft.com/office/drawing/2014/main" id="{CC0EA043-2F16-4602-AB24-E8F1ADD2B6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4" name="Elipse 1603">
          <a:extLst>
            <a:ext uri="{FF2B5EF4-FFF2-40B4-BE49-F238E27FC236}">
              <a16:creationId xmlns:a16="http://schemas.microsoft.com/office/drawing/2014/main" id="{F78085BB-3B88-4784-A5FE-6A2AE5FF22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5" name="Elipse 1604">
          <a:extLst>
            <a:ext uri="{FF2B5EF4-FFF2-40B4-BE49-F238E27FC236}">
              <a16:creationId xmlns:a16="http://schemas.microsoft.com/office/drawing/2014/main" id="{C7576EDA-9E4B-46B0-A7B2-96C3C2CE0A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6" name="Elipse 1605">
          <a:extLst>
            <a:ext uri="{FF2B5EF4-FFF2-40B4-BE49-F238E27FC236}">
              <a16:creationId xmlns:a16="http://schemas.microsoft.com/office/drawing/2014/main" id="{DAFFBB3D-74EB-4C1B-B0AB-FA2B0D1451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7" name="Elipse 1606">
          <a:extLst>
            <a:ext uri="{FF2B5EF4-FFF2-40B4-BE49-F238E27FC236}">
              <a16:creationId xmlns:a16="http://schemas.microsoft.com/office/drawing/2014/main" id="{8E57FBB1-2D7B-4AC0-BE84-93E873CBE7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8" name="Elipse 1607">
          <a:extLst>
            <a:ext uri="{FF2B5EF4-FFF2-40B4-BE49-F238E27FC236}">
              <a16:creationId xmlns:a16="http://schemas.microsoft.com/office/drawing/2014/main" id="{1BC1B181-E637-4F85-B265-3A25B7BAD3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9" name="Elipse 1608">
          <a:extLst>
            <a:ext uri="{FF2B5EF4-FFF2-40B4-BE49-F238E27FC236}">
              <a16:creationId xmlns:a16="http://schemas.microsoft.com/office/drawing/2014/main" id="{EDB09832-12D2-4200-BA57-50A9C13272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0" name="Elipse 1609">
          <a:extLst>
            <a:ext uri="{FF2B5EF4-FFF2-40B4-BE49-F238E27FC236}">
              <a16:creationId xmlns:a16="http://schemas.microsoft.com/office/drawing/2014/main" id="{E59961DD-F427-4AAB-9F1F-95440650D3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1" name="Elipse 1610">
          <a:extLst>
            <a:ext uri="{FF2B5EF4-FFF2-40B4-BE49-F238E27FC236}">
              <a16:creationId xmlns:a16="http://schemas.microsoft.com/office/drawing/2014/main" id="{C2965293-C3B9-4B27-A639-0EEA672433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2" name="Elipse 1611">
          <a:extLst>
            <a:ext uri="{FF2B5EF4-FFF2-40B4-BE49-F238E27FC236}">
              <a16:creationId xmlns:a16="http://schemas.microsoft.com/office/drawing/2014/main" id="{CB0B7CFF-927A-43A5-98B3-CEFDF1E029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3" name="Elipse 1612">
          <a:extLst>
            <a:ext uri="{FF2B5EF4-FFF2-40B4-BE49-F238E27FC236}">
              <a16:creationId xmlns:a16="http://schemas.microsoft.com/office/drawing/2014/main" id="{556525C3-E09C-4BC4-8501-87AB6B2544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4" name="Elipse 1613">
          <a:extLst>
            <a:ext uri="{FF2B5EF4-FFF2-40B4-BE49-F238E27FC236}">
              <a16:creationId xmlns:a16="http://schemas.microsoft.com/office/drawing/2014/main" id="{149672A4-EAD4-4EDB-B9A2-B14677575E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5" name="Elipse 1614">
          <a:extLst>
            <a:ext uri="{FF2B5EF4-FFF2-40B4-BE49-F238E27FC236}">
              <a16:creationId xmlns:a16="http://schemas.microsoft.com/office/drawing/2014/main" id="{AAB3488E-08C0-4EBD-985F-358BB78ECB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6" name="Elipse 1615">
          <a:extLst>
            <a:ext uri="{FF2B5EF4-FFF2-40B4-BE49-F238E27FC236}">
              <a16:creationId xmlns:a16="http://schemas.microsoft.com/office/drawing/2014/main" id="{E4DF1265-4BCE-4785-8E87-D500D639A0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7" name="Elipse 1616">
          <a:extLst>
            <a:ext uri="{FF2B5EF4-FFF2-40B4-BE49-F238E27FC236}">
              <a16:creationId xmlns:a16="http://schemas.microsoft.com/office/drawing/2014/main" id="{B9EB6398-28E0-4454-A408-727BDEBA22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8" name="Elipse 1617">
          <a:extLst>
            <a:ext uri="{FF2B5EF4-FFF2-40B4-BE49-F238E27FC236}">
              <a16:creationId xmlns:a16="http://schemas.microsoft.com/office/drawing/2014/main" id="{E4FB0408-BD46-4533-8F52-00CB3BF6C6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9" name="Elipse 1618">
          <a:extLst>
            <a:ext uri="{FF2B5EF4-FFF2-40B4-BE49-F238E27FC236}">
              <a16:creationId xmlns:a16="http://schemas.microsoft.com/office/drawing/2014/main" id="{9B6FC5C8-DD66-48BF-B941-6138F2DCA0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0" name="Elipse 1619">
          <a:extLst>
            <a:ext uri="{FF2B5EF4-FFF2-40B4-BE49-F238E27FC236}">
              <a16:creationId xmlns:a16="http://schemas.microsoft.com/office/drawing/2014/main" id="{7B0B90CC-F3E8-4E6C-AA8C-6D4C0320BE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1" name="Elipse 1620">
          <a:extLst>
            <a:ext uri="{FF2B5EF4-FFF2-40B4-BE49-F238E27FC236}">
              <a16:creationId xmlns:a16="http://schemas.microsoft.com/office/drawing/2014/main" id="{EC23B7CC-1480-4BE3-A726-DBC393E128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2" name="Elipse 1621">
          <a:extLst>
            <a:ext uri="{FF2B5EF4-FFF2-40B4-BE49-F238E27FC236}">
              <a16:creationId xmlns:a16="http://schemas.microsoft.com/office/drawing/2014/main" id="{36981F35-A15C-461D-A8AD-92B34DBB68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3" name="Elipse 1622">
          <a:extLst>
            <a:ext uri="{FF2B5EF4-FFF2-40B4-BE49-F238E27FC236}">
              <a16:creationId xmlns:a16="http://schemas.microsoft.com/office/drawing/2014/main" id="{50F58E8B-E04D-4B0E-AEC7-9D29F1025D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4" name="Elipse 1623">
          <a:extLst>
            <a:ext uri="{FF2B5EF4-FFF2-40B4-BE49-F238E27FC236}">
              <a16:creationId xmlns:a16="http://schemas.microsoft.com/office/drawing/2014/main" id="{2DEC7B52-025B-44EB-AD0F-13A50CD44E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5" name="Elipse 1624">
          <a:extLst>
            <a:ext uri="{FF2B5EF4-FFF2-40B4-BE49-F238E27FC236}">
              <a16:creationId xmlns:a16="http://schemas.microsoft.com/office/drawing/2014/main" id="{EF46EF39-68F8-4502-9EB5-4C26345BBD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6" name="Elipse 1625">
          <a:extLst>
            <a:ext uri="{FF2B5EF4-FFF2-40B4-BE49-F238E27FC236}">
              <a16:creationId xmlns:a16="http://schemas.microsoft.com/office/drawing/2014/main" id="{E811D1D3-E4D9-4FA8-BFF9-C329ECC07B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7" name="Elipse 1626">
          <a:extLst>
            <a:ext uri="{FF2B5EF4-FFF2-40B4-BE49-F238E27FC236}">
              <a16:creationId xmlns:a16="http://schemas.microsoft.com/office/drawing/2014/main" id="{C3A543DD-5560-4D53-A9A7-71763D9AA2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8" name="Elipse 1627">
          <a:extLst>
            <a:ext uri="{FF2B5EF4-FFF2-40B4-BE49-F238E27FC236}">
              <a16:creationId xmlns:a16="http://schemas.microsoft.com/office/drawing/2014/main" id="{50004C39-EFDB-4CBD-A714-DF82AFAEE8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9" name="Elipse 1628">
          <a:extLst>
            <a:ext uri="{FF2B5EF4-FFF2-40B4-BE49-F238E27FC236}">
              <a16:creationId xmlns:a16="http://schemas.microsoft.com/office/drawing/2014/main" id="{884BFCF6-3485-4E97-9376-D64A7A372A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0" name="Elipse 1629">
          <a:extLst>
            <a:ext uri="{FF2B5EF4-FFF2-40B4-BE49-F238E27FC236}">
              <a16:creationId xmlns:a16="http://schemas.microsoft.com/office/drawing/2014/main" id="{6444EA9B-032F-47D0-BBDA-7E72B5CC15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1" name="Elipse 1630">
          <a:extLst>
            <a:ext uri="{FF2B5EF4-FFF2-40B4-BE49-F238E27FC236}">
              <a16:creationId xmlns:a16="http://schemas.microsoft.com/office/drawing/2014/main" id="{C7FF769C-05D2-4192-A544-F6141E98DF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2" name="Elipse 1631">
          <a:extLst>
            <a:ext uri="{FF2B5EF4-FFF2-40B4-BE49-F238E27FC236}">
              <a16:creationId xmlns:a16="http://schemas.microsoft.com/office/drawing/2014/main" id="{2182CA39-3FC2-41B6-8055-29D54956A3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3" name="Elipse 1632">
          <a:extLst>
            <a:ext uri="{FF2B5EF4-FFF2-40B4-BE49-F238E27FC236}">
              <a16:creationId xmlns:a16="http://schemas.microsoft.com/office/drawing/2014/main" id="{5057D54D-2139-4EF3-BCEE-FE93FC6FE6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4" name="Elipse 1633">
          <a:extLst>
            <a:ext uri="{FF2B5EF4-FFF2-40B4-BE49-F238E27FC236}">
              <a16:creationId xmlns:a16="http://schemas.microsoft.com/office/drawing/2014/main" id="{7A81CE35-B0A3-4E5E-B5F2-64158BB343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5" name="Elipse 1634">
          <a:extLst>
            <a:ext uri="{FF2B5EF4-FFF2-40B4-BE49-F238E27FC236}">
              <a16:creationId xmlns:a16="http://schemas.microsoft.com/office/drawing/2014/main" id="{D09FBDCB-0E67-44E6-8B13-06B207B8C7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6" name="Elipse 1635">
          <a:extLst>
            <a:ext uri="{FF2B5EF4-FFF2-40B4-BE49-F238E27FC236}">
              <a16:creationId xmlns:a16="http://schemas.microsoft.com/office/drawing/2014/main" id="{C67DDEFE-2743-46DF-A986-5E6E1EB5AB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7" name="Elipse 1636">
          <a:extLst>
            <a:ext uri="{FF2B5EF4-FFF2-40B4-BE49-F238E27FC236}">
              <a16:creationId xmlns:a16="http://schemas.microsoft.com/office/drawing/2014/main" id="{99904166-50FD-4E56-B7D9-010CEA840B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8" name="Elipse 1637">
          <a:extLst>
            <a:ext uri="{FF2B5EF4-FFF2-40B4-BE49-F238E27FC236}">
              <a16:creationId xmlns:a16="http://schemas.microsoft.com/office/drawing/2014/main" id="{55937B0B-77AE-40E3-BB03-C4FD70DEE8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9" name="Elipse 1638">
          <a:extLst>
            <a:ext uri="{FF2B5EF4-FFF2-40B4-BE49-F238E27FC236}">
              <a16:creationId xmlns:a16="http://schemas.microsoft.com/office/drawing/2014/main" id="{2F17CC31-37A1-46BF-BF06-D1F2CAEAA6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0" name="Elipse 1639">
          <a:extLst>
            <a:ext uri="{FF2B5EF4-FFF2-40B4-BE49-F238E27FC236}">
              <a16:creationId xmlns:a16="http://schemas.microsoft.com/office/drawing/2014/main" id="{0D05832D-FC64-4A97-B6A0-073D67DB64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1" name="Elipse 1640">
          <a:extLst>
            <a:ext uri="{FF2B5EF4-FFF2-40B4-BE49-F238E27FC236}">
              <a16:creationId xmlns:a16="http://schemas.microsoft.com/office/drawing/2014/main" id="{E7D4B9EB-CD04-43B1-A1DF-C8319B94CB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2" name="Elipse 1641">
          <a:extLst>
            <a:ext uri="{FF2B5EF4-FFF2-40B4-BE49-F238E27FC236}">
              <a16:creationId xmlns:a16="http://schemas.microsoft.com/office/drawing/2014/main" id="{DBE97EE9-2FD9-4539-BFB5-AE8C91638E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3" name="Elipse 1642">
          <a:extLst>
            <a:ext uri="{FF2B5EF4-FFF2-40B4-BE49-F238E27FC236}">
              <a16:creationId xmlns:a16="http://schemas.microsoft.com/office/drawing/2014/main" id="{C5A98A85-C8B3-4055-813D-F1AA66E9E3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4" name="Elipse 1643">
          <a:extLst>
            <a:ext uri="{FF2B5EF4-FFF2-40B4-BE49-F238E27FC236}">
              <a16:creationId xmlns:a16="http://schemas.microsoft.com/office/drawing/2014/main" id="{B98C2643-BD94-470A-BB5A-0BF981779A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5" name="Elipse 1644">
          <a:extLst>
            <a:ext uri="{FF2B5EF4-FFF2-40B4-BE49-F238E27FC236}">
              <a16:creationId xmlns:a16="http://schemas.microsoft.com/office/drawing/2014/main" id="{F7774B5A-3F26-4F46-8E19-ED7589A74D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6" name="Elipse 1645">
          <a:extLst>
            <a:ext uri="{FF2B5EF4-FFF2-40B4-BE49-F238E27FC236}">
              <a16:creationId xmlns:a16="http://schemas.microsoft.com/office/drawing/2014/main" id="{140B7269-4A96-41FE-9661-4BC7CF7B21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7" name="Elipse 1646">
          <a:extLst>
            <a:ext uri="{FF2B5EF4-FFF2-40B4-BE49-F238E27FC236}">
              <a16:creationId xmlns:a16="http://schemas.microsoft.com/office/drawing/2014/main" id="{AA5713CA-EDFB-422E-8365-85DF64D749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8" name="Elipse 1647">
          <a:extLst>
            <a:ext uri="{FF2B5EF4-FFF2-40B4-BE49-F238E27FC236}">
              <a16:creationId xmlns:a16="http://schemas.microsoft.com/office/drawing/2014/main" id="{B60A3125-7179-45E9-9FEC-DF0AEBF59E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9" name="Elipse 1648">
          <a:extLst>
            <a:ext uri="{FF2B5EF4-FFF2-40B4-BE49-F238E27FC236}">
              <a16:creationId xmlns:a16="http://schemas.microsoft.com/office/drawing/2014/main" id="{07239782-D616-4053-AEDE-80A52505DC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0" name="Elipse 1649">
          <a:extLst>
            <a:ext uri="{FF2B5EF4-FFF2-40B4-BE49-F238E27FC236}">
              <a16:creationId xmlns:a16="http://schemas.microsoft.com/office/drawing/2014/main" id="{0F7275DC-BE8A-4E2B-8208-73AEC70017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1" name="Elipse 1650">
          <a:extLst>
            <a:ext uri="{FF2B5EF4-FFF2-40B4-BE49-F238E27FC236}">
              <a16:creationId xmlns:a16="http://schemas.microsoft.com/office/drawing/2014/main" id="{D0B98D05-0C9A-4C28-8BF1-6240C5CFB4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2" name="Elipse 1651">
          <a:extLst>
            <a:ext uri="{FF2B5EF4-FFF2-40B4-BE49-F238E27FC236}">
              <a16:creationId xmlns:a16="http://schemas.microsoft.com/office/drawing/2014/main" id="{FD94D396-A942-4245-98CE-85DAC2CC61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3" name="Elipse 1652">
          <a:extLst>
            <a:ext uri="{FF2B5EF4-FFF2-40B4-BE49-F238E27FC236}">
              <a16:creationId xmlns:a16="http://schemas.microsoft.com/office/drawing/2014/main" id="{0C4B29B0-CED8-475A-B53D-4A10EEBC73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4" name="Elipse 1653">
          <a:extLst>
            <a:ext uri="{FF2B5EF4-FFF2-40B4-BE49-F238E27FC236}">
              <a16:creationId xmlns:a16="http://schemas.microsoft.com/office/drawing/2014/main" id="{2E4979A5-A658-499E-9642-42EB1CB96D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5" name="Elipse 1654">
          <a:extLst>
            <a:ext uri="{FF2B5EF4-FFF2-40B4-BE49-F238E27FC236}">
              <a16:creationId xmlns:a16="http://schemas.microsoft.com/office/drawing/2014/main" id="{DA7669C1-9D1A-45C8-B521-67D054AEFC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6" name="Elipse 1655">
          <a:extLst>
            <a:ext uri="{FF2B5EF4-FFF2-40B4-BE49-F238E27FC236}">
              <a16:creationId xmlns:a16="http://schemas.microsoft.com/office/drawing/2014/main" id="{83157293-6B23-4389-9E04-0F54CFFD74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7" name="Elipse 1656">
          <a:extLst>
            <a:ext uri="{FF2B5EF4-FFF2-40B4-BE49-F238E27FC236}">
              <a16:creationId xmlns:a16="http://schemas.microsoft.com/office/drawing/2014/main" id="{BE800E6B-F49D-4262-8F4A-64AD51A791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8" name="Elipse 1657">
          <a:extLst>
            <a:ext uri="{FF2B5EF4-FFF2-40B4-BE49-F238E27FC236}">
              <a16:creationId xmlns:a16="http://schemas.microsoft.com/office/drawing/2014/main" id="{DF0DB0DF-C5F9-42CC-B838-2E7626ADC2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9" name="Elipse 1658">
          <a:extLst>
            <a:ext uri="{FF2B5EF4-FFF2-40B4-BE49-F238E27FC236}">
              <a16:creationId xmlns:a16="http://schemas.microsoft.com/office/drawing/2014/main" id="{A00D99A3-6BE4-4802-8107-28A3D6F552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0" name="Elipse 1659">
          <a:extLst>
            <a:ext uri="{FF2B5EF4-FFF2-40B4-BE49-F238E27FC236}">
              <a16:creationId xmlns:a16="http://schemas.microsoft.com/office/drawing/2014/main" id="{8E66799E-EE54-45FA-8BC7-52D8FBF71B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1" name="Elipse 1660">
          <a:extLst>
            <a:ext uri="{FF2B5EF4-FFF2-40B4-BE49-F238E27FC236}">
              <a16:creationId xmlns:a16="http://schemas.microsoft.com/office/drawing/2014/main" id="{5B2DDE4C-8E8B-424A-8050-ECA8E99E70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2" name="Elipse 1661">
          <a:extLst>
            <a:ext uri="{FF2B5EF4-FFF2-40B4-BE49-F238E27FC236}">
              <a16:creationId xmlns:a16="http://schemas.microsoft.com/office/drawing/2014/main" id="{9A9802DE-6785-45B6-9231-8689AE4DBB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3" name="Elipse 1662">
          <a:extLst>
            <a:ext uri="{FF2B5EF4-FFF2-40B4-BE49-F238E27FC236}">
              <a16:creationId xmlns:a16="http://schemas.microsoft.com/office/drawing/2014/main" id="{10A44A1F-A30C-4A92-AEDD-5BE0DFB9D4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4" name="Elipse 1663">
          <a:extLst>
            <a:ext uri="{FF2B5EF4-FFF2-40B4-BE49-F238E27FC236}">
              <a16:creationId xmlns:a16="http://schemas.microsoft.com/office/drawing/2014/main" id="{0417786F-3A28-4F33-89A3-3C2A018304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5" name="Elipse 1664">
          <a:extLst>
            <a:ext uri="{FF2B5EF4-FFF2-40B4-BE49-F238E27FC236}">
              <a16:creationId xmlns:a16="http://schemas.microsoft.com/office/drawing/2014/main" id="{3BF0245C-9CD5-46C4-82F1-A9C53A8C24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6" name="Elipse 1665">
          <a:extLst>
            <a:ext uri="{FF2B5EF4-FFF2-40B4-BE49-F238E27FC236}">
              <a16:creationId xmlns:a16="http://schemas.microsoft.com/office/drawing/2014/main" id="{6B3752C0-CF9A-49C7-B73C-F50C1C719D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7" name="Elipse 1666">
          <a:extLst>
            <a:ext uri="{FF2B5EF4-FFF2-40B4-BE49-F238E27FC236}">
              <a16:creationId xmlns:a16="http://schemas.microsoft.com/office/drawing/2014/main" id="{03284BD5-78EF-4273-87C7-3046B9EFCB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8" name="Elipse 1667">
          <a:extLst>
            <a:ext uri="{FF2B5EF4-FFF2-40B4-BE49-F238E27FC236}">
              <a16:creationId xmlns:a16="http://schemas.microsoft.com/office/drawing/2014/main" id="{A63DAB35-5C3E-42F8-B5E8-1F6227BC54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9" name="Elipse 1668">
          <a:extLst>
            <a:ext uri="{FF2B5EF4-FFF2-40B4-BE49-F238E27FC236}">
              <a16:creationId xmlns:a16="http://schemas.microsoft.com/office/drawing/2014/main" id="{505402F1-2A16-417F-A87F-7CC56386B4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0" name="Elipse 1669">
          <a:extLst>
            <a:ext uri="{FF2B5EF4-FFF2-40B4-BE49-F238E27FC236}">
              <a16:creationId xmlns:a16="http://schemas.microsoft.com/office/drawing/2014/main" id="{E932EB4E-AD1D-432E-AE02-A0C23AFDF9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1" name="Elipse 1670">
          <a:extLst>
            <a:ext uri="{FF2B5EF4-FFF2-40B4-BE49-F238E27FC236}">
              <a16:creationId xmlns:a16="http://schemas.microsoft.com/office/drawing/2014/main" id="{EC884C8F-22A5-4C23-AEC5-E4DD2B9F7B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2" name="Elipse 1671">
          <a:extLst>
            <a:ext uri="{FF2B5EF4-FFF2-40B4-BE49-F238E27FC236}">
              <a16:creationId xmlns:a16="http://schemas.microsoft.com/office/drawing/2014/main" id="{A7CD2CB1-B58A-482A-A5D6-902907B94E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3" name="Elipse 1672">
          <a:extLst>
            <a:ext uri="{FF2B5EF4-FFF2-40B4-BE49-F238E27FC236}">
              <a16:creationId xmlns:a16="http://schemas.microsoft.com/office/drawing/2014/main" id="{92E6638D-D71F-416B-B736-C43896A0B0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4" name="Elipse 1673">
          <a:extLst>
            <a:ext uri="{FF2B5EF4-FFF2-40B4-BE49-F238E27FC236}">
              <a16:creationId xmlns:a16="http://schemas.microsoft.com/office/drawing/2014/main" id="{E2F1C1A2-CE08-404D-9B0A-4CE5A68698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5" name="Elipse 1674">
          <a:extLst>
            <a:ext uri="{FF2B5EF4-FFF2-40B4-BE49-F238E27FC236}">
              <a16:creationId xmlns:a16="http://schemas.microsoft.com/office/drawing/2014/main" id="{A60098D6-86FC-42E4-B7C5-79FB63E051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6" name="Elipse 1675">
          <a:extLst>
            <a:ext uri="{FF2B5EF4-FFF2-40B4-BE49-F238E27FC236}">
              <a16:creationId xmlns:a16="http://schemas.microsoft.com/office/drawing/2014/main" id="{4FA48A42-9926-4259-8604-5456B6230A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7" name="Elipse 1676">
          <a:extLst>
            <a:ext uri="{FF2B5EF4-FFF2-40B4-BE49-F238E27FC236}">
              <a16:creationId xmlns:a16="http://schemas.microsoft.com/office/drawing/2014/main" id="{56E2E39F-23AA-4946-8EB9-FA66DDF1A2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8" name="Elipse 1677">
          <a:extLst>
            <a:ext uri="{FF2B5EF4-FFF2-40B4-BE49-F238E27FC236}">
              <a16:creationId xmlns:a16="http://schemas.microsoft.com/office/drawing/2014/main" id="{8BF45ED0-67A7-446A-8AA7-1351A36709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9" name="Elipse 1678">
          <a:extLst>
            <a:ext uri="{FF2B5EF4-FFF2-40B4-BE49-F238E27FC236}">
              <a16:creationId xmlns:a16="http://schemas.microsoft.com/office/drawing/2014/main" id="{7A392FBD-2978-49CE-9745-693A0547C8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0" name="Elipse 1679">
          <a:extLst>
            <a:ext uri="{FF2B5EF4-FFF2-40B4-BE49-F238E27FC236}">
              <a16:creationId xmlns:a16="http://schemas.microsoft.com/office/drawing/2014/main" id="{B1251231-BAC4-4A43-B45E-10FE774B1F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1" name="Elipse 1680">
          <a:extLst>
            <a:ext uri="{FF2B5EF4-FFF2-40B4-BE49-F238E27FC236}">
              <a16:creationId xmlns:a16="http://schemas.microsoft.com/office/drawing/2014/main" id="{D3EEF110-0802-4E10-AEFE-B38962408B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2" name="Elipse 1681">
          <a:extLst>
            <a:ext uri="{FF2B5EF4-FFF2-40B4-BE49-F238E27FC236}">
              <a16:creationId xmlns:a16="http://schemas.microsoft.com/office/drawing/2014/main" id="{8ED994D7-9B5B-4DED-ABC9-5CF25BE7C7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3" name="Elipse 1682">
          <a:extLst>
            <a:ext uri="{FF2B5EF4-FFF2-40B4-BE49-F238E27FC236}">
              <a16:creationId xmlns:a16="http://schemas.microsoft.com/office/drawing/2014/main" id="{1F0B7DE4-1DF0-469A-99EA-5AEC5CC7EC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4" name="Elipse 1683">
          <a:extLst>
            <a:ext uri="{FF2B5EF4-FFF2-40B4-BE49-F238E27FC236}">
              <a16:creationId xmlns:a16="http://schemas.microsoft.com/office/drawing/2014/main" id="{49FADC46-E8CE-4EFD-8212-D096EA61A8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5" name="Elipse 1684">
          <a:extLst>
            <a:ext uri="{FF2B5EF4-FFF2-40B4-BE49-F238E27FC236}">
              <a16:creationId xmlns:a16="http://schemas.microsoft.com/office/drawing/2014/main" id="{88E67F19-EAEA-4B7D-A00F-9B9E0E11BF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6" name="Elipse 1685">
          <a:extLst>
            <a:ext uri="{FF2B5EF4-FFF2-40B4-BE49-F238E27FC236}">
              <a16:creationId xmlns:a16="http://schemas.microsoft.com/office/drawing/2014/main" id="{745D5EE6-A32B-4904-A43E-F69299DFCD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7" name="Elipse 1686">
          <a:extLst>
            <a:ext uri="{FF2B5EF4-FFF2-40B4-BE49-F238E27FC236}">
              <a16:creationId xmlns:a16="http://schemas.microsoft.com/office/drawing/2014/main" id="{5BF9A249-5511-4965-8549-A59B4C4A36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8" name="Elipse 1687">
          <a:extLst>
            <a:ext uri="{FF2B5EF4-FFF2-40B4-BE49-F238E27FC236}">
              <a16:creationId xmlns:a16="http://schemas.microsoft.com/office/drawing/2014/main" id="{9B6A5335-AFB4-4343-B95F-AAC1F55B5D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9" name="Elipse 1688">
          <a:extLst>
            <a:ext uri="{FF2B5EF4-FFF2-40B4-BE49-F238E27FC236}">
              <a16:creationId xmlns:a16="http://schemas.microsoft.com/office/drawing/2014/main" id="{E9EFF250-2020-4EE1-888E-607E3456A0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0" name="Elipse 1689">
          <a:extLst>
            <a:ext uri="{FF2B5EF4-FFF2-40B4-BE49-F238E27FC236}">
              <a16:creationId xmlns:a16="http://schemas.microsoft.com/office/drawing/2014/main" id="{E8059B9B-79AC-4F7B-895B-C7E6B5736F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1" name="Elipse 1690">
          <a:extLst>
            <a:ext uri="{FF2B5EF4-FFF2-40B4-BE49-F238E27FC236}">
              <a16:creationId xmlns:a16="http://schemas.microsoft.com/office/drawing/2014/main" id="{D291B70B-AF4A-4AB0-A7DE-FF6610E7F5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2" name="Elipse 1691">
          <a:extLst>
            <a:ext uri="{FF2B5EF4-FFF2-40B4-BE49-F238E27FC236}">
              <a16:creationId xmlns:a16="http://schemas.microsoft.com/office/drawing/2014/main" id="{13C0893F-C208-4BBC-9C6B-25C3F8F292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3" name="Elipse 1692">
          <a:extLst>
            <a:ext uri="{FF2B5EF4-FFF2-40B4-BE49-F238E27FC236}">
              <a16:creationId xmlns:a16="http://schemas.microsoft.com/office/drawing/2014/main" id="{00333B9F-30DF-452A-8D58-DEDD4787E8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4" name="Elipse 1693">
          <a:extLst>
            <a:ext uri="{FF2B5EF4-FFF2-40B4-BE49-F238E27FC236}">
              <a16:creationId xmlns:a16="http://schemas.microsoft.com/office/drawing/2014/main" id="{859AA251-4EF7-4FE7-9E25-912C23F3B9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5" name="Elipse 1694">
          <a:extLst>
            <a:ext uri="{FF2B5EF4-FFF2-40B4-BE49-F238E27FC236}">
              <a16:creationId xmlns:a16="http://schemas.microsoft.com/office/drawing/2014/main" id="{BDC4755F-6521-43B9-96D4-28815A4D6F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6" name="Elipse 1695">
          <a:extLst>
            <a:ext uri="{FF2B5EF4-FFF2-40B4-BE49-F238E27FC236}">
              <a16:creationId xmlns:a16="http://schemas.microsoft.com/office/drawing/2014/main" id="{A8C5CA11-E1B1-467A-BCA8-4255B865D0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7" name="Elipse 1696">
          <a:extLst>
            <a:ext uri="{FF2B5EF4-FFF2-40B4-BE49-F238E27FC236}">
              <a16:creationId xmlns:a16="http://schemas.microsoft.com/office/drawing/2014/main" id="{DE3CA2C1-479A-4EA3-8A4F-7D1D11B4C8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8" name="Elipse 1697">
          <a:extLst>
            <a:ext uri="{FF2B5EF4-FFF2-40B4-BE49-F238E27FC236}">
              <a16:creationId xmlns:a16="http://schemas.microsoft.com/office/drawing/2014/main" id="{9C80FCD2-5421-4A91-9A02-73C8F4C4BD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9" name="Elipse 1698">
          <a:extLst>
            <a:ext uri="{FF2B5EF4-FFF2-40B4-BE49-F238E27FC236}">
              <a16:creationId xmlns:a16="http://schemas.microsoft.com/office/drawing/2014/main" id="{9AC78745-11CB-4478-B59D-02FC46E014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0" name="Elipse 1699">
          <a:extLst>
            <a:ext uri="{FF2B5EF4-FFF2-40B4-BE49-F238E27FC236}">
              <a16:creationId xmlns:a16="http://schemas.microsoft.com/office/drawing/2014/main" id="{79C75A62-536B-40BB-8F0D-4C7719AC5A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1" name="Elipse 1700">
          <a:extLst>
            <a:ext uri="{FF2B5EF4-FFF2-40B4-BE49-F238E27FC236}">
              <a16:creationId xmlns:a16="http://schemas.microsoft.com/office/drawing/2014/main" id="{5F753D8C-F06C-4E99-875A-712609509B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2" name="Elipse 1701">
          <a:extLst>
            <a:ext uri="{FF2B5EF4-FFF2-40B4-BE49-F238E27FC236}">
              <a16:creationId xmlns:a16="http://schemas.microsoft.com/office/drawing/2014/main" id="{A583885A-8A43-4C86-853E-2319BC440F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3" name="Elipse 1702">
          <a:extLst>
            <a:ext uri="{FF2B5EF4-FFF2-40B4-BE49-F238E27FC236}">
              <a16:creationId xmlns:a16="http://schemas.microsoft.com/office/drawing/2014/main" id="{8A9AFAEB-03CC-40BF-8816-5A91C96839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4" name="Elipse 1703">
          <a:extLst>
            <a:ext uri="{FF2B5EF4-FFF2-40B4-BE49-F238E27FC236}">
              <a16:creationId xmlns:a16="http://schemas.microsoft.com/office/drawing/2014/main" id="{15DEF1C0-8F2B-4EAD-8179-ADCF1537C8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5" name="Elipse 1704">
          <a:extLst>
            <a:ext uri="{FF2B5EF4-FFF2-40B4-BE49-F238E27FC236}">
              <a16:creationId xmlns:a16="http://schemas.microsoft.com/office/drawing/2014/main" id="{67EB1EBA-DB87-49FD-ADAD-D4FA9F896A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6" name="Elipse 1705">
          <a:extLst>
            <a:ext uri="{FF2B5EF4-FFF2-40B4-BE49-F238E27FC236}">
              <a16:creationId xmlns:a16="http://schemas.microsoft.com/office/drawing/2014/main" id="{BE944F8C-6A37-4EA5-AAAE-0265B2ADE3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7" name="Elipse 1706">
          <a:extLst>
            <a:ext uri="{FF2B5EF4-FFF2-40B4-BE49-F238E27FC236}">
              <a16:creationId xmlns:a16="http://schemas.microsoft.com/office/drawing/2014/main" id="{642FC4FB-2D9D-452F-A3B9-88F6B91307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8" name="Elipse 1707">
          <a:extLst>
            <a:ext uri="{FF2B5EF4-FFF2-40B4-BE49-F238E27FC236}">
              <a16:creationId xmlns:a16="http://schemas.microsoft.com/office/drawing/2014/main" id="{346172B6-5F6E-4DC2-B55E-A478C1B99A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9" name="Elipse 1708">
          <a:extLst>
            <a:ext uri="{FF2B5EF4-FFF2-40B4-BE49-F238E27FC236}">
              <a16:creationId xmlns:a16="http://schemas.microsoft.com/office/drawing/2014/main" id="{BD9FF20E-B800-4DAC-81BB-F3B8549C17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0" name="Elipse 1709">
          <a:extLst>
            <a:ext uri="{FF2B5EF4-FFF2-40B4-BE49-F238E27FC236}">
              <a16:creationId xmlns:a16="http://schemas.microsoft.com/office/drawing/2014/main" id="{23C0CC3C-EACA-4960-94DC-EE3985167E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1" name="Elipse 1710">
          <a:extLst>
            <a:ext uri="{FF2B5EF4-FFF2-40B4-BE49-F238E27FC236}">
              <a16:creationId xmlns:a16="http://schemas.microsoft.com/office/drawing/2014/main" id="{C7F6612A-05C7-4976-8730-6B2DEB66F1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2" name="Elipse 1711">
          <a:extLst>
            <a:ext uri="{FF2B5EF4-FFF2-40B4-BE49-F238E27FC236}">
              <a16:creationId xmlns:a16="http://schemas.microsoft.com/office/drawing/2014/main" id="{51168C5C-7818-49A2-9814-314A476092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3" name="Elipse 1712">
          <a:extLst>
            <a:ext uri="{FF2B5EF4-FFF2-40B4-BE49-F238E27FC236}">
              <a16:creationId xmlns:a16="http://schemas.microsoft.com/office/drawing/2014/main" id="{F63353C6-2A96-41F5-B008-CB91FD9FBA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4" name="Elipse 1713">
          <a:extLst>
            <a:ext uri="{FF2B5EF4-FFF2-40B4-BE49-F238E27FC236}">
              <a16:creationId xmlns:a16="http://schemas.microsoft.com/office/drawing/2014/main" id="{77260D25-A1F3-4F51-85B1-A3110F4126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5" name="Elipse 1714">
          <a:extLst>
            <a:ext uri="{FF2B5EF4-FFF2-40B4-BE49-F238E27FC236}">
              <a16:creationId xmlns:a16="http://schemas.microsoft.com/office/drawing/2014/main" id="{31699EBF-5695-4C1D-993B-8C9E63899D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6" name="Elipse 1715">
          <a:extLst>
            <a:ext uri="{FF2B5EF4-FFF2-40B4-BE49-F238E27FC236}">
              <a16:creationId xmlns:a16="http://schemas.microsoft.com/office/drawing/2014/main" id="{9D96CDF3-D45F-4B4F-9927-8AC92B141A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7" name="Elipse 1716">
          <a:extLst>
            <a:ext uri="{FF2B5EF4-FFF2-40B4-BE49-F238E27FC236}">
              <a16:creationId xmlns:a16="http://schemas.microsoft.com/office/drawing/2014/main" id="{A3B04BCF-6B57-491C-89F5-D290FE3106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8" name="Elipse 1717">
          <a:extLst>
            <a:ext uri="{FF2B5EF4-FFF2-40B4-BE49-F238E27FC236}">
              <a16:creationId xmlns:a16="http://schemas.microsoft.com/office/drawing/2014/main" id="{8A62B64D-A904-4E68-943E-11E99C3CF8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9" name="Elipse 1718">
          <a:extLst>
            <a:ext uri="{FF2B5EF4-FFF2-40B4-BE49-F238E27FC236}">
              <a16:creationId xmlns:a16="http://schemas.microsoft.com/office/drawing/2014/main" id="{48A60BD2-A618-4A3E-9E2D-DA99A68C29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0" name="Elipse 1719">
          <a:extLst>
            <a:ext uri="{FF2B5EF4-FFF2-40B4-BE49-F238E27FC236}">
              <a16:creationId xmlns:a16="http://schemas.microsoft.com/office/drawing/2014/main" id="{BF46B24F-D4B7-4152-9BC3-8E1F951300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1" name="Elipse 1720">
          <a:extLst>
            <a:ext uri="{FF2B5EF4-FFF2-40B4-BE49-F238E27FC236}">
              <a16:creationId xmlns:a16="http://schemas.microsoft.com/office/drawing/2014/main" id="{BD29DC81-3E1D-4908-95B9-7F1B271FEB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2" name="Elipse 1721">
          <a:extLst>
            <a:ext uri="{FF2B5EF4-FFF2-40B4-BE49-F238E27FC236}">
              <a16:creationId xmlns:a16="http://schemas.microsoft.com/office/drawing/2014/main" id="{E483A725-E27D-4E06-944E-B76B82CF34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3" name="Elipse 1722">
          <a:extLst>
            <a:ext uri="{FF2B5EF4-FFF2-40B4-BE49-F238E27FC236}">
              <a16:creationId xmlns:a16="http://schemas.microsoft.com/office/drawing/2014/main" id="{7E4C5990-4544-4411-A5CB-64BDF6AF5A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4" name="Elipse 1723">
          <a:extLst>
            <a:ext uri="{FF2B5EF4-FFF2-40B4-BE49-F238E27FC236}">
              <a16:creationId xmlns:a16="http://schemas.microsoft.com/office/drawing/2014/main" id="{832AF145-2132-4F3F-9020-A08B8F0223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5" name="Elipse 1724">
          <a:extLst>
            <a:ext uri="{FF2B5EF4-FFF2-40B4-BE49-F238E27FC236}">
              <a16:creationId xmlns:a16="http://schemas.microsoft.com/office/drawing/2014/main" id="{F303EB7D-53A6-4A40-92DD-8DCD35D4B1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6" name="Elipse 1725">
          <a:extLst>
            <a:ext uri="{FF2B5EF4-FFF2-40B4-BE49-F238E27FC236}">
              <a16:creationId xmlns:a16="http://schemas.microsoft.com/office/drawing/2014/main" id="{C4D92E87-8EA9-42D8-817D-6EC3B2C3AD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7" name="Elipse 1726">
          <a:extLst>
            <a:ext uri="{FF2B5EF4-FFF2-40B4-BE49-F238E27FC236}">
              <a16:creationId xmlns:a16="http://schemas.microsoft.com/office/drawing/2014/main" id="{B840E102-DA50-4DEB-AB94-69E8B1C3FC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8" name="Elipse 1727">
          <a:extLst>
            <a:ext uri="{FF2B5EF4-FFF2-40B4-BE49-F238E27FC236}">
              <a16:creationId xmlns:a16="http://schemas.microsoft.com/office/drawing/2014/main" id="{F3220A42-36A1-41D7-9502-90E3492A29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9" name="Elipse 1728">
          <a:extLst>
            <a:ext uri="{FF2B5EF4-FFF2-40B4-BE49-F238E27FC236}">
              <a16:creationId xmlns:a16="http://schemas.microsoft.com/office/drawing/2014/main" id="{BB1D661C-D508-4056-9E70-0F691143B1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0" name="Elipse 1729">
          <a:extLst>
            <a:ext uri="{FF2B5EF4-FFF2-40B4-BE49-F238E27FC236}">
              <a16:creationId xmlns:a16="http://schemas.microsoft.com/office/drawing/2014/main" id="{2F016CC9-8445-4F3D-B55A-65D0A0F049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1" name="Elipse 1730">
          <a:extLst>
            <a:ext uri="{FF2B5EF4-FFF2-40B4-BE49-F238E27FC236}">
              <a16:creationId xmlns:a16="http://schemas.microsoft.com/office/drawing/2014/main" id="{C31B4E15-F8E2-4D55-AA88-A106297CC7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2" name="Elipse 1731">
          <a:extLst>
            <a:ext uri="{FF2B5EF4-FFF2-40B4-BE49-F238E27FC236}">
              <a16:creationId xmlns:a16="http://schemas.microsoft.com/office/drawing/2014/main" id="{F5724C3B-9BA3-4770-BC6E-66B28BF14C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3" name="Elipse 1732">
          <a:extLst>
            <a:ext uri="{FF2B5EF4-FFF2-40B4-BE49-F238E27FC236}">
              <a16:creationId xmlns:a16="http://schemas.microsoft.com/office/drawing/2014/main" id="{76C32D77-E60A-4824-8518-E91FE6772D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4" name="Elipse 1733">
          <a:extLst>
            <a:ext uri="{FF2B5EF4-FFF2-40B4-BE49-F238E27FC236}">
              <a16:creationId xmlns:a16="http://schemas.microsoft.com/office/drawing/2014/main" id="{02FDE087-7BDC-4CF2-B354-B33768A0DF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5" name="Elipse 1734">
          <a:extLst>
            <a:ext uri="{FF2B5EF4-FFF2-40B4-BE49-F238E27FC236}">
              <a16:creationId xmlns:a16="http://schemas.microsoft.com/office/drawing/2014/main" id="{DFC6462C-BB20-433A-BB64-725093A823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6" name="Elipse 1735">
          <a:extLst>
            <a:ext uri="{FF2B5EF4-FFF2-40B4-BE49-F238E27FC236}">
              <a16:creationId xmlns:a16="http://schemas.microsoft.com/office/drawing/2014/main" id="{90B79EBA-006B-476A-AAEA-ED6FA233B8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7" name="Elipse 1736">
          <a:extLst>
            <a:ext uri="{FF2B5EF4-FFF2-40B4-BE49-F238E27FC236}">
              <a16:creationId xmlns:a16="http://schemas.microsoft.com/office/drawing/2014/main" id="{7B225545-63CD-4388-B37E-8E9BC80CA3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8" name="Elipse 1737">
          <a:extLst>
            <a:ext uri="{FF2B5EF4-FFF2-40B4-BE49-F238E27FC236}">
              <a16:creationId xmlns:a16="http://schemas.microsoft.com/office/drawing/2014/main" id="{324A4BC7-796A-4769-8C51-75085537A6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9" name="Elipse 1738">
          <a:extLst>
            <a:ext uri="{FF2B5EF4-FFF2-40B4-BE49-F238E27FC236}">
              <a16:creationId xmlns:a16="http://schemas.microsoft.com/office/drawing/2014/main" id="{B269B806-665C-4AFB-9685-C7D2B46B34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0" name="Elipse 1739">
          <a:extLst>
            <a:ext uri="{FF2B5EF4-FFF2-40B4-BE49-F238E27FC236}">
              <a16:creationId xmlns:a16="http://schemas.microsoft.com/office/drawing/2014/main" id="{60AC1F95-1B5C-4BEA-99BE-FD8FA2A0C3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1" name="Elipse 1740">
          <a:extLst>
            <a:ext uri="{FF2B5EF4-FFF2-40B4-BE49-F238E27FC236}">
              <a16:creationId xmlns:a16="http://schemas.microsoft.com/office/drawing/2014/main" id="{0347D047-7CF8-49A0-8BF1-EF09D87104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2" name="Elipse 1741">
          <a:extLst>
            <a:ext uri="{FF2B5EF4-FFF2-40B4-BE49-F238E27FC236}">
              <a16:creationId xmlns:a16="http://schemas.microsoft.com/office/drawing/2014/main" id="{88E24241-1B73-4DC6-B6C8-5C5A02D0A7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3" name="Elipse 1742">
          <a:extLst>
            <a:ext uri="{FF2B5EF4-FFF2-40B4-BE49-F238E27FC236}">
              <a16:creationId xmlns:a16="http://schemas.microsoft.com/office/drawing/2014/main" id="{596270A6-59FC-48E9-8063-C3E3FA69E9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4" name="Elipse 1743">
          <a:extLst>
            <a:ext uri="{FF2B5EF4-FFF2-40B4-BE49-F238E27FC236}">
              <a16:creationId xmlns:a16="http://schemas.microsoft.com/office/drawing/2014/main" id="{FF720044-9234-45A7-9C4B-6EA44E4B2C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5" name="Elipse 1744">
          <a:extLst>
            <a:ext uri="{FF2B5EF4-FFF2-40B4-BE49-F238E27FC236}">
              <a16:creationId xmlns:a16="http://schemas.microsoft.com/office/drawing/2014/main" id="{FC119ACC-E850-4ABF-AA1F-63C4C2E8FF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6" name="Elipse 1745">
          <a:extLst>
            <a:ext uri="{FF2B5EF4-FFF2-40B4-BE49-F238E27FC236}">
              <a16:creationId xmlns:a16="http://schemas.microsoft.com/office/drawing/2014/main" id="{88DF7E73-A3C3-4BC3-9CA2-653C1072F2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7" name="Elipse 1746">
          <a:extLst>
            <a:ext uri="{FF2B5EF4-FFF2-40B4-BE49-F238E27FC236}">
              <a16:creationId xmlns:a16="http://schemas.microsoft.com/office/drawing/2014/main" id="{C19E6B63-983D-4248-9292-D82DCD1D71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8" name="Elipse 1747">
          <a:extLst>
            <a:ext uri="{FF2B5EF4-FFF2-40B4-BE49-F238E27FC236}">
              <a16:creationId xmlns:a16="http://schemas.microsoft.com/office/drawing/2014/main" id="{6866F513-754C-40C0-8B94-34BC0E9098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9" name="Elipse 1748">
          <a:extLst>
            <a:ext uri="{FF2B5EF4-FFF2-40B4-BE49-F238E27FC236}">
              <a16:creationId xmlns:a16="http://schemas.microsoft.com/office/drawing/2014/main" id="{23854A16-695D-4E64-9780-A012505A3C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0" name="Elipse 1749">
          <a:extLst>
            <a:ext uri="{FF2B5EF4-FFF2-40B4-BE49-F238E27FC236}">
              <a16:creationId xmlns:a16="http://schemas.microsoft.com/office/drawing/2014/main" id="{E9DDB3E7-D98F-47E1-BBD4-220870972C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1" name="Elipse 1750">
          <a:extLst>
            <a:ext uri="{FF2B5EF4-FFF2-40B4-BE49-F238E27FC236}">
              <a16:creationId xmlns:a16="http://schemas.microsoft.com/office/drawing/2014/main" id="{A990B148-E964-4F39-A768-4748C90C4D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2" name="Elipse 1751">
          <a:extLst>
            <a:ext uri="{FF2B5EF4-FFF2-40B4-BE49-F238E27FC236}">
              <a16:creationId xmlns:a16="http://schemas.microsoft.com/office/drawing/2014/main" id="{BF98CB49-41DD-421C-B19B-62F6F95FB7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3" name="Elipse 1752">
          <a:extLst>
            <a:ext uri="{FF2B5EF4-FFF2-40B4-BE49-F238E27FC236}">
              <a16:creationId xmlns:a16="http://schemas.microsoft.com/office/drawing/2014/main" id="{E79CA7F4-573E-4C74-BCBE-6804AFF240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4" name="Elipse 1753">
          <a:extLst>
            <a:ext uri="{FF2B5EF4-FFF2-40B4-BE49-F238E27FC236}">
              <a16:creationId xmlns:a16="http://schemas.microsoft.com/office/drawing/2014/main" id="{135D73D2-92C7-4508-8CBB-30F85DEA31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5" name="Elipse 1754">
          <a:extLst>
            <a:ext uri="{FF2B5EF4-FFF2-40B4-BE49-F238E27FC236}">
              <a16:creationId xmlns:a16="http://schemas.microsoft.com/office/drawing/2014/main" id="{807DA706-485D-4AF9-9AA6-B0662ADF2A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6" name="Elipse 1755">
          <a:extLst>
            <a:ext uri="{FF2B5EF4-FFF2-40B4-BE49-F238E27FC236}">
              <a16:creationId xmlns:a16="http://schemas.microsoft.com/office/drawing/2014/main" id="{4CC78510-CC47-43C7-B4E6-AC10559765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7" name="Elipse 1756">
          <a:extLst>
            <a:ext uri="{FF2B5EF4-FFF2-40B4-BE49-F238E27FC236}">
              <a16:creationId xmlns:a16="http://schemas.microsoft.com/office/drawing/2014/main" id="{4E520DA4-1BD1-4F75-B9D8-6CAEF927E1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8" name="Elipse 1757">
          <a:extLst>
            <a:ext uri="{FF2B5EF4-FFF2-40B4-BE49-F238E27FC236}">
              <a16:creationId xmlns:a16="http://schemas.microsoft.com/office/drawing/2014/main" id="{A66A3D86-DCF4-4725-9EE8-3F52D90229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9" name="Elipse 1758">
          <a:extLst>
            <a:ext uri="{FF2B5EF4-FFF2-40B4-BE49-F238E27FC236}">
              <a16:creationId xmlns:a16="http://schemas.microsoft.com/office/drawing/2014/main" id="{9A86E786-75E3-4350-ADDD-3AB87F3CF3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0" name="Elipse 1759">
          <a:extLst>
            <a:ext uri="{FF2B5EF4-FFF2-40B4-BE49-F238E27FC236}">
              <a16:creationId xmlns:a16="http://schemas.microsoft.com/office/drawing/2014/main" id="{A5861F8E-DE9F-4845-8603-89E4B093A4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1" name="Elipse 1760">
          <a:extLst>
            <a:ext uri="{FF2B5EF4-FFF2-40B4-BE49-F238E27FC236}">
              <a16:creationId xmlns:a16="http://schemas.microsoft.com/office/drawing/2014/main" id="{627FC549-71D5-4F6C-8A3E-5BA5C23C16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2" name="Elipse 1761">
          <a:extLst>
            <a:ext uri="{FF2B5EF4-FFF2-40B4-BE49-F238E27FC236}">
              <a16:creationId xmlns:a16="http://schemas.microsoft.com/office/drawing/2014/main" id="{9FBF6292-1403-491F-AED9-3623C04F07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3" name="Elipse 1762">
          <a:extLst>
            <a:ext uri="{FF2B5EF4-FFF2-40B4-BE49-F238E27FC236}">
              <a16:creationId xmlns:a16="http://schemas.microsoft.com/office/drawing/2014/main" id="{8C35884F-042B-4A83-A73C-BFB687D7AA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4" name="Elipse 1763">
          <a:extLst>
            <a:ext uri="{FF2B5EF4-FFF2-40B4-BE49-F238E27FC236}">
              <a16:creationId xmlns:a16="http://schemas.microsoft.com/office/drawing/2014/main" id="{43B5128C-8E20-4E10-8E65-897B5C0F75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5" name="Elipse 1764">
          <a:extLst>
            <a:ext uri="{FF2B5EF4-FFF2-40B4-BE49-F238E27FC236}">
              <a16:creationId xmlns:a16="http://schemas.microsoft.com/office/drawing/2014/main" id="{ADD1C0A2-0719-4394-865F-460A6BD1F2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6" name="Elipse 1765">
          <a:extLst>
            <a:ext uri="{FF2B5EF4-FFF2-40B4-BE49-F238E27FC236}">
              <a16:creationId xmlns:a16="http://schemas.microsoft.com/office/drawing/2014/main" id="{6F773966-B27F-4EB2-B611-48EB582AB3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7" name="Elipse 1766">
          <a:extLst>
            <a:ext uri="{FF2B5EF4-FFF2-40B4-BE49-F238E27FC236}">
              <a16:creationId xmlns:a16="http://schemas.microsoft.com/office/drawing/2014/main" id="{4710AA62-0968-4FAC-8349-D3AD92B6FE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8" name="Elipse 1767">
          <a:extLst>
            <a:ext uri="{FF2B5EF4-FFF2-40B4-BE49-F238E27FC236}">
              <a16:creationId xmlns:a16="http://schemas.microsoft.com/office/drawing/2014/main" id="{5D9D997C-6047-40C4-8CB1-3894C3FD7E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9" name="Elipse 1768">
          <a:extLst>
            <a:ext uri="{FF2B5EF4-FFF2-40B4-BE49-F238E27FC236}">
              <a16:creationId xmlns:a16="http://schemas.microsoft.com/office/drawing/2014/main" id="{297A1774-1291-4980-9067-74B52ABB02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0" name="Elipse 1769">
          <a:extLst>
            <a:ext uri="{FF2B5EF4-FFF2-40B4-BE49-F238E27FC236}">
              <a16:creationId xmlns:a16="http://schemas.microsoft.com/office/drawing/2014/main" id="{ECF45051-4CD0-4A0C-A129-69348F5EA9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1" name="Elipse 1770">
          <a:extLst>
            <a:ext uri="{FF2B5EF4-FFF2-40B4-BE49-F238E27FC236}">
              <a16:creationId xmlns:a16="http://schemas.microsoft.com/office/drawing/2014/main" id="{3794E682-D628-40BF-9411-87874AD5A9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2" name="Elipse 1771">
          <a:extLst>
            <a:ext uri="{FF2B5EF4-FFF2-40B4-BE49-F238E27FC236}">
              <a16:creationId xmlns:a16="http://schemas.microsoft.com/office/drawing/2014/main" id="{7FB8F577-8658-4DB7-BF53-BA36DF1807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3" name="Elipse 1772">
          <a:extLst>
            <a:ext uri="{FF2B5EF4-FFF2-40B4-BE49-F238E27FC236}">
              <a16:creationId xmlns:a16="http://schemas.microsoft.com/office/drawing/2014/main" id="{93C4AEA0-EBC7-4958-B7F2-5CFAD9D6D2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4" name="Elipse 1773">
          <a:extLst>
            <a:ext uri="{FF2B5EF4-FFF2-40B4-BE49-F238E27FC236}">
              <a16:creationId xmlns:a16="http://schemas.microsoft.com/office/drawing/2014/main" id="{192DE98E-2AD3-433C-A767-5C757C8441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5" name="Elipse 1774">
          <a:extLst>
            <a:ext uri="{FF2B5EF4-FFF2-40B4-BE49-F238E27FC236}">
              <a16:creationId xmlns:a16="http://schemas.microsoft.com/office/drawing/2014/main" id="{EE0E4AAA-DE86-44F3-B8B7-164F95A4E3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6" name="Elipse 1775">
          <a:extLst>
            <a:ext uri="{FF2B5EF4-FFF2-40B4-BE49-F238E27FC236}">
              <a16:creationId xmlns:a16="http://schemas.microsoft.com/office/drawing/2014/main" id="{AA1AD959-26ED-413A-893F-BBBAA12267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7" name="Elipse 1776">
          <a:extLst>
            <a:ext uri="{FF2B5EF4-FFF2-40B4-BE49-F238E27FC236}">
              <a16:creationId xmlns:a16="http://schemas.microsoft.com/office/drawing/2014/main" id="{06628733-A439-4D23-9747-1A2681DC4A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8" name="Elipse 1777">
          <a:extLst>
            <a:ext uri="{FF2B5EF4-FFF2-40B4-BE49-F238E27FC236}">
              <a16:creationId xmlns:a16="http://schemas.microsoft.com/office/drawing/2014/main" id="{56E53745-A202-42C4-9285-FE6B742F6F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9" name="Elipse 1778">
          <a:extLst>
            <a:ext uri="{FF2B5EF4-FFF2-40B4-BE49-F238E27FC236}">
              <a16:creationId xmlns:a16="http://schemas.microsoft.com/office/drawing/2014/main" id="{B131AB14-8250-4C96-93AF-2A83007E83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0" name="Elipse 1779">
          <a:extLst>
            <a:ext uri="{FF2B5EF4-FFF2-40B4-BE49-F238E27FC236}">
              <a16:creationId xmlns:a16="http://schemas.microsoft.com/office/drawing/2014/main" id="{DBCBF206-E5DD-49F3-B5F8-7BDDCAAEF2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1" name="Elipse 1780">
          <a:extLst>
            <a:ext uri="{FF2B5EF4-FFF2-40B4-BE49-F238E27FC236}">
              <a16:creationId xmlns:a16="http://schemas.microsoft.com/office/drawing/2014/main" id="{E0B7CA18-CCDF-44F8-8773-94F369DA36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2" name="Elipse 1781">
          <a:extLst>
            <a:ext uri="{FF2B5EF4-FFF2-40B4-BE49-F238E27FC236}">
              <a16:creationId xmlns:a16="http://schemas.microsoft.com/office/drawing/2014/main" id="{DD12A41B-2DB3-41F7-A47F-B876932D0B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3" name="Elipse 1782">
          <a:extLst>
            <a:ext uri="{FF2B5EF4-FFF2-40B4-BE49-F238E27FC236}">
              <a16:creationId xmlns:a16="http://schemas.microsoft.com/office/drawing/2014/main" id="{479B41B9-C61E-4860-9527-AE0AC507B5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4" name="Elipse 1783">
          <a:extLst>
            <a:ext uri="{FF2B5EF4-FFF2-40B4-BE49-F238E27FC236}">
              <a16:creationId xmlns:a16="http://schemas.microsoft.com/office/drawing/2014/main" id="{110C7304-8206-47E3-B340-AC84D1C266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5" name="Elipse 1784">
          <a:extLst>
            <a:ext uri="{FF2B5EF4-FFF2-40B4-BE49-F238E27FC236}">
              <a16:creationId xmlns:a16="http://schemas.microsoft.com/office/drawing/2014/main" id="{35A8B576-807B-453B-8DB5-652EA9383D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6" name="Elipse 1785">
          <a:extLst>
            <a:ext uri="{FF2B5EF4-FFF2-40B4-BE49-F238E27FC236}">
              <a16:creationId xmlns:a16="http://schemas.microsoft.com/office/drawing/2014/main" id="{8AFEEDDE-A00D-4F9A-9884-6C21F57124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7" name="Elipse 1786">
          <a:extLst>
            <a:ext uri="{FF2B5EF4-FFF2-40B4-BE49-F238E27FC236}">
              <a16:creationId xmlns:a16="http://schemas.microsoft.com/office/drawing/2014/main" id="{3433BC3A-DF32-4705-9B7F-38D04D186B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8" name="Elipse 1787">
          <a:extLst>
            <a:ext uri="{FF2B5EF4-FFF2-40B4-BE49-F238E27FC236}">
              <a16:creationId xmlns:a16="http://schemas.microsoft.com/office/drawing/2014/main" id="{3C1E7D79-FBB4-4EBE-8691-E8B2176770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9" name="Elipse 1788">
          <a:extLst>
            <a:ext uri="{FF2B5EF4-FFF2-40B4-BE49-F238E27FC236}">
              <a16:creationId xmlns:a16="http://schemas.microsoft.com/office/drawing/2014/main" id="{A3355CE6-5752-44F4-8374-9FD01B2DAE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0" name="Elipse 1789">
          <a:extLst>
            <a:ext uri="{FF2B5EF4-FFF2-40B4-BE49-F238E27FC236}">
              <a16:creationId xmlns:a16="http://schemas.microsoft.com/office/drawing/2014/main" id="{C8A463C7-0DB9-4BC0-9201-7879068C23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1" name="Elipse 1790">
          <a:extLst>
            <a:ext uri="{FF2B5EF4-FFF2-40B4-BE49-F238E27FC236}">
              <a16:creationId xmlns:a16="http://schemas.microsoft.com/office/drawing/2014/main" id="{EE1585E1-83FF-48F4-BC10-B0C2F7CF91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2" name="Elipse 1791">
          <a:extLst>
            <a:ext uri="{FF2B5EF4-FFF2-40B4-BE49-F238E27FC236}">
              <a16:creationId xmlns:a16="http://schemas.microsoft.com/office/drawing/2014/main" id="{1FD6F9CC-FC68-408E-8638-577AD6AFCD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3" name="Elipse 1792">
          <a:extLst>
            <a:ext uri="{FF2B5EF4-FFF2-40B4-BE49-F238E27FC236}">
              <a16:creationId xmlns:a16="http://schemas.microsoft.com/office/drawing/2014/main" id="{64AF87CA-C803-47C9-AD27-253098C66F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4" name="Elipse 1793">
          <a:extLst>
            <a:ext uri="{FF2B5EF4-FFF2-40B4-BE49-F238E27FC236}">
              <a16:creationId xmlns:a16="http://schemas.microsoft.com/office/drawing/2014/main" id="{C7057522-063B-4736-9A12-5FF13B7A32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5" name="Elipse 1794">
          <a:extLst>
            <a:ext uri="{FF2B5EF4-FFF2-40B4-BE49-F238E27FC236}">
              <a16:creationId xmlns:a16="http://schemas.microsoft.com/office/drawing/2014/main" id="{0A747362-0048-48AB-9395-FD7E7A8B50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6" name="Elipse 1795">
          <a:extLst>
            <a:ext uri="{FF2B5EF4-FFF2-40B4-BE49-F238E27FC236}">
              <a16:creationId xmlns:a16="http://schemas.microsoft.com/office/drawing/2014/main" id="{E9FA6FA7-60BE-4615-991A-C07AB3FA01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7" name="Elipse 1796">
          <a:extLst>
            <a:ext uri="{FF2B5EF4-FFF2-40B4-BE49-F238E27FC236}">
              <a16:creationId xmlns:a16="http://schemas.microsoft.com/office/drawing/2014/main" id="{A2553F68-2F1B-4EC8-9D6B-D576A52DA5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8" name="Elipse 1797">
          <a:extLst>
            <a:ext uri="{FF2B5EF4-FFF2-40B4-BE49-F238E27FC236}">
              <a16:creationId xmlns:a16="http://schemas.microsoft.com/office/drawing/2014/main" id="{C8C8B7AF-2536-4E8A-A94C-0529503E38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9" name="Elipse 1798">
          <a:extLst>
            <a:ext uri="{FF2B5EF4-FFF2-40B4-BE49-F238E27FC236}">
              <a16:creationId xmlns:a16="http://schemas.microsoft.com/office/drawing/2014/main" id="{90E3C321-D4DA-457C-AF5D-76CE90AE15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0" name="Elipse 1799">
          <a:extLst>
            <a:ext uri="{FF2B5EF4-FFF2-40B4-BE49-F238E27FC236}">
              <a16:creationId xmlns:a16="http://schemas.microsoft.com/office/drawing/2014/main" id="{CFF89E73-3C26-46B9-9E18-08EF1ED24C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1" name="Elipse 1800">
          <a:extLst>
            <a:ext uri="{FF2B5EF4-FFF2-40B4-BE49-F238E27FC236}">
              <a16:creationId xmlns:a16="http://schemas.microsoft.com/office/drawing/2014/main" id="{23F61A42-51B5-4F93-AAB0-091E2BC857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2" name="Elipse 1801">
          <a:extLst>
            <a:ext uri="{FF2B5EF4-FFF2-40B4-BE49-F238E27FC236}">
              <a16:creationId xmlns:a16="http://schemas.microsoft.com/office/drawing/2014/main" id="{1A4CF888-8740-4BAF-93AD-B0C16825C6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3" name="Elipse 1802">
          <a:extLst>
            <a:ext uri="{FF2B5EF4-FFF2-40B4-BE49-F238E27FC236}">
              <a16:creationId xmlns:a16="http://schemas.microsoft.com/office/drawing/2014/main" id="{CC966529-A47E-4247-8EAF-031B37EE0F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4" name="Elipse 1803">
          <a:extLst>
            <a:ext uri="{FF2B5EF4-FFF2-40B4-BE49-F238E27FC236}">
              <a16:creationId xmlns:a16="http://schemas.microsoft.com/office/drawing/2014/main" id="{DA4676D7-1227-44C4-92FD-8C7CAD1C05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5" name="Elipse 1804">
          <a:extLst>
            <a:ext uri="{FF2B5EF4-FFF2-40B4-BE49-F238E27FC236}">
              <a16:creationId xmlns:a16="http://schemas.microsoft.com/office/drawing/2014/main" id="{2798AF36-8A57-40DE-B38F-7F8B31AA29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6" name="Elipse 1805">
          <a:extLst>
            <a:ext uri="{FF2B5EF4-FFF2-40B4-BE49-F238E27FC236}">
              <a16:creationId xmlns:a16="http://schemas.microsoft.com/office/drawing/2014/main" id="{FB1A55A5-51C5-4F4C-9AE8-780C9DA594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7" name="Elipse 1806">
          <a:extLst>
            <a:ext uri="{FF2B5EF4-FFF2-40B4-BE49-F238E27FC236}">
              <a16:creationId xmlns:a16="http://schemas.microsoft.com/office/drawing/2014/main" id="{E5D6CD29-53EF-4F39-AB45-311748E2D0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8" name="Elipse 1807">
          <a:extLst>
            <a:ext uri="{FF2B5EF4-FFF2-40B4-BE49-F238E27FC236}">
              <a16:creationId xmlns:a16="http://schemas.microsoft.com/office/drawing/2014/main" id="{C7B5B69C-D545-4001-9A83-95C4FF65AC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9" name="Elipse 1808">
          <a:extLst>
            <a:ext uri="{FF2B5EF4-FFF2-40B4-BE49-F238E27FC236}">
              <a16:creationId xmlns:a16="http://schemas.microsoft.com/office/drawing/2014/main" id="{7D841F67-8389-439B-B992-4BF987CB87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0" name="Elipse 1809">
          <a:extLst>
            <a:ext uri="{FF2B5EF4-FFF2-40B4-BE49-F238E27FC236}">
              <a16:creationId xmlns:a16="http://schemas.microsoft.com/office/drawing/2014/main" id="{9C0DA5E7-A901-48E0-8E0C-C673E367F8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1" name="Elipse 1810">
          <a:extLst>
            <a:ext uri="{FF2B5EF4-FFF2-40B4-BE49-F238E27FC236}">
              <a16:creationId xmlns:a16="http://schemas.microsoft.com/office/drawing/2014/main" id="{711952B3-2918-47AE-AECA-0DAD17F3C8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2" name="Elipse 1811">
          <a:extLst>
            <a:ext uri="{FF2B5EF4-FFF2-40B4-BE49-F238E27FC236}">
              <a16:creationId xmlns:a16="http://schemas.microsoft.com/office/drawing/2014/main" id="{363BCB47-5250-44DF-B9A6-C6B4A5C640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3" name="Elipse 1812">
          <a:extLst>
            <a:ext uri="{FF2B5EF4-FFF2-40B4-BE49-F238E27FC236}">
              <a16:creationId xmlns:a16="http://schemas.microsoft.com/office/drawing/2014/main" id="{FA42AFF5-231C-4A47-A7E7-665A7A35A9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4" name="Elipse 1813">
          <a:extLst>
            <a:ext uri="{FF2B5EF4-FFF2-40B4-BE49-F238E27FC236}">
              <a16:creationId xmlns:a16="http://schemas.microsoft.com/office/drawing/2014/main" id="{2C34B2F9-65A9-42B2-A7FB-D3B0983ACE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5" name="Elipse 1814">
          <a:extLst>
            <a:ext uri="{FF2B5EF4-FFF2-40B4-BE49-F238E27FC236}">
              <a16:creationId xmlns:a16="http://schemas.microsoft.com/office/drawing/2014/main" id="{440BF002-462F-4484-8C35-ED93AE1C1C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6" name="Elipse 1815">
          <a:extLst>
            <a:ext uri="{FF2B5EF4-FFF2-40B4-BE49-F238E27FC236}">
              <a16:creationId xmlns:a16="http://schemas.microsoft.com/office/drawing/2014/main" id="{D0F783DD-8B9D-40D6-8F06-4BFFD5DCD8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7" name="Elipse 1816">
          <a:extLst>
            <a:ext uri="{FF2B5EF4-FFF2-40B4-BE49-F238E27FC236}">
              <a16:creationId xmlns:a16="http://schemas.microsoft.com/office/drawing/2014/main" id="{0700BCC1-13DC-47D4-81FE-AC8282D5D2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8" name="Elipse 1817">
          <a:extLst>
            <a:ext uri="{FF2B5EF4-FFF2-40B4-BE49-F238E27FC236}">
              <a16:creationId xmlns:a16="http://schemas.microsoft.com/office/drawing/2014/main" id="{EC2186B9-77DA-45A3-B31B-67B98075C2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9" name="Elipse 1818">
          <a:extLst>
            <a:ext uri="{FF2B5EF4-FFF2-40B4-BE49-F238E27FC236}">
              <a16:creationId xmlns:a16="http://schemas.microsoft.com/office/drawing/2014/main" id="{CB636386-EBD6-465E-B78B-5AC9D54DD7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0" name="Elipse 1819">
          <a:extLst>
            <a:ext uri="{FF2B5EF4-FFF2-40B4-BE49-F238E27FC236}">
              <a16:creationId xmlns:a16="http://schemas.microsoft.com/office/drawing/2014/main" id="{A960EF1C-8AC4-4086-AE79-7DAFEAEE2A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1" name="Elipse 1820">
          <a:extLst>
            <a:ext uri="{FF2B5EF4-FFF2-40B4-BE49-F238E27FC236}">
              <a16:creationId xmlns:a16="http://schemas.microsoft.com/office/drawing/2014/main" id="{A7EC8FCB-869E-4B70-8BAE-ABBFA00744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2" name="Elipse 1821">
          <a:extLst>
            <a:ext uri="{FF2B5EF4-FFF2-40B4-BE49-F238E27FC236}">
              <a16:creationId xmlns:a16="http://schemas.microsoft.com/office/drawing/2014/main" id="{CB1090C3-6D64-43B8-91F8-3C5037489D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3" name="Elipse 1822">
          <a:extLst>
            <a:ext uri="{FF2B5EF4-FFF2-40B4-BE49-F238E27FC236}">
              <a16:creationId xmlns:a16="http://schemas.microsoft.com/office/drawing/2014/main" id="{75589859-17C8-45F8-ABCD-2FC84C6D05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4" name="Elipse 1823">
          <a:extLst>
            <a:ext uri="{FF2B5EF4-FFF2-40B4-BE49-F238E27FC236}">
              <a16:creationId xmlns:a16="http://schemas.microsoft.com/office/drawing/2014/main" id="{341B1FC5-C08B-49C8-82BC-A159BD6784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5" name="Elipse 1824">
          <a:extLst>
            <a:ext uri="{FF2B5EF4-FFF2-40B4-BE49-F238E27FC236}">
              <a16:creationId xmlns:a16="http://schemas.microsoft.com/office/drawing/2014/main" id="{F25DAC3B-C8FA-436B-8202-0E8B84EFB3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6" name="Elipse 1825">
          <a:extLst>
            <a:ext uri="{FF2B5EF4-FFF2-40B4-BE49-F238E27FC236}">
              <a16:creationId xmlns:a16="http://schemas.microsoft.com/office/drawing/2014/main" id="{8BFEC068-9113-4497-9C48-E47848F967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7" name="Elipse 1826">
          <a:extLst>
            <a:ext uri="{FF2B5EF4-FFF2-40B4-BE49-F238E27FC236}">
              <a16:creationId xmlns:a16="http://schemas.microsoft.com/office/drawing/2014/main" id="{75FBEAEC-590C-4E75-8139-3F33093CC6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8" name="Elipse 1827">
          <a:extLst>
            <a:ext uri="{FF2B5EF4-FFF2-40B4-BE49-F238E27FC236}">
              <a16:creationId xmlns:a16="http://schemas.microsoft.com/office/drawing/2014/main" id="{FDAA62D9-C586-4B9C-B0C2-17F08991DC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9" name="Elipse 1828">
          <a:extLst>
            <a:ext uri="{FF2B5EF4-FFF2-40B4-BE49-F238E27FC236}">
              <a16:creationId xmlns:a16="http://schemas.microsoft.com/office/drawing/2014/main" id="{4DA95764-3012-45DF-9854-E16F6ED418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0" name="Elipse 1829">
          <a:extLst>
            <a:ext uri="{FF2B5EF4-FFF2-40B4-BE49-F238E27FC236}">
              <a16:creationId xmlns:a16="http://schemas.microsoft.com/office/drawing/2014/main" id="{BFAA62B5-97AA-44A5-97EA-99C85798B8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1" name="Elipse 1830">
          <a:extLst>
            <a:ext uri="{FF2B5EF4-FFF2-40B4-BE49-F238E27FC236}">
              <a16:creationId xmlns:a16="http://schemas.microsoft.com/office/drawing/2014/main" id="{3878479A-51B5-404F-8EB8-88A2C0E8DE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2" name="Elipse 1831">
          <a:extLst>
            <a:ext uri="{FF2B5EF4-FFF2-40B4-BE49-F238E27FC236}">
              <a16:creationId xmlns:a16="http://schemas.microsoft.com/office/drawing/2014/main" id="{4E533826-BC09-412B-9739-57F73CF7ED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3" name="Elipse 1832">
          <a:extLst>
            <a:ext uri="{FF2B5EF4-FFF2-40B4-BE49-F238E27FC236}">
              <a16:creationId xmlns:a16="http://schemas.microsoft.com/office/drawing/2014/main" id="{6372675A-327D-405C-AF6D-91D8534C19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4" name="Elipse 1833">
          <a:extLst>
            <a:ext uri="{FF2B5EF4-FFF2-40B4-BE49-F238E27FC236}">
              <a16:creationId xmlns:a16="http://schemas.microsoft.com/office/drawing/2014/main" id="{EFE97E38-74A2-47A0-87BE-758F422850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5" name="Elipse 1834">
          <a:extLst>
            <a:ext uri="{FF2B5EF4-FFF2-40B4-BE49-F238E27FC236}">
              <a16:creationId xmlns:a16="http://schemas.microsoft.com/office/drawing/2014/main" id="{4FD92669-A867-4F00-8A52-81B43E0D2B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6" name="Elipse 1835">
          <a:extLst>
            <a:ext uri="{FF2B5EF4-FFF2-40B4-BE49-F238E27FC236}">
              <a16:creationId xmlns:a16="http://schemas.microsoft.com/office/drawing/2014/main" id="{4160BD1D-F874-4B6F-A068-6A74B3FA03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7" name="Elipse 1836">
          <a:extLst>
            <a:ext uri="{FF2B5EF4-FFF2-40B4-BE49-F238E27FC236}">
              <a16:creationId xmlns:a16="http://schemas.microsoft.com/office/drawing/2014/main" id="{66EEB488-772F-4F12-82D3-F742B22C7A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8" name="Elipse 1837">
          <a:extLst>
            <a:ext uri="{FF2B5EF4-FFF2-40B4-BE49-F238E27FC236}">
              <a16:creationId xmlns:a16="http://schemas.microsoft.com/office/drawing/2014/main" id="{FE64CC24-48DF-4BDF-AFC8-8DB62425C9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9" name="Elipse 1838">
          <a:extLst>
            <a:ext uri="{FF2B5EF4-FFF2-40B4-BE49-F238E27FC236}">
              <a16:creationId xmlns:a16="http://schemas.microsoft.com/office/drawing/2014/main" id="{90D11C9E-DC48-4DD5-A74B-FD962F641B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0" name="Elipse 1839">
          <a:extLst>
            <a:ext uri="{FF2B5EF4-FFF2-40B4-BE49-F238E27FC236}">
              <a16:creationId xmlns:a16="http://schemas.microsoft.com/office/drawing/2014/main" id="{ED6EAEBE-AF82-44A8-AA8C-643CE427BE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1" name="Elipse 1840">
          <a:extLst>
            <a:ext uri="{FF2B5EF4-FFF2-40B4-BE49-F238E27FC236}">
              <a16:creationId xmlns:a16="http://schemas.microsoft.com/office/drawing/2014/main" id="{16920DE5-8408-4644-AE17-08C7E32D13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2" name="Elipse 1841">
          <a:extLst>
            <a:ext uri="{FF2B5EF4-FFF2-40B4-BE49-F238E27FC236}">
              <a16:creationId xmlns:a16="http://schemas.microsoft.com/office/drawing/2014/main" id="{F4C1FC59-8FE2-40EE-800E-0A8CBCA680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3" name="Elipse 1842">
          <a:extLst>
            <a:ext uri="{FF2B5EF4-FFF2-40B4-BE49-F238E27FC236}">
              <a16:creationId xmlns:a16="http://schemas.microsoft.com/office/drawing/2014/main" id="{D646A9B3-CAE5-42EE-A7E8-F3AD92463D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4" name="Elipse 1843">
          <a:extLst>
            <a:ext uri="{FF2B5EF4-FFF2-40B4-BE49-F238E27FC236}">
              <a16:creationId xmlns:a16="http://schemas.microsoft.com/office/drawing/2014/main" id="{3B06524C-B27B-478A-A23A-79FE9A56A2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5" name="Elipse 1844">
          <a:extLst>
            <a:ext uri="{FF2B5EF4-FFF2-40B4-BE49-F238E27FC236}">
              <a16:creationId xmlns:a16="http://schemas.microsoft.com/office/drawing/2014/main" id="{E6738758-064D-4145-B017-2777E124D4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6" name="Elipse 1845">
          <a:extLst>
            <a:ext uri="{FF2B5EF4-FFF2-40B4-BE49-F238E27FC236}">
              <a16:creationId xmlns:a16="http://schemas.microsoft.com/office/drawing/2014/main" id="{7660AFB1-432B-4E01-B9FC-0503B1B111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7" name="Elipse 1846">
          <a:extLst>
            <a:ext uri="{FF2B5EF4-FFF2-40B4-BE49-F238E27FC236}">
              <a16:creationId xmlns:a16="http://schemas.microsoft.com/office/drawing/2014/main" id="{B2CFE4DD-4A69-4766-B7A6-6510CC164E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8" name="Elipse 1847">
          <a:extLst>
            <a:ext uri="{FF2B5EF4-FFF2-40B4-BE49-F238E27FC236}">
              <a16:creationId xmlns:a16="http://schemas.microsoft.com/office/drawing/2014/main" id="{2F6836E0-F6EB-46F9-9B7A-DB91BD96D5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9" name="Elipse 1848">
          <a:extLst>
            <a:ext uri="{FF2B5EF4-FFF2-40B4-BE49-F238E27FC236}">
              <a16:creationId xmlns:a16="http://schemas.microsoft.com/office/drawing/2014/main" id="{C6288527-AF9B-463C-808B-2FA6D876D7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0" name="Elipse 1849">
          <a:extLst>
            <a:ext uri="{FF2B5EF4-FFF2-40B4-BE49-F238E27FC236}">
              <a16:creationId xmlns:a16="http://schemas.microsoft.com/office/drawing/2014/main" id="{8CE0253D-E81D-42C4-8396-478F460E9D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1" name="Elipse 1850">
          <a:extLst>
            <a:ext uri="{FF2B5EF4-FFF2-40B4-BE49-F238E27FC236}">
              <a16:creationId xmlns:a16="http://schemas.microsoft.com/office/drawing/2014/main" id="{81FB4390-9CA9-4E5A-8890-FEA9F8C9E5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2" name="Elipse 1851">
          <a:extLst>
            <a:ext uri="{FF2B5EF4-FFF2-40B4-BE49-F238E27FC236}">
              <a16:creationId xmlns:a16="http://schemas.microsoft.com/office/drawing/2014/main" id="{52D0A6B7-6F9E-4047-B260-7DD8F24A8A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3" name="Elipse 1852">
          <a:extLst>
            <a:ext uri="{FF2B5EF4-FFF2-40B4-BE49-F238E27FC236}">
              <a16:creationId xmlns:a16="http://schemas.microsoft.com/office/drawing/2014/main" id="{3A2F4218-DF8A-4D42-8EB4-CF4E0BB93F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4" name="Elipse 1853">
          <a:extLst>
            <a:ext uri="{FF2B5EF4-FFF2-40B4-BE49-F238E27FC236}">
              <a16:creationId xmlns:a16="http://schemas.microsoft.com/office/drawing/2014/main" id="{255B4612-EAB8-4907-BCE5-F8A9B0ABB1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5" name="Elipse 1854">
          <a:extLst>
            <a:ext uri="{FF2B5EF4-FFF2-40B4-BE49-F238E27FC236}">
              <a16:creationId xmlns:a16="http://schemas.microsoft.com/office/drawing/2014/main" id="{DC419BF9-F725-43AA-A8FB-8EAD7B9436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6" name="Elipse 1855">
          <a:extLst>
            <a:ext uri="{FF2B5EF4-FFF2-40B4-BE49-F238E27FC236}">
              <a16:creationId xmlns:a16="http://schemas.microsoft.com/office/drawing/2014/main" id="{27F26BEE-5C5A-42FD-A903-B9F4F3DCB4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7" name="Elipse 1856">
          <a:extLst>
            <a:ext uri="{FF2B5EF4-FFF2-40B4-BE49-F238E27FC236}">
              <a16:creationId xmlns:a16="http://schemas.microsoft.com/office/drawing/2014/main" id="{C8CDF5BF-0AB9-4085-9F63-3362C292FA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8" name="Elipse 1857">
          <a:extLst>
            <a:ext uri="{FF2B5EF4-FFF2-40B4-BE49-F238E27FC236}">
              <a16:creationId xmlns:a16="http://schemas.microsoft.com/office/drawing/2014/main" id="{20203419-AEA4-49F1-B010-2938B54BC5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9" name="Elipse 1858">
          <a:extLst>
            <a:ext uri="{FF2B5EF4-FFF2-40B4-BE49-F238E27FC236}">
              <a16:creationId xmlns:a16="http://schemas.microsoft.com/office/drawing/2014/main" id="{04A08B48-9240-4CA6-8056-7D20A309DB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0" name="Elipse 1859">
          <a:extLst>
            <a:ext uri="{FF2B5EF4-FFF2-40B4-BE49-F238E27FC236}">
              <a16:creationId xmlns:a16="http://schemas.microsoft.com/office/drawing/2014/main" id="{F5999C4A-B377-44EF-B843-F89C6F6643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1" name="Elipse 1860">
          <a:extLst>
            <a:ext uri="{FF2B5EF4-FFF2-40B4-BE49-F238E27FC236}">
              <a16:creationId xmlns:a16="http://schemas.microsoft.com/office/drawing/2014/main" id="{514C1E84-95A9-4E05-B0D0-A611E572D8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2" name="Elipse 1861">
          <a:extLst>
            <a:ext uri="{FF2B5EF4-FFF2-40B4-BE49-F238E27FC236}">
              <a16:creationId xmlns:a16="http://schemas.microsoft.com/office/drawing/2014/main" id="{C73EF6F0-CED1-49AF-8337-A28355251E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3" name="Elipse 1862">
          <a:extLst>
            <a:ext uri="{FF2B5EF4-FFF2-40B4-BE49-F238E27FC236}">
              <a16:creationId xmlns:a16="http://schemas.microsoft.com/office/drawing/2014/main" id="{D9252DEE-BCA9-496B-8407-F0FC27CC31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4" name="Elipse 1863">
          <a:extLst>
            <a:ext uri="{FF2B5EF4-FFF2-40B4-BE49-F238E27FC236}">
              <a16:creationId xmlns:a16="http://schemas.microsoft.com/office/drawing/2014/main" id="{EA8EE70F-7F02-4C2A-A077-7324FFA65E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5" name="Elipse 1864">
          <a:extLst>
            <a:ext uri="{FF2B5EF4-FFF2-40B4-BE49-F238E27FC236}">
              <a16:creationId xmlns:a16="http://schemas.microsoft.com/office/drawing/2014/main" id="{59C40E0C-AE42-4256-91B8-0FEB70230B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6" name="Elipse 1865">
          <a:extLst>
            <a:ext uri="{FF2B5EF4-FFF2-40B4-BE49-F238E27FC236}">
              <a16:creationId xmlns:a16="http://schemas.microsoft.com/office/drawing/2014/main" id="{030CE4B2-DD81-480E-94DA-5EFFBCB9E2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7" name="Elipse 1866">
          <a:extLst>
            <a:ext uri="{FF2B5EF4-FFF2-40B4-BE49-F238E27FC236}">
              <a16:creationId xmlns:a16="http://schemas.microsoft.com/office/drawing/2014/main" id="{4A2A1349-CF43-423A-AB3A-DE6222F849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8" name="Elipse 1867">
          <a:extLst>
            <a:ext uri="{FF2B5EF4-FFF2-40B4-BE49-F238E27FC236}">
              <a16:creationId xmlns:a16="http://schemas.microsoft.com/office/drawing/2014/main" id="{1B261C97-497A-448B-B1FB-2D97DCBD91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9" name="Elipse 1868">
          <a:extLst>
            <a:ext uri="{FF2B5EF4-FFF2-40B4-BE49-F238E27FC236}">
              <a16:creationId xmlns:a16="http://schemas.microsoft.com/office/drawing/2014/main" id="{CC6898AC-803F-4ECD-9053-740091D836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0" name="Elipse 1869">
          <a:extLst>
            <a:ext uri="{FF2B5EF4-FFF2-40B4-BE49-F238E27FC236}">
              <a16:creationId xmlns:a16="http://schemas.microsoft.com/office/drawing/2014/main" id="{D6B5AD85-80A4-43B9-8B52-504A226110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1" name="Elipse 1870">
          <a:extLst>
            <a:ext uri="{FF2B5EF4-FFF2-40B4-BE49-F238E27FC236}">
              <a16:creationId xmlns:a16="http://schemas.microsoft.com/office/drawing/2014/main" id="{1CACD7CB-40B7-465E-9467-7A5FB1DAEA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2" name="Elipse 1871">
          <a:extLst>
            <a:ext uri="{FF2B5EF4-FFF2-40B4-BE49-F238E27FC236}">
              <a16:creationId xmlns:a16="http://schemas.microsoft.com/office/drawing/2014/main" id="{64B2BB7D-3DE3-4953-A51E-354312E3E9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3" name="Elipse 1872">
          <a:extLst>
            <a:ext uri="{FF2B5EF4-FFF2-40B4-BE49-F238E27FC236}">
              <a16:creationId xmlns:a16="http://schemas.microsoft.com/office/drawing/2014/main" id="{B2A4783F-ED0B-41D5-AF3D-D3947E2CB6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4" name="Elipse 1873">
          <a:extLst>
            <a:ext uri="{FF2B5EF4-FFF2-40B4-BE49-F238E27FC236}">
              <a16:creationId xmlns:a16="http://schemas.microsoft.com/office/drawing/2014/main" id="{B7B69E89-775A-442D-AE7F-A22B1388FE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5" name="Elipse 1874">
          <a:extLst>
            <a:ext uri="{FF2B5EF4-FFF2-40B4-BE49-F238E27FC236}">
              <a16:creationId xmlns:a16="http://schemas.microsoft.com/office/drawing/2014/main" id="{632F06E4-5E6C-48C2-8AAB-09C20ECC02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6" name="Elipse 1875">
          <a:extLst>
            <a:ext uri="{FF2B5EF4-FFF2-40B4-BE49-F238E27FC236}">
              <a16:creationId xmlns:a16="http://schemas.microsoft.com/office/drawing/2014/main" id="{106C0801-CD39-451B-8DDA-E0C39013EB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7" name="Elipse 1876">
          <a:extLst>
            <a:ext uri="{FF2B5EF4-FFF2-40B4-BE49-F238E27FC236}">
              <a16:creationId xmlns:a16="http://schemas.microsoft.com/office/drawing/2014/main" id="{3DBB3486-F2A5-4B34-981F-B6CEE66342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8" name="Elipse 1877">
          <a:extLst>
            <a:ext uri="{FF2B5EF4-FFF2-40B4-BE49-F238E27FC236}">
              <a16:creationId xmlns:a16="http://schemas.microsoft.com/office/drawing/2014/main" id="{B8328495-D9FE-44C2-93D1-D26A45D412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9" name="Elipse 1878">
          <a:extLst>
            <a:ext uri="{FF2B5EF4-FFF2-40B4-BE49-F238E27FC236}">
              <a16:creationId xmlns:a16="http://schemas.microsoft.com/office/drawing/2014/main" id="{8A6CBF78-DAED-4C25-BB26-E339A05BB3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0" name="Elipse 1879">
          <a:extLst>
            <a:ext uri="{FF2B5EF4-FFF2-40B4-BE49-F238E27FC236}">
              <a16:creationId xmlns:a16="http://schemas.microsoft.com/office/drawing/2014/main" id="{A1671A83-9BC0-45C0-902E-7EB44D0A6F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1" name="Elipse 1880">
          <a:extLst>
            <a:ext uri="{FF2B5EF4-FFF2-40B4-BE49-F238E27FC236}">
              <a16:creationId xmlns:a16="http://schemas.microsoft.com/office/drawing/2014/main" id="{CCE556D5-691B-4D4B-8251-D630BA4215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2" name="Elipse 1881">
          <a:extLst>
            <a:ext uri="{FF2B5EF4-FFF2-40B4-BE49-F238E27FC236}">
              <a16:creationId xmlns:a16="http://schemas.microsoft.com/office/drawing/2014/main" id="{349BB482-DF90-4E94-B39B-230400FD3C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3" name="Elipse 1882">
          <a:extLst>
            <a:ext uri="{FF2B5EF4-FFF2-40B4-BE49-F238E27FC236}">
              <a16:creationId xmlns:a16="http://schemas.microsoft.com/office/drawing/2014/main" id="{DEB53BAF-28EC-44D3-B174-D6F2C5EC81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4" name="Elipse 1883">
          <a:extLst>
            <a:ext uri="{FF2B5EF4-FFF2-40B4-BE49-F238E27FC236}">
              <a16:creationId xmlns:a16="http://schemas.microsoft.com/office/drawing/2014/main" id="{65F100D4-CEDA-49F4-88C5-0E452E0590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5" name="Elipse 1884">
          <a:extLst>
            <a:ext uri="{FF2B5EF4-FFF2-40B4-BE49-F238E27FC236}">
              <a16:creationId xmlns:a16="http://schemas.microsoft.com/office/drawing/2014/main" id="{7A48FCFF-DB6E-4125-8CFC-A8BC2B2233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6" name="Elipse 1885">
          <a:extLst>
            <a:ext uri="{FF2B5EF4-FFF2-40B4-BE49-F238E27FC236}">
              <a16:creationId xmlns:a16="http://schemas.microsoft.com/office/drawing/2014/main" id="{67711D31-E6A9-456C-863E-A6441CC176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7" name="Elipse 1886">
          <a:extLst>
            <a:ext uri="{FF2B5EF4-FFF2-40B4-BE49-F238E27FC236}">
              <a16:creationId xmlns:a16="http://schemas.microsoft.com/office/drawing/2014/main" id="{2A9EF85D-FB93-435C-9546-6F180F2917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8" name="Elipse 1887">
          <a:extLst>
            <a:ext uri="{FF2B5EF4-FFF2-40B4-BE49-F238E27FC236}">
              <a16:creationId xmlns:a16="http://schemas.microsoft.com/office/drawing/2014/main" id="{443C8968-B7A9-4649-B1DD-6631FFD06B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9" name="Elipse 1888">
          <a:extLst>
            <a:ext uri="{FF2B5EF4-FFF2-40B4-BE49-F238E27FC236}">
              <a16:creationId xmlns:a16="http://schemas.microsoft.com/office/drawing/2014/main" id="{2BB43813-4572-4016-BC1C-AAB6C8E667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0" name="Elipse 1889">
          <a:extLst>
            <a:ext uri="{FF2B5EF4-FFF2-40B4-BE49-F238E27FC236}">
              <a16:creationId xmlns:a16="http://schemas.microsoft.com/office/drawing/2014/main" id="{6DDBB01E-2A89-4F5A-AE88-9C045B9219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1" name="Elipse 1890">
          <a:extLst>
            <a:ext uri="{FF2B5EF4-FFF2-40B4-BE49-F238E27FC236}">
              <a16:creationId xmlns:a16="http://schemas.microsoft.com/office/drawing/2014/main" id="{67A3EB00-5AD1-4047-8F74-93F34A154C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2" name="Elipse 1891">
          <a:extLst>
            <a:ext uri="{FF2B5EF4-FFF2-40B4-BE49-F238E27FC236}">
              <a16:creationId xmlns:a16="http://schemas.microsoft.com/office/drawing/2014/main" id="{D785E044-4194-466F-A053-9F43B4C356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3" name="Elipse 1892">
          <a:extLst>
            <a:ext uri="{FF2B5EF4-FFF2-40B4-BE49-F238E27FC236}">
              <a16:creationId xmlns:a16="http://schemas.microsoft.com/office/drawing/2014/main" id="{6E60503B-6034-4204-89F1-C466BD4017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4" name="Elipse 1893">
          <a:extLst>
            <a:ext uri="{FF2B5EF4-FFF2-40B4-BE49-F238E27FC236}">
              <a16:creationId xmlns:a16="http://schemas.microsoft.com/office/drawing/2014/main" id="{90629033-A5C1-4403-88D0-8413BE230D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5" name="Elipse 1894">
          <a:extLst>
            <a:ext uri="{FF2B5EF4-FFF2-40B4-BE49-F238E27FC236}">
              <a16:creationId xmlns:a16="http://schemas.microsoft.com/office/drawing/2014/main" id="{E04A72E4-279F-4A3B-82E4-B935ECD150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6" name="Elipse 1895">
          <a:extLst>
            <a:ext uri="{FF2B5EF4-FFF2-40B4-BE49-F238E27FC236}">
              <a16:creationId xmlns:a16="http://schemas.microsoft.com/office/drawing/2014/main" id="{5F929DB8-B008-493A-BE4A-7457441C8E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7" name="Elipse 1896">
          <a:extLst>
            <a:ext uri="{FF2B5EF4-FFF2-40B4-BE49-F238E27FC236}">
              <a16:creationId xmlns:a16="http://schemas.microsoft.com/office/drawing/2014/main" id="{CD5927A1-FFE4-4904-AE58-3D06212AFB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8" name="Elipse 1897">
          <a:extLst>
            <a:ext uri="{FF2B5EF4-FFF2-40B4-BE49-F238E27FC236}">
              <a16:creationId xmlns:a16="http://schemas.microsoft.com/office/drawing/2014/main" id="{36C6736A-89A8-4B7E-A69B-82A9BFB061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9" name="Elipse 1898">
          <a:extLst>
            <a:ext uri="{FF2B5EF4-FFF2-40B4-BE49-F238E27FC236}">
              <a16:creationId xmlns:a16="http://schemas.microsoft.com/office/drawing/2014/main" id="{23A845A7-E6B8-4407-A921-AE3ADDFCF2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0" name="Elipse 1899">
          <a:extLst>
            <a:ext uri="{FF2B5EF4-FFF2-40B4-BE49-F238E27FC236}">
              <a16:creationId xmlns:a16="http://schemas.microsoft.com/office/drawing/2014/main" id="{13722308-1516-4DF3-A68A-35F5C52F51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1" name="Elipse 1900">
          <a:extLst>
            <a:ext uri="{FF2B5EF4-FFF2-40B4-BE49-F238E27FC236}">
              <a16:creationId xmlns:a16="http://schemas.microsoft.com/office/drawing/2014/main" id="{D8969630-A17B-4D24-B10F-4105D7728D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2" name="Elipse 1901">
          <a:extLst>
            <a:ext uri="{FF2B5EF4-FFF2-40B4-BE49-F238E27FC236}">
              <a16:creationId xmlns:a16="http://schemas.microsoft.com/office/drawing/2014/main" id="{91827153-3F5C-422E-85D5-019BA942B8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3" name="Elipse 1902">
          <a:extLst>
            <a:ext uri="{FF2B5EF4-FFF2-40B4-BE49-F238E27FC236}">
              <a16:creationId xmlns:a16="http://schemas.microsoft.com/office/drawing/2014/main" id="{AF5C47EC-6D1E-435C-9E62-C5976B8EA3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4" name="Elipse 1903">
          <a:extLst>
            <a:ext uri="{FF2B5EF4-FFF2-40B4-BE49-F238E27FC236}">
              <a16:creationId xmlns:a16="http://schemas.microsoft.com/office/drawing/2014/main" id="{9E09BE91-5735-461D-8AA0-E5DA584482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5" name="Elipse 1904">
          <a:extLst>
            <a:ext uri="{FF2B5EF4-FFF2-40B4-BE49-F238E27FC236}">
              <a16:creationId xmlns:a16="http://schemas.microsoft.com/office/drawing/2014/main" id="{E4DBFB8A-219D-4854-9B19-A6DA5246BD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6" name="Elipse 1905">
          <a:extLst>
            <a:ext uri="{FF2B5EF4-FFF2-40B4-BE49-F238E27FC236}">
              <a16:creationId xmlns:a16="http://schemas.microsoft.com/office/drawing/2014/main" id="{413E1774-4580-4A30-A410-C15992B8F7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7" name="Elipse 1906">
          <a:extLst>
            <a:ext uri="{FF2B5EF4-FFF2-40B4-BE49-F238E27FC236}">
              <a16:creationId xmlns:a16="http://schemas.microsoft.com/office/drawing/2014/main" id="{2E506F18-25EA-422E-A70A-BC365648B0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8" name="Elipse 1907">
          <a:extLst>
            <a:ext uri="{FF2B5EF4-FFF2-40B4-BE49-F238E27FC236}">
              <a16:creationId xmlns:a16="http://schemas.microsoft.com/office/drawing/2014/main" id="{37E20E59-78A1-4DCD-ADFB-98C5026DA4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9" name="Elipse 1908">
          <a:extLst>
            <a:ext uri="{FF2B5EF4-FFF2-40B4-BE49-F238E27FC236}">
              <a16:creationId xmlns:a16="http://schemas.microsoft.com/office/drawing/2014/main" id="{023DD44C-77A1-4D6D-B17F-29D489D25E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0" name="Elipse 1909">
          <a:extLst>
            <a:ext uri="{FF2B5EF4-FFF2-40B4-BE49-F238E27FC236}">
              <a16:creationId xmlns:a16="http://schemas.microsoft.com/office/drawing/2014/main" id="{64B87911-DA61-45C4-B7E0-4D88B4FA61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1" name="Elipse 1910">
          <a:extLst>
            <a:ext uri="{FF2B5EF4-FFF2-40B4-BE49-F238E27FC236}">
              <a16:creationId xmlns:a16="http://schemas.microsoft.com/office/drawing/2014/main" id="{993E8B63-49C9-4AC6-8370-4496514E70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2" name="Elipse 1911">
          <a:extLst>
            <a:ext uri="{FF2B5EF4-FFF2-40B4-BE49-F238E27FC236}">
              <a16:creationId xmlns:a16="http://schemas.microsoft.com/office/drawing/2014/main" id="{7D6645DB-3F74-4BED-A0C7-AD06840944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3" name="Elipse 1912">
          <a:extLst>
            <a:ext uri="{FF2B5EF4-FFF2-40B4-BE49-F238E27FC236}">
              <a16:creationId xmlns:a16="http://schemas.microsoft.com/office/drawing/2014/main" id="{B182ABB6-404A-4246-A7C9-4112C5FBC9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4" name="Elipse 1913">
          <a:extLst>
            <a:ext uri="{FF2B5EF4-FFF2-40B4-BE49-F238E27FC236}">
              <a16:creationId xmlns:a16="http://schemas.microsoft.com/office/drawing/2014/main" id="{16A49365-0C84-48F6-9957-41C23FC636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5" name="Elipse 1914">
          <a:extLst>
            <a:ext uri="{FF2B5EF4-FFF2-40B4-BE49-F238E27FC236}">
              <a16:creationId xmlns:a16="http://schemas.microsoft.com/office/drawing/2014/main" id="{18B7D002-1369-4688-BEFC-E00408ACBA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6" name="Elipse 1915">
          <a:extLst>
            <a:ext uri="{FF2B5EF4-FFF2-40B4-BE49-F238E27FC236}">
              <a16:creationId xmlns:a16="http://schemas.microsoft.com/office/drawing/2014/main" id="{786D3D7B-E5A1-478F-9D3C-0FD342D506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7" name="Elipse 1916">
          <a:extLst>
            <a:ext uri="{FF2B5EF4-FFF2-40B4-BE49-F238E27FC236}">
              <a16:creationId xmlns:a16="http://schemas.microsoft.com/office/drawing/2014/main" id="{5927B99F-1162-44A2-B8BF-4E0D2FF3F2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8" name="Elipse 1917">
          <a:extLst>
            <a:ext uri="{FF2B5EF4-FFF2-40B4-BE49-F238E27FC236}">
              <a16:creationId xmlns:a16="http://schemas.microsoft.com/office/drawing/2014/main" id="{F41C9F5E-F9F4-4D14-A4D4-4F81514338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9" name="Elipse 1918">
          <a:extLst>
            <a:ext uri="{FF2B5EF4-FFF2-40B4-BE49-F238E27FC236}">
              <a16:creationId xmlns:a16="http://schemas.microsoft.com/office/drawing/2014/main" id="{8A56CC6A-A5B7-48EB-AE0B-B052F11772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0" name="Elipse 1919">
          <a:extLst>
            <a:ext uri="{FF2B5EF4-FFF2-40B4-BE49-F238E27FC236}">
              <a16:creationId xmlns:a16="http://schemas.microsoft.com/office/drawing/2014/main" id="{BF850072-5954-4707-94C6-8E1CC75FD7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1" name="Elipse 1920">
          <a:extLst>
            <a:ext uri="{FF2B5EF4-FFF2-40B4-BE49-F238E27FC236}">
              <a16:creationId xmlns:a16="http://schemas.microsoft.com/office/drawing/2014/main" id="{30A423ED-F6E8-486B-9539-FD09551D5D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2" name="Elipse 1921">
          <a:extLst>
            <a:ext uri="{FF2B5EF4-FFF2-40B4-BE49-F238E27FC236}">
              <a16:creationId xmlns:a16="http://schemas.microsoft.com/office/drawing/2014/main" id="{319E3DF6-9A69-41EB-B78E-B0AF0F71AC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3" name="Elipse 1922">
          <a:extLst>
            <a:ext uri="{FF2B5EF4-FFF2-40B4-BE49-F238E27FC236}">
              <a16:creationId xmlns:a16="http://schemas.microsoft.com/office/drawing/2014/main" id="{64F74BEA-E882-4B3F-A3B8-26D176D657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4" name="Elipse 1923">
          <a:extLst>
            <a:ext uri="{FF2B5EF4-FFF2-40B4-BE49-F238E27FC236}">
              <a16:creationId xmlns:a16="http://schemas.microsoft.com/office/drawing/2014/main" id="{E0E77F2D-7655-4045-AD56-6B0F835A42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5" name="Elipse 1924">
          <a:extLst>
            <a:ext uri="{FF2B5EF4-FFF2-40B4-BE49-F238E27FC236}">
              <a16:creationId xmlns:a16="http://schemas.microsoft.com/office/drawing/2014/main" id="{6419FCA4-B7C8-47E3-B9AE-372E70FB5B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6" name="Elipse 1925">
          <a:extLst>
            <a:ext uri="{FF2B5EF4-FFF2-40B4-BE49-F238E27FC236}">
              <a16:creationId xmlns:a16="http://schemas.microsoft.com/office/drawing/2014/main" id="{D0ABAF07-5939-43C8-B228-8A53DEAE97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7" name="Elipse 1926">
          <a:extLst>
            <a:ext uri="{FF2B5EF4-FFF2-40B4-BE49-F238E27FC236}">
              <a16:creationId xmlns:a16="http://schemas.microsoft.com/office/drawing/2014/main" id="{224A9A1E-0A9C-43C3-A579-A95032E6A0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8" name="Elipse 1927">
          <a:extLst>
            <a:ext uri="{FF2B5EF4-FFF2-40B4-BE49-F238E27FC236}">
              <a16:creationId xmlns:a16="http://schemas.microsoft.com/office/drawing/2014/main" id="{A9FAB355-A5AD-4FEF-BCDC-AEF05D627B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9" name="Elipse 1928">
          <a:extLst>
            <a:ext uri="{FF2B5EF4-FFF2-40B4-BE49-F238E27FC236}">
              <a16:creationId xmlns:a16="http://schemas.microsoft.com/office/drawing/2014/main" id="{548763DD-4AAF-4C7C-B4C9-6E1B828363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0" name="Elipse 1929">
          <a:extLst>
            <a:ext uri="{FF2B5EF4-FFF2-40B4-BE49-F238E27FC236}">
              <a16:creationId xmlns:a16="http://schemas.microsoft.com/office/drawing/2014/main" id="{77F67211-EB26-4589-9193-91EAA9281F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1" name="Elipse 1930">
          <a:extLst>
            <a:ext uri="{FF2B5EF4-FFF2-40B4-BE49-F238E27FC236}">
              <a16:creationId xmlns:a16="http://schemas.microsoft.com/office/drawing/2014/main" id="{87E50F94-961B-4323-A00A-1A356CF916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2" name="Elipse 1931">
          <a:extLst>
            <a:ext uri="{FF2B5EF4-FFF2-40B4-BE49-F238E27FC236}">
              <a16:creationId xmlns:a16="http://schemas.microsoft.com/office/drawing/2014/main" id="{CBB3E657-4BEC-4B6E-915C-F9E3F0C81A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3" name="Elipse 1932">
          <a:extLst>
            <a:ext uri="{FF2B5EF4-FFF2-40B4-BE49-F238E27FC236}">
              <a16:creationId xmlns:a16="http://schemas.microsoft.com/office/drawing/2014/main" id="{756F69DA-CC9E-44D1-AF95-68D8CD33D1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4" name="Elipse 1933">
          <a:extLst>
            <a:ext uri="{FF2B5EF4-FFF2-40B4-BE49-F238E27FC236}">
              <a16:creationId xmlns:a16="http://schemas.microsoft.com/office/drawing/2014/main" id="{EF0203AE-864D-4AB0-B44C-7E662FAB97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5" name="Elipse 1934">
          <a:extLst>
            <a:ext uri="{FF2B5EF4-FFF2-40B4-BE49-F238E27FC236}">
              <a16:creationId xmlns:a16="http://schemas.microsoft.com/office/drawing/2014/main" id="{176F3E2E-C524-47C3-B1D5-52F619F091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6" name="Elipse 1935">
          <a:extLst>
            <a:ext uri="{FF2B5EF4-FFF2-40B4-BE49-F238E27FC236}">
              <a16:creationId xmlns:a16="http://schemas.microsoft.com/office/drawing/2014/main" id="{A2E61F3D-C966-4035-B193-2D11B7522B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7" name="Elipse 1936">
          <a:extLst>
            <a:ext uri="{FF2B5EF4-FFF2-40B4-BE49-F238E27FC236}">
              <a16:creationId xmlns:a16="http://schemas.microsoft.com/office/drawing/2014/main" id="{EE6C7E0D-7F6C-416B-A667-1C15E44F3B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8" name="Elipse 1937">
          <a:extLst>
            <a:ext uri="{FF2B5EF4-FFF2-40B4-BE49-F238E27FC236}">
              <a16:creationId xmlns:a16="http://schemas.microsoft.com/office/drawing/2014/main" id="{EC207BBC-B24B-4807-BFE4-5A6BCC8E14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9" name="Elipse 1938">
          <a:extLst>
            <a:ext uri="{FF2B5EF4-FFF2-40B4-BE49-F238E27FC236}">
              <a16:creationId xmlns:a16="http://schemas.microsoft.com/office/drawing/2014/main" id="{735791BB-1C20-4DC3-93E4-D1AD9E4FED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0" name="Elipse 1939">
          <a:extLst>
            <a:ext uri="{FF2B5EF4-FFF2-40B4-BE49-F238E27FC236}">
              <a16:creationId xmlns:a16="http://schemas.microsoft.com/office/drawing/2014/main" id="{2FDDFA2C-67C5-4389-914D-9F09DAB0C1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1" name="Elipse 1940">
          <a:extLst>
            <a:ext uri="{FF2B5EF4-FFF2-40B4-BE49-F238E27FC236}">
              <a16:creationId xmlns:a16="http://schemas.microsoft.com/office/drawing/2014/main" id="{BCDB7E5B-B497-47F2-9523-103D71A58F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2" name="Elipse 1941">
          <a:extLst>
            <a:ext uri="{FF2B5EF4-FFF2-40B4-BE49-F238E27FC236}">
              <a16:creationId xmlns:a16="http://schemas.microsoft.com/office/drawing/2014/main" id="{7AE5C4B0-B5E4-4F60-B306-1D089ACE5E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3" name="Elipse 1942">
          <a:extLst>
            <a:ext uri="{FF2B5EF4-FFF2-40B4-BE49-F238E27FC236}">
              <a16:creationId xmlns:a16="http://schemas.microsoft.com/office/drawing/2014/main" id="{3CC3BEFD-DB30-4899-9298-9FAA18067D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4" name="Elipse 1943">
          <a:extLst>
            <a:ext uri="{FF2B5EF4-FFF2-40B4-BE49-F238E27FC236}">
              <a16:creationId xmlns:a16="http://schemas.microsoft.com/office/drawing/2014/main" id="{E00A79C1-82F6-4B9E-AB3D-F883FA7BAD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5" name="Elipse 1944">
          <a:extLst>
            <a:ext uri="{FF2B5EF4-FFF2-40B4-BE49-F238E27FC236}">
              <a16:creationId xmlns:a16="http://schemas.microsoft.com/office/drawing/2014/main" id="{029EB9B4-D9C2-45A7-87DA-46AF8D5297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6" name="Elipse 1945">
          <a:extLst>
            <a:ext uri="{FF2B5EF4-FFF2-40B4-BE49-F238E27FC236}">
              <a16:creationId xmlns:a16="http://schemas.microsoft.com/office/drawing/2014/main" id="{82EB0E1D-588E-42A7-AA2C-364F14D3B3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7" name="Elipse 1946">
          <a:extLst>
            <a:ext uri="{FF2B5EF4-FFF2-40B4-BE49-F238E27FC236}">
              <a16:creationId xmlns:a16="http://schemas.microsoft.com/office/drawing/2014/main" id="{4FDB6A6B-1BAF-459D-A830-D0F48B106A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8" name="Elipse 1947">
          <a:extLst>
            <a:ext uri="{FF2B5EF4-FFF2-40B4-BE49-F238E27FC236}">
              <a16:creationId xmlns:a16="http://schemas.microsoft.com/office/drawing/2014/main" id="{8D038CE8-99CC-466F-81D6-E804F3EC5E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9" name="Elipse 1948">
          <a:extLst>
            <a:ext uri="{FF2B5EF4-FFF2-40B4-BE49-F238E27FC236}">
              <a16:creationId xmlns:a16="http://schemas.microsoft.com/office/drawing/2014/main" id="{99F0007E-30CF-49B8-AE70-23D14938AB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0" name="Elipse 1949">
          <a:extLst>
            <a:ext uri="{FF2B5EF4-FFF2-40B4-BE49-F238E27FC236}">
              <a16:creationId xmlns:a16="http://schemas.microsoft.com/office/drawing/2014/main" id="{6FE0B493-0E6B-411B-9C42-4BC07BB7CB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1" name="Elipse 1950">
          <a:extLst>
            <a:ext uri="{FF2B5EF4-FFF2-40B4-BE49-F238E27FC236}">
              <a16:creationId xmlns:a16="http://schemas.microsoft.com/office/drawing/2014/main" id="{BF211D2A-B901-4C6E-B478-21EFB5863B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2" name="Elipse 1951">
          <a:extLst>
            <a:ext uri="{FF2B5EF4-FFF2-40B4-BE49-F238E27FC236}">
              <a16:creationId xmlns:a16="http://schemas.microsoft.com/office/drawing/2014/main" id="{FBD83476-8944-4110-A66B-F2C20BA936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3" name="Elipse 1952">
          <a:extLst>
            <a:ext uri="{FF2B5EF4-FFF2-40B4-BE49-F238E27FC236}">
              <a16:creationId xmlns:a16="http://schemas.microsoft.com/office/drawing/2014/main" id="{93DD8033-8AFE-43C4-A891-5BF2828A9B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4" name="Elipse 1953">
          <a:extLst>
            <a:ext uri="{FF2B5EF4-FFF2-40B4-BE49-F238E27FC236}">
              <a16:creationId xmlns:a16="http://schemas.microsoft.com/office/drawing/2014/main" id="{14588EF7-542F-4DF2-A81F-78683D4F4C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5" name="Elipse 1954">
          <a:extLst>
            <a:ext uri="{FF2B5EF4-FFF2-40B4-BE49-F238E27FC236}">
              <a16:creationId xmlns:a16="http://schemas.microsoft.com/office/drawing/2014/main" id="{9520BE08-42C3-43B9-B82C-5EC6891089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6" name="Elipse 1955">
          <a:extLst>
            <a:ext uri="{FF2B5EF4-FFF2-40B4-BE49-F238E27FC236}">
              <a16:creationId xmlns:a16="http://schemas.microsoft.com/office/drawing/2014/main" id="{CFDF630E-656D-43C7-B4B0-8666A132C1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7" name="Elipse 1956">
          <a:extLst>
            <a:ext uri="{FF2B5EF4-FFF2-40B4-BE49-F238E27FC236}">
              <a16:creationId xmlns:a16="http://schemas.microsoft.com/office/drawing/2014/main" id="{0A61706E-F3C2-48C7-A44F-CF6B7D2C9A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8" name="Elipse 1957">
          <a:extLst>
            <a:ext uri="{FF2B5EF4-FFF2-40B4-BE49-F238E27FC236}">
              <a16:creationId xmlns:a16="http://schemas.microsoft.com/office/drawing/2014/main" id="{CAD89A32-B843-4E7E-8F31-11321C92B2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9" name="Elipse 1958">
          <a:extLst>
            <a:ext uri="{FF2B5EF4-FFF2-40B4-BE49-F238E27FC236}">
              <a16:creationId xmlns:a16="http://schemas.microsoft.com/office/drawing/2014/main" id="{A62251E5-FEF6-411A-9D2D-723D1319D3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0" name="Elipse 1959">
          <a:extLst>
            <a:ext uri="{FF2B5EF4-FFF2-40B4-BE49-F238E27FC236}">
              <a16:creationId xmlns:a16="http://schemas.microsoft.com/office/drawing/2014/main" id="{2C818F91-4D40-418D-A5F1-D91BBA53A6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1" name="Elipse 1960">
          <a:extLst>
            <a:ext uri="{FF2B5EF4-FFF2-40B4-BE49-F238E27FC236}">
              <a16:creationId xmlns:a16="http://schemas.microsoft.com/office/drawing/2014/main" id="{AB6154BE-FC1B-4A97-AD8A-7CFCAC22D3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2" name="Elipse 1961">
          <a:extLst>
            <a:ext uri="{FF2B5EF4-FFF2-40B4-BE49-F238E27FC236}">
              <a16:creationId xmlns:a16="http://schemas.microsoft.com/office/drawing/2014/main" id="{C6F60DDC-A3A3-43BF-AB19-78E98BB81F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3" name="Elipse 1962">
          <a:extLst>
            <a:ext uri="{FF2B5EF4-FFF2-40B4-BE49-F238E27FC236}">
              <a16:creationId xmlns:a16="http://schemas.microsoft.com/office/drawing/2014/main" id="{FEA79E59-AF9D-45FA-8B04-453048AED7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4" name="Elipse 1963">
          <a:extLst>
            <a:ext uri="{FF2B5EF4-FFF2-40B4-BE49-F238E27FC236}">
              <a16:creationId xmlns:a16="http://schemas.microsoft.com/office/drawing/2014/main" id="{AA635D4E-12ED-4360-B89E-2E2846DBB6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5" name="Elipse 1964">
          <a:extLst>
            <a:ext uri="{FF2B5EF4-FFF2-40B4-BE49-F238E27FC236}">
              <a16:creationId xmlns:a16="http://schemas.microsoft.com/office/drawing/2014/main" id="{EE0F4B82-5F00-44BF-AF56-E48D3C62F4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6" name="Elipse 1965">
          <a:extLst>
            <a:ext uri="{FF2B5EF4-FFF2-40B4-BE49-F238E27FC236}">
              <a16:creationId xmlns:a16="http://schemas.microsoft.com/office/drawing/2014/main" id="{CACAF781-4723-43FE-BD25-47DE3546A7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7" name="Elipse 1966">
          <a:extLst>
            <a:ext uri="{FF2B5EF4-FFF2-40B4-BE49-F238E27FC236}">
              <a16:creationId xmlns:a16="http://schemas.microsoft.com/office/drawing/2014/main" id="{ACE6C4FF-90DD-40E4-9161-B21567A756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8" name="Elipse 1967">
          <a:extLst>
            <a:ext uri="{FF2B5EF4-FFF2-40B4-BE49-F238E27FC236}">
              <a16:creationId xmlns:a16="http://schemas.microsoft.com/office/drawing/2014/main" id="{8DE1DBE0-746A-44EA-8405-4F67DCB37C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9" name="Elipse 1968">
          <a:extLst>
            <a:ext uri="{FF2B5EF4-FFF2-40B4-BE49-F238E27FC236}">
              <a16:creationId xmlns:a16="http://schemas.microsoft.com/office/drawing/2014/main" id="{EB7602C8-C4BC-4E86-A249-8B65193302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0" name="Elipse 1969">
          <a:extLst>
            <a:ext uri="{FF2B5EF4-FFF2-40B4-BE49-F238E27FC236}">
              <a16:creationId xmlns:a16="http://schemas.microsoft.com/office/drawing/2014/main" id="{21493E0D-99DB-4E44-8F38-64B90F3808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1" name="Elipse 1970">
          <a:extLst>
            <a:ext uri="{FF2B5EF4-FFF2-40B4-BE49-F238E27FC236}">
              <a16:creationId xmlns:a16="http://schemas.microsoft.com/office/drawing/2014/main" id="{0A33BBB2-4708-4696-B76D-B5D51F673E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2" name="Elipse 1971">
          <a:extLst>
            <a:ext uri="{FF2B5EF4-FFF2-40B4-BE49-F238E27FC236}">
              <a16:creationId xmlns:a16="http://schemas.microsoft.com/office/drawing/2014/main" id="{B8CA726F-7790-4D75-BE4F-1FCDBC4A46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3" name="Elipse 1972">
          <a:extLst>
            <a:ext uri="{FF2B5EF4-FFF2-40B4-BE49-F238E27FC236}">
              <a16:creationId xmlns:a16="http://schemas.microsoft.com/office/drawing/2014/main" id="{D8EE394B-DCA7-47CA-992B-42C747A2B9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4" name="Elipse 1973">
          <a:extLst>
            <a:ext uri="{FF2B5EF4-FFF2-40B4-BE49-F238E27FC236}">
              <a16:creationId xmlns:a16="http://schemas.microsoft.com/office/drawing/2014/main" id="{ECF6C9A4-D076-4FCE-B5C9-EE900BBB6A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5" name="Elipse 1974">
          <a:extLst>
            <a:ext uri="{FF2B5EF4-FFF2-40B4-BE49-F238E27FC236}">
              <a16:creationId xmlns:a16="http://schemas.microsoft.com/office/drawing/2014/main" id="{83A45661-2F07-4CD0-8704-B3C7BEE74B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6" name="Elipse 1975">
          <a:extLst>
            <a:ext uri="{FF2B5EF4-FFF2-40B4-BE49-F238E27FC236}">
              <a16:creationId xmlns:a16="http://schemas.microsoft.com/office/drawing/2014/main" id="{150317FF-CB12-4BF7-9B8A-D88B203AFA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7" name="Elipse 1976">
          <a:extLst>
            <a:ext uri="{FF2B5EF4-FFF2-40B4-BE49-F238E27FC236}">
              <a16:creationId xmlns:a16="http://schemas.microsoft.com/office/drawing/2014/main" id="{9A3CF00E-D0CB-433D-B285-206757C415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8" name="Elipse 1977">
          <a:extLst>
            <a:ext uri="{FF2B5EF4-FFF2-40B4-BE49-F238E27FC236}">
              <a16:creationId xmlns:a16="http://schemas.microsoft.com/office/drawing/2014/main" id="{A23E69A3-574A-4F29-9062-DEB0695346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9" name="Elipse 1978">
          <a:extLst>
            <a:ext uri="{FF2B5EF4-FFF2-40B4-BE49-F238E27FC236}">
              <a16:creationId xmlns:a16="http://schemas.microsoft.com/office/drawing/2014/main" id="{9590CDC5-32AD-459A-A534-89F7B83FC4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0" name="Elipse 1979">
          <a:extLst>
            <a:ext uri="{FF2B5EF4-FFF2-40B4-BE49-F238E27FC236}">
              <a16:creationId xmlns:a16="http://schemas.microsoft.com/office/drawing/2014/main" id="{C4532684-C959-4DAE-A691-5D44ED1197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1" name="Elipse 1980">
          <a:extLst>
            <a:ext uri="{FF2B5EF4-FFF2-40B4-BE49-F238E27FC236}">
              <a16:creationId xmlns:a16="http://schemas.microsoft.com/office/drawing/2014/main" id="{9A8899CC-7F4F-4E03-8C9C-87DC3AB16C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2" name="Elipse 1981">
          <a:extLst>
            <a:ext uri="{FF2B5EF4-FFF2-40B4-BE49-F238E27FC236}">
              <a16:creationId xmlns:a16="http://schemas.microsoft.com/office/drawing/2014/main" id="{3FF8B317-AEA9-49E0-B5FF-C101C473DB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3" name="Elipse 1982">
          <a:extLst>
            <a:ext uri="{FF2B5EF4-FFF2-40B4-BE49-F238E27FC236}">
              <a16:creationId xmlns:a16="http://schemas.microsoft.com/office/drawing/2014/main" id="{2DE489B1-CF8A-448B-9F78-1959F15B48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4" name="Elipse 1983">
          <a:extLst>
            <a:ext uri="{FF2B5EF4-FFF2-40B4-BE49-F238E27FC236}">
              <a16:creationId xmlns:a16="http://schemas.microsoft.com/office/drawing/2014/main" id="{30052694-58AD-4480-B61E-31F895B031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5" name="Elipse 1984">
          <a:extLst>
            <a:ext uri="{FF2B5EF4-FFF2-40B4-BE49-F238E27FC236}">
              <a16:creationId xmlns:a16="http://schemas.microsoft.com/office/drawing/2014/main" id="{E76F2B00-CBA5-4D13-B750-1AF680A272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6" name="Elipse 1985">
          <a:extLst>
            <a:ext uri="{FF2B5EF4-FFF2-40B4-BE49-F238E27FC236}">
              <a16:creationId xmlns:a16="http://schemas.microsoft.com/office/drawing/2014/main" id="{05455CC6-8F04-47BC-8AC4-5BE62AF119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7" name="Elipse 1986">
          <a:extLst>
            <a:ext uri="{FF2B5EF4-FFF2-40B4-BE49-F238E27FC236}">
              <a16:creationId xmlns:a16="http://schemas.microsoft.com/office/drawing/2014/main" id="{2CC341DC-5D38-486F-BA95-29BF0C00F0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8" name="Elipse 1987">
          <a:extLst>
            <a:ext uri="{FF2B5EF4-FFF2-40B4-BE49-F238E27FC236}">
              <a16:creationId xmlns:a16="http://schemas.microsoft.com/office/drawing/2014/main" id="{2FDBA7F8-1756-47F3-AAF6-3C9640A623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9" name="Elipse 1988">
          <a:extLst>
            <a:ext uri="{FF2B5EF4-FFF2-40B4-BE49-F238E27FC236}">
              <a16:creationId xmlns:a16="http://schemas.microsoft.com/office/drawing/2014/main" id="{09AB0B6B-1D69-4D2C-B21B-15F2678930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0" name="Elipse 1989">
          <a:extLst>
            <a:ext uri="{FF2B5EF4-FFF2-40B4-BE49-F238E27FC236}">
              <a16:creationId xmlns:a16="http://schemas.microsoft.com/office/drawing/2014/main" id="{A5B32374-05BC-449D-BF5F-137D830AE8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1" name="Elipse 1990">
          <a:extLst>
            <a:ext uri="{FF2B5EF4-FFF2-40B4-BE49-F238E27FC236}">
              <a16:creationId xmlns:a16="http://schemas.microsoft.com/office/drawing/2014/main" id="{3D5F2C17-87A0-45D9-9E27-2719D0962A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2" name="Elipse 1991">
          <a:extLst>
            <a:ext uri="{FF2B5EF4-FFF2-40B4-BE49-F238E27FC236}">
              <a16:creationId xmlns:a16="http://schemas.microsoft.com/office/drawing/2014/main" id="{D94F0F2F-7A49-43B1-85AA-479C3CFD7C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3" name="Elipse 1992">
          <a:extLst>
            <a:ext uri="{FF2B5EF4-FFF2-40B4-BE49-F238E27FC236}">
              <a16:creationId xmlns:a16="http://schemas.microsoft.com/office/drawing/2014/main" id="{68A290B9-F053-4935-A17E-FE6D64A294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4" name="Elipse 1993">
          <a:extLst>
            <a:ext uri="{FF2B5EF4-FFF2-40B4-BE49-F238E27FC236}">
              <a16:creationId xmlns:a16="http://schemas.microsoft.com/office/drawing/2014/main" id="{FEA86C46-9D73-4148-A219-7EAD258141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5" name="Elipse 1994">
          <a:extLst>
            <a:ext uri="{FF2B5EF4-FFF2-40B4-BE49-F238E27FC236}">
              <a16:creationId xmlns:a16="http://schemas.microsoft.com/office/drawing/2014/main" id="{D0CCA752-FD0C-4AB7-BA24-D698DA96BC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6" name="Elipse 1995">
          <a:extLst>
            <a:ext uri="{FF2B5EF4-FFF2-40B4-BE49-F238E27FC236}">
              <a16:creationId xmlns:a16="http://schemas.microsoft.com/office/drawing/2014/main" id="{E221FB43-9D5D-4F22-98D9-1429553B05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7" name="Elipse 1996">
          <a:extLst>
            <a:ext uri="{FF2B5EF4-FFF2-40B4-BE49-F238E27FC236}">
              <a16:creationId xmlns:a16="http://schemas.microsoft.com/office/drawing/2014/main" id="{A148C040-91B6-4869-A128-BDFAB7FF2D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8" name="Elipse 1997">
          <a:extLst>
            <a:ext uri="{FF2B5EF4-FFF2-40B4-BE49-F238E27FC236}">
              <a16:creationId xmlns:a16="http://schemas.microsoft.com/office/drawing/2014/main" id="{7DFCE20C-F07A-418F-8CF0-FD565DE118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9" name="Elipse 1998">
          <a:extLst>
            <a:ext uri="{FF2B5EF4-FFF2-40B4-BE49-F238E27FC236}">
              <a16:creationId xmlns:a16="http://schemas.microsoft.com/office/drawing/2014/main" id="{25B0EB20-7497-4C21-9D48-29769930A1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0" name="Elipse 1999">
          <a:extLst>
            <a:ext uri="{FF2B5EF4-FFF2-40B4-BE49-F238E27FC236}">
              <a16:creationId xmlns:a16="http://schemas.microsoft.com/office/drawing/2014/main" id="{7280E690-3F9B-422E-8FD6-FE2061DE92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1" name="Elipse 2000">
          <a:extLst>
            <a:ext uri="{FF2B5EF4-FFF2-40B4-BE49-F238E27FC236}">
              <a16:creationId xmlns:a16="http://schemas.microsoft.com/office/drawing/2014/main" id="{D6C3967C-B035-4131-80AB-360723ECFA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2" name="Elipse 2001">
          <a:extLst>
            <a:ext uri="{FF2B5EF4-FFF2-40B4-BE49-F238E27FC236}">
              <a16:creationId xmlns:a16="http://schemas.microsoft.com/office/drawing/2014/main" id="{BA7F55ED-9FDF-43ED-92B1-44DC456C77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3" name="Elipse 2002">
          <a:extLst>
            <a:ext uri="{FF2B5EF4-FFF2-40B4-BE49-F238E27FC236}">
              <a16:creationId xmlns:a16="http://schemas.microsoft.com/office/drawing/2014/main" id="{13E538F7-9BFB-46B8-A6B4-E23945D4DB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4" name="Elipse 2003">
          <a:extLst>
            <a:ext uri="{FF2B5EF4-FFF2-40B4-BE49-F238E27FC236}">
              <a16:creationId xmlns:a16="http://schemas.microsoft.com/office/drawing/2014/main" id="{4BAD2D0E-B1FE-4AC5-A38D-5F10403AE4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5" name="Elipse 2004">
          <a:extLst>
            <a:ext uri="{FF2B5EF4-FFF2-40B4-BE49-F238E27FC236}">
              <a16:creationId xmlns:a16="http://schemas.microsoft.com/office/drawing/2014/main" id="{83972527-BE7D-412F-9CF0-DA408B02C0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6" name="Elipse 2005">
          <a:extLst>
            <a:ext uri="{FF2B5EF4-FFF2-40B4-BE49-F238E27FC236}">
              <a16:creationId xmlns:a16="http://schemas.microsoft.com/office/drawing/2014/main" id="{CAECDEEA-0CE5-4828-B245-7637826DB2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7" name="Elipse 2006">
          <a:extLst>
            <a:ext uri="{FF2B5EF4-FFF2-40B4-BE49-F238E27FC236}">
              <a16:creationId xmlns:a16="http://schemas.microsoft.com/office/drawing/2014/main" id="{0AE385EA-EAD9-4F38-9B0E-D13C6935BB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8" name="Elipse 2007">
          <a:extLst>
            <a:ext uri="{FF2B5EF4-FFF2-40B4-BE49-F238E27FC236}">
              <a16:creationId xmlns:a16="http://schemas.microsoft.com/office/drawing/2014/main" id="{46608F7C-DC60-4DA4-9451-32D80A62D1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9" name="Elipse 2008">
          <a:extLst>
            <a:ext uri="{FF2B5EF4-FFF2-40B4-BE49-F238E27FC236}">
              <a16:creationId xmlns:a16="http://schemas.microsoft.com/office/drawing/2014/main" id="{9A8F3492-C2D4-4BB3-9EE7-2208F08376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0" name="Elipse 2009">
          <a:extLst>
            <a:ext uri="{FF2B5EF4-FFF2-40B4-BE49-F238E27FC236}">
              <a16:creationId xmlns:a16="http://schemas.microsoft.com/office/drawing/2014/main" id="{9314D223-DE76-4A31-A730-D914BD485E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1" name="Elipse 2010">
          <a:extLst>
            <a:ext uri="{FF2B5EF4-FFF2-40B4-BE49-F238E27FC236}">
              <a16:creationId xmlns:a16="http://schemas.microsoft.com/office/drawing/2014/main" id="{AA31C075-0862-46A7-BD0E-8BE8E8A17A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2" name="Elipse 2011">
          <a:extLst>
            <a:ext uri="{FF2B5EF4-FFF2-40B4-BE49-F238E27FC236}">
              <a16:creationId xmlns:a16="http://schemas.microsoft.com/office/drawing/2014/main" id="{6CD751FF-65A1-4B1C-A800-80C533C176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3" name="Elipse 2012">
          <a:extLst>
            <a:ext uri="{FF2B5EF4-FFF2-40B4-BE49-F238E27FC236}">
              <a16:creationId xmlns:a16="http://schemas.microsoft.com/office/drawing/2014/main" id="{6B1D3249-C646-4F14-96DC-686C4E581E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4" name="Elipse 2013">
          <a:extLst>
            <a:ext uri="{FF2B5EF4-FFF2-40B4-BE49-F238E27FC236}">
              <a16:creationId xmlns:a16="http://schemas.microsoft.com/office/drawing/2014/main" id="{57CB9311-A991-4E62-AFD0-596403D56E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5" name="Elipse 2014">
          <a:extLst>
            <a:ext uri="{FF2B5EF4-FFF2-40B4-BE49-F238E27FC236}">
              <a16:creationId xmlns:a16="http://schemas.microsoft.com/office/drawing/2014/main" id="{A80AF9D5-3A32-4BD7-A54B-B211D00B0E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6" name="Elipse 2015">
          <a:extLst>
            <a:ext uri="{FF2B5EF4-FFF2-40B4-BE49-F238E27FC236}">
              <a16:creationId xmlns:a16="http://schemas.microsoft.com/office/drawing/2014/main" id="{AB1E32EF-3FC9-454B-80AC-325E01BFE0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7" name="Elipse 2016">
          <a:extLst>
            <a:ext uri="{FF2B5EF4-FFF2-40B4-BE49-F238E27FC236}">
              <a16:creationId xmlns:a16="http://schemas.microsoft.com/office/drawing/2014/main" id="{0DF946B2-6C54-480A-9DFB-293F4DD454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8" name="Elipse 2017">
          <a:extLst>
            <a:ext uri="{FF2B5EF4-FFF2-40B4-BE49-F238E27FC236}">
              <a16:creationId xmlns:a16="http://schemas.microsoft.com/office/drawing/2014/main" id="{BD9D34E9-C54D-4074-B1CB-DB196F48B8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9" name="Elipse 2018">
          <a:extLst>
            <a:ext uri="{FF2B5EF4-FFF2-40B4-BE49-F238E27FC236}">
              <a16:creationId xmlns:a16="http://schemas.microsoft.com/office/drawing/2014/main" id="{F5613869-C096-4806-9F58-7EAFCD97DD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0" name="Elipse 2019">
          <a:extLst>
            <a:ext uri="{FF2B5EF4-FFF2-40B4-BE49-F238E27FC236}">
              <a16:creationId xmlns:a16="http://schemas.microsoft.com/office/drawing/2014/main" id="{4C0A8CA8-8FE4-4428-BA34-B5A54DE9ED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1" name="Elipse 2020">
          <a:extLst>
            <a:ext uri="{FF2B5EF4-FFF2-40B4-BE49-F238E27FC236}">
              <a16:creationId xmlns:a16="http://schemas.microsoft.com/office/drawing/2014/main" id="{7E330120-4E39-4AF2-B35B-8399F0F68B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2" name="Elipse 2021">
          <a:extLst>
            <a:ext uri="{FF2B5EF4-FFF2-40B4-BE49-F238E27FC236}">
              <a16:creationId xmlns:a16="http://schemas.microsoft.com/office/drawing/2014/main" id="{D65FF1B2-17EE-48F8-B183-5868B23AA0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3" name="Elipse 2022">
          <a:extLst>
            <a:ext uri="{FF2B5EF4-FFF2-40B4-BE49-F238E27FC236}">
              <a16:creationId xmlns:a16="http://schemas.microsoft.com/office/drawing/2014/main" id="{1886D41A-7258-4A40-BFFB-6960AF0A99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4" name="Elipse 2023">
          <a:extLst>
            <a:ext uri="{FF2B5EF4-FFF2-40B4-BE49-F238E27FC236}">
              <a16:creationId xmlns:a16="http://schemas.microsoft.com/office/drawing/2014/main" id="{F9407760-99F1-4149-92F9-A89B88C33C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5" name="Elipse 2024">
          <a:extLst>
            <a:ext uri="{FF2B5EF4-FFF2-40B4-BE49-F238E27FC236}">
              <a16:creationId xmlns:a16="http://schemas.microsoft.com/office/drawing/2014/main" id="{9817CED1-FA0F-457D-B3E6-1DBE2A334D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6" name="Elipse 2025">
          <a:extLst>
            <a:ext uri="{FF2B5EF4-FFF2-40B4-BE49-F238E27FC236}">
              <a16:creationId xmlns:a16="http://schemas.microsoft.com/office/drawing/2014/main" id="{B79F5F34-CC03-4BCE-8AC9-AA3054C078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7" name="Elipse 2026">
          <a:extLst>
            <a:ext uri="{FF2B5EF4-FFF2-40B4-BE49-F238E27FC236}">
              <a16:creationId xmlns:a16="http://schemas.microsoft.com/office/drawing/2014/main" id="{2B3EC3D2-4689-48A2-B35F-D2221DAB9B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8" name="Elipse 2027">
          <a:extLst>
            <a:ext uri="{FF2B5EF4-FFF2-40B4-BE49-F238E27FC236}">
              <a16:creationId xmlns:a16="http://schemas.microsoft.com/office/drawing/2014/main" id="{7B3C3BDA-2A67-4611-8958-77E3771FA9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9" name="Elipse 2028">
          <a:extLst>
            <a:ext uri="{FF2B5EF4-FFF2-40B4-BE49-F238E27FC236}">
              <a16:creationId xmlns:a16="http://schemas.microsoft.com/office/drawing/2014/main" id="{8DDE3A0A-FE16-45D9-881E-42863AD70B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0" name="Elipse 2029">
          <a:extLst>
            <a:ext uri="{FF2B5EF4-FFF2-40B4-BE49-F238E27FC236}">
              <a16:creationId xmlns:a16="http://schemas.microsoft.com/office/drawing/2014/main" id="{EBA0C1E8-166E-4427-B35B-085EA84CD0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1" name="Elipse 2030">
          <a:extLst>
            <a:ext uri="{FF2B5EF4-FFF2-40B4-BE49-F238E27FC236}">
              <a16:creationId xmlns:a16="http://schemas.microsoft.com/office/drawing/2014/main" id="{7144DEBE-0A48-4F39-B0FF-0234074B71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2" name="Elipse 2031">
          <a:extLst>
            <a:ext uri="{FF2B5EF4-FFF2-40B4-BE49-F238E27FC236}">
              <a16:creationId xmlns:a16="http://schemas.microsoft.com/office/drawing/2014/main" id="{55F1BB20-0ED5-4749-B842-9F89883B0A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3" name="Elipse 2032">
          <a:extLst>
            <a:ext uri="{FF2B5EF4-FFF2-40B4-BE49-F238E27FC236}">
              <a16:creationId xmlns:a16="http://schemas.microsoft.com/office/drawing/2014/main" id="{017D39DA-FEAE-475B-9DF4-C34975D343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4" name="Elipse 2033">
          <a:extLst>
            <a:ext uri="{FF2B5EF4-FFF2-40B4-BE49-F238E27FC236}">
              <a16:creationId xmlns:a16="http://schemas.microsoft.com/office/drawing/2014/main" id="{2E6318F8-04AD-4D11-A9BE-2F936B9027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5" name="Elipse 2034">
          <a:extLst>
            <a:ext uri="{FF2B5EF4-FFF2-40B4-BE49-F238E27FC236}">
              <a16:creationId xmlns:a16="http://schemas.microsoft.com/office/drawing/2014/main" id="{2CE525B5-34D8-4567-A30E-90B2124D0E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6" name="Elipse 2035">
          <a:extLst>
            <a:ext uri="{FF2B5EF4-FFF2-40B4-BE49-F238E27FC236}">
              <a16:creationId xmlns:a16="http://schemas.microsoft.com/office/drawing/2014/main" id="{F2E473A9-D819-4D9F-BE1C-0DE8F954E1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7" name="Elipse 2036">
          <a:extLst>
            <a:ext uri="{FF2B5EF4-FFF2-40B4-BE49-F238E27FC236}">
              <a16:creationId xmlns:a16="http://schemas.microsoft.com/office/drawing/2014/main" id="{B2AB7F3E-C5D3-42DC-B87A-15772C0D4D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8" name="Elipse 2037">
          <a:extLst>
            <a:ext uri="{FF2B5EF4-FFF2-40B4-BE49-F238E27FC236}">
              <a16:creationId xmlns:a16="http://schemas.microsoft.com/office/drawing/2014/main" id="{57595236-BE8F-4285-AAFB-592A20EB7A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9" name="Elipse 2038">
          <a:extLst>
            <a:ext uri="{FF2B5EF4-FFF2-40B4-BE49-F238E27FC236}">
              <a16:creationId xmlns:a16="http://schemas.microsoft.com/office/drawing/2014/main" id="{3E58D9A5-DA5C-47D4-8EE0-FDBA44ECF4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0" name="Elipse 2039">
          <a:extLst>
            <a:ext uri="{FF2B5EF4-FFF2-40B4-BE49-F238E27FC236}">
              <a16:creationId xmlns:a16="http://schemas.microsoft.com/office/drawing/2014/main" id="{5ED422FB-6AF5-47C0-91C0-392D389856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1" name="Elipse 2040">
          <a:extLst>
            <a:ext uri="{FF2B5EF4-FFF2-40B4-BE49-F238E27FC236}">
              <a16:creationId xmlns:a16="http://schemas.microsoft.com/office/drawing/2014/main" id="{49C5080F-46FA-467E-A705-DB2A6646F1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2" name="Elipse 2041">
          <a:extLst>
            <a:ext uri="{FF2B5EF4-FFF2-40B4-BE49-F238E27FC236}">
              <a16:creationId xmlns:a16="http://schemas.microsoft.com/office/drawing/2014/main" id="{0CDAF60F-F9A9-4E13-B820-CD54DC8651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3" name="Elipse 2042">
          <a:extLst>
            <a:ext uri="{FF2B5EF4-FFF2-40B4-BE49-F238E27FC236}">
              <a16:creationId xmlns:a16="http://schemas.microsoft.com/office/drawing/2014/main" id="{2E7E3B45-1BB3-4645-8FB5-72E1F16362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4" name="Elipse 2043">
          <a:extLst>
            <a:ext uri="{FF2B5EF4-FFF2-40B4-BE49-F238E27FC236}">
              <a16:creationId xmlns:a16="http://schemas.microsoft.com/office/drawing/2014/main" id="{CCE0D9A7-B530-4FAC-AA8E-EACF10770E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5" name="Elipse 2044">
          <a:extLst>
            <a:ext uri="{FF2B5EF4-FFF2-40B4-BE49-F238E27FC236}">
              <a16:creationId xmlns:a16="http://schemas.microsoft.com/office/drawing/2014/main" id="{7055C4E5-53C1-46FC-87E0-1F007CACC0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6" name="Elipse 2045">
          <a:extLst>
            <a:ext uri="{FF2B5EF4-FFF2-40B4-BE49-F238E27FC236}">
              <a16:creationId xmlns:a16="http://schemas.microsoft.com/office/drawing/2014/main" id="{1D8D41CB-C5F6-4754-B888-6DCB8A4CBC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7" name="Elipse 2046">
          <a:extLst>
            <a:ext uri="{FF2B5EF4-FFF2-40B4-BE49-F238E27FC236}">
              <a16:creationId xmlns:a16="http://schemas.microsoft.com/office/drawing/2014/main" id="{A6F7BD40-0BBF-4EE8-BA52-E483CD55AB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8" name="Elipse 2047">
          <a:extLst>
            <a:ext uri="{FF2B5EF4-FFF2-40B4-BE49-F238E27FC236}">
              <a16:creationId xmlns:a16="http://schemas.microsoft.com/office/drawing/2014/main" id="{5100F3AA-89D6-4A62-B826-F7B2C7417D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9" name="Elipse 2048">
          <a:extLst>
            <a:ext uri="{FF2B5EF4-FFF2-40B4-BE49-F238E27FC236}">
              <a16:creationId xmlns:a16="http://schemas.microsoft.com/office/drawing/2014/main" id="{A302CA58-F489-438E-A209-B63E1FBC61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0" name="Elipse 2049">
          <a:extLst>
            <a:ext uri="{FF2B5EF4-FFF2-40B4-BE49-F238E27FC236}">
              <a16:creationId xmlns:a16="http://schemas.microsoft.com/office/drawing/2014/main" id="{A5965DCE-2622-4856-80E5-8D032E6360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1" name="Elipse 2050">
          <a:extLst>
            <a:ext uri="{FF2B5EF4-FFF2-40B4-BE49-F238E27FC236}">
              <a16:creationId xmlns:a16="http://schemas.microsoft.com/office/drawing/2014/main" id="{B307B145-C785-4E8B-8317-7BEE01283F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2" name="Elipse 2051">
          <a:extLst>
            <a:ext uri="{FF2B5EF4-FFF2-40B4-BE49-F238E27FC236}">
              <a16:creationId xmlns:a16="http://schemas.microsoft.com/office/drawing/2014/main" id="{7E43570E-0B9C-4BBF-86CC-E8E959BF24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3" name="Elipse 2052">
          <a:extLst>
            <a:ext uri="{FF2B5EF4-FFF2-40B4-BE49-F238E27FC236}">
              <a16:creationId xmlns:a16="http://schemas.microsoft.com/office/drawing/2014/main" id="{794A54ED-DE8E-4D4C-A7F3-0D648EE484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4" name="Elipse 2053">
          <a:extLst>
            <a:ext uri="{FF2B5EF4-FFF2-40B4-BE49-F238E27FC236}">
              <a16:creationId xmlns:a16="http://schemas.microsoft.com/office/drawing/2014/main" id="{F7D555FE-A9C2-4A59-BEEE-5A0D8BCC15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5" name="Elipse 2054">
          <a:extLst>
            <a:ext uri="{FF2B5EF4-FFF2-40B4-BE49-F238E27FC236}">
              <a16:creationId xmlns:a16="http://schemas.microsoft.com/office/drawing/2014/main" id="{398D020B-0D53-4484-94D9-6B64449564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6" name="Elipse 2055">
          <a:extLst>
            <a:ext uri="{FF2B5EF4-FFF2-40B4-BE49-F238E27FC236}">
              <a16:creationId xmlns:a16="http://schemas.microsoft.com/office/drawing/2014/main" id="{905B6F8D-00BE-4A06-AA22-84008FBEAA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7" name="Elipse 2056">
          <a:extLst>
            <a:ext uri="{FF2B5EF4-FFF2-40B4-BE49-F238E27FC236}">
              <a16:creationId xmlns:a16="http://schemas.microsoft.com/office/drawing/2014/main" id="{3FB9FC3E-0CCC-44CB-B480-1685B753BF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8" name="Elipse 2057">
          <a:extLst>
            <a:ext uri="{FF2B5EF4-FFF2-40B4-BE49-F238E27FC236}">
              <a16:creationId xmlns:a16="http://schemas.microsoft.com/office/drawing/2014/main" id="{74C321A0-421E-4AC0-B94B-C4997DBE8C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9" name="Elipse 2058">
          <a:extLst>
            <a:ext uri="{FF2B5EF4-FFF2-40B4-BE49-F238E27FC236}">
              <a16:creationId xmlns:a16="http://schemas.microsoft.com/office/drawing/2014/main" id="{E23645B9-B0F0-441B-908E-55FB6983EC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0" name="Elipse 2059">
          <a:extLst>
            <a:ext uri="{FF2B5EF4-FFF2-40B4-BE49-F238E27FC236}">
              <a16:creationId xmlns:a16="http://schemas.microsoft.com/office/drawing/2014/main" id="{3B133130-B3B8-4CC3-B6DC-93E437EE78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1" name="Elipse 2060">
          <a:extLst>
            <a:ext uri="{FF2B5EF4-FFF2-40B4-BE49-F238E27FC236}">
              <a16:creationId xmlns:a16="http://schemas.microsoft.com/office/drawing/2014/main" id="{E1A0D412-83E9-4DF4-B70A-68F6BBE995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2" name="Elipse 2061">
          <a:extLst>
            <a:ext uri="{FF2B5EF4-FFF2-40B4-BE49-F238E27FC236}">
              <a16:creationId xmlns:a16="http://schemas.microsoft.com/office/drawing/2014/main" id="{4EC2A2EC-4053-4D52-9D26-841479F87F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3" name="Elipse 2062">
          <a:extLst>
            <a:ext uri="{FF2B5EF4-FFF2-40B4-BE49-F238E27FC236}">
              <a16:creationId xmlns:a16="http://schemas.microsoft.com/office/drawing/2014/main" id="{27BF9DBC-78B0-4992-B09B-4DE4BC4546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4" name="Elipse 2063">
          <a:extLst>
            <a:ext uri="{FF2B5EF4-FFF2-40B4-BE49-F238E27FC236}">
              <a16:creationId xmlns:a16="http://schemas.microsoft.com/office/drawing/2014/main" id="{BEFD9777-7DA9-49A6-B6EC-982415161F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5" name="Elipse 2064">
          <a:extLst>
            <a:ext uri="{FF2B5EF4-FFF2-40B4-BE49-F238E27FC236}">
              <a16:creationId xmlns:a16="http://schemas.microsoft.com/office/drawing/2014/main" id="{8DC4C30E-95AD-4CFC-87EB-E854B02B63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6" name="Elipse 2065">
          <a:extLst>
            <a:ext uri="{FF2B5EF4-FFF2-40B4-BE49-F238E27FC236}">
              <a16:creationId xmlns:a16="http://schemas.microsoft.com/office/drawing/2014/main" id="{05C08DE5-4BB1-4FBC-AAD6-8818CBC2F8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7" name="Elipse 2066">
          <a:extLst>
            <a:ext uri="{FF2B5EF4-FFF2-40B4-BE49-F238E27FC236}">
              <a16:creationId xmlns:a16="http://schemas.microsoft.com/office/drawing/2014/main" id="{3132EE27-33BF-453D-84ED-1E56577CBA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8" name="Elipse 2067">
          <a:extLst>
            <a:ext uri="{FF2B5EF4-FFF2-40B4-BE49-F238E27FC236}">
              <a16:creationId xmlns:a16="http://schemas.microsoft.com/office/drawing/2014/main" id="{65E78271-4A52-43E8-8841-EBF450B656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9" name="Elipse 2068">
          <a:extLst>
            <a:ext uri="{FF2B5EF4-FFF2-40B4-BE49-F238E27FC236}">
              <a16:creationId xmlns:a16="http://schemas.microsoft.com/office/drawing/2014/main" id="{91FC8DC9-F60E-481D-B08F-E9C4C039DB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0" name="Elipse 2069">
          <a:extLst>
            <a:ext uri="{FF2B5EF4-FFF2-40B4-BE49-F238E27FC236}">
              <a16:creationId xmlns:a16="http://schemas.microsoft.com/office/drawing/2014/main" id="{9FB9DA3E-F844-451A-B132-7D7326C275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1" name="Elipse 2070">
          <a:extLst>
            <a:ext uri="{FF2B5EF4-FFF2-40B4-BE49-F238E27FC236}">
              <a16:creationId xmlns:a16="http://schemas.microsoft.com/office/drawing/2014/main" id="{D465F663-E67C-476A-B0A3-57C02DF47F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2" name="Elipse 2071">
          <a:extLst>
            <a:ext uri="{FF2B5EF4-FFF2-40B4-BE49-F238E27FC236}">
              <a16:creationId xmlns:a16="http://schemas.microsoft.com/office/drawing/2014/main" id="{93313ECA-7A3A-4AD4-8426-0FAA5375B4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3" name="Elipse 2072">
          <a:extLst>
            <a:ext uri="{FF2B5EF4-FFF2-40B4-BE49-F238E27FC236}">
              <a16:creationId xmlns:a16="http://schemas.microsoft.com/office/drawing/2014/main" id="{C2CFD0BD-3F13-41F2-8D45-87E921EED1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4" name="Elipse 2073">
          <a:extLst>
            <a:ext uri="{FF2B5EF4-FFF2-40B4-BE49-F238E27FC236}">
              <a16:creationId xmlns:a16="http://schemas.microsoft.com/office/drawing/2014/main" id="{41D611DF-F41F-4D89-BAB1-9F343D7565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5" name="Elipse 2074">
          <a:extLst>
            <a:ext uri="{FF2B5EF4-FFF2-40B4-BE49-F238E27FC236}">
              <a16:creationId xmlns:a16="http://schemas.microsoft.com/office/drawing/2014/main" id="{623CD105-DB7A-419D-A8E6-11167C2462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6" name="Elipse 2075">
          <a:extLst>
            <a:ext uri="{FF2B5EF4-FFF2-40B4-BE49-F238E27FC236}">
              <a16:creationId xmlns:a16="http://schemas.microsoft.com/office/drawing/2014/main" id="{AD32A213-7F09-489A-8DE1-B22BD3A7A7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7" name="Elipse 2076">
          <a:extLst>
            <a:ext uri="{FF2B5EF4-FFF2-40B4-BE49-F238E27FC236}">
              <a16:creationId xmlns:a16="http://schemas.microsoft.com/office/drawing/2014/main" id="{42D4B97A-5A9C-447C-B5C8-969FE2A749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8" name="Elipse 2077">
          <a:extLst>
            <a:ext uri="{FF2B5EF4-FFF2-40B4-BE49-F238E27FC236}">
              <a16:creationId xmlns:a16="http://schemas.microsoft.com/office/drawing/2014/main" id="{95C32D62-E0F0-4864-801F-8945017A53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9" name="Elipse 2078">
          <a:extLst>
            <a:ext uri="{FF2B5EF4-FFF2-40B4-BE49-F238E27FC236}">
              <a16:creationId xmlns:a16="http://schemas.microsoft.com/office/drawing/2014/main" id="{9502ACB4-FBAB-4362-9DD8-76B61EE69F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0" name="Elipse 2079">
          <a:extLst>
            <a:ext uri="{FF2B5EF4-FFF2-40B4-BE49-F238E27FC236}">
              <a16:creationId xmlns:a16="http://schemas.microsoft.com/office/drawing/2014/main" id="{314FB9F6-A6D3-4A19-A61E-5E12CE04D7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1" name="Elipse 2080">
          <a:extLst>
            <a:ext uri="{FF2B5EF4-FFF2-40B4-BE49-F238E27FC236}">
              <a16:creationId xmlns:a16="http://schemas.microsoft.com/office/drawing/2014/main" id="{696510E9-6F24-434B-9F62-816F53AD3C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2" name="Elipse 2081">
          <a:extLst>
            <a:ext uri="{FF2B5EF4-FFF2-40B4-BE49-F238E27FC236}">
              <a16:creationId xmlns:a16="http://schemas.microsoft.com/office/drawing/2014/main" id="{97B7FB97-5699-4864-B821-27B293F110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3" name="Elipse 2082">
          <a:extLst>
            <a:ext uri="{FF2B5EF4-FFF2-40B4-BE49-F238E27FC236}">
              <a16:creationId xmlns:a16="http://schemas.microsoft.com/office/drawing/2014/main" id="{43906B6C-0302-4B48-95D9-17F510226F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4" name="Elipse 2083">
          <a:extLst>
            <a:ext uri="{FF2B5EF4-FFF2-40B4-BE49-F238E27FC236}">
              <a16:creationId xmlns:a16="http://schemas.microsoft.com/office/drawing/2014/main" id="{20A6D298-E48E-440C-B8C4-1513B1F82B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5" name="Elipse 2084">
          <a:extLst>
            <a:ext uri="{FF2B5EF4-FFF2-40B4-BE49-F238E27FC236}">
              <a16:creationId xmlns:a16="http://schemas.microsoft.com/office/drawing/2014/main" id="{E7AAA667-B07E-4DFF-9C0D-2E3AC8F8EA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6" name="Elipse 2085">
          <a:extLst>
            <a:ext uri="{FF2B5EF4-FFF2-40B4-BE49-F238E27FC236}">
              <a16:creationId xmlns:a16="http://schemas.microsoft.com/office/drawing/2014/main" id="{988A8FD5-0890-4C20-9AC5-2609B87B55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7" name="Elipse 2086">
          <a:extLst>
            <a:ext uri="{FF2B5EF4-FFF2-40B4-BE49-F238E27FC236}">
              <a16:creationId xmlns:a16="http://schemas.microsoft.com/office/drawing/2014/main" id="{696432B1-B50F-4009-955B-04D9679724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8" name="Elipse 2087">
          <a:extLst>
            <a:ext uri="{FF2B5EF4-FFF2-40B4-BE49-F238E27FC236}">
              <a16:creationId xmlns:a16="http://schemas.microsoft.com/office/drawing/2014/main" id="{0A55B73E-80E7-4BE3-8C0B-C29DB80031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9" name="Elipse 2088">
          <a:extLst>
            <a:ext uri="{FF2B5EF4-FFF2-40B4-BE49-F238E27FC236}">
              <a16:creationId xmlns:a16="http://schemas.microsoft.com/office/drawing/2014/main" id="{09421E87-B93C-4900-A5FE-4943871927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0" name="Elipse 2089">
          <a:extLst>
            <a:ext uri="{FF2B5EF4-FFF2-40B4-BE49-F238E27FC236}">
              <a16:creationId xmlns:a16="http://schemas.microsoft.com/office/drawing/2014/main" id="{1AC8C21D-6A78-436A-950D-9326E57BBA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1" name="Elipse 2090">
          <a:extLst>
            <a:ext uri="{FF2B5EF4-FFF2-40B4-BE49-F238E27FC236}">
              <a16:creationId xmlns:a16="http://schemas.microsoft.com/office/drawing/2014/main" id="{4F482505-0934-4F54-A297-16F81D1BC9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2" name="Elipse 2091">
          <a:extLst>
            <a:ext uri="{FF2B5EF4-FFF2-40B4-BE49-F238E27FC236}">
              <a16:creationId xmlns:a16="http://schemas.microsoft.com/office/drawing/2014/main" id="{DB65A80B-FC44-466B-9993-E82A9E562B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3" name="Elipse 2092">
          <a:extLst>
            <a:ext uri="{FF2B5EF4-FFF2-40B4-BE49-F238E27FC236}">
              <a16:creationId xmlns:a16="http://schemas.microsoft.com/office/drawing/2014/main" id="{21E630CA-7356-494D-85F2-EA6C785995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4" name="Elipse 2093">
          <a:extLst>
            <a:ext uri="{FF2B5EF4-FFF2-40B4-BE49-F238E27FC236}">
              <a16:creationId xmlns:a16="http://schemas.microsoft.com/office/drawing/2014/main" id="{7782A015-B0B8-4352-BFFB-7CE17CC8BC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5" name="Elipse 2094">
          <a:extLst>
            <a:ext uri="{FF2B5EF4-FFF2-40B4-BE49-F238E27FC236}">
              <a16:creationId xmlns:a16="http://schemas.microsoft.com/office/drawing/2014/main" id="{BD305FE8-6FA5-484C-881C-7F91300558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6" name="Elipse 2095">
          <a:extLst>
            <a:ext uri="{FF2B5EF4-FFF2-40B4-BE49-F238E27FC236}">
              <a16:creationId xmlns:a16="http://schemas.microsoft.com/office/drawing/2014/main" id="{4D14D56D-5445-47DA-AF45-4968BEC08F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7" name="Elipse 2096">
          <a:extLst>
            <a:ext uri="{FF2B5EF4-FFF2-40B4-BE49-F238E27FC236}">
              <a16:creationId xmlns:a16="http://schemas.microsoft.com/office/drawing/2014/main" id="{A4523923-D6F0-45A0-9DB2-4EC71FB179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8" name="Elipse 2097">
          <a:extLst>
            <a:ext uri="{FF2B5EF4-FFF2-40B4-BE49-F238E27FC236}">
              <a16:creationId xmlns:a16="http://schemas.microsoft.com/office/drawing/2014/main" id="{D46E15E5-B835-4A4F-864C-38E2F737F9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9" name="Elipse 2098">
          <a:extLst>
            <a:ext uri="{FF2B5EF4-FFF2-40B4-BE49-F238E27FC236}">
              <a16:creationId xmlns:a16="http://schemas.microsoft.com/office/drawing/2014/main" id="{172F0B8E-461A-403C-BC09-609FFBA05D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0" name="Elipse 2099">
          <a:extLst>
            <a:ext uri="{FF2B5EF4-FFF2-40B4-BE49-F238E27FC236}">
              <a16:creationId xmlns:a16="http://schemas.microsoft.com/office/drawing/2014/main" id="{4B2CD8E7-9DAE-4385-9CDA-F11A087623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1" name="Elipse 2100">
          <a:extLst>
            <a:ext uri="{FF2B5EF4-FFF2-40B4-BE49-F238E27FC236}">
              <a16:creationId xmlns:a16="http://schemas.microsoft.com/office/drawing/2014/main" id="{3AF0794F-B76D-4AE1-81C2-CC99C28DF8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2" name="Elipse 2101">
          <a:extLst>
            <a:ext uri="{FF2B5EF4-FFF2-40B4-BE49-F238E27FC236}">
              <a16:creationId xmlns:a16="http://schemas.microsoft.com/office/drawing/2014/main" id="{6E58B135-0820-4DC3-A1E1-BCF4A5B348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3" name="Elipse 2102">
          <a:extLst>
            <a:ext uri="{FF2B5EF4-FFF2-40B4-BE49-F238E27FC236}">
              <a16:creationId xmlns:a16="http://schemas.microsoft.com/office/drawing/2014/main" id="{4152D6DC-B888-4B93-80FD-4D129D0876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4" name="Elipse 2103">
          <a:extLst>
            <a:ext uri="{FF2B5EF4-FFF2-40B4-BE49-F238E27FC236}">
              <a16:creationId xmlns:a16="http://schemas.microsoft.com/office/drawing/2014/main" id="{8EC94BDD-17FA-4633-8016-A9A77459DF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5" name="Elipse 2104">
          <a:extLst>
            <a:ext uri="{FF2B5EF4-FFF2-40B4-BE49-F238E27FC236}">
              <a16:creationId xmlns:a16="http://schemas.microsoft.com/office/drawing/2014/main" id="{FC950710-679F-4D5C-ADD7-BD3FF69DB1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6" name="Elipse 2105">
          <a:extLst>
            <a:ext uri="{FF2B5EF4-FFF2-40B4-BE49-F238E27FC236}">
              <a16:creationId xmlns:a16="http://schemas.microsoft.com/office/drawing/2014/main" id="{D15E039F-7014-44C7-B7A7-6FF031238A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7" name="Elipse 2106">
          <a:extLst>
            <a:ext uri="{FF2B5EF4-FFF2-40B4-BE49-F238E27FC236}">
              <a16:creationId xmlns:a16="http://schemas.microsoft.com/office/drawing/2014/main" id="{35AFA3DB-436E-4F81-9BFF-E5FDDBE43E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8" name="Elipse 2107">
          <a:extLst>
            <a:ext uri="{FF2B5EF4-FFF2-40B4-BE49-F238E27FC236}">
              <a16:creationId xmlns:a16="http://schemas.microsoft.com/office/drawing/2014/main" id="{8DC56D5D-4B8B-491D-918A-6C5784686C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9" name="Elipse 2108">
          <a:extLst>
            <a:ext uri="{FF2B5EF4-FFF2-40B4-BE49-F238E27FC236}">
              <a16:creationId xmlns:a16="http://schemas.microsoft.com/office/drawing/2014/main" id="{C6E89EB4-89FD-4120-9E0D-8F23490FE5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0" name="Elipse 2109">
          <a:extLst>
            <a:ext uri="{FF2B5EF4-FFF2-40B4-BE49-F238E27FC236}">
              <a16:creationId xmlns:a16="http://schemas.microsoft.com/office/drawing/2014/main" id="{F4CFA4E4-7573-4192-8BA0-FC171E82F7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1" name="Elipse 2110">
          <a:extLst>
            <a:ext uri="{FF2B5EF4-FFF2-40B4-BE49-F238E27FC236}">
              <a16:creationId xmlns:a16="http://schemas.microsoft.com/office/drawing/2014/main" id="{BB576112-7ED3-4F79-B615-08366ED7E6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2" name="Elipse 2111">
          <a:extLst>
            <a:ext uri="{FF2B5EF4-FFF2-40B4-BE49-F238E27FC236}">
              <a16:creationId xmlns:a16="http://schemas.microsoft.com/office/drawing/2014/main" id="{675C7560-2B7E-4B19-8330-80A7CBE7EC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3" name="Elipse 2112">
          <a:extLst>
            <a:ext uri="{FF2B5EF4-FFF2-40B4-BE49-F238E27FC236}">
              <a16:creationId xmlns:a16="http://schemas.microsoft.com/office/drawing/2014/main" id="{1C07EC7A-0617-4266-BFC3-3FBDA8D8D7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4" name="Elipse 2113">
          <a:extLst>
            <a:ext uri="{FF2B5EF4-FFF2-40B4-BE49-F238E27FC236}">
              <a16:creationId xmlns:a16="http://schemas.microsoft.com/office/drawing/2014/main" id="{3051A842-E4D4-4243-953E-B5033E3276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5" name="Elipse 2114">
          <a:extLst>
            <a:ext uri="{FF2B5EF4-FFF2-40B4-BE49-F238E27FC236}">
              <a16:creationId xmlns:a16="http://schemas.microsoft.com/office/drawing/2014/main" id="{D7A40832-1BCF-4635-9BDD-4E8D3F74C3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6" name="Elipse 2115">
          <a:extLst>
            <a:ext uri="{FF2B5EF4-FFF2-40B4-BE49-F238E27FC236}">
              <a16:creationId xmlns:a16="http://schemas.microsoft.com/office/drawing/2014/main" id="{EEE9ABEC-9C98-4E2A-BF15-53852832EE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7" name="Elipse 2116">
          <a:extLst>
            <a:ext uri="{FF2B5EF4-FFF2-40B4-BE49-F238E27FC236}">
              <a16:creationId xmlns:a16="http://schemas.microsoft.com/office/drawing/2014/main" id="{C05EF153-8696-4D8C-B901-A08E86E5C6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8" name="Elipse 2117">
          <a:extLst>
            <a:ext uri="{FF2B5EF4-FFF2-40B4-BE49-F238E27FC236}">
              <a16:creationId xmlns:a16="http://schemas.microsoft.com/office/drawing/2014/main" id="{0D377FA2-C781-4D3D-8674-CE8F4C32B1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9" name="Elipse 2118">
          <a:extLst>
            <a:ext uri="{FF2B5EF4-FFF2-40B4-BE49-F238E27FC236}">
              <a16:creationId xmlns:a16="http://schemas.microsoft.com/office/drawing/2014/main" id="{BEF0CE51-1FEE-4994-B45D-0A44315EEE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0" name="Elipse 2119">
          <a:extLst>
            <a:ext uri="{FF2B5EF4-FFF2-40B4-BE49-F238E27FC236}">
              <a16:creationId xmlns:a16="http://schemas.microsoft.com/office/drawing/2014/main" id="{CBCF1100-4F30-4275-95E6-0DA37E4D82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1" name="Elipse 2120">
          <a:extLst>
            <a:ext uri="{FF2B5EF4-FFF2-40B4-BE49-F238E27FC236}">
              <a16:creationId xmlns:a16="http://schemas.microsoft.com/office/drawing/2014/main" id="{BCC867A3-AC74-4FF9-8FF0-961853C24F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2" name="Elipse 2121">
          <a:extLst>
            <a:ext uri="{FF2B5EF4-FFF2-40B4-BE49-F238E27FC236}">
              <a16:creationId xmlns:a16="http://schemas.microsoft.com/office/drawing/2014/main" id="{C012101D-AA88-41BB-B007-BAB3136E76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3" name="Elipse 2122">
          <a:extLst>
            <a:ext uri="{FF2B5EF4-FFF2-40B4-BE49-F238E27FC236}">
              <a16:creationId xmlns:a16="http://schemas.microsoft.com/office/drawing/2014/main" id="{480A5A58-4D22-4C77-8390-5912601373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4" name="Elipse 2123">
          <a:extLst>
            <a:ext uri="{FF2B5EF4-FFF2-40B4-BE49-F238E27FC236}">
              <a16:creationId xmlns:a16="http://schemas.microsoft.com/office/drawing/2014/main" id="{9D03A786-64C6-4C6A-9B49-4995F1368F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5" name="Elipse 2124">
          <a:extLst>
            <a:ext uri="{FF2B5EF4-FFF2-40B4-BE49-F238E27FC236}">
              <a16:creationId xmlns:a16="http://schemas.microsoft.com/office/drawing/2014/main" id="{F6A526F6-08CF-4893-B3BE-70164C42B8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6" name="Elipse 2125">
          <a:extLst>
            <a:ext uri="{FF2B5EF4-FFF2-40B4-BE49-F238E27FC236}">
              <a16:creationId xmlns:a16="http://schemas.microsoft.com/office/drawing/2014/main" id="{64CE0CFE-096B-4E4E-B3AF-B6052F14B1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7" name="Elipse 2126">
          <a:extLst>
            <a:ext uri="{FF2B5EF4-FFF2-40B4-BE49-F238E27FC236}">
              <a16:creationId xmlns:a16="http://schemas.microsoft.com/office/drawing/2014/main" id="{1CFD4899-40F5-4328-8931-213CB84AB0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8" name="Elipse 2127">
          <a:extLst>
            <a:ext uri="{FF2B5EF4-FFF2-40B4-BE49-F238E27FC236}">
              <a16:creationId xmlns:a16="http://schemas.microsoft.com/office/drawing/2014/main" id="{845B3675-DD06-443E-BAC0-3B31426834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9" name="Elipse 2128">
          <a:extLst>
            <a:ext uri="{FF2B5EF4-FFF2-40B4-BE49-F238E27FC236}">
              <a16:creationId xmlns:a16="http://schemas.microsoft.com/office/drawing/2014/main" id="{EFD141E8-4609-4726-BAF9-7BB1B0B4FC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0" name="Elipse 2129">
          <a:extLst>
            <a:ext uri="{FF2B5EF4-FFF2-40B4-BE49-F238E27FC236}">
              <a16:creationId xmlns:a16="http://schemas.microsoft.com/office/drawing/2014/main" id="{765BF609-7A17-4CDD-AAD6-18F6D7083D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1" name="Elipse 2130">
          <a:extLst>
            <a:ext uri="{FF2B5EF4-FFF2-40B4-BE49-F238E27FC236}">
              <a16:creationId xmlns:a16="http://schemas.microsoft.com/office/drawing/2014/main" id="{54380382-F85C-46AD-AA5F-8F156A778F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2" name="Elipse 2131">
          <a:extLst>
            <a:ext uri="{FF2B5EF4-FFF2-40B4-BE49-F238E27FC236}">
              <a16:creationId xmlns:a16="http://schemas.microsoft.com/office/drawing/2014/main" id="{ACEA47B5-851A-4D2F-85DE-675823663A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3" name="Elipse 2132">
          <a:extLst>
            <a:ext uri="{FF2B5EF4-FFF2-40B4-BE49-F238E27FC236}">
              <a16:creationId xmlns:a16="http://schemas.microsoft.com/office/drawing/2014/main" id="{DF8268FF-58A7-4FAE-8CBC-8A975C11D1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4" name="Elipse 2133">
          <a:extLst>
            <a:ext uri="{FF2B5EF4-FFF2-40B4-BE49-F238E27FC236}">
              <a16:creationId xmlns:a16="http://schemas.microsoft.com/office/drawing/2014/main" id="{47174C06-593C-4328-B9C0-436F22D94F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5" name="Elipse 2134">
          <a:extLst>
            <a:ext uri="{FF2B5EF4-FFF2-40B4-BE49-F238E27FC236}">
              <a16:creationId xmlns:a16="http://schemas.microsoft.com/office/drawing/2014/main" id="{089F5A16-5307-4E48-A94A-103180DC5E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6" name="Elipse 2135">
          <a:extLst>
            <a:ext uri="{FF2B5EF4-FFF2-40B4-BE49-F238E27FC236}">
              <a16:creationId xmlns:a16="http://schemas.microsoft.com/office/drawing/2014/main" id="{2B807C5C-B0AB-4F68-8805-AB9BB1EEB5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7" name="Elipse 2136">
          <a:extLst>
            <a:ext uri="{FF2B5EF4-FFF2-40B4-BE49-F238E27FC236}">
              <a16:creationId xmlns:a16="http://schemas.microsoft.com/office/drawing/2014/main" id="{EB63A0AD-0ADB-4983-877C-44EE3A5DE7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8" name="Elipse 2137">
          <a:extLst>
            <a:ext uri="{FF2B5EF4-FFF2-40B4-BE49-F238E27FC236}">
              <a16:creationId xmlns:a16="http://schemas.microsoft.com/office/drawing/2014/main" id="{839D3038-E0AA-4C70-823E-D3BE9A89C3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9" name="Elipse 2138">
          <a:extLst>
            <a:ext uri="{FF2B5EF4-FFF2-40B4-BE49-F238E27FC236}">
              <a16:creationId xmlns:a16="http://schemas.microsoft.com/office/drawing/2014/main" id="{E33CCE1F-D53D-461C-B274-4D2A3F9ACD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0" name="Elipse 2139">
          <a:extLst>
            <a:ext uri="{FF2B5EF4-FFF2-40B4-BE49-F238E27FC236}">
              <a16:creationId xmlns:a16="http://schemas.microsoft.com/office/drawing/2014/main" id="{83FFBD3E-7469-4CE6-A1A7-DF0288F71B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1" name="Elipse 2140">
          <a:extLst>
            <a:ext uri="{FF2B5EF4-FFF2-40B4-BE49-F238E27FC236}">
              <a16:creationId xmlns:a16="http://schemas.microsoft.com/office/drawing/2014/main" id="{6E295255-D3EA-4083-A057-FB98FFDDE9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2" name="Elipse 2141">
          <a:extLst>
            <a:ext uri="{FF2B5EF4-FFF2-40B4-BE49-F238E27FC236}">
              <a16:creationId xmlns:a16="http://schemas.microsoft.com/office/drawing/2014/main" id="{4DE3FCB1-E241-4D76-8CAF-F0F3409730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3" name="Elipse 2142">
          <a:extLst>
            <a:ext uri="{FF2B5EF4-FFF2-40B4-BE49-F238E27FC236}">
              <a16:creationId xmlns:a16="http://schemas.microsoft.com/office/drawing/2014/main" id="{18A4A46D-1CCA-4DF0-B903-53288556C7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4" name="Elipse 2143">
          <a:extLst>
            <a:ext uri="{FF2B5EF4-FFF2-40B4-BE49-F238E27FC236}">
              <a16:creationId xmlns:a16="http://schemas.microsoft.com/office/drawing/2014/main" id="{1EF32622-DD6A-47B9-96D2-175BC3A3C3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5" name="Elipse 2144">
          <a:extLst>
            <a:ext uri="{FF2B5EF4-FFF2-40B4-BE49-F238E27FC236}">
              <a16:creationId xmlns:a16="http://schemas.microsoft.com/office/drawing/2014/main" id="{5B9C9494-85F6-4913-94FC-602439C4C5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6" name="Elipse 2145">
          <a:extLst>
            <a:ext uri="{FF2B5EF4-FFF2-40B4-BE49-F238E27FC236}">
              <a16:creationId xmlns:a16="http://schemas.microsoft.com/office/drawing/2014/main" id="{3EC09DC2-A6D8-482D-9F19-6D3F1D26C8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7" name="Elipse 2146">
          <a:extLst>
            <a:ext uri="{FF2B5EF4-FFF2-40B4-BE49-F238E27FC236}">
              <a16:creationId xmlns:a16="http://schemas.microsoft.com/office/drawing/2014/main" id="{4EAC8F91-5EF6-49FC-8D06-627E80446B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8" name="Elipse 2147">
          <a:extLst>
            <a:ext uri="{FF2B5EF4-FFF2-40B4-BE49-F238E27FC236}">
              <a16:creationId xmlns:a16="http://schemas.microsoft.com/office/drawing/2014/main" id="{AE5E6DCC-02E7-4AC6-8928-548E9DEFF3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9" name="Elipse 2148">
          <a:extLst>
            <a:ext uri="{FF2B5EF4-FFF2-40B4-BE49-F238E27FC236}">
              <a16:creationId xmlns:a16="http://schemas.microsoft.com/office/drawing/2014/main" id="{9084951C-E18D-4B2B-8F2F-8EA8EEBF7C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0" name="Elipse 2149">
          <a:extLst>
            <a:ext uri="{FF2B5EF4-FFF2-40B4-BE49-F238E27FC236}">
              <a16:creationId xmlns:a16="http://schemas.microsoft.com/office/drawing/2014/main" id="{6B731F9B-CCBB-4569-B27B-0A7B7F2CFB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1" name="Elipse 2150">
          <a:extLst>
            <a:ext uri="{FF2B5EF4-FFF2-40B4-BE49-F238E27FC236}">
              <a16:creationId xmlns:a16="http://schemas.microsoft.com/office/drawing/2014/main" id="{97DE1978-0096-4D07-957F-C62559287F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2" name="Elipse 2151">
          <a:extLst>
            <a:ext uri="{FF2B5EF4-FFF2-40B4-BE49-F238E27FC236}">
              <a16:creationId xmlns:a16="http://schemas.microsoft.com/office/drawing/2014/main" id="{EF5EF8E0-3BDB-43B3-87D3-D569586BD2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3" name="Elipse 2152">
          <a:extLst>
            <a:ext uri="{FF2B5EF4-FFF2-40B4-BE49-F238E27FC236}">
              <a16:creationId xmlns:a16="http://schemas.microsoft.com/office/drawing/2014/main" id="{BEF8F2FE-0115-49A4-9D4E-CE91731AAA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4" name="Elipse 2153">
          <a:extLst>
            <a:ext uri="{FF2B5EF4-FFF2-40B4-BE49-F238E27FC236}">
              <a16:creationId xmlns:a16="http://schemas.microsoft.com/office/drawing/2014/main" id="{46CE76D7-DF4B-429C-8507-4781FE1EF3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5" name="Elipse 2154">
          <a:extLst>
            <a:ext uri="{FF2B5EF4-FFF2-40B4-BE49-F238E27FC236}">
              <a16:creationId xmlns:a16="http://schemas.microsoft.com/office/drawing/2014/main" id="{0F803DE6-1DCB-43BF-B118-A4BC257617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6" name="Elipse 2155">
          <a:extLst>
            <a:ext uri="{FF2B5EF4-FFF2-40B4-BE49-F238E27FC236}">
              <a16:creationId xmlns:a16="http://schemas.microsoft.com/office/drawing/2014/main" id="{FB63F3DF-6239-4F77-8201-47A0BCFCD3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7" name="Elipse 2156">
          <a:extLst>
            <a:ext uri="{FF2B5EF4-FFF2-40B4-BE49-F238E27FC236}">
              <a16:creationId xmlns:a16="http://schemas.microsoft.com/office/drawing/2014/main" id="{2B1B1195-2AE4-465D-9061-67BDF79307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8" name="Elipse 2157">
          <a:extLst>
            <a:ext uri="{FF2B5EF4-FFF2-40B4-BE49-F238E27FC236}">
              <a16:creationId xmlns:a16="http://schemas.microsoft.com/office/drawing/2014/main" id="{B9E99F2F-2D9E-41EC-A34B-7F9CFE7ECA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9" name="Elipse 2158">
          <a:extLst>
            <a:ext uri="{FF2B5EF4-FFF2-40B4-BE49-F238E27FC236}">
              <a16:creationId xmlns:a16="http://schemas.microsoft.com/office/drawing/2014/main" id="{5B8054F5-193C-4C32-8180-306E403BA7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0" name="Elipse 2159">
          <a:extLst>
            <a:ext uri="{FF2B5EF4-FFF2-40B4-BE49-F238E27FC236}">
              <a16:creationId xmlns:a16="http://schemas.microsoft.com/office/drawing/2014/main" id="{73159A7E-62A6-4ACE-9DA8-013BB0BCEE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1" name="Elipse 2160">
          <a:extLst>
            <a:ext uri="{FF2B5EF4-FFF2-40B4-BE49-F238E27FC236}">
              <a16:creationId xmlns:a16="http://schemas.microsoft.com/office/drawing/2014/main" id="{17F052CA-7264-4E56-95BD-621DB45D70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2" name="Elipse 2161">
          <a:extLst>
            <a:ext uri="{FF2B5EF4-FFF2-40B4-BE49-F238E27FC236}">
              <a16:creationId xmlns:a16="http://schemas.microsoft.com/office/drawing/2014/main" id="{FC57AA15-AFC2-4C55-AA40-3A26713063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3" name="Elipse 2162">
          <a:extLst>
            <a:ext uri="{FF2B5EF4-FFF2-40B4-BE49-F238E27FC236}">
              <a16:creationId xmlns:a16="http://schemas.microsoft.com/office/drawing/2014/main" id="{27630E7A-0989-4385-B8D0-2E7C8196D5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4" name="Elipse 2163">
          <a:extLst>
            <a:ext uri="{FF2B5EF4-FFF2-40B4-BE49-F238E27FC236}">
              <a16:creationId xmlns:a16="http://schemas.microsoft.com/office/drawing/2014/main" id="{E5A7692C-BA2C-40F1-9044-586696EC57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5" name="Elipse 2164">
          <a:extLst>
            <a:ext uri="{FF2B5EF4-FFF2-40B4-BE49-F238E27FC236}">
              <a16:creationId xmlns:a16="http://schemas.microsoft.com/office/drawing/2014/main" id="{1C265E89-7402-4993-97A9-BF6A47672A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6" name="Elipse 2165">
          <a:extLst>
            <a:ext uri="{FF2B5EF4-FFF2-40B4-BE49-F238E27FC236}">
              <a16:creationId xmlns:a16="http://schemas.microsoft.com/office/drawing/2014/main" id="{FDBB5EE7-1178-419F-B954-AC1D91C251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7" name="Elipse 2166">
          <a:extLst>
            <a:ext uri="{FF2B5EF4-FFF2-40B4-BE49-F238E27FC236}">
              <a16:creationId xmlns:a16="http://schemas.microsoft.com/office/drawing/2014/main" id="{0E96B001-24B0-4C96-93CB-F3807E06C8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8" name="Elipse 2167">
          <a:extLst>
            <a:ext uri="{FF2B5EF4-FFF2-40B4-BE49-F238E27FC236}">
              <a16:creationId xmlns:a16="http://schemas.microsoft.com/office/drawing/2014/main" id="{F8D1E6F9-BC0C-4B60-B0FF-65D02AB9DF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9" name="Elipse 2168">
          <a:extLst>
            <a:ext uri="{FF2B5EF4-FFF2-40B4-BE49-F238E27FC236}">
              <a16:creationId xmlns:a16="http://schemas.microsoft.com/office/drawing/2014/main" id="{CB48CF1B-A7E7-43AE-B1BA-22E44FAE97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0" name="Elipse 2169">
          <a:extLst>
            <a:ext uri="{FF2B5EF4-FFF2-40B4-BE49-F238E27FC236}">
              <a16:creationId xmlns:a16="http://schemas.microsoft.com/office/drawing/2014/main" id="{18AC715D-C55D-47EC-B569-F8BBC9B401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1" name="Elipse 2170">
          <a:extLst>
            <a:ext uri="{FF2B5EF4-FFF2-40B4-BE49-F238E27FC236}">
              <a16:creationId xmlns:a16="http://schemas.microsoft.com/office/drawing/2014/main" id="{CBE15BC1-425C-4559-B776-59A3E11D5A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2" name="Elipse 2171">
          <a:extLst>
            <a:ext uri="{FF2B5EF4-FFF2-40B4-BE49-F238E27FC236}">
              <a16:creationId xmlns:a16="http://schemas.microsoft.com/office/drawing/2014/main" id="{89DE5320-D293-439E-B50D-4E8A9EFDD4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3" name="Elipse 2172">
          <a:extLst>
            <a:ext uri="{FF2B5EF4-FFF2-40B4-BE49-F238E27FC236}">
              <a16:creationId xmlns:a16="http://schemas.microsoft.com/office/drawing/2014/main" id="{D672795E-708C-4E2C-88B5-0EFBD4F641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4" name="Elipse 2173">
          <a:extLst>
            <a:ext uri="{FF2B5EF4-FFF2-40B4-BE49-F238E27FC236}">
              <a16:creationId xmlns:a16="http://schemas.microsoft.com/office/drawing/2014/main" id="{AC843902-51D2-4D74-A7F7-F80329B751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5" name="Elipse 2174">
          <a:extLst>
            <a:ext uri="{FF2B5EF4-FFF2-40B4-BE49-F238E27FC236}">
              <a16:creationId xmlns:a16="http://schemas.microsoft.com/office/drawing/2014/main" id="{F01D5546-0CBE-4559-984A-C116D83B01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6" name="Elipse 2175">
          <a:extLst>
            <a:ext uri="{FF2B5EF4-FFF2-40B4-BE49-F238E27FC236}">
              <a16:creationId xmlns:a16="http://schemas.microsoft.com/office/drawing/2014/main" id="{0A3701F3-7937-4217-876E-5A4797B344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7" name="Elipse 2176">
          <a:extLst>
            <a:ext uri="{FF2B5EF4-FFF2-40B4-BE49-F238E27FC236}">
              <a16:creationId xmlns:a16="http://schemas.microsoft.com/office/drawing/2014/main" id="{F9773512-7FEC-4A3F-9E41-101F8EE878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8" name="Elipse 2177">
          <a:extLst>
            <a:ext uri="{FF2B5EF4-FFF2-40B4-BE49-F238E27FC236}">
              <a16:creationId xmlns:a16="http://schemas.microsoft.com/office/drawing/2014/main" id="{8484DB67-315F-4AE7-892B-328A64662B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9" name="Elipse 2178">
          <a:extLst>
            <a:ext uri="{FF2B5EF4-FFF2-40B4-BE49-F238E27FC236}">
              <a16:creationId xmlns:a16="http://schemas.microsoft.com/office/drawing/2014/main" id="{2FC7EBFB-0FC1-49DA-A527-5C4324BB5D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0" name="Elipse 2179">
          <a:extLst>
            <a:ext uri="{FF2B5EF4-FFF2-40B4-BE49-F238E27FC236}">
              <a16:creationId xmlns:a16="http://schemas.microsoft.com/office/drawing/2014/main" id="{05D61F59-B13A-4104-AAE1-4B67185F37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1" name="Elipse 2180">
          <a:extLst>
            <a:ext uri="{FF2B5EF4-FFF2-40B4-BE49-F238E27FC236}">
              <a16:creationId xmlns:a16="http://schemas.microsoft.com/office/drawing/2014/main" id="{2BA0A4D1-65D6-40F1-BCF9-8556E5D11C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2" name="Elipse 2181">
          <a:extLst>
            <a:ext uri="{FF2B5EF4-FFF2-40B4-BE49-F238E27FC236}">
              <a16:creationId xmlns:a16="http://schemas.microsoft.com/office/drawing/2014/main" id="{294F3186-31F0-425C-BB00-4DEAC99C70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3" name="Elipse 2182">
          <a:extLst>
            <a:ext uri="{FF2B5EF4-FFF2-40B4-BE49-F238E27FC236}">
              <a16:creationId xmlns:a16="http://schemas.microsoft.com/office/drawing/2014/main" id="{95C3519E-9031-42DC-BE88-E8872B7CA9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4" name="Elipse 2183">
          <a:extLst>
            <a:ext uri="{FF2B5EF4-FFF2-40B4-BE49-F238E27FC236}">
              <a16:creationId xmlns:a16="http://schemas.microsoft.com/office/drawing/2014/main" id="{77D4B3A0-4B33-436A-B0F5-462496D48E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5" name="Elipse 2184">
          <a:extLst>
            <a:ext uri="{FF2B5EF4-FFF2-40B4-BE49-F238E27FC236}">
              <a16:creationId xmlns:a16="http://schemas.microsoft.com/office/drawing/2014/main" id="{CEF24C67-5FF4-4566-A20D-C10E9D1D9D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6" name="Elipse 2185">
          <a:extLst>
            <a:ext uri="{FF2B5EF4-FFF2-40B4-BE49-F238E27FC236}">
              <a16:creationId xmlns:a16="http://schemas.microsoft.com/office/drawing/2014/main" id="{9902225C-92A9-4E2F-907F-DB6A5B3A1E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7" name="Elipse 2186">
          <a:extLst>
            <a:ext uri="{FF2B5EF4-FFF2-40B4-BE49-F238E27FC236}">
              <a16:creationId xmlns:a16="http://schemas.microsoft.com/office/drawing/2014/main" id="{714418D7-EC66-4453-94E9-7890146D9F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8" name="Elipse 2187">
          <a:extLst>
            <a:ext uri="{FF2B5EF4-FFF2-40B4-BE49-F238E27FC236}">
              <a16:creationId xmlns:a16="http://schemas.microsoft.com/office/drawing/2014/main" id="{CAE9CB38-3CC7-46B9-975C-FA5BD8AA0F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9" name="Elipse 2188">
          <a:extLst>
            <a:ext uri="{FF2B5EF4-FFF2-40B4-BE49-F238E27FC236}">
              <a16:creationId xmlns:a16="http://schemas.microsoft.com/office/drawing/2014/main" id="{04C2E3E0-2B47-40E5-973A-FC06659C3C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0" name="Elipse 2189">
          <a:extLst>
            <a:ext uri="{FF2B5EF4-FFF2-40B4-BE49-F238E27FC236}">
              <a16:creationId xmlns:a16="http://schemas.microsoft.com/office/drawing/2014/main" id="{BE1FB926-29FD-4DF0-8A58-BAFA3CED4B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1" name="Elipse 2190">
          <a:extLst>
            <a:ext uri="{FF2B5EF4-FFF2-40B4-BE49-F238E27FC236}">
              <a16:creationId xmlns:a16="http://schemas.microsoft.com/office/drawing/2014/main" id="{E54181C8-7E2B-428E-AB58-F27F8A201D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2" name="Elipse 2191">
          <a:extLst>
            <a:ext uri="{FF2B5EF4-FFF2-40B4-BE49-F238E27FC236}">
              <a16:creationId xmlns:a16="http://schemas.microsoft.com/office/drawing/2014/main" id="{068FD7D0-751E-4BC9-9F2F-03C2D00B7C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3" name="Elipse 2192">
          <a:extLst>
            <a:ext uri="{FF2B5EF4-FFF2-40B4-BE49-F238E27FC236}">
              <a16:creationId xmlns:a16="http://schemas.microsoft.com/office/drawing/2014/main" id="{BE36E849-25F2-45C9-90F1-4E21A9346C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4" name="Elipse 2193">
          <a:extLst>
            <a:ext uri="{FF2B5EF4-FFF2-40B4-BE49-F238E27FC236}">
              <a16:creationId xmlns:a16="http://schemas.microsoft.com/office/drawing/2014/main" id="{D6AF6A10-A804-4A78-A8D2-BC7006163C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5" name="Elipse 2194">
          <a:extLst>
            <a:ext uri="{FF2B5EF4-FFF2-40B4-BE49-F238E27FC236}">
              <a16:creationId xmlns:a16="http://schemas.microsoft.com/office/drawing/2014/main" id="{06820FFB-5C6A-4C5F-A1EA-84CFCF7BE1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6" name="Elipse 2195">
          <a:extLst>
            <a:ext uri="{FF2B5EF4-FFF2-40B4-BE49-F238E27FC236}">
              <a16:creationId xmlns:a16="http://schemas.microsoft.com/office/drawing/2014/main" id="{7AA83E4D-B055-4A2A-80B8-91E199A856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7" name="Elipse 2196">
          <a:extLst>
            <a:ext uri="{FF2B5EF4-FFF2-40B4-BE49-F238E27FC236}">
              <a16:creationId xmlns:a16="http://schemas.microsoft.com/office/drawing/2014/main" id="{69963226-3798-4816-89B4-A99CC1716D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8" name="Elipse 2197">
          <a:extLst>
            <a:ext uri="{FF2B5EF4-FFF2-40B4-BE49-F238E27FC236}">
              <a16:creationId xmlns:a16="http://schemas.microsoft.com/office/drawing/2014/main" id="{769E310E-4FE4-406E-8686-F0322050B0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9" name="Elipse 2198">
          <a:extLst>
            <a:ext uri="{FF2B5EF4-FFF2-40B4-BE49-F238E27FC236}">
              <a16:creationId xmlns:a16="http://schemas.microsoft.com/office/drawing/2014/main" id="{F58C6EFB-3C77-4626-B6B5-3B118B165C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0" name="Elipse 2199">
          <a:extLst>
            <a:ext uri="{FF2B5EF4-FFF2-40B4-BE49-F238E27FC236}">
              <a16:creationId xmlns:a16="http://schemas.microsoft.com/office/drawing/2014/main" id="{98C24E5C-7E2A-464A-9CC4-C01CD304BA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1" name="Elipse 2200">
          <a:extLst>
            <a:ext uri="{FF2B5EF4-FFF2-40B4-BE49-F238E27FC236}">
              <a16:creationId xmlns:a16="http://schemas.microsoft.com/office/drawing/2014/main" id="{F7621BDA-F332-4EC3-8A0A-94F8262C7B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2" name="Elipse 2201">
          <a:extLst>
            <a:ext uri="{FF2B5EF4-FFF2-40B4-BE49-F238E27FC236}">
              <a16:creationId xmlns:a16="http://schemas.microsoft.com/office/drawing/2014/main" id="{DB34DC47-C611-41D2-972C-5B6CC139F1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3" name="Elipse 2202">
          <a:extLst>
            <a:ext uri="{FF2B5EF4-FFF2-40B4-BE49-F238E27FC236}">
              <a16:creationId xmlns:a16="http://schemas.microsoft.com/office/drawing/2014/main" id="{B57615CF-46D3-451E-8F1E-834A50C38E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4" name="Elipse 2203">
          <a:extLst>
            <a:ext uri="{FF2B5EF4-FFF2-40B4-BE49-F238E27FC236}">
              <a16:creationId xmlns:a16="http://schemas.microsoft.com/office/drawing/2014/main" id="{531C6788-A29F-4DAA-9623-0EFA78F0D3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5" name="Elipse 2204">
          <a:extLst>
            <a:ext uri="{FF2B5EF4-FFF2-40B4-BE49-F238E27FC236}">
              <a16:creationId xmlns:a16="http://schemas.microsoft.com/office/drawing/2014/main" id="{603D6AEC-EED8-490D-8A9E-311C135C7B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6" name="Elipse 2205">
          <a:extLst>
            <a:ext uri="{FF2B5EF4-FFF2-40B4-BE49-F238E27FC236}">
              <a16:creationId xmlns:a16="http://schemas.microsoft.com/office/drawing/2014/main" id="{1A026573-A58B-4FA4-B203-B968F5F7AB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7" name="Elipse 2206">
          <a:extLst>
            <a:ext uri="{FF2B5EF4-FFF2-40B4-BE49-F238E27FC236}">
              <a16:creationId xmlns:a16="http://schemas.microsoft.com/office/drawing/2014/main" id="{1EB88E54-D2BF-4949-A54B-D83FF26472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8" name="Elipse 2207">
          <a:extLst>
            <a:ext uri="{FF2B5EF4-FFF2-40B4-BE49-F238E27FC236}">
              <a16:creationId xmlns:a16="http://schemas.microsoft.com/office/drawing/2014/main" id="{B5533C18-4B0B-46AA-BD84-C46F248AA0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9" name="Elipse 2208">
          <a:extLst>
            <a:ext uri="{FF2B5EF4-FFF2-40B4-BE49-F238E27FC236}">
              <a16:creationId xmlns:a16="http://schemas.microsoft.com/office/drawing/2014/main" id="{16E01E3A-7CDD-42A6-9555-AF541D4646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0" name="Elipse 2209">
          <a:extLst>
            <a:ext uri="{FF2B5EF4-FFF2-40B4-BE49-F238E27FC236}">
              <a16:creationId xmlns:a16="http://schemas.microsoft.com/office/drawing/2014/main" id="{841084F7-7054-41CE-A9B3-25AD158262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1" name="Elipse 2210">
          <a:extLst>
            <a:ext uri="{FF2B5EF4-FFF2-40B4-BE49-F238E27FC236}">
              <a16:creationId xmlns:a16="http://schemas.microsoft.com/office/drawing/2014/main" id="{B3E61695-9D07-42F4-A229-4580F0BC37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2" name="Elipse 2211">
          <a:extLst>
            <a:ext uri="{FF2B5EF4-FFF2-40B4-BE49-F238E27FC236}">
              <a16:creationId xmlns:a16="http://schemas.microsoft.com/office/drawing/2014/main" id="{5164F2EA-840C-4B12-B3B9-336D9E3D33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3" name="Elipse 2212">
          <a:extLst>
            <a:ext uri="{FF2B5EF4-FFF2-40B4-BE49-F238E27FC236}">
              <a16:creationId xmlns:a16="http://schemas.microsoft.com/office/drawing/2014/main" id="{2EA9EB03-052D-43F1-9092-12A0C61C3E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4" name="Elipse 2213">
          <a:extLst>
            <a:ext uri="{FF2B5EF4-FFF2-40B4-BE49-F238E27FC236}">
              <a16:creationId xmlns:a16="http://schemas.microsoft.com/office/drawing/2014/main" id="{55EE7C72-95EB-4957-BB8E-36971E3AF0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5" name="Elipse 2214">
          <a:extLst>
            <a:ext uri="{FF2B5EF4-FFF2-40B4-BE49-F238E27FC236}">
              <a16:creationId xmlns:a16="http://schemas.microsoft.com/office/drawing/2014/main" id="{A28B063E-53EA-4A4D-AA43-7D0BFE7AB0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6" name="Elipse 2215">
          <a:extLst>
            <a:ext uri="{FF2B5EF4-FFF2-40B4-BE49-F238E27FC236}">
              <a16:creationId xmlns:a16="http://schemas.microsoft.com/office/drawing/2014/main" id="{638BD495-1184-4B14-ADA6-F3AE307914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7" name="Elipse 2216">
          <a:extLst>
            <a:ext uri="{FF2B5EF4-FFF2-40B4-BE49-F238E27FC236}">
              <a16:creationId xmlns:a16="http://schemas.microsoft.com/office/drawing/2014/main" id="{CB4EF6B2-6BD3-4DF5-875B-E61DDE3374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8" name="Elipse 2217">
          <a:extLst>
            <a:ext uri="{FF2B5EF4-FFF2-40B4-BE49-F238E27FC236}">
              <a16:creationId xmlns:a16="http://schemas.microsoft.com/office/drawing/2014/main" id="{1CFB5AC8-920A-4E7A-83D6-5C1C352497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9" name="Elipse 2218">
          <a:extLst>
            <a:ext uri="{FF2B5EF4-FFF2-40B4-BE49-F238E27FC236}">
              <a16:creationId xmlns:a16="http://schemas.microsoft.com/office/drawing/2014/main" id="{5BF70A82-2F77-403B-9655-0872C4D7B5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0" name="Elipse 2219">
          <a:extLst>
            <a:ext uri="{FF2B5EF4-FFF2-40B4-BE49-F238E27FC236}">
              <a16:creationId xmlns:a16="http://schemas.microsoft.com/office/drawing/2014/main" id="{4D2CB828-D6AB-4A5D-990D-A5544208F2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1" name="Elipse 2220">
          <a:extLst>
            <a:ext uri="{FF2B5EF4-FFF2-40B4-BE49-F238E27FC236}">
              <a16:creationId xmlns:a16="http://schemas.microsoft.com/office/drawing/2014/main" id="{4113881D-212A-40FF-8A3A-2DF0156531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2" name="Elipse 2221">
          <a:extLst>
            <a:ext uri="{FF2B5EF4-FFF2-40B4-BE49-F238E27FC236}">
              <a16:creationId xmlns:a16="http://schemas.microsoft.com/office/drawing/2014/main" id="{68F4CD27-EB9F-40CE-B99F-3AA11EF702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3" name="Elipse 2222">
          <a:extLst>
            <a:ext uri="{FF2B5EF4-FFF2-40B4-BE49-F238E27FC236}">
              <a16:creationId xmlns:a16="http://schemas.microsoft.com/office/drawing/2014/main" id="{E7C5DED9-D785-4E16-ABEF-03D9694DA8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4" name="Elipse 2223">
          <a:extLst>
            <a:ext uri="{FF2B5EF4-FFF2-40B4-BE49-F238E27FC236}">
              <a16:creationId xmlns:a16="http://schemas.microsoft.com/office/drawing/2014/main" id="{92BADD09-DDBC-4EA4-B679-D4FEEBBE14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5" name="Elipse 2224">
          <a:extLst>
            <a:ext uri="{FF2B5EF4-FFF2-40B4-BE49-F238E27FC236}">
              <a16:creationId xmlns:a16="http://schemas.microsoft.com/office/drawing/2014/main" id="{CAE483AC-C0B4-47E6-9CC2-5C9A95C14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6" name="Elipse 2225">
          <a:extLst>
            <a:ext uri="{FF2B5EF4-FFF2-40B4-BE49-F238E27FC236}">
              <a16:creationId xmlns:a16="http://schemas.microsoft.com/office/drawing/2014/main" id="{BD161C50-6AAC-4F7A-AF86-59436EFC9E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7" name="Elipse 2226">
          <a:extLst>
            <a:ext uri="{FF2B5EF4-FFF2-40B4-BE49-F238E27FC236}">
              <a16:creationId xmlns:a16="http://schemas.microsoft.com/office/drawing/2014/main" id="{C87F557B-6160-4255-9A76-9E44E8C0F1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8" name="Elipse 2227">
          <a:extLst>
            <a:ext uri="{FF2B5EF4-FFF2-40B4-BE49-F238E27FC236}">
              <a16:creationId xmlns:a16="http://schemas.microsoft.com/office/drawing/2014/main" id="{25F73A1F-A6EB-4B13-BA25-3628B8E141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9" name="Elipse 2228">
          <a:extLst>
            <a:ext uri="{FF2B5EF4-FFF2-40B4-BE49-F238E27FC236}">
              <a16:creationId xmlns:a16="http://schemas.microsoft.com/office/drawing/2014/main" id="{4580ABF7-5E69-4FB8-B0A2-F0AEABAFD1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0" name="Elipse 2229">
          <a:extLst>
            <a:ext uri="{FF2B5EF4-FFF2-40B4-BE49-F238E27FC236}">
              <a16:creationId xmlns:a16="http://schemas.microsoft.com/office/drawing/2014/main" id="{9CFDA984-FDE6-4CC6-996E-10920E36DB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1" name="Elipse 2230">
          <a:extLst>
            <a:ext uri="{FF2B5EF4-FFF2-40B4-BE49-F238E27FC236}">
              <a16:creationId xmlns:a16="http://schemas.microsoft.com/office/drawing/2014/main" id="{EAC5819E-114A-4F36-AE74-33CBF56DDD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2" name="Elipse 2231">
          <a:extLst>
            <a:ext uri="{FF2B5EF4-FFF2-40B4-BE49-F238E27FC236}">
              <a16:creationId xmlns:a16="http://schemas.microsoft.com/office/drawing/2014/main" id="{8A91F226-F024-4DB9-AC10-385E835E31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3" name="Elipse 2232">
          <a:extLst>
            <a:ext uri="{FF2B5EF4-FFF2-40B4-BE49-F238E27FC236}">
              <a16:creationId xmlns:a16="http://schemas.microsoft.com/office/drawing/2014/main" id="{0325697E-D90F-4B4E-9A6B-58B3B2A8C3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4" name="Elipse 2233">
          <a:extLst>
            <a:ext uri="{FF2B5EF4-FFF2-40B4-BE49-F238E27FC236}">
              <a16:creationId xmlns:a16="http://schemas.microsoft.com/office/drawing/2014/main" id="{C3FBAAF1-DA8E-448C-88B6-FD5C2FE0AE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5" name="Elipse 2234">
          <a:extLst>
            <a:ext uri="{FF2B5EF4-FFF2-40B4-BE49-F238E27FC236}">
              <a16:creationId xmlns:a16="http://schemas.microsoft.com/office/drawing/2014/main" id="{4D75C417-99FF-4FCC-A265-BEB0AADBC7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6" name="Elipse 2235">
          <a:extLst>
            <a:ext uri="{FF2B5EF4-FFF2-40B4-BE49-F238E27FC236}">
              <a16:creationId xmlns:a16="http://schemas.microsoft.com/office/drawing/2014/main" id="{DB599D97-D3E3-4F06-86B8-408C83ECBA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7" name="Elipse 2236">
          <a:extLst>
            <a:ext uri="{FF2B5EF4-FFF2-40B4-BE49-F238E27FC236}">
              <a16:creationId xmlns:a16="http://schemas.microsoft.com/office/drawing/2014/main" id="{3F552C6E-9BCD-4970-8ED7-F660D2EB49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8" name="Elipse 2237">
          <a:extLst>
            <a:ext uri="{FF2B5EF4-FFF2-40B4-BE49-F238E27FC236}">
              <a16:creationId xmlns:a16="http://schemas.microsoft.com/office/drawing/2014/main" id="{B893A323-CB78-43B0-ACC3-A4F3DCBDBD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9" name="Elipse 2238">
          <a:extLst>
            <a:ext uri="{FF2B5EF4-FFF2-40B4-BE49-F238E27FC236}">
              <a16:creationId xmlns:a16="http://schemas.microsoft.com/office/drawing/2014/main" id="{05FD49B3-1FC6-4025-86F6-88F6F6F30D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0" name="Elipse 2239">
          <a:extLst>
            <a:ext uri="{FF2B5EF4-FFF2-40B4-BE49-F238E27FC236}">
              <a16:creationId xmlns:a16="http://schemas.microsoft.com/office/drawing/2014/main" id="{17AC4013-C30C-4E1F-8F28-8A39BA89AD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1" name="Elipse 2240">
          <a:extLst>
            <a:ext uri="{FF2B5EF4-FFF2-40B4-BE49-F238E27FC236}">
              <a16:creationId xmlns:a16="http://schemas.microsoft.com/office/drawing/2014/main" id="{E9F0437A-F0CA-414A-83EC-3E436E75DB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2" name="Elipse 2241">
          <a:extLst>
            <a:ext uri="{FF2B5EF4-FFF2-40B4-BE49-F238E27FC236}">
              <a16:creationId xmlns:a16="http://schemas.microsoft.com/office/drawing/2014/main" id="{64AAB386-E054-4DC3-BDEF-EF1A049D04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3" name="Elipse 2242">
          <a:extLst>
            <a:ext uri="{FF2B5EF4-FFF2-40B4-BE49-F238E27FC236}">
              <a16:creationId xmlns:a16="http://schemas.microsoft.com/office/drawing/2014/main" id="{D3F4F34C-5147-4661-AFB1-DE62A58D65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4" name="Elipse 2243">
          <a:extLst>
            <a:ext uri="{FF2B5EF4-FFF2-40B4-BE49-F238E27FC236}">
              <a16:creationId xmlns:a16="http://schemas.microsoft.com/office/drawing/2014/main" id="{DDC4260B-3B15-4FD5-A55D-3B616F9A9D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5" name="Elipse 2244">
          <a:extLst>
            <a:ext uri="{FF2B5EF4-FFF2-40B4-BE49-F238E27FC236}">
              <a16:creationId xmlns:a16="http://schemas.microsoft.com/office/drawing/2014/main" id="{EBB89AFE-9A66-44F9-8C9B-0886346AEC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6" name="Elipse 2245">
          <a:extLst>
            <a:ext uri="{FF2B5EF4-FFF2-40B4-BE49-F238E27FC236}">
              <a16:creationId xmlns:a16="http://schemas.microsoft.com/office/drawing/2014/main" id="{02AD59BC-D62B-4089-9038-CBEAEEA45D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7" name="Elipse 2246">
          <a:extLst>
            <a:ext uri="{FF2B5EF4-FFF2-40B4-BE49-F238E27FC236}">
              <a16:creationId xmlns:a16="http://schemas.microsoft.com/office/drawing/2014/main" id="{81B15AC3-F4A9-4B76-8B70-CAFA2B7AFE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8" name="Elipse 2247">
          <a:extLst>
            <a:ext uri="{FF2B5EF4-FFF2-40B4-BE49-F238E27FC236}">
              <a16:creationId xmlns:a16="http://schemas.microsoft.com/office/drawing/2014/main" id="{6FAB7E97-4068-4DAE-99FC-051AB56A4D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9" name="Elipse 2248">
          <a:extLst>
            <a:ext uri="{FF2B5EF4-FFF2-40B4-BE49-F238E27FC236}">
              <a16:creationId xmlns:a16="http://schemas.microsoft.com/office/drawing/2014/main" id="{D994ACF4-E3ED-4498-A2B2-11E2C3E135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0" name="Elipse 2249">
          <a:extLst>
            <a:ext uri="{FF2B5EF4-FFF2-40B4-BE49-F238E27FC236}">
              <a16:creationId xmlns:a16="http://schemas.microsoft.com/office/drawing/2014/main" id="{56500642-46CE-4A9A-9AB3-5618C0CD9C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1" name="Elipse 2250">
          <a:extLst>
            <a:ext uri="{FF2B5EF4-FFF2-40B4-BE49-F238E27FC236}">
              <a16:creationId xmlns:a16="http://schemas.microsoft.com/office/drawing/2014/main" id="{DCA5A07A-4CF9-4A68-A21C-586DBA79C2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2" name="Elipse 2251">
          <a:extLst>
            <a:ext uri="{FF2B5EF4-FFF2-40B4-BE49-F238E27FC236}">
              <a16:creationId xmlns:a16="http://schemas.microsoft.com/office/drawing/2014/main" id="{630C4B3C-DCD5-45A8-9489-63A4E88A97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3" name="Elipse 2252">
          <a:extLst>
            <a:ext uri="{FF2B5EF4-FFF2-40B4-BE49-F238E27FC236}">
              <a16:creationId xmlns:a16="http://schemas.microsoft.com/office/drawing/2014/main" id="{6B5F9B04-ED88-44B6-86E7-78F7908BED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4" name="Elipse 2253">
          <a:extLst>
            <a:ext uri="{FF2B5EF4-FFF2-40B4-BE49-F238E27FC236}">
              <a16:creationId xmlns:a16="http://schemas.microsoft.com/office/drawing/2014/main" id="{C424C7AF-58E9-4C7F-BB92-EE45BDA887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5" name="Elipse 2254">
          <a:extLst>
            <a:ext uri="{FF2B5EF4-FFF2-40B4-BE49-F238E27FC236}">
              <a16:creationId xmlns:a16="http://schemas.microsoft.com/office/drawing/2014/main" id="{D924B8F0-8E8C-47A6-8FD7-6091C35E49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6" name="Elipse 2255">
          <a:extLst>
            <a:ext uri="{FF2B5EF4-FFF2-40B4-BE49-F238E27FC236}">
              <a16:creationId xmlns:a16="http://schemas.microsoft.com/office/drawing/2014/main" id="{192CEC69-669D-4A04-B335-199203A401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7" name="Elipse 2256">
          <a:extLst>
            <a:ext uri="{FF2B5EF4-FFF2-40B4-BE49-F238E27FC236}">
              <a16:creationId xmlns:a16="http://schemas.microsoft.com/office/drawing/2014/main" id="{8F674945-5D06-49D7-9EC6-D4DB720FCE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8" name="Elipse 2257">
          <a:extLst>
            <a:ext uri="{FF2B5EF4-FFF2-40B4-BE49-F238E27FC236}">
              <a16:creationId xmlns:a16="http://schemas.microsoft.com/office/drawing/2014/main" id="{531EEF7F-F2E2-410D-B11C-FFE819139F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9" name="Elipse 2258">
          <a:extLst>
            <a:ext uri="{FF2B5EF4-FFF2-40B4-BE49-F238E27FC236}">
              <a16:creationId xmlns:a16="http://schemas.microsoft.com/office/drawing/2014/main" id="{7D32B59B-F854-4585-8565-3A2495317C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0" name="Elipse 2259">
          <a:extLst>
            <a:ext uri="{FF2B5EF4-FFF2-40B4-BE49-F238E27FC236}">
              <a16:creationId xmlns:a16="http://schemas.microsoft.com/office/drawing/2014/main" id="{98709FF8-ECAA-4A3D-847B-8E2A4D20FF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1" name="Elipse 2260">
          <a:extLst>
            <a:ext uri="{FF2B5EF4-FFF2-40B4-BE49-F238E27FC236}">
              <a16:creationId xmlns:a16="http://schemas.microsoft.com/office/drawing/2014/main" id="{97D21331-2E76-4719-95C9-9C799870D8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2" name="Elipse 2261">
          <a:extLst>
            <a:ext uri="{FF2B5EF4-FFF2-40B4-BE49-F238E27FC236}">
              <a16:creationId xmlns:a16="http://schemas.microsoft.com/office/drawing/2014/main" id="{B0AB51A4-5898-423A-8DF0-F491FF101C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3" name="Elipse 2262">
          <a:extLst>
            <a:ext uri="{FF2B5EF4-FFF2-40B4-BE49-F238E27FC236}">
              <a16:creationId xmlns:a16="http://schemas.microsoft.com/office/drawing/2014/main" id="{760BDD38-82BD-48D0-939A-D26DA6D5A5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4" name="Elipse 2263">
          <a:extLst>
            <a:ext uri="{FF2B5EF4-FFF2-40B4-BE49-F238E27FC236}">
              <a16:creationId xmlns:a16="http://schemas.microsoft.com/office/drawing/2014/main" id="{ABCDB8EA-44CB-4809-BD6D-D30352EF8B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5" name="Elipse 2264">
          <a:extLst>
            <a:ext uri="{FF2B5EF4-FFF2-40B4-BE49-F238E27FC236}">
              <a16:creationId xmlns:a16="http://schemas.microsoft.com/office/drawing/2014/main" id="{75DEA54D-3A7D-4641-B453-121BFD4F4D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6" name="Elipse 2265">
          <a:extLst>
            <a:ext uri="{FF2B5EF4-FFF2-40B4-BE49-F238E27FC236}">
              <a16:creationId xmlns:a16="http://schemas.microsoft.com/office/drawing/2014/main" id="{DC056D24-8674-453F-9212-B579436968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7" name="Elipse 2266">
          <a:extLst>
            <a:ext uri="{FF2B5EF4-FFF2-40B4-BE49-F238E27FC236}">
              <a16:creationId xmlns:a16="http://schemas.microsoft.com/office/drawing/2014/main" id="{5929E5AA-B226-42F4-91B2-042D63490F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8" name="Elipse 2267">
          <a:extLst>
            <a:ext uri="{FF2B5EF4-FFF2-40B4-BE49-F238E27FC236}">
              <a16:creationId xmlns:a16="http://schemas.microsoft.com/office/drawing/2014/main" id="{C279A7AC-8540-4F3B-90A8-D1732FF0B2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9" name="Elipse 2268">
          <a:extLst>
            <a:ext uri="{FF2B5EF4-FFF2-40B4-BE49-F238E27FC236}">
              <a16:creationId xmlns:a16="http://schemas.microsoft.com/office/drawing/2014/main" id="{59CDA055-F4B2-48A8-94EC-37C8D95D0D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0" name="Elipse 2269">
          <a:extLst>
            <a:ext uri="{FF2B5EF4-FFF2-40B4-BE49-F238E27FC236}">
              <a16:creationId xmlns:a16="http://schemas.microsoft.com/office/drawing/2014/main" id="{189B6546-16C4-4DC2-81B5-08805474F8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1" name="Elipse 2270">
          <a:extLst>
            <a:ext uri="{FF2B5EF4-FFF2-40B4-BE49-F238E27FC236}">
              <a16:creationId xmlns:a16="http://schemas.microsoft.com/office/drawing/2014/main" id="{C25AC9B0-E56A-43ED-BD9D-4DA8871BBB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2" name="Elipse 2271">
          <a:extLst>
            <a:ext uri="{FF2B5EF4-FFF2-40B4-BE49-F238E27FC236}">
              <a16:creationId xmlns:a16="http://schemas.microsoft.com/office/drawing/2014/main" id="{BA81A307-EC1F-41D1-AA78-D1C63B5DF8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3" name="Elipse 2272">
          <a:extLst>
            <a:ext uri="{FF2B5EF4-FFF2-40B4-BE49-F238E27FC236}">
              <a16:creationId xmlns:a16="http://schemas.microsoft.com/office/drawing/2014/main" id="{E9E2CDA2-E58F-4E15-BD65-29F5A4B816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4" name="Elipse 2273">
          <a:extLst>
            <a:ext uri="{FF2B5EF4-FFF2-40B4-BE49-F238E27FC236}">
              <a16:creationId xmlns:a16="http://schemas.microsoft.com/office/drawing/2014/main" id="{477E5B9F-F0E3-4BC0-A4D8-41EA966E29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5" name="Elipse 2274">
          <a:extLst>
            <a:ext uri="{FF2B5EF4-FFF2-40B4-BE49-F238E27FC236}">
              <a16:creationId xmlns:a16="http://schemas.microsoft.com/office/drawing/2014/main" id="{65CF73AE-77BA-44FE-B75B-79318356D5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6" name="Elipse 2275">
          <a:extLst>
            <a:ext uri="{FF2B5EF4-FFF2-40B4-BE49-F238E27FC236}">
              <a16:creationId xmlns:a16="http://schemas.microsoft.com/office/drawing/2014/main" id="{C161CCB2-D322-4309-8E12-6D9FFD6A92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7" name="Elipse 2276">
          <a:extLst>
            <a:ext uri="{FF2B5EF4-FFF2-40B4-BE49-F238E27FC236}">
              <a16:creationId xmlns:a16="http://schemas.microsoft.com/office/drawing/2014/main" id="{C86E4EE7-9BBD-43DD-8806-BA6E781755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8" name="Elipse 2277">
          <a:extLst>
            <a:ext uri="{FF2B5EF4-FFF2-40B4-BE49-F238E27FC236}">
              <a16:creationId xmlns:a16="http://schemas.microsoft.com/office/drawing/2014/main" id="{B0257D16-97EB-4BFD-843F-D40757C16A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9" name="Elipse 2278">
          <a:extLst>
            <a:ext uri="{FF2B5EF4-FFF2-40B4-BE49-F238E27FC236}">
              <a16:creationId xmlns:a16="http://schemas.microsoft.com/office/drawing/2014/main" id="{35103447-1756-42FE-A94A-CF2420E3F4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0" name="Elipse 2279">
          <a:extLst>
            <a:ext uri="{FF2B5EF4-FFF2-40B4-BE49-F238E27FC236}">
              <a16:creationId xmlns:a16="http://schemas.microsoft.com/office/drawing/2014/main" id="{8A97CAAE-191E-488F-8C25-0090F7EAEC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1" name="Elipse 2280">
          <a:extLst>
            <a:ext uri="{FF2B5EF4-FFF2-40B4-BE49-F238E27FC236}">
              <a16:creationId xmlns:a16="http://schemas.microsoft.com/office/drawing/2014/main" id="{31541B5E-04C0-4980-B379-FCA6D13C8A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2" name="Elipse 2281">
          <a:extLst>
            <a:ext uri="{FF2B5EF4-FFF2-40B4-BE49-F238E27FC236}">
              <a16:creationId xmlns:a16="http://schemas.microsoft.com/office/drawing/2014/main" id="{C6E392DC-6ECC-40F6-A8E4-A24D480362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3" name="Elipse 2282">
          <a:extLst>
            <a:ext uri="{FF2B5EF4-FFF2-40B4-BE49-F238E27FC236}">
              <a16:creationId xmlns:a16="http://schemas.microsoft.com/office/drawing/2014/main" id="{705B648B-505F-44D0-B057-B8889F457F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4" name="Elipse 2283">
          <a:extLst>
            <a:ext uri="{FF2B5EF4-FFF2-40B4-BE49-F238E27FC236}">
              <a16:creationId xmlns:a16="http://schemas.microsoft.com/office/drawing/2014/main" id="{4591ED32-9B72-49DC-ADAB-785EA0FD3F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5" name="Elipse 2284">
          <a:extLst>
            <a:ext uri="{FF2B5EF4-FFF2-40B4-BE49-F238E27FC236}">
              <a16:creationId xmlns:a16="http://schemas.microsoft.com/office/drawing/2014/main" id="{7CE53293-6E1E-4886-9CA9-5D77BC31FB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6" name="Elipse 2285">
          <a:extLst>
            <a:ext uri="{FF2B5EF4-FFF2-40B4-BE49-F238E27FC236}">
              <a16:creationId xmlns:a16="http://schemas.microsoft.com/office/drawing/2014/main" id="{10176BCE-033C-46CD-9DC3-C4E3EE6032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7" name="Elipse 2286">
          <a:extLst>
            <a:ext uri="{FF2B5EF4-FFF2-40B4-BE49-F238E27FC236}">
              <a16:creationId xmlns:a16="http://schemas.microsoft.com/office/drawing/2014/main" id="{77727981-594B-4BCB-97A7-8E8FB842FE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8" name="Elipse 2287">
          <a:extLst>
            <a:ext uri="{FF2B5EF4-FFF2-40B4-BE49-F238E27FC236}">
              <a16:creationId xmlns:a16="http://schemas.microsoft.com/office/drawing/2014/main" id="{7AAD6A53-69E0-459D-B669-8DAD4FFE69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9" name="Elipse 2288">
          <a:extLst>
            <a:ext uri="{FF2B5EF4-FFF2-40B4-BE49-F238E27FC236}">
              <a16:creationId xmlns:a16="http://schemas.microsoft.com/office/drawing/2014/main" id="{0EAA9881-E4B2-4E95-84FC-A44CEFB3E2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0" name="Elipse 2289">
          <a:extLst>
            <a:ext uri="{FF2B5EF4-FFF2-40B4-BE49-F238E27FC236}">
              <a16:creationId xmlns:a16="http://schemas.microsoft.com/office/drawing/2014/main" id="{0F61ECF8-6253-472C-9CA9-794F6D8E9E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1" name="Elipse 2290">
          <a:extLst>
            <a:ext uri="{FF2B5EF4-FFF2-40B4-BE49-F238E27FC236}">
              <a16:creationId xmlns:a16="http://schemas.microsoft.com/office/drawing/2014/main" id="{113D0060-8C1B-4FD2-ABF1-9F9509C3FD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2" name="Elipse 2291">
          <a:extLst>
            <a:ext uri="{FF2B5EF4-FFF2-40B4-BE49-F238E27FC236}">
              <a16:creationId xmlns:a16="http://schemas.microsoft.com/office/drawing/2014/main" id="{8045CD56-04B1-433C-B9C2-BD74E18E5A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3" name="Elipse 2292">
          <a:extLst>
            <a:ext uri="{FF2B5EF4-FFF2-40B4-BE49-F238E27FC236}">
              <a16:creationId xmlns:a16="http://schemas.microsoft.com/office/drawing/2014/main" id="{B2B099EA-54C4-438D-9F78-1E21A6C40F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4" name="Elipse 2293">
          <a:extLst>
            <a:ext uri="{FF2B5EF4-FFF2-40B4-BE49-F238E27FC236}">
              <a16:creationId xmlns:a16="http://schemas.microsoft.com/office/drawing/2014/main" id="{C3ECA916-DC2B-4897-AC54-708D04571A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5" name="Elipse 2294">
          <a:extLst>
            <a:ext uri="{FF2B5EF4-FFF2-40B4-BE49-F238E27FC236}">
              <a16:creationId xmlns:a16="http://schemas.microsoft.com/office/drawing/2014/main" id="{1802BB1F-1383-4087-A252-395BAB9EF3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6" name="Elipse 2295">
          <a:extLst>
            <a:ext uri="{FF2B5EF4-FFF2-40B4-BE49-F238E27FC236}">
              <a16:creationId xmlns:a16="http://schemas.microsoft.com/office/drawing/2014/main" id="{96351A4A-0CAA-4177-845E-F84C1A243C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7" name="Elipse 2296">
          <a:extLst>
            <a:ext uri="{FF2B5EF4-FFF2-40B4-BE49-F238E27FC236}">
              <a16:creationId xmlns:a16="http://schemas.microsoft.com/office/drawing/2014/main" id="{64AD6CC7-B31F-4184-9363-24A85FD196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8" name="Elipse 2297">
          <a:extLst>
            <a:ext uri="{FF2B5EF4-FFF2-40B4-BE49-F238E27FC236}">
              <a16:creationId xmlns:a16="http://schemas.microsoft.com/office/drawing/2014/main" id="{69D71452-FC27-4DEF-8A95-FFF6ECF935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9" name="Elipse 2298">
          <a:extLst>
            <a:ext uri="{FF2B5EF4-FFF2-40B4-BE49-F238E27FC236}">
              <a16:creationId xmlns:a16="http://schemas.microsoft.com/office/drawing/2014/main" id="{61CBF27B-8B83-42C3-94AB-0C4C9253F2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0" name="Elipse 2299">
          <a:extLst>
            <a:ext uri="{FF2B5EF4-FFF2-40B4-BE49-F238E27FC236}">
              <a16:creationId xmlns:a16="http://schemas.microsoft.com/office/drawing/2014/main" id="{6F6F2CE1-CBED-42C8-A82D-C8FF59EB26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1" name="Elipse 2300">
          <a:extLst>
            <a:ext uri="{FF2B5EF4-FFF2-40B4-BE49-F238E27FC236}">
              <a16:creationId xmlns:a16="http://schemas.microsoft.com/office/drawing/2014/main" id="{44DC6A0B-84C4-4994-AB0F-50E23E5EA2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2" name="Elipse 2301">
          <a:extLst>
            <a:ext uri="{FF2B5EF4-FFF2-40B4-BE49-F238E27FC236}">
              <a16:creationId xmlns:a16="http://schemas.microsoft.com/office/drawing/2014/main" id="{8E7BE42F-C11D-44D5-BE6F-82933418AB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3" name="Elipse 2302">
          <a:extLst>
            <a:ext uri="{FF2B5EF4-FFF2-40B4-BE49-F238E27FC236}">
              <a16:creationId xmlns:a16="http://schemas.microsoft.com/office/drawing/2014/main" id="{07CED13A-B766-4073-84D3-6FBBD51122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4" name="Elipse 2303">
          <a:extLst>
            <a:ext uri="{FF2B5EF4-FFF2-40B4-BE49-F238E27FC236}">
              <a16:creationId xmlns:a16="http://schemas.microsoft.com/office/drawing/2014/main" id="{E42E13B4-70E0-4886-AF58-9CBD1CCFDE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5" name="Elipse 2304">
          <a:extLst>
            <a:ext uri="{FF2B5EF4-FFF2-40B4-BE49-F238E27FC236}">
              <a16:creationId xmlns:a16="http://schemas.microsoft.com/office/drawing/2014/main" id="{8006FEDB-25AD-4D04-B598-C975A80F37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6" name="Elipse 2305">
          <a:extLst>
            <a:ext uri="{FF2B5EF4-FFF2-40B4-BE49-F238E27FC236}">
              <a16:creationId xmlns:a16="http://schemas.microsoft.com/office/drawing/2014/main" id="{96EF7103-0A54-4524-91E3-73B88C4763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7" name="Elipse 2306">
          <a:extLst>
            <a:ext uri="{FF2B5EF4-FFF2-40B4-BE49-F238E27FC236}">
              <a16:creationId xmlns:a16="http://schemas.microsoft.com/office/drawing/2014/main" id="{AF7E322A-664E-4910-A9D7-90578B8D3C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8" name="Elipse 2307">
          <a:extLst>
            <a:ext uri="{FF2B5EF4-FFF2-40B4-BE49-F238E27FC236}">
              <a16:creationId xmlns:a16="http://schemas.microsoft.com/office/drawing/2014/main" id="{67F9D831-BC8B-44A2-A901-FF94DA3E9A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9" name="Elipse 2308">
          <a:extLst>
            <a:ext uri="{FF2B5EF4-FFF2-40B4-BE49-F238E27FC236}">
              <a16:creationId xmlns:a16="http://schemas.microsoft.com/office/drawing/2014/main" id="{F16CEB45-7ECD-4AA5-89BE-D3B40BD9B7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0" name="Elipse 2309">
          <a:extLst>
            <a:ext uri="{FF2B5EF4-FFF2-40B4-BE49-F238E27FC236}">
              <a16:creationId xmlns:a16="http://schemas.microsoft.com/office/drawing/2014/main" id="{98593478-5E20-4E3A-A8BE-C8F4FD713A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1" name="Elipse 2310">
          <a:extLst>
            <a:ext uri="{FF2B5EF4-FFF2-40B4-BE49-F238E27FC236}">
              <a16:creationId xmlns:a16="http://schemas.microsoft.com/office/drawing/2014/main" id="{180B692A-BF4F-4EFE-8A41-19A6E69C26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2" name="Elipse 2311">
          <a:extLst>
            <a:ext uri="{FF2B5EF4-FFF2-40B4-BE49-F238E27FC236}">
              <a16:creationId xmlns:a16="http://schemas.microsoft.com/office/drawing/2014/main" id="{09767304-CA15-47C8-9295-546967F81A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3" name="Elipse 2312">
          <a:extLst>
            <a:ext uri="{FF2B5EF4-FFF2-40B4-BE49-F238E27FC236}">
              <a16:creationId xmlns:a16="http://schemas.microsoft.com/office/drawing/2014/main" id="{8DD76522-EE3B-4082-A274-19CCEB17B7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4" name="Elipse 2313">
          <a:extLst>
            <a:ext uri="{FF2B5EF4-FFF2-40B4-BE49-F238E27FC236}">
              <a16:creationId xmlns:a16="http://schemas.microsoft.com/office/drawing/2014/main" id="{74032C15-AB8A-4A4D-95D6-C4A0A7BA59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5" name="Elipse 2314">
          <a:extLst>
            <a:ext uri="{FF2B5EF4-FFF2-40B4-BE49-F238E27FC236}">
              <a16:creationId xmlns:a16="http://schemas.microsoft.com/office/drawing/2014/main" id="{8BDE1FFC-0A75-46AD-A493-5DD21AB4DB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6" name="Elipse 2315">
          <a:extLst>
            <a:ext uri="{FF2B5EF4-FFF2-40B4-BE49-F238E27FC236}">
              <a16:creationId xmlns:a16="http://schemas.microsoft.com/office/drawing/2014/main" id="{B39C77F6-1CE3-4712-B57F-70BC336661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7" name="Elipse 2316">
          <a:extLst>
            <a:ext uri="{FF2B5EF4-FFF2-40B4-BE49-F238E27FC236}">
              <a16:creationId xmlns:a16="http://schemas.microsoft.com/office/drawing/2014/main" id="{74FCC313-A719-4F04-BBF6-AA1EC6E673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8" name="Elipse 2317">
          <a:extLst>
            <a:ext uri="{FF2B5EF4-FFF2-40B4-BE49-F238E27FC236}">
              <a16:creationId xmlns:a16="http://schemas.microsoft.com/office/drawing/2014/main" id="{7CEF0247-53EC-416A-849D-94D7110DB6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9" name="Elipse 2318">
          <a:extLst>
            <a:ext uri="{FF2B5EF4-FFF2-40B4-BE49-F238E27FC236}">
              <a16:creationId xmlns:a16="http://schemas.microsoft.com/office/drawing/2014/main" id="{29CC6104-7521-41F4-B511-A83C6C2794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0" name="Elipse 2319">
          <a:extLst>
            <a:ext uri="{FF2B5EF4-FFF2-40B4-BE49-F238E27FC236}">
              <a16:creationId xmlns:a16="http://schemas.microsoft.com/office/drawing/2014/main" id="{211287CE-F675-4D9F-8470-27A02A8433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1" name="Elipse 2320">
          <a:extLst>
            <a:ext uri="{FF2B5EF4-FFF2-40B4-BE49-F238E27FC236}">
              <a16:creationId xmlns:a16="http://schemas.microsoft.com/office/drawing/2014/main" id="{1624EA9F-C52F-44DD-A63B-09555739B6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2" name="Elipse 2321">
          <a:extLst>
            <a:ext uri="{FF2B5EF4-FFF2-40B4-BE49-F238E27FC236}">
              <a16:creationId xmlns:a16="http://schemas.microsoft.com/office/drawing/2014/main" id="{63319D57-5593-4520-8DDA-4294AFFB57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3" name="Elipse 2322">
          <a:extLst>
            <a:ext uri="{FF2B5EF4-FFF2-40B4-BE49-F238E27FC236}">
              <a16:creationId xmlns:a16="http://schemas.microsoft.com/office/drawing/2014/main" id="{1B67C8A3-A2DF-48A9-B653-1506CAB905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4" name="Elipse 2323">
          <a:extLst>
            <a:ext uri="{FF2B5EF4-FFF2-40B4-BE49-F238E27FC236}">
              <a16:creationId xmlns:a16="http://schemas.microsoft.com/office/drawing/2014/main" id="{787940F8-3448-4F8F-B4EA-A27290A005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5" name="Elipse 2324">
          <a:extLst>
            <a:ext uri="{FF2B5EF4-FFF2-40B4-BE49-F238E27FC236}">
              <a16:creationId xmlns:a16="http://schemas.microsoft.com/office/drawing/2014/main" id="{73DD5065-C854-4A60-B527-C6B0F64738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6" name="Elipse 2325">
          <a:extLst>
            <a:ext uri="{FF2B5EF4-FFF2-40B4-BE49-F238E27FC236}">
              <a16:creationId xmlns:a16="http://schemas.microsoft.com/office/drawing/2014/main" id="{64668B6C-8BD3-460D-8552-6AB984312A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7" name="Elipse 2326">
          <a:extLst>
            <a:ext uri="{FF2B5EF4-FFF2-40B4-BE49-F238E27FC236}">
              <a16:creationId xmlns:a16="http://schemas.microsoft.com/office/drawing/2014/main" id="{C5FE0759-1B36-482F-AC99-1A9E2D4DA8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8" name="Elipse 2327">
          <a:extLst>
            <a:ext uri="{FF2B5EF4-FFF2-40B4-BE49-F238E27FC236}">
              <a16:creationId xmlns:a16="http://schemas.microsoft.com/office/drawing/2014/main" id="{D65420DB-4B79-4F56-B1F6-C902CCE2DC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9" name="Elipse 2328">
          <a:extLst>
            <a:ext uri="{FF2B5EF4-FFF2-40B4-BE49-F238E27FC236}">
              <a16:creationId xmlns:a16="http://schemas.microsoft.com/office/drawing/2014/main" id="{AC6B4836-7C41-41B2-A66D-F4D374F5E5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0" name="Elipse 2329">
          <a:extLst>
            <a:ext uri="{FF2B5EF4-FFF2-40B4-BE49-F238E27FC236}">
              <a16:creationId xmlns:a16="http://schemas.microsoft.com/office/drawing/2014/main" id="{911D59F9-E92D-40C7-A548-569B5691B4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1" name="Elipse 2330">
          <a:extLst>
            <a:ext uri="{FF2B5EF4-FFF2-40B4-BE49-F238E27FC236}">
              <a16:creationId xmlns:a16="http://schemas.microsoft.com/office/drawing/2014/main" id="{B96C7AD8-3ED0-45FF-80E9-DB74BA04F2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2" name="Elipse 2331">
          <a:extLst>
            <a:ext uri="{FF2B5EF4-FFF2-40B4-BE49-F238E27FC236}">
              <a16:creationId xmlns:a16="http://schemas.microsoft.com/office/drawing/2014/main" id="{5C8D6A68-405F-4C90-A1B7-EEE1961615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3" name="Elipse 2332">
          <a:extLst>
            <a:ext uri="{FF2B5EF4-FFF2-40B4-BE49-F238E27FC236}">
              <a16:creationId xmlns:a16="http://schemas.microsoft.com/office/drawing/2014/main" id="{F4988ED8-5995-4CE7-B856-E745A00056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4" name="Elipse 2333">
          <a:extLst>
            <a:ext uri="{FF2B5EF4-FFF2-40B4-BE49-F238E27FC236}">
              <a16:creationId xmlns:a16="http://schemas.microsoft.com/office/drawing/2014/main" id="{71E65ECD-7DBF-44B1-A9E0-007DF69D39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5" name="Elipse 2334">
          <a:extLst>
            <a:ext uri="{FF2B5EF4-FFF2-40B4-BE49-F238E27FC236}">
              <a16:creationId xmlns:a16="http://schemas.microsoft.com/office/drawing/2014/main" id="{F7660E58-6867-4879-A140-7D7663FF87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6" name="Elipse 2335">
          <a:extLst>
            <a:ext uri="{FF2B5EF4-FFF2-40B4-BE49-F238E27FC236}">
              <a16:creationId xmlns:a16="http://schemas.microsoft.com/office/drawing/2014/main" id="{A39776EF-000A-44DC-B0BA-98A199DEA0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7" name="Elipse 2336">
          <a:extLst>
            <a:ext uri="{FF2B5EF4-FFF2-40B4-BE49-F238E27FC236}">
              <a16:creationId xmlns:a16="http://schemas.microsoft.com/office/drawing/2014/main" id="{3F7768B6-4B3F-43FE-AB81-923AB94551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8" name="Elipse 2337">
          <a:extLst>
            <a:ext uri="{FF2B5EF4-FFF2-40B4-BE49-F238E27FC236}">
              <a16:creationId xmlns:a16="http://schemas.microsoft.com/office/drawing/2014/main" id="{E4BCA173-B05B-4AE2-9EE7-D6A369970B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9" name="Elipse 2338">
          <a:extLst>
            <a:ext uri="{FF2B5EF4-FFF2-40B4-BE49-F238E27FC236}">
              <a16:creationId xmlns:a16="http://schemas.microsoft.com/office/drawing/2014/main" id="{029A855C-FC23-48BD-9173-12C8718079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0" name="Elipse 2339">
          <a:extLst>
            <a:ext uri="{FF2B5EF4-FFF2-40B4-BE49-F238E27FC236}">
              <a16:creationId xmlns:a16="http://schemas.microsoft.com/office/drawing/2014/main" id="{5DB75BB4-8C00-4774-9703-B1EC779B89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1" name="Elipse 2340">
          <a:extLst>
            <a:ext uri="{FF2B5EF4-FFF2-40B4-BE49-F238E27FC236}">
              <a16:creationId xmlns:a16="http://schemas.microsoft.com/office/drawing/2014/main" id="{EA8C458D-5A11-4E09-80D7-61288AF0EB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2" name="Elipse 2341">
          <a:extLst>
            <a:ext uri="{FF2B5EF4-FFF2-40B4-BE49-F238E27FC236}">
              <a16:creationId xmlns:a16="http://schemas.microsoft.com/office/drawing/2014/main" id="{6865553A-1711-4824-A517-F2A7C31BD7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3" name="Elipse 2342">
          <a:extLst>
            <a:ext uri="{FF2B5EF4-FFF2-40B4-BE49-F238E27FC236}">
              <a16:creationId xmlns:a16="http://schemas.microsoft.com/office/drawing/2014/main" id="{69E35054-0FD4-48B0-915E-1586173334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4" name="Elipse 2343">
          <a:extLst>
            <a:ext uri="{FF2B5EF4-FFF2-40B4-BE49-F238E27FC236}">
              <a16:creationId xmlns:a16="http://schemas.microsoft.com/office/drawing/2014/main" id="{E8D7A6D3-4EB4-4B08-91D7-3E9B722834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5" name="Elipse 2344">
          <a:extLst>
            <a:ext uri="{FF2B5EF4-FFF2-40B4-BE49-F238E27FC236}">
              <a16:creationId xmlns:a16="http://schemas.microsoft.com/office/drawing/2014/main" id="{DD1425B3-FC47-4DE7-A502-1C292D4F32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6" name="Elipse 2345">
          <a:extLst>
            <a:ext uri="{FF2B5EF4-FFF2-40B4-BE49-F238E27FC236}">
              <a16:creationId xmlns:a16="http://schemas.microsoft.com/office/drawing/2014/main" id="{2BE53294-0D3D-436A-8533-1343AF5418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7" name="Elipse 2346">
          <a:extLst>
            <a:ext uri="{FF2B5EF4-FFF2-40B4-BE49-F238E27FC236}">
              <a16:creationId xmlns:a16="http://schemas.microsoft.com/office/drawing/2014/main" id="{589EF81D-18CA-4D37-B8A8-6078BCFB04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8" name="Elipse 2347">
          <a:extLst>
            <a:ext uri="{FF2B5EF4-FFF2-40B4-BE49-F238E27FC236}">
              <a16:creationId xmlns:a16="http://schemas.microsoft.com/office/drawing/2014/main" id="{FBDFB7C3-D221-4599-A0D3-EE944E106A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9" name="Elipse 2348">
          <a:extLst>
            <a:ext uri="{FF2B5EF4-FFF2-40B4-BE49-F238E27FC236}">
              <a16:creationId xmlns:a16="http://schemas.microsoft.com/office/drawing/2014/main" id="{1166A2B4-0FDF-40D5-BD59-D6225B6724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0" name="Elipse 2349">
          <a:extLst>
            <a:ext uri="{FF2B5EF4-FFF2-40B4-BE49-F238E27FC236}">
              <a16:creationId xmlns:a16="http://schemas.microsoft.com/office/drawing/2014/main" id="{4FD42E72-9582-41D2-968D-94E8E1EA0F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1" name="Elipse 2350">
          <a:extLst>
            <a:ext uri="{FF2B5EF4-FFF2-40B4-BE49-F238E27FC236}">
              <a16:creationId xmlns:a16="http://schemas.microsoft.com/office/drawing/2014/main" id="{6B3B856E-B719-47FE-9352-0735C6571D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2" name="Elipse 2351">
          <a:extLst>
            <a:ext uri="{FF2B5EF4-FFF2-40B4-BE49-F238E27FC236}">
              <a16:creationId xmlns:a16="http://schemas.microsoft.com/office/drawing/2014/main" id="{A1B650C0-5C6E-4010-9A62-F365BD3859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3" name="Elipse 2352">
          <a:extLst>
            <a:ext uri="{FF2B5EF4-FFF2-40B4-BE49-F238E27FC236}">
              <a16:creationId xmlns:a16="http://schemas.microsoft.com/office/drawing/2014/main" id="{8C9F7987-4C52-4FC2-A19D-622C9C6701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4" name="Elipse 2353">
          <a:extLst>
            <a:ext uri="{FF2B5EF4-FFF2-40B4-BE49-F238E27FC236}">
              <a16:creationId xmlns:a16="http://schemas.microsoft.com/office/drawing/2014/main" id="{CF3C6A92-D8C2-4B16-A6D8-A3F0084696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5" name="Elipse 2354">
          <a:extLst>
            <a:ext uri="{FF2B5EF4-FFF2-40B4-BE49-F238E27FC236}">
              <a16:creationId xmlns:a16="http://schemas.microsoft.com/office/drawing/2014/main" id="{D377ADBF-3F4C-4FE8-9090-E6CA380085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6" name="Elipse 2355">
          <a:extLst>
            <a:ext uri="{FF2B5EF4-FFF2-40B4-BE49-F238E27FC236}">
              <a16:creationId xmlns:a16="http://schemas.microsoft.com/office/drawing/2014/main" id="{DE52B267-B5F7-4DFC-9545-3798EDCF93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7" name="Elipse 2356">
          <a:extLst>
            <a:ext uri="{FF2B5EF4-FFF2-40B4-BE49-F238E27FC236}">
              <a16:creationId xmlns:a16="http://schemas.microsoft.com/office/drawing/2014/main" id="{8D43D3A1-C317-41C4-B312-AA64D31C42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8" name="Elipse 2357">
          <a:extLst>
            <a:ext uri="{FF2B5EF4-FFF2-40B4-BE49-F238E27FC236}">
              <a16:creationId xmlns:a16="http://schemas.microsoft.com/office/drawing/2014/main" id="{BDFDCB46-1539-4A4C-8D4C-F85ED890FE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9" name="Elipse 2358">
          <a:extLst>
            <a:ext uri="{FF2B5EF4-FFF2-40B4-BE49-F238E27FC236}">
              <a16:creationId xmlns:a16="http://schemas.microsoft.com/office/drawing/2014/main" id="{7DD3E4EB-EDC1-4225-9119-6C50AD45B1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0" name="Elipse 2359">
          <a:extLst>
            <a:ext uri="{FF2B5EF4-FFF2-40B4-BE49-F238E27FC236}">
              <a16:creationId xmlns:a16="http://schemas.microsoft.com/office/drawing/2014/main" id="{246CE55F-7CD4-447A-BBC2-9D5CD923B1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1" name="Elipse 2360">
          <a:extLst>
            <a:ext uri="{FF2B5EF4-FFF2-40B4-BE49-F238E27FC236}">
              <a16:creationId xmlns:a16="http://schemas.microsoft.com/office/drawing/2014/main" id="{37B848A6-B95C-46BB-A4C0-1C2449A8F5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2" name="Elipse 2361">
          <a:extLst>
            <a:ext uri="{FF2B5EF4-FFF2-40B4-BE49-F238E27FC236}">
              <a16:creationId xmlns:a16="http://schemas.microsoft.com/office/drawing/2014/main" id="{9311CF20-D33D-48F8-B883-3958A866B0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3" name="Elipse 2362">
          <a:extLst>
            <a:ext uri="{FF2B5EF4-FFF2-40B4-BE49-F238E27FC236}">
              <a16:creationId xmlns:a16="http://schemas.microsoft.com/office/drawing/2014/main" id="{9D217C94-72F2-4369-9E4F-A56D54BF40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4" name="Elipse 2363">
          <a:extLst>
            <a:ext uri="{FF2B5EF4-FFF2-40B4-BE49-F238E27FC236}">
              <a16:creationId xmlns:a16="http://schemas.microsoft.com/office/drawing/2014/main" id="{8B97AF92-340D-44C6-8DB2-1D0014E683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5" name="Elipse 2364">
          <a:extLst>
            <a:ext uri="{FF2B5EF4-FFF2-40B4-BE49-F238E27FC236}">
              <a16:creationId xmlns:a16="http://schemas.microsoft.com/office/drawing/2014/main" id="{85F98C6E-ABB9-4977-966F-4487CC77DE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6" name="Elipse 2365">
          <a:extLst>
            <a:ext uri="{FF2B5EF4-FFF2-40B4-BE49-F238E27FC236}">
              <a16:creationId xmlns:a16="http://schemas.microsoft.com/office/drawing/2014/main" id="{2D663449-E31A-4A2B-944E-9BCFD40E15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7" name="Elipse 2366">
          <a:extLst>
            <a:ext uri="{FF2B5EF4-FFF2-40B4-BE49-F238E27FC236}">
              <a16:creationId xmlns:a16="http://schemas.microsoft.com/office/drawing/2014/main" id="{00A7EF23-DA5A-47D5-912B-F3AA7609BB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8" name="Elipse 2367">
          <a:extLst>
            <a:ext uri="{FF2B5EF4-FFF2-40B4-BE49-F238E27FC236}">
              <a16:creationId xmlns:a16="http://schemas.microsoft.com/office/drawing/2014/main" id="{81253A7E-EF0D-49B7-8A82-6CF35F0D11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9" name="Elipse 2368">
          <a:extLst>
            <a:ext uri="{FF2B5EF4-FFF2-40B4-BE49-F238E27FC236}">
              <a16:creationId xmlns:a16="http://schemas.microsoft.com/office/drawing/2014/main" id="{35D457B9-9A91-4FB5-BA77-B20E9D9757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0" name="Elipse 2369">
          <a:extLst>
            <a:ext uri="{FF2B5EF4-FFF2-40B4-BE49-F238E27FC236}">
              <a16:creationId xmlns:a16="http://schemas.microsoft.com/office/drawing/2014/main" id="{C89F31AD-A784-4C64-8370-AC0F56EAED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1" name="Elipse 2370">
          <a:extLst>
            <a:ext uri="{FF2B5EF4-FFF2-40B4-BE49-F238E27FC236}">
              <a16:creationId xmlns:a16="http://schemas.microsoft.com/office/drawing/2014/main" id="{173BF15D-2FE9-4636-83AE-B719F91644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2" name="Elipse 2371">
          <a:extLst>
            <a:ext uri="{FF2B5EF4-FFF2-40B4-BE49-F238E27FC236}">
              <a16:creationId xmlns:a16="http://schemas.microsoft.com/office/drawing/2014/main" id="{A373043F-9152-4158-87C4-2BAE1461DE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3" name="Elipse 2372">
          <a:extLst>
            <a:ext uri="{FF2B5EF4-FFF2-40B4-BE49-F238E27FC236}">
              <a16:creationId xmlns:a16="http://schemas.microsoft.com/office/drawing/2014/main" id="{5AF09460-0E24-4580-95F3-F4B13E6636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4" name="Elipse 2373">
          <a:extLst>
            <a:ext uri="{FF2B5EF4-FFF2-40B4-BE49-F238E27FC236}">
              <a16:creationId xmlns:a16="http://schemas.microsoft.com/office/drawing/2014/main" id="{9377FD42-5312-4A0F-B9C8-C4FDAB54F6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5" name="Elipse 2374">
          <a:extLst>
            <a:ext uri="{FF2B5EF4-FFF2-40B4-BE49-F238E27FC236}">
              <a16:creationId xmlns:a16="http://schemas.microsoft.com/office/drawing/2014/main" id="{73EBC557-6A8F-4726-B367-280AA93BAD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6" name="Elipse 2375">
          <a:extLst>
            <a:ext uri="{FF2B5EF4-FFF2-40B4-BE49-F238E27FC236}">
              <a16:creationId xmlns:a16="http://schemas.microsoft.com/office/drawing/2014/main" id="{31B13FBF-C42A-4CBC-98E9-1839DCEBEA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7" name="Elipse 2376">
          <a:extLst>
            <a:ext uri="{FF2B5EF4-FFF2-40B4-BE49-F238E27FC236}">
              <a16:creationId xmlns:a16="http://schemas.microsoft.com/office/drawing/2014/main" id="{0DE31CD9-A3CD-405B-A4D3-6E4CC0A884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8" name="Elipse 2377">
          <a:extLst>
            <a:ext uri="{FF2B5EF4-FFF2-40B4-BE49-F238E27FC236}">
              <a16:creationId xmlns:a16="http://schemas.microsoft.com/office/drawing/2014/main" id="{A1B3FDC0-4C25-479E-BEE5-44334187EE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9" name="Elipse 2378">
          <a:extLst>
            <a:ext uri="{FF2B5EF4-FFF2-40B4-BE49-F238E27FC236}">
              <a16:creationId xmlns:a16="http://schemas.microsoft.com/office/drawing/2014/main" id="{6A6596DA-0DF2-4585-AE36-9A1744C5E3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0" name="Elipse 2379">
          <a:extLst>
            <a:ext uri="{FF2B5EF4-FFF2-40B4-BE49-F238E27FC236}">
              <a16:creationId xmlns:a16="http://schemas.microsoft.com/office/drawing/2014/main" id="{4E059B77-5B6D-438F-B62D-AD7F1995F9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1" name="Elipse 2380">
          <a:extLst>
            <a:ext uri="{FF2B5EF4-FFF2-40B4-BE49-F238E27FC236}">
              <a16:creationId xmlns:a16="http://schemas.microsoft.com/office/drawing/2014/main" id="{A85353B2-27B8-4B91-AD17-DA6BEBF2FD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2" name="Elipse 2381">
          <a:extLst>
            <a:ext uri="{FF2B5EF4-FFF2-40B4-BE49-F238E27FC236}">
              <a16:creationId xmlns:a16="http://schemas.microsoft.com/office/drawing/2014/main" id="{D28C1873-276E-4106-A2F0-9518ED9DE3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3" name="Elipse 2382">
          <a:extLst>
            <a:ext uri="{FF2B5EF4-FFF2-40B4-BE49-F238E27FC236}">
              <a16:creationId xmlns:a16="http://schemas.microsoft.com/office/drawing/2014/main" id="{898F4426-7A29-4CF2-9819-8B50DD3ABA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4" name="Elipse 2383">
          <a:extLst>
            <a:ext uri="{FF2B5EF4-FFF2-40B4-BE49-F238E27FC236}">
              <a16:creationId xmlns:a16="http://schemas.microsoft.com/office/drawing/2014/main" id="{AA1981D0-4B41-46E5-AFF1-47C54FE7F0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5" name="Elipse 2384">
          <a:extLst>
            <a:ext uri="{FF2B5EF4-FFF2-40B4-BE49-F238E27FC236}">
              <a16:creationId xmlns:a16="http://schemas.microsoft.com/office/drawing/2014/main" id="{438B998D-EE01-4530-B9A0-8929E52D6C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6" name="Elipse 2385">
          <a:extLst>
            <a:ext uri="{FF2B5EF4-FFF2-40B4-BE49-F238E27FC236}">
              <a16:creationId xmlns:a16="http://schemas.microsoft.com/office/drawing/2014/main" id="{13E45CB5-8A1C-4121-AE5F-E547DE52D4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7" name="Elipse 2386">
          <a:extLst>
            <a:ext uri="{FF2B5EF4-FFF2-40B4-BE49-F238E27FC236}">
              <a16:creationId xmlns:a16="http://schemas.microsoft.com/office/drawing/2014/main" id="{5A234D62-69FA-4DEA-A14F-2767CCEDEB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8" name="Elipse 2387">
          <a:extLst>
            <a:ext uri="{FF2B5EF4-FFF2-40B4-BE49-F238E27FC236}">
              <a16:creationId xmlns:a16="http://schemas.microsoft.com/office/drawing/2014/main" id="{21F72D22-0170-4015-83F0-14A53AED12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9" name="Elipse 2388">
          <a:extLst>
            <a:ext uri="{FF2B5EF4-FFF2-40B4-BE49-F238E27FC236}">
              <a16:creationId xmlns:a16="http://schemas.microsoft.com/office/drawing/2014/main" id="{69A897F2-7987-468E-9781-7CF916E635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0" name="Elipse 2389">
          <a:extLst>
            <a:ext uri="{FF2B5EF4-FFF2-40B4-BE49-F238E27FC236}">
              <a16:creationId xmlns:a16="http://schemas.microsoft.com/office/drawing/2014/main" id="{B172D2EC-6BC3-4C01-85CA-A5A5D4D51C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1" name="Elipse 2390">
          <a:extLst>
            <a:ext uri="{FF2B5EF4-FFF2-40B4-BE49-F238E27FC236}">
              <a16:creationId xmlns:a16="http://schemas.microsoft.com/office/drawing/2014/main" id="{FE1DB425-CDD0-4C7F-A42E-EA83AD13AF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2" name="Elipse 2391">
          <a:extLst>
            <a:ext uri="{FF2B5EF4-FFF2-40B4-BE49-F238E27FC236}">
              <a16:creationId xmlns:a16="http://schemas.microsoft.com/office/drawing/2014/main" id="{260C1D31-D065-4C0E-B74E-6E889596CC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3" name="Elipse 2392">
          <a:extLst>
            <a:ext uri="{FF2B5EF4-FFF2-40B4-BE49-F238E27FC236}">
              <a16:creationId xmlns:a16="http://schemas.microsoft.com/office/drawing/2014/main" id="{4506E417-E91B-4524-8640-559E383DF5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4" name="Elipse 2393">
          <a:extLst>
            <a:ext uri="{FF2B5EF4-FFF2-40B4-BE49-F238E27FC236}">
              <a16:creationId xmlns:a16="http://schemas.microsoft.com/office/drawing/2014/main" id="{5829829A-1437-4E88-A2CD-EC41E7E294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5" name="Elipse 2394">
          <a:extLst>
            <a:ext uri="{FF2B5EF4-FFF2-40B4-BE49-F238E27FC236}">
              <a16:creationId xmlns:a16="http://schemas.microsoft.com/office/drawing/2014/main" id="{B2C5575E-9CB9-4C7D-A5A6-153A8C27AF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6" name="Elipse 2395">
          <a:extLst>
            <a:ext uri="{FF2B5EF4-FFF2-40B4-BE49-F238E27FC236}">
              <a16:creationId xmlns:a16="http://schemas.microsoft.com/office/drawing/2014/main" id="{8E295690-778B-4AA6-91B5-5DF0952D3B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7" name="Elipse 2396">
          <a:extLst>
            <a:ext uri="{FF2B5EF4-FFF2-40B4-BE49-F238E27FC236}">
              <a16:creationId xmlns:a16="http://schemas.microsoft.com/office/drawing/2014/main" id="{762AC87B-DD0B-4301-8139-53E74A087B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8" name="Elipse 2397">
          <a:extLst>
            <a:ext uri="{FF2B5EF4-FFF2-40B4-BE49-F238E27FC236}">
              <a16:creationId xmlns:a16="http://schemas.microsoft.com/office/drawing/2014/main" id="{BD2512C5-38F4-4ADC-8AFB-90D17DC47C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9" name="Elipse 2398">
          <a:extLst>
            <a:ext uri="{FF2B5EF4-FFF2-40B4-BE49-F238E27FC236}">
              <a16:creationId xmlns:a16="http://schemas.microsoft.com/office/drawing/2014/main" id="{D95DA8F5-F2F5-4A4E-ABC6-AA5716B85D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0" name="Elipse 2399">
          <a:extLst>
            <a:ext uri="{FF2B5EF4-FFF2-40B4-BE49-F238E27FC236}">
              <a16:creationId xmlns:a16="http://schemas.microsoft.com/office/drawing/2014/main" id="{FB21D21A-440A-4028-AE32-ABC32A034A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1" name="Elipse 2400">
          <a:extLst>
            <a:ext uri="{FF2B5EF4-FFF2-40B4-BE49-F238E27FC236}">
              <a16:creationId xmlns:a16="http://schemas.microsoft.com/office/drawing/2014/main" id="{98B80C08-C409-4849-96D0-D3A4A49F5A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2" name="Elipse 2401">
          <a:extLst>
            <a:ext uri="{FF2B5EF4-FFF2-40B4-BE49-F238E27FC236}">
              <a16:creationId xmlns:a16="http://schemas.microsoft.com/office/drawing/2014/main" id="{A20892F0-0B6F-483C-9E9E-02E9B35A3C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3" name="Elipse 2402">
          <a:extLst>
            <a:ext uri="{FF2B5EF4-FFF2-40B4-BE49-F238E27FC236}">
              <a16:creationId xmlns:a16="http://schemas.microsoft.com/office/drawing/2014/main" id="{E47CD446-7212-428E-B86E-9677D60E94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4" name="Elipse 2403">
          <a:extLst>
            <a:ext uri="{FF2B5EF4-FFF2-40B4-BE49-F238E27FC236}">
              <a16:creationId xmlns:a16="http://schemas.microsoft.com/office/drawing/2014/main" id="{B9CFDF45-94F3-499B-B4A8-5F13846906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5" name="Elipse 2404">
          <a:extLst>
            <a:ext uri="{FF2B5EF4-FFF2-40B4-BE49-F238E27FC236}">
              <a16:creationId xmlns:a16="http://schemas.microsoft.com/office/drawing/2014/main" id="{B3BB43EC-54DC-49D4-8215-6C60F8F707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6" name="Elipse 2405">
          <a:extLst>
            <a:ext uri="{FF2B5EF4-FFF2-40B4-BE49-F238E27FC236}">
              <a16:creationId xmlns:a16="http://schemas.microsoft.com/office/drawing/2014/main" id="{81A7513C-5211-41F2-A819-EB9772DFB4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7" name="Elipse 2406">
          <a:extLst>
            <a:ext uri="{FF2B5EF4-FFF2-40B4-BE49-F238E27FC236}">
              <a16:creationId xmlns:a16="http://schemas.microsoft.com/office/drawing/2014/main" id="{3D3A2D37-A862-49A8-AA7D-459EA4F7E3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8" name="Elipse 2407">
          <a:extLst>
            <a:ext uri="{FF2B5EF4-FFF2-40B4-BE49-F238E27FC236}">
              <a16:creationId xmlns:a16="http://schemas.microsoft.com/office/drawing/2014/main" id="{E7DDEB55-4A94-49A4-9D94-8B90B0DDA7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9" name="Elipse 2408">
          <a:extLst>
            <a:ext uri="{FF2B5EF4-FFF2-40B4-BE49-F238E27FC236}">
              <a16:creationId xmlns:a16="http://schemas.microsoft.com/office/drawing/2014/main" id="{EF7C8816-2C91-4B28-81F8-A836278F47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0" name="Elipse 2409">
          <a:extLst>
            <a:ext uri="{FF2B5EF4-FFF2-40B4-BE49-F238E27FC236}">
              <a16:creationId xmlns:a16="http://schemas.microsoft.com/office/drawing/2014/main" id="{F7354593-0C01-4CCE-AE0E-75E2505BE1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1" name="Elipse 2410">
          <a:extLst>
            <a:ext uri="{FF2B5EF4-FFF2-40B4-BE49-F238E27FC236}">
              <a16:creationId xmlns:a16="http://schemas.microsoft.com/office/drawing/2014/main" id="{F8274838-F6DF-4F75-9E37-01D1732DB1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2" name="Elipse 2411">
          <a:extLst>
            <a:ext uri="{FF2B5EF4-FFF2-40B4-BE49-F238E27FC236}">
              <a16:creationId xmlns:a16="http://schemas.microsoft.com/office/drawing/2014/main" id="{DAE1C4FB-1782-4C50-BEA2-5D8D000507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3" name="Elipse 2412">
          <a:extLst>
            <a:ext uri="{FF2B5EF4-FFF2-40B4-BE49-F238E27FC236}">
              <a16:creationId xmlns:a16="http://schemas.microsoft.com/office/drawing/2014/main" id="{29019149-8653-4FA8-8A66-F26C566312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4" name="Elipse 2413">
          <a:extLst>
            <a:ext uri="{FF2B5EF4-FFF2-40B4-BE49-F238E27FC236}">
              <a16:creationId xmlns:a16="http://schemas.microsoft.com/office/drawing/2014/main" id="{C0B61DD6-65C4-4361-B6BF-3DAD949566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5" name="Elipse 2414">
          <a:extLst>
            <a:ext uri="{FF2B5EF4-FFF2-40B4-BE49-F238E27FC236}">
              <a16:creationId xmlns:a16="http://schemas.microsoft.com/office/drawing/2014/main" id="{083AC884-DEDB-4F60-B45D-D1970BFA70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6" name="Elipse 2415">
          <a:extLst>
            <a:ext uri="{FF2B5EF4-FFF2-40B4-BE49-F238E27FC236}">
              <a16:creationId xmlns:a16="http://schemas.microsoft.com/office/drawing/2014/main" id="{98E6D36A-162A-4387-BABD-EEFAC62EE2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7" name="Elipse 2416">
          <a:extLst>
            <a:ext uri="{FF2B5EF4-FFF2-40B4-BE49-F238E27FC236}">
              <a16:creationId xmlns:a16="http://schemas.microsoft.com/office/drawing/2014/main" id="{16D696F5-2C4C-4FB3-85C4-32EC9F4A72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8" name="Elipse 2417">
          <a:extLst>
            <a:ext uri="{FF2B5EF4-FFF2-40B4-BE49-F238E27FC236}">
              <a16:creationId xmlns:a16="http://schemas.microsoft.com/office/drawing/2014/main" id="{4E43A241-95FB-442D-9DAD-14C569A2EF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9" name="Elipse 2418">
          <a:extLst>
            <a:ext uri="{FF2B5EF4-FFF2-40B4-BE49-F238E27FC236}">
              <a16:creationId xmlns:a16="http://schemas.microsoft.com/office/drawing/2014/main" id="{C9D7AF59-7D5F-4F21-AEA2-CE50F4DEE0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0" name="Elipse 2419">
          <a:extLst>
            <a:ext uri="{FF2B5EF4-FFF2-40B4-BE49-F238E27FC236}">
              <a16:creationId xmlns:a16="http://schemas.microsoft.com/office/drawing/2014/main" id="{E7CECA2D-5D20-4BC7-BE86-6F1F05C745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1" name="Elipse 2420">
          <a:extLst>
            <a:ext uri="{FF2B5EF4-FFF2-40B4-BE49-F238E27FC236}">
              <a16:creationId xmlns:a16="http://schemas.microsoft.com/office/drawing/2014/main" id="{793915F1-0EDF-4F47-B126-C0D8EB6994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2" name="Elipse 2421">
          <a:extLst>
            <a:ext uri="{FF2B5EF4-FFF2-40B4-BE49-F238E27FC236}">
              <a16:creationId xmlns:a16="http://schemas.microsoft.com/office/drawing/2014/main" id="{CA7A1C6E-D3D9-474C-9AC7-B50E8B60BE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3" name="Elipse 2422">
          <a:extLst>
            <a:ext uri="{FF2B5EF4-FFF2-40B4-BE49-F238E27FC236}">
              <a16:creationId xmlns:a16="http://schemas.microsoft.com/office/drawing/2014/main" id="{72065464-CA49-4C29-97E4-24382F4237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4" name="Elipse 2423">
          <a:extLst>
            <a:ext uri="{FF2B5EF4-FFF2-40B4-BE49-F238E27FC236}">
              <a16:creationId xmlns:a16="http://schemas.microsoft.com/office/drawing/2014/main" id="{9EA935F2-EDF6-417C-B684-CF8AF75021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5" name="Elipse 2424">
          <a:extLst>
            <a:ext uri="{FF2B5EF4-FFF2-40B4-BE49-F238E27FC236}">
              <a16:creationId xmlns:a16="http://schemas.microsoft.com/office/drawing/2014/main" id="{1E33970F-C3EC-4C2C-B931-1CF3CDD761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6" name="Elipse 2425">
          <a:extLst>
            <a:ext uri="{FF2B5EF4-FFF2-40B4-BE49-F238E27FC236}">
              <a16:creationId xmlns:a16="http://schemas.microsoft.com/office/drawing/2014/main" id="{334B3BCC-AF58-496E-A344-29FA3EB304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7" name="Elipse 2426">
          <a:extLst>
            <a:ext uri="{FF2B5EF4-FFF2-40B4-BE49-F238E27FC236}">
              <a16:creationId xmlns:a16="http://schemas.microsoft.com/office/drawing/2014/main" id="{A907EF75-A190-46A4-85A3-09698A47C0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8" name="Elipse 2427">
          <a:extLst>
            <a:ext uri="{FF2B5EF4-FFF2-40B4-BE49-F238E27FC236}">
              <a16:creationId xmlns:a16="http://schemas.microsoft.com/office/drawing/2014/main" id="{8414CA69-DBDD-4804-8A11-E450B1BBDE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9" name="Elipse 2428">
          <a:extLst>
            <a:ext uri="{FF2B5EF4-FFF2-40B4-BE49-F238E27FC236}">
              <a16:creationId xmlns:a16="http://schemas.microsoft.com/office/drawing/2014/main" id="{C4B78411-04C5-498A-87B9-B879890306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0" name="Elipse 2429">
          <a:extLst>
            <a:ext uri="{FF2B5EF4-FFF2-40B4-BE49-F238E27FC236}">
              <a16:creationId xmlns:a16="http://schemas.microsoft.com/office/drawing/2014/main" id="{5B87DCEF-B3AD-4257-8208-E5A5CF78C2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1" name="Elipse 2430">
          <a:extLst>
            <a:ext uri="{FF2B5EF4-FFF2-40B4-BE49-F238E27FC236}">
              <a16:creationId xmlns:a16="http://schemas.microsoft.com/office/drawing/2014/main" id="{4A8A4E63-EA78-4A5B-8BAC-76BDF0593A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2" name="Elipse 2431">
          <a:extLst>
            <a:ext uri="{FF2B5EF4-FFF2-40B4-BE49-F238E27FC236}">
              <a16:creationId xmlns:a16="http://schemas.microsoft.com/office/drawing/2014/main" id="{0896D647-6C76-4EC7-A44A-A9EC985C42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3" name="Elipse 2432">
          <a:extLst>
            <a:ext uri="{FF2B5EF4-FFF2-40B4-BE49-F238E27FC236}">
              <a16:creationId xmlns:a16="http://schemas.microsoft.com/office/drawing/2014/main" id="{4D416222-5D38-4FBD-A74A-67C57946ED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4" name="Elipse 2433">
          <a:extLst>
            <a:ext uri="{FF2B5EF4-FFF2-40B4-BE49-F238E27FC236}">
              <a16:creationId xmlns:a16="http://schemas.microsoft.com/office/drawing/2014/main" id="{490F89EE-A8D6-48C7-9588-BBAE6F72DE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5" name="Elipse 2434">
          <a:extLst>
            <a:ext uri="{FF2B5EF4-FFF2-40B4-BE49-F238E27FC236}">
              <a16:creationId xmlns:a16="http://schemas.microsoft.com/office/drawing/2014/main" id="{8478EB77-AF26-4F9A-9C14-E50FFB32AB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6" name="Elipse 2435">
          <a:extLst>
            <a:ext uri="{FF2B5EF4-FFF2-40B4-BE49-F238E27FC236}">
              <a16:creationId xmlns:a16="http://schemas.microsoft.com/office/drawing/2014/main" id="{CD08616D-F2EA-433A-A05B-BBB14120D3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7" name="Elipse 2436">
          <a:extLst>
            <a:ext uri="{FF2B5EF4-FFF2-40B4-BE49-F238E27FC236}">
              <a16:creationId xmlns:a16="http://schemas.microsoft.com/office/drawing/2014/main" id="{E94D7AF6-9B4F-4F7F-9980-B87BE9C9AF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8" name="Elipse 2437">
          <a:extLst>
            <a:ext uri="{FF2B5EF4-FFF2-40B4-BE49-F238E27FC236}">
              <a16:creationId xmlns:a16="http://schemas.microsoft.com/office/drawing/2014/main" id="{1DBA57EA-CCF9-4ABD-9EF5-6EEA06E0EC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9" name="Elipse 2438">
          <a:extLst>
            <a:ext uri="{FF2B5EF4-FFF2-40B4-BE49-F238E27FC236}">
              <a16:creationId xmlns:a16="http://schemas.microsoft.com/office/drawing/2014/main" id="{F4CA7733-194B-4A14-ABAE-F88F0C5880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0" name="Elipse 2439">
          <a:extLst>
            <a:ext uri="{FF2B5EF4-FFF2-40B4-BE49-F238E27FC236}">
              <a16:creationId xmlns:a16="http://schemas.microsoft.com/office/drawing/2014/main" id="{C25A3190-B91C-41E6-9D8E-F5AD9F17AC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1" name="Elipse 2440">
          <a:extLst>
            <a:ext uri="{FF2B5EF4-FFF2-40B4-BE49-F238E27FC236}">
              <a16:creationId xmlns:a16="http://schemas.microsoft.com/office/drawing/2014/main" id="{7B29A34A-6B97-43A2-8248-20F5E877BB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2" name="Elipse 2441">
          <a:extLst>
            <a:ext uri="{FF2B5EF4-FFF2-40B4-BE49-F238E27FC236}">
              <a16:creationId xmlns:a16="http://schemas.microsoft.com/office/drawing/2014/main" id="{2E757FF3-BBEA-49D7-9D4A-53F465B600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3" name="Elipse 2442">
          <a:extLst>
            <a:ext uri="{FF2B5EF4-FFF2-40B4-BE49-F238E27FC236}">
              <a16:creationId xmlns:a16="http://schemas.microsoft.com/office/drawing/2014/main" id="{C5146E41-0A87-4198-8566-8090A933BE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4" name="Elipse 2443">
          <a:extLst>
            <a:ext uri="{FF2B5EF4-FFF2-40B4-BE49-F238E27FC236}">
              <a16:creationId xmlns:a16="http://schemas.microsoft.com/office/drawing/2014/main" id="{4F7A7469-DB03-4A21-A35D-9FFCEE86EA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5" name="Elipse 2444">
          <a:extLst>
            <a:ext uri="{FF2B5EF4-FFF2-40B4-BE49-F238E27FC236}">
              <a16:creationId xmlns:a16="http://schemas.microsoft.com/office/drawing/2014/main" id="{00FDB175-EFF7-4526-B244-3132750E4D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6" name="Elipse 2445">
          <a:extLst>
            <a:ext uri="{FF2B5EF4-FFF2-40B4-BE49-F238E27FC236}">
              <a16:creationId xmlns:a16="http://schemas.microsoft.com/office/drawing/2014/main" id="{AB0E9D7B-307B-496F-9A61-7D3F541B02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7" name="Elipse 2446">
          <a:extLst>
            <a:ext uri="{FF2B5EF4-FFF2-40B4-BE49-F238E27FC236}">
              <a16:creationId xmlns:a16="http://schemas.microsoft.com/office/drawing/2014/main" id="{FF3B1C7A-5E7E-4A5F-8FBB-1DFC9E13E6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8" name="Elipse 2447">
          <a:extLst>
            <a:ext uri="{FF2B5EF4-FFF2-40B4-BE49-F238E27FC236}">
              <a16:creationId xmlns:a16="http://schemas.microsoft.com/office/drawing/2014/main" id="{B9D1CB77-6DB9-41DB-809D-F538BA124F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9" name="Elipse 2448">
          <a:extLst>
            <a:ext uri="{FF2B5EF4-FFF2-40B4-BE49-F238E27FC236}">
              <a16:creationId xmlns:a16="http://schemas.microsoft.com/office/drawing/2014/main" id="{5C6188C0-CC78-4549-9BE3-E23EB5B910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0" name="Elipse 2449">
          <a:extLst>
            <a:ext uri="{FF2B5EF4-FFF2-40B4-BE49-F238E27FC236}">
              <a16:creationId xmlns:a16="http://schemas.microsoft.com/office/drawing/2014/main" id="{F6648849-D749-4537-8F8C-D7C97A0252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1" name="Elipse 2450">
          <a:extLst>
            <a:ext uri="{FF2B5EF4-FFF2-40B4-BE49-F238E27FC236}">
              <a16:creationId xmlns:a16="http://schemas.microsoft.com/office/drawing/2014/main" id="{B25A0E22-C3D8-43FC-AF18-ADA19101D6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2" name="Elipse 2451">
          <a:extLst>
            <a:ext uri="{FF2B5EF4-FFF2-40B4-BE49-F238E27FC236}">
              <a16:creationId xmlns:a16="http://schemas.microsoft.com/office/drawing/2014/main" id="{7727D863-4CB9-4FB9-8CAE-83EC9A6505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3" name="Elipse 2452">
          <a:extLst>
            <a:ext uri="{FF2B5EF4-FFF2-40B4-BE49-F238E27FC236}">
              <a16:creationId xmlns:a16="http://schemas.microsoft.com/office/drawing/2014/main" id="{F37D11E3-B8DC-4DA9-93C2-6560C9B745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4" name="Elipse 2453">
          <a:extLst>
            <a:ext uri="{FF2B5EF4-FFF2-40B4-BE49-F238E27FC236}">
              <a16:creationId xmlns:a16="http://schemas.microsoft.com/office/drawing/2014/main" id="{F4A4F4E4-1AB8-4B45-B453-8FCE5AC7CD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5" name="Elipse 2454">
          <a:extLst>
            <a:ext uri="{FF2B5EF4-FFF2-40B4-BE49-F238E27FC236}">
              <a16:creationId xmlns:a16="http://schemas.microsoft.com/office/drawing/2014/main" id="{2CF517DB-94B8-4668-8023-F7471DDEAD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6" name="Elipse 2455">
          <a:extLst>
            <a:ext uri="{FF2B5EF4-FFF2-40B4-BE49-F238E27FC236}">
              <a16:creationId xmlns:a16="http://schemas.microsoft.com/office/drawing/2014/main" id="{2E2F963A-2ACC-4DB6-9092-D62980EF91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7" name="Elipse 2456">
          <a:extLst>
            <a:ext uri="{FF2B5EF4-FFF2-40B4-BE49-F238E27FC236}">
              <a16:creationId xmlns:a16="http://schemas.microsoft.com/office/drawing/2014/main" id="{9107E2E6-9377-46BE-A127-11C858D596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8" name="Elipse 2457">
          <a:extLst>
            <a:ext uri="{FF2B5EF4-FFF2-40B4-BE49-F238E27FC236}">
              <a16:creationId xmlns:a16="http://schemas.microsoft.com/office/drawing/2014/main" id="{E5F333AB-F3CB-4321-B8F2-D82AE7F624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9" name="Elipse 2458">
          <a:extLst>
            <a:ext uri="{FF2B5EF4-FFF2-40B4-BE49-F238E27FC236}">
              <a16:creationId xmlns:a16="http://schemas.microsoft.com/office/drawing/2014/main" id="{960A8B47-8ED5-4981-849D-69A70FFC1D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0" name="Elipse 2459">
          <a:extLst>
            <a:ext uri="{FF2B5EF4-FFF2-40B4-BE49-F238E27FC236}">
              <a16:creationId xmlns:a16="http://schemas.microsoft.com/office/drawing/2014/main" id="{65902AF7-C9BF-47F9-8B90-5089DD3804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1" name="Elipse 2460">
          <a:extLst>
            <a:ext uri="{FF2B5EF4-FFF2-40B4-BE49-F238E27FC236}">
              <a16:creationId xmlns:a16="http://schemas.microsoft.com/office/drawing/2014/main" id="{B44EB06E-20B4-4069-B650-3D7303873C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2" name="Elipse 2461">
          <a:extLst>
            <a:ext uri="{FF2B5EF4-FFF2-40B4-BE49-F238E27FC236}">
              <a16:creationId xmlns:a16="http://schemas.microsoft.com/office/drawing/2014/main" id="{89129F69-D5E9-4ED6-A4C9-27DA766CB7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3" name="Elipse 2462">
          <a:extLst>
            <a:ext uri="{FF2B5EF4-FFF2-40B4-BE49-F238E27FC236}">
              <a16:creationId xmlns:a16="http://schemas.microsoft.com/office/drawing/2014/main" id="{56D5F92B-AF0E-4A99-87C1-DB66354409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4" name="Elipse 2463">
          <a:extLst>
            <a:ext uri="{FF2B5EF4-FFF2-40B4-BE49-F238E27FC236}">
              <a16:creationId xmlns:a16="http://schemas.microsoft.com/office/drawing/2014/main" id="{D27D0E63-CCDE-49AF-AAD8-B8A26030A9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5" name="Elipse 2464">
          <a:extLst>
            <a:ext uri="{FF2B5EF4-FFF2-40B4-BE49-F238E27FC236}">
              <a16:creationId xmlns:a16="http://schemas.microsoft.com/office/drawing/2014/main" id="{03235C0F-3266-40F4-8214-A168B42A71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6" name="Elipse 2465">
          <a:extLst>
            <a:ext uri="{FF2B5EF4-FFF2-40B4-BE49-F238E27FC236}">
              <a16:creationId xmlns:a16="http://schemas.microsoft.com/office/drawing/2014/main" id="{02A173AE-47D7-40EE-ADB5-B5886678FE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7" name="Elipse 2466">
          <a:extLst>
            <a:ext uri="{FF2B5EF4-FFF2-40B4-BE49-F238E27FC236}">
              <a16:creationId xmlns:a16="http://schemas.microsoft.com/office/drawing/2014/main" id="{D12B9638-BB85-468D-85D5-1FCDC600B7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8" name="Elipse 2467">
          <a:extLst>
            <a:ext uri="{FF2B5EF4-FFF2-40B4-BE49-F238E27FC236}">
              <a16:creationId xmlns:a16="http://schemas.microsoft.com/office/drawing/2014/main" id="{16CF0F85-00D5-4861-822A-8CCAB80051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9" name="Elipse 2468">
          <a:extLst>
            <a:ext uri="{FF2B5EF4-FFF2-40B4-BE49-F238E27FC236}">
              <a16:creationId xmlns:a16="http://schemas.microsoft.com/office/drawing/2014/main" id="{2255B08A-57EE-4748-9ED1-5438C1DE4B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0" name="Elipse 2469">
          <a:extLst>
            <a:ext uri="{FF2B5EF4-FFF2-40B4-BE49-F238E27FC236}">
              <a16:creationId xmlns:a16="http://schemas.microsoft.com/office/drawing/2014/main" id="{B8BB213B-CA99-43F6-9DE6-DD9C90EEE6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1" name="Elipse 2470">
          <a:extLst>
            <a:ext uri="{FF2B5EF4-FFF2-40B4-BE49-F238E27FC236}">
              <a16:creationId xmlns:a16="http://schemas.microsoft.com/office/drawing/2014/main" id="{7669581B-BC5D-4AEE-8EF4-0A39A554D4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2" name="Elipse 2471">
          <a:extLst>
            <a:ext uri="{FF2B5EF4-FFF2-40B4-BE49-F238E27FC236}">
              <a16:creationId xmlns:a16="http://schemas.microsoft.com/office/drawing/2014/main" id="{8DC58434-828B-4B11-AABA-7AD74C6A08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3" name="Elipse 2472">
          <a:extLst>
            <a:ext uri="{FF2B5EF4-FFF2-40B4-BE49-F238E27FC236}">
              <a16:creationId xmlns:a16="http://schemas.microsoft.com/office/drawing/2014/main" id="{0B6EF60E-21BD-4C26-84AB-A6CEF8263E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4" name="Elipse 2473">
          <a:extLst>
            <a:ext uri="{FF2B5EF4-FFF2-40B4-BE49-F238E27FC236}">
              <a16:creationId xmlns:a16="http://schemas.microsoft.com/office/drawing/2014/main" id="{8585B322-98DA-41F5-B227-EC78931F03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5" name="Elipse 2474">
          <a:extLst>
            <a:ext uri="{FF2B5EF4-FFF2-40B4-BE49-F238E27FC236}">
              <a16:creationId xmlns:a16="http://schemas.microsoft.com/office/drawing/2014/main" id="{F0A56498-D4D8-4A64-81AE-D47FD27DAA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6" name="Elipse 2475">
          <a:extLst>
            <a:ext uri="{FF2B5EF4-FFF2-40B4-BE49-F238E27FC236}">
              <a16:creationId xmlns:a16="http://schemas.microsoft.com/office/drawing/2014/main" id="{3ECA9D42-8204-46EA-BFFE-43BB5AE4CD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7" name="Elipse 2476">
          <a:extLst>
            <a:ext uri="{FF2B5EF4-FFF2-40B4-BE49-F238E27FC236}">
              <a16:creationId xmlns:a16="http://schemas.microsoft.com/office/drawing/2014/main" id="{7A60B1CC-ABC3-47D7-8440-35E607FFC7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8" name="Elipse 2477">
          <a:extLst>
            <a:ext uri="{FF2B5EF4-FFF2-40B4-BE49-F238E27FC236}">
              <a16:creationId xmlns:a16="http://schemas.microsoft.com/office/drawing/2014/main" id="{A221161D-2D3F-4C13-AE4F-5A96A91921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9" name="Elipse 2478">
          <a:extLst>
            <a:ext uri="{FF2B5EF4-FFF2-40B4-BE49-F238E27FC236}">
              <a16:creationId xmlns:a16="http://schemas.microsoft.com/office/drawing/2014/main" id="{17ED7928-21EF-43D3-92EC-28C18CAF7A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0" name="Elipse 2479">
          <a:extLst>
            <a:ext uri="{FF2B5EF4-FFF2-40B4-BE49-F238E27FC236}">
              <a16:creationId xmlns:a16="http://schemas.microsoft.com/office/drawing/2014/main" id="{F8702F23-8EB2-453B-AEBB-01E31ED075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1" name="Elipse 2480">
          <a:extLst>
            <a:ext uri="{FF2B5EF4-FFF2-40B4-BE49-F238E27FC236}">
              <a16:creationId xmlns:a16="http://schemas.microsoft.com/office/drawing/2014/main" id="{743B9957-86FC-4C4F-8B30-D81A5E24E1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2" name="Elipse 2481">
          <a:extLst>
            <a:ext uri="{FF2B5EF4-FFF2-40B4-BE49-F238E27FC236}">
              <a16:creationId xmlns:a16="http://schemas.microsoft.com/office/drawing/2014/main" id="{6D7E4FA0-F7E9-42C0-A3CB-1315641A29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3" name="Elipse 2482">
          <a:extLst>
            <a:ext uri="{FF2B5EF4-FFF2-40B4-BE49-F238E27FC236}">
              <a16:creationId xmlns:a16="http://schemas.microsoft.com/office/drawing/2014/main" id="{637EA6E3-50F9-4DA9-ADF5-243CE11D15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4" name="Elipse 2483">
          <a:extLst>
            <a:ext uri="{FF2B5EF4-FFF2-40B4-BE49-F238E27FC236}">
              <a16:creationId xmlns:a16="http://schemas.microsoft.com/office/drawing/2014/main" id="{A04293E5-E8AF-436E-BF23-C3FB9C8FB9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5" name="Elipse 2484">
          <a:extLst>
            <a:ext uri="{FF2B5EF4-FFF2-40B4-BE49-F238E27FC236}">
              <a16:creationId xmlns:a16="http://schemas.microsoft.com/office/drawing/2014/main" id="{01B5F032-B680-4C3B-AB3E-8A97AB65F9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6" name="Elipse 2485">
          <a:extLst>
            <a:ext uri="{FF2B5EF4-FFF2-40B4-BE49-F238E27FC236}">
              <a16:creationId xmlns:a16="http://schemas.microsoft.com/office/drawing/2014/main" id="{F87EA267-9388-4616-9A65-17EF761DE8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7" name="Elipse 2486">
          <a:extLst>
            <a:ext uri="{FF2B5EF4-FFF2-40B4-BE49-F238E27FC236}">
              <a16:creationId xmlns:a16="http://schemas.microsoft.com/office/drawing/2014/main" id="{5B31A885-F5F9-4014-B8C6-ED12734BFC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8" name="Elipse 2487">
          <a:extLst>
            <a:ext uri="{FF2B5EF4-FFF2-40B4-BE49-F238E27FC236}">
              <a16:creationId xmlns:a16="http://schemas.microsoft.com/office/drawing/2014/main" id="{A81800C8-C477-4543-BCEB-157400D9E9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9" name="Elipse 2488">
          <a:extLst>
            <a:ext uri="{FF2B5EF4-FFF2-40B4-BE49-F238E27FC236}">
              <a16:creationId xmlns:a16="http://schemas.microsoft.com/office/drawing/2014/main" id="{D19764E4-DDFE-44E7-9170-649AB2AFFA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0" name="Elipse 2489">
          <a:extLst>
            <a:ext uri="{FF2B5EF4-FFF2-40B4-BE49-F238E27FC236}">
              <a16:creationId xmlns:a16="http://schemas.microsoft.com/office/drawing/2014/main" id="{5E0A25AF-6C77-48F3-8D8E-4C99CDC70F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1" name="Elipse 2490">
          <a:extLst>
            <a:ext uri="{FF2B5EF4-FFF2-40B4-BE49-F238E27FC236}">
              <a16:creationId xmlns:a16="http://schemas.microsoft.com/office/drawing/2014/main" id="{D0B2C158-5BD2-4EF5-A8DE-F23F4F0B32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2" name="Elipse 2491">
          <a:extLst>
            <a:ext uri="{FF2B5EF4-FFF2-40B4-BE49-F238E27FC236}">
              <a16:creationId xmlns:a16="http://schemas.microsoft.com/office/drawing/2014/main" id="{EE08730F-636C-43DB-AF5D-74EEB0F45D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3" name="Elipse 2492">
          <a:extLst>
            <a:ext uri="{FF2B5EF4-FFF2-40B4-BE49-F238E27FC236}">
              <a16:creationId xmlns:a16="http://schemas.microsoft.com/office/drawing/2014/main" id="{505EA91D-F2F1-4880-9297-776FBDAD29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4" name="Elipse 2493">
          <a:extLst>
            <a:ext uri="{FF2B5EF4-FFF2-40B4-BE49-F238E27FC236}">
              <a16:creationId xmlns:a16="http://schemas.microsoft.com/office/drawing/2014/main" id="{5DCABA62-DB9B-4A77-BB56-512A2FB97E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5" name="Elipse 2494">
          <a:extLst>
            <a:ext uri="{FF2B5EF4-FFF2-40B4-BE49-F238E27FC236}">
              <a16:creationId xmlns:a16="http://schemas.microsoft.com/office/drawing/2014/main" id="{91761B63-7D02-4133-BE24-CC9E3F9B1A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6" name="Elipse 2495">
          <a:extLst>
            <a:ext uri="{FF2B5EF4-FFF2-40B4-BE49-F238E27FC236}">
              <a16:creationId xmlns:a16="http://schemas.microsoft.com/office/drawing/2014/main" id="{63FAF547-1D8A-4748-824A-6617B7EA97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7" name="Elipse 2496">
          <a:extLst>
            <a:ext uri="{FF2B5EF4-FFF2-40B4-BE49-F238E27FC236}">
              <a16:creationId xmlns:a16="http://schemas.microsoft.com/office/drawing/2014/main" id="{B904BB79-6C36-4032-9A41-C9DCC87B8F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8" name="Elipse 2497">
          <a:extLst>
            <a:ext uri="{FF2B5EF4-FFF2-40B4-BE49-F238E27FC236}">
              <a16:creationId xmlns:a16="http://schemas.microsoft.com/office/drawing/2014/main" id="{FA678D5B-6DD5-4F90-B337-CAA359B91B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9" name="Elipse 2498">
          <a:extLst>
            <a:ext uri="{FF2B5EF4-FFF2-40B4-BE49-F238E27FC236}">
              <a16:creationId xmlns:a16="http://schemas.microsoft.com/office/drawing/2014/main" id="{C863676D-3566-426F-835F-B7A6959587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0" name="Elipse 2499">
          <a:extLst>
            <a:ext uri="{FF2B5EF4-FFF2-40B4-BE49-F238E27FC236}">
              <a16:creationId xmlns:a16="http://schemas.microsoft.com/office/drawing/2014/main" id="{470A829D-D93C-424A-8C14-BBEFF6D470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1" name="Elipse 2500">
          <a:extLst>
            <a:ext uri="{FF2B5EF4-FFF2-40B4-BE49-F238E27FC236}">
              <a16:creationId xmlns:a16="http://schemas.microsoft.com/office/drawing/2014/main" id="{EEE8EED9-851E-4D00-97E8-49CA1F8203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2" name="Elipse 2501">
          <a:extLst>
            <a:ext uri="{FF2B5EF4-FFF2-40B4-BE49-F238E27FC236}">
              <a16:creationId xmlns:a16="http://schemas.microsoft.com/office/drawing/2014/main" id="{7E2755DE-5E31-4B5B-B169-56A97E2535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3" name="Elipse 2502">
          <a:extLst>
            <a:ext uri="{FF2B5EF4-FFF2-40B4-BE49-F238E27FC236}">
              <a16:creationId xmlns:a16="http://schemas.microsoft.com/office/drawing/2014/main" id="{C3F73773-B5A5-4860-9069-9052839AF9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4" name="Elipse 2503">
          <a:extLst>
            <a:ext uri="{FF2B5EF4-FFF2-40B4-BE49-F238E27FC236}">
              <a16:creationId xmlns:a16="http://schemas.microsoft.com/office/drawing/2014/main" id="{EB1E7268-3C43-495A-9FE9-21E7591E03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5" name="Elipse 2504">
          <a:extLst>
            <a:ext uri="{FF2B5EF4-FFF2-40B4-BE49-F238E27FC236}">
              <a16:creationId xmlns:a16="http://schemas.microsoft.com/office/drawing/2014/main" id="{845DC0C9-8EA5-41CB-82B5-1C18B8F10E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6" name="Elipse 2505">
          <a:extLst>
            <a:ext uri="{FF2B5EF4-FFF2-40B4-BE49-F238E27FC236}">
              <a16:creationId xmlns:a16="http://schemas.microsoft.com/office/drawing/2014/main" id="{0887ABD1-EB8E-4DA9-9DDD-C4DB1F0F37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7" name="Elipse 2506">
          <a:extLst>
            <a:ext uri="{FF2B5EF4-FFF2-40B4-BE49-F238E27FC236}">
              <a16:creationId xmlns:a16="http://schemas.microsoft.com/office/drawing/2014/main" id="{82484226-CFD9-43A4-8A86-97B7CED0F7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8" name="Elipse 2507">
          <a:extLst>
            <a:ext uri="{FF2B5EF4-FFF2-40B4-BE49-F238E27FC236}">
              <a16:creationId xmlns:a16="http://schemas.microsoft.com/office/drawing/2014/main" id="{75952A9B-6053-4E34-9537-77D22EE23A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9" name="Elipse 2508">
          <a:extLst>
            <a:ext uri="{FF2B5EF4-FFF2-40B4-BE49-F238E27FC236}">
              <a16:creationId xmlns:a16="http://schemas.microsoft.com/office/drawing/2014/main" id="{88A84179-007A-46C5-BE09-EA8B164BAE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0" name="Elipse 2509">
          <a:extLst>
            <a:ext uri="{FF2B5EF4-FFF2-40B4-BE49-F238E27FC236}">
              <a16:creationId xmlns:a16="http://schemas.microsoft.com/office/drawing/2014/main" id="{CA3D8412-6E54-446B-BDD0-51D3C77DD0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1" name="Elipse 2510">
          <a:extLst>
            <a:ext uri="{FF2B5EF4-FFF2-40B4-BE49-F238E27FC236}">
              <a16:creationId xmlns:a16="http://schemas.microsoft.com/office/drawing/2014/main" id="{83CE03DF-C2A1-436E-BBB6-76D0E033F9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2" name="Elipse 2511">
          <a:extLst>
            <a:ext uri="{FF2B5EF4-FFF2-40B4-BE49-F238E27FC236}">
              <a16:creationId xmlns:a16="http://schemas.microsoft.com/office/drawing/2014/main" id="{2D18467D-7BD1-48D4-874A-DD63EF5F1A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3" name="Elipse 2512">
          <a:extLst>
            <a:ext uri="{FF2B5EF4-FFF2-40B4-BE49-F238E27FC236}">
              <a16:creationId xmlns:a16="http://schemas.microsoft.com/office/drawing/2014/main" id="{B82E5584-9C72-40B7-BE8A-B982E2D0E5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4" name="Elipse 2513">
          <a:extLst>
            <a:ext uri="{FF2B5EF4-FFF2-40B4-BE49-F238E27FC236}">
              <a16:creationId xmlns:a16="http://schemas.microsoft.com/office/drawing/2014/main" id="{127FAC37-A575-400B-94B9-24093E9B1A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5" name="Elipse 2514">
          <a:extLst>
            <a:ext uri="{FF2B5EF4-FFF2-40B4-BE49-F238E27FC236}">
              <a16:creationId xmlns:a16="http://schemas.microsoft.com/office/drawing/2014/main" id="{F5ABE81A-5251-4342-93CE-5E563CDD1C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6" name="Elipse 2515">
          <a:extLst>
            <a:ext uri="{FF2B5EF4-FFF2-40B4-BE49-F238E27FC236}">
              <a16:creationId xmlns:a16="http://schemas.microsoft.com/office/drawing/2014/main" id="{FAE0C1EE-DE6F-4DB9-97B9-B7D6F35F9B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7" name="Elipse 2516">
          <a:extLst>
            <a:ext uri="{FF2B5EF4-FFF2-40B4-BE49-F238E27FC236}">
              <a16:creationId xmlns:a16="http://schemas.microsoft.com/office/drawing/2014/main" id="{B8AB4C12-C6F4-4656-A4AD-E89CDA4613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8" name="Elipse 2517">
          <a:extLst>
            <a:ext uri="{FF2B5EF4-FFF2-40B4-BE49-F238E27FC236}">
              <a16:creationId xmlns:a16="http://schemas.microsoft.com/office/drawing/2014/main" id="{0D127E8C-9342-493A-BF0D-0CC9F36DDD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9" name="Elipse 2518">
          <a:extLst>
            <a:ext uri="{FF2B5EF4-FFF2-40B4-BE49-F238E27FC236}">
              <a16:creationId xmlns:a16="http://schemas.microsoft.com/office/drawing/2014/main" id="{D09F8063-796F-45A3-A587-39DABCAC05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0" name="Elipse 2519">
          <a:extLst>
            <a:ext uri="{FF2B5EF4-FFF2-40B4-BE49-F238E27FC236}">
              <a16:creationId xmlns:a16="http://schemas.microsoft.com/office/drawing/2014/main" id="{FD41F5AC-787A-413D-BC97-A2146E64C3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1" name="Elipse 2520">
          <a:extLst>
            <a:ext uri="{FF2B5EF4-FFF2-40B4-BE49-F238E27FC236}">
              <a16:creationId xmlns:a16="http://schemas.microsoft.com/office/drawing/2014/main" id="{F9BD8EC4-4BD8-411F-AF00-F9C7EE150F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2" name="Elipse 2521">
          <a:extLst>
            <a:ext uri="{FF2B5EF4-FFF2-40B4-BE49-F238E27FC236}">
              <a16:creationId xmlns:a16="http://schemas.microsoft.com/office/drawing/2014/main" id="{501F4E89-B636-4465-96B9-B0D9122A1E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3" name="Elipse 2522">
          <a:extLst>
            <a:ext uri="{FF2B5EF4-FFF2-40B4-BE49-F238E27FC236}">
              <a16:creationId xmlns:a16="http://schemas.microsoft.com/office/drawing/2014/main" id="{CD71938B-1E4C-49AE-ACEC-27867D67D3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4" name="Elipse 2523">
          <a:extLst>
            <a:ext uri="{FF2B5EF4-FFF2-40B4-BE49-F238E27FC236}">
              <a16:creationId xmlns:a16="http://schemas.microsoft.com/office/drawing/2014/main" id="{8D343CD9-7E14-4433-A5C8-D45271E0CF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5" name="Elipse 2524">
          <a:extLst>
            <a:ext uri="{FF2B5EF4-FFF2-40B4-BE49-F238E27FC236}">
              <a16:creationId xmlns:a16="http://schemas.microsoft.com/office/drawing/2014/main" id="{C413B44E-A72C-460A-ACE2-6E8BD0C674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6" name="Elipse 2525">
          <a:extLst>
            <a:ext uri="{FF2B5EF4-FFF2-40B4-BE49-F238E27FC236}">
              <a16:creationId xmlns:a16="http://schemas.microsoft.com/office/drawing/2014/main" id="{E164ED26-B4FC-4F1A-B959-8598D7567C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7" name="Elipse 2526">
          <a:extLst>
            <a:ext uri="{FF2B5EF4-FFF2-40B4-BE49-F238E27FC236}">
              <a16:creationId xmlns:a16="http://schemas.microsoft.com/office/drawing/2014/main" id="{2B551E62-4227-4E28-BB44-3C144854DB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8" name="Elipse 2527">
          <a:extLst>
            <a:ext uri="{FF2B5EF4-FFF2-40B4-BE49-F238E27FC236}">
              <a16:creationId xmlns:a16="http://schemas.microsoft.com/office/drawing/2014/main" id="{FB1F87C5-5FDE-4DDB-81EC-EA1F0BE0BA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9" name="Elipse 2528">
          <a:extLst>
            <a:ext uri="{FF2B5EF4-FFF2-40B4-BE49-F238E27FC236}">
              <a16:creationId xmlns:a16="http://schemas.microsoft.com/office/drawing/2014/main" id="{F2B30632-D997-4D8C-AFD3-1393AC0F55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0" name="Elipse 2529">
          <a:extLst>
            <a:ext uri="{FF2B5EF4-FFF2-40B4-BE49-F238E27FC236}">
              <a16:creationId xmlns:a16="http://schemas.microsoft.com/office/drawing/2014/main" id="{EAA0C36E-1418-421E-A903-93CFEBACB0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1" name="Elipse 2530">
          <a:extLst>
            <a:ext uri="{FF2B5EF4-FFF2-40B4-BE49-F238E27FC236}">
              <a16:creationId xmlns:a16="http://schemas.microsoft.com/office/drawing/2014/main" id="{61C1E841-A606-4E9E-8D72-7F311C86D3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2" name="Elipse 2531">
          <a:extLst>
            <a:ext uri="{FF2B5EF4-FFF2-40B4-BE49-F238E27FC236}">
              <a16:creationId xmlns:a16="http://schemas.microsoft.com/office/drawing/2014/main" id="{E6169084-303C-4857-8A34-D6996527F5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3" name="Elipse 2532">
          <a:extLst>
            <a:ext uri="{FF2B5EF4-FFF2-40B4-BE49-F238E27FC236}">
              <a16:creationId xmlns:a16="http://schemas.microsoft.com/office/drawing/2014/main" id="{136BF08F-8C43-4460-81BA-43AC96872A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4" name="Elipse 2533">
          <a:extLst>
            <a:ext uri="{FF2B5EF4-FFF2-40B4-BE49-F238E27FC236}">
              <a16:creationId xmlns:a16="http://schemas.microsoft.com/office/drawing/2014/main" id="{E22F6E93-386D-4D75-9003-25F9DF0CFB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5" name="Elipse 2534">
          <a:extLst>
            <a:ext uri="{FF2B5EF4-FFF2-40B4-BE49-F238E27FC236}">
              <a16:creationId xmlns:a16="http://schemas.microsoft.com/office/drawing/2014/main" id="{23D7A86A-D8A5-4759-B3C4-89B0024D4B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6" name="Elipse 2535">
          <a:extLst>
            <a:ext uri="{FF2B5EF4-FFF2-40B4-BE49-F238E27FC236}">
              <a16:creationId xmlns:a16="http://schemas.microsoft.com/office/drawing/2014/main" id="{08218AEF-8E51-4C48-B7A7-12ED87D5AE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7" name="Elipse 2536">
          <a:extLst>
            <a:ext uri="{FF2B5EF4-FFF2-40B4-BE49-F238E27FC236}">
              <a16:creationId xmlns:a16="http://schemas.microsoft.com/office/drawing/2014/main" id="{1DA20636-CF6B-432E-8F7B-35D0FA6CB6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8" name="Elipse 2537">
          <a:extLst>
            <a:ext uri="{FF2B5EF4-FFF2-40B4-BE49-F238E27FC236}">
              <a16:creationId xmlns:a16="http://schemas.microsoft.com/office/drawing/2014/main" id="{42559542-B6F7-41EB-A9D2-26F3045491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9" name="Elipse 2538">
          <a:extLst>
            <a:ext uri="{FF2B5EF4-FFF2-40B4-BE49-F238E27FC236}">
              <a16:creationId xmlns:a16="http://schemas.microsoft.com/office/drawing/2014/main" id="{C7791E37-0EB8-42FB-925E-C2736E382B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0" name="Elipse 2539">
          <a:extLst>
            <a:ext uri="{FF2B5EF4-FFF2-40B4-BE49-F238E27FC236}">
              <a16:creationId xmlns:a16="http://schemas.microsoft.com/office/drawing/2014/main" id="{6F405DF4-8B1B-4A31-837E-5E45E8E980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1" name="Elipse 2540">
          <a:extLst>
            <a:ext uri="{FF2B5EF4-FFF2-40B4-BE49-F238E27FC236}">
              <a16:creationId xmlns:a16="http://schemas.microsoft.com/office/drawing/2014/main" id="{5711D4A5-D8C5-46DE-99A4-48BE893A2B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2" name="Elipse 2541">
          <a:extLst>
            <a:ext uri="{FF2B5EF4-FFF2-40B4-BE49-F238E27FC236}">
              <a16:creationId xmlns:a16="http://schemas.microsoft.com/office/drawing/2014/main" id="{5C87B368-E54E-44E9-943D-85781AA252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3" name="Elipse 2542">
          <a:extLst>
            <a:ext uri="{FF2B5EF4-FFF2-40B4-BE49-F238E27FC236}">
              <a16:creationId xmlns:a16="http://schemas.microsoft.com/office/drawing/2014/main" id="{7A25F15A-682D-4319-9EEA-FFAFDCE712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4" name="Elipse 2543">
          <a:extLst>
            <a:ext uri="{FF2B5EF4-FFF2-40B4-BE49-F238E27FC236}">
              <a16:creationId xmlns:a16="http://schemas.microsoft.com/office/drawing/2014/main" id="{82BA289E-A6C4-47E9-8958-2B0EF8DC13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5" name="Elipse 2544">
          <a:extLst>
            <a:ext uri="{FF2B5EF4-FFF2-40B4-BE49-F238E27FC236}">
              <a16:creationId xmlns:a16="http://schemas.microsoft.com/office/drawing/2014/main" id="{084E184A-EFB9-4F5B-92ED-4A1B72FA74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6" name="Elipse 2545">
          <a:extLst>
            <a:ext uri="{FF2B5EF4-FFF2-40B4-BE49-F238E27FC236}">
              <a16:creationId xmlns:a16="http://schemas.microsoft.com/office/drawing/2014/main" id="{DFB790F3-5F36-43C2-8C92-45F9C16CAF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7" name="Elipse 2546">
          <a:extLst>
            <a:ext uri="{FF2B5EF4-FFF2-40B4-BE49-F238E27FC236}">
              <a16:creationId xmlns:a16="http://schemas.microsoft.com/office/drawing/2014/main" id="{13FD0C67-9897-4B53-99C9-BDCB6578E1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8" name="Elipse 2547">
          <a:extLst>
            <a:ext uri="{FF2B5EF4-FFF2-40B4-BE49-F238E27FC236}">
              <a16:creationId xmlns:a16="http://schemas.microsoft.com/office/drawing/2014/main" id="{8BFFDBB6-DE4B-4A2F-BAB7-B314044C5C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9" name="Elipse 2548">
          <a:extLst>
            <a:ext uri="{FF2B5EF4-FFF2-40B4-BE49-F238E27FC236}">
              <a16:creationId xmlns:a16="http://schemas.microsoft.com/office/drawing/2014/main" id="{812C1682-16F5-48BE-B2F9-711F31F762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0" name="Elipse 2549">
          <a:extLst>
            <a:ext uri="{FF2B5EF4-FFF2-40B4-BE49-F238E27FC236}">
              <a16:creationId xmlns:a16="http://schemas.microsoft.com/office/drawing/2014/main" id="{39E1B59B-C1A1-466E-8224-A36FB349C8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1" name="Elipse 2550">
          <a:extLst>
            <a:ext uri="{FF2B5EF4-FFF2-40B4-BE49-F238E27FC236}">
              <a16:creationId xmlns:a16="http://schemas.microsoft.com/office/drawing/2014/main" id="{1EF7E4DB-A18F-4618-9FAE-1E989766EC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2" name="Elipse 2551">
          <a:extLst>
            <a:ext uri="{FF2B5EF4-FFF2-40B4-BE49-F238E27FC236}">
              <a16:creationId xmlns:a16="http://schemas.microsoft.com/office/drawing/2014/main" id="{D1919BEF-9D8C-439E-ADE3-2B86E9B681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3" name="Elipse 2552">
          <a:extLst>
            <a:ext uri="{FF2B5EF4-FFF2-40B4-BE49-F238E27FC236}">
              <a16:creationId xmlns:a16="http://schemas.microsoft.com/office/drawing/2014/main" id="{59DECF23-8ADE-4812-84EB-E66785D727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4" name="Elipse 2553">
          <a:extLst>
            <a:ext uri="{FF2B5EF4-FFF2-40B4-BE49-F238E27FC236}">
              <a16:creationId xmlns:a16="http://schemas.microsoft.com/office/drawing/2014/main" id="{E69052A9-E054-49A5-9A9F-7EB40C39AC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5" name="Elipse 2554">
          <a:extLst>
            <a:ext uri="{FF2B5EF4-FFF2-40B4-BE49-F238E27FC236}">
              <a16:creationId xmlns:a16="http://schemas.microsoft.com/office/drawing/2014/main" id="{A12A4B73-7A4F-49A1-8922-B3B2F785CC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6" name="Elipse 2555">
          <a:extLst>
            <a:ext uri="{FF2B5EF4-FFF2-40B4-BE49-F238E27FC236}">
              <a16:creationId xmlns:a16="http://schemas.microsoft.com/office/drawing/2014/main" id="{7C01AA2F-4CB3-4A21-9E34-E96B7121D3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7" name="Elipse 2556">
          <a:extLst>
            <a:ext uri="{FF2B5EF4-FFF2-40B4-BE49-F238E27FC236}">
              <a16:creationId xmlns:a16="http://schemas.microsoft.com/office/drawing/2014/main" id="{58171282-0892-461A-AD85-C91EBA6EEB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8" name="Elipse 2557">
          <a:extLst>
            <a:ext uri="{FF2B5EF4-FFF2-40B4-BE49-F238E27FC236}">
              <a16:creationId xmlns:a16="http://schemas.microsoft.com/office/drawing/2014/main" id="{F103DB0F-ABE5-42F2-8F4F-ED8E7DDB74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9" name="Elipse 2558">
          <a:extLst>
            <a:ext uri="{FF2B5EF4-FFF2-40B4-BE49-F238E27FC236}">
              <a16:creationId xmlns:a16="http://schemas.microsoft.com/office/drawing/2014/main" id="{C1B86DDB-A360-48DD-8262-21E06ADE0A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0" name="Elipse 2559">
          <a:extLst>
            <a:ext uri="{FF2B5EF4-FFF2-40B4-BE49-F238E27FC236}">
              <a16:creationId xmlns:a16="http://schemas.microsoft.com/office/drawing/2014/main" id="{9054B0B6-3C45-44AC-9FAF-92F1813737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1" name="Elipse 2560">
          <a:extLst>
            <a:ext uri="{FF2B5EF4-FFF2-40B4-BE49-F238E27FC236}">
              <a16:creationId xmlns:a16="http://schemas.microsoft.com/office/drawing/2014/main" id="{581D606F-8C7F-43AB-9B87-F413751CA6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2" name="Elipse 2561">
          <a:extLst>
            <a:ext uri="{FF2B5EF4-FFF2-40B4-BE49-F238E27FC236}">
              <a16:creationId xmlns:a16="http://schemas.microsoft.com/office/drawing/2014/main" id="{9CDD4178-A7FD-4968-B431-03E8C1083C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3" name="Elipse 2562">
          <a:extLst>
            <a:ext uri="{FF2B5EF4-FFF2-40B4-BE49-F238E27FC236}">
              <a16:creationId xmlns:a16="http://schemas.microsoft.com/office/drawing/2014/main" id="{A1BB8DA7-95FB-464D-AE63-A82C9DC21F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4" name="Elipse 2563">
          <a:extLst>
            <a:ext uri="{FF2B5EF4-FFF2-40B4-BE49-F238E27FC236}">
              <a16:creationId xmlns:a16="http://schemas.microsoft.com/office/drawing/2014/main" id="{BF65B955-4AD0-4133-B923-D05E1A3952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5" name="Elipse 2564">
          <a:extLst>
            <a:ext uri="{FF2B5EF4-FFF2-40B4-BE49-F238E27FC236}">
              <a16:creationId xmlns:a16="http://schemas.microsoft.com/office/drawing/2014/main" id="{8EC4ADEF-E461-49AE-BD20-0FCCA087B5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6" name="Elipse 2565">
          <a:extLst>
            <a:ext uri="{FF2B5EF4-FFF2-40B4-BE49-F238E27FC236}">
              <a16:creationId xmlns:a16="http://schemas.microsoft.com/office/drawing/2014/main" id="{D4D7CD98-C92F-4837-9053-CEE37E19F3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7" name="Elipse 2566">
          <a:extLst>
            <a:ext uri="{FF2B5EF4-FFF2-40B4-BE49-F238E27FC236}">
              <a16:creationId xmlns:a16="http://schemas.microsoft.com/office/drawing/2014/main" id="{5108FE42-471E-486C-9B1A-B033881D2D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8" name="Elipse 2567">
          <a:extLst>
            <a:ext uri="{FF2B5EF4-FFF2-40B4-BE49-F238E27FC236}">
              <a16:creationId xmlns:a16="http://schemas.microsoft.com/office/drawing/2014/main" id="{68B885D8-17C5-4FBA-9F38-5D5DF44594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9" name="Elipse 2568">
          <a:extLst>
            <a:ext uri="{FF2B5EF4-FFF2-40B4-BE49-F238E27FC236}">
              <a16:creationId xmlns:a16="http://schemas.microsoft.com/office/drawing/2014/main" id="{42ABFD58-4BB1-4564-A5ED-9E1096D8FE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0" name="Elipse 2569">
          <a:extLst>
            <a:ext uri="{FF2B5EF4-FFF2-40B4-BE49-F238E27FC236}">
              <a16:creationId xmlns:a16="http://schemas.microsoft.com/office/drawing/2014/main" id="{2C44CFFF-9060-47AE-9C59-7240583B35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1" name="Elipse 2570">
          <a:extLst>
            <a:ext uri="{FF2B5EF4-FFF2-40B4-BE49-F238E27FC236}">
              <a16:creationId xmlns:a16="http://schemas.microsoft.com/office/drawing/2014/main" id="{F123276D-B261-47BE-BC1D-B47C6D64FA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2" name="Elipse 2571">
          <a:extLst>
            <a:ext uri="{FF2B5EF4-FFF2-40B4-BE49-F238E27FC236}">
              <a16:creationId xmlns:a16="http://schemas.microsoft.com/office/drawing/2014/main" id="{AAEC3484-4AB0-4099-9F8B-2CCA08E1E4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3" name="Elipse 2572">
          <a:extLst>
            <a:ext uri="{FF2B5EF4-FFF2-40B4-BE49-F238E27FC236}">
              <a16:creationId xmlns:a16="http://schemas.microsoft.com/office/drawing/2014/main" id="{E1229110-AB32-4CE6-98A0-979B5D2FC7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4" name="Elipse 2573">
          <a:extLst>
            <a:ext uri="{FF2B5EF4-FFF2-40B4-BE49-F238E27FC236}">
              <a16:creationId xmlns:a16="http://schemas.microsoft.com/office/drawing/2014/main" id="{4F6B54E3-76A1-4158-A219-D692BE1768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5" name="Elipse 2574">
          <a:extLst>
            <a:ext uri="{FF2B5EF4-FFF2-40B4-BE49-F238E27FC236}">
              <a16:creationId xmlns:a16="http://schemas.microsoft.com/office/drawing/2014/main" id="{9535C1B2-6AB3-4677-8A65-358BD2921C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6" name="Elipse 2575">
          <a:extLst>
            <a:ext uri="{FF2B5EF4-FFF2-40B4-BE49-F238E27FC236}">
              <a16:creationId xmlns:a16="http://schemas.microsoft.com/office/drawing/2014/main" id="{F1C73374-96F4-4083-9207-79003F7B12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7" name="Elipse 2576">
          <a:extLst>
            <a:ext uri="{FF2B5EF4-FFF2-40B4-BE49-F238E27FC236}">
              <a16:creationId xmlns:a16="http://schemas.microsoft.com/office/drawing/2014/main" id="{979588BB-BC72-44D6-8A6F-C982FDD174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8" name="Elipse 2577">
          <a:extLst>
            <a:ext uri="{FF2B5EF4-FFF2-40B4-BE49-F238E27FC236}">
              <a16:creationId xmlns:a16="http://schemas.microsoft.com/office/drawing/2014/main" id="{4FA6A84A-F9DE-48F9-A224-1A41AC4185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9" name="Elipse 2578">
          <a:extLst>
            <a:ext uri="{FF2B5EF4-FFF2-40B4-BE49-F238E27FC236}">
              <a16:creationId xmlns:a16="http://schemas.microsoft.com/office/drawing/2014/main" id="{EC06E166-6C85-4B4D-BD8C-71EDF66D33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0" name="Elipse 2579">
          <a:extLst>
            <a:ext uri="{FF2B5EF4-FFF2-40B4-BE49-F238E27FC236}">
              <a16:creationId xmlns:a16="http://schemas.microsoft.com/office/drawing/2014/main" id="{DF526579-C1B4-4CCF-82A5-0090452312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1" name="Elipse 2580">
          <a:extLst>
            <a:ext uri="{FF2B5EF4-FFF2-40B4-BE49-F238E27FC236}">
              <a16:creationId xmlns:a16="http://schemas.microsoft.com/office/drawing/2014/main" id="{29CEEB1A-4526-4DA5-85F7-B7F659E750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2" name="Elipse 2581">
          <a:extLst>
            <a:ext uri="{FF2B5EF4-FFF2-40B4-BE49-F238E27FC236}">
              <a16:creationId xmlns:a16="http://schemas.microsoft.com/office/drawing/2014/main" id="{9A066803-A1D7-4B68-954C-0759356D81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3" name="Elipse 2582">
          <a:extLst>
            <a:ext uri="{FF2B5EF4-FFF2-40B4-BE49-F238E27FC236}">
              <a16:creationId xmlns:a16="http://schemas.microsoft.com/office/drawing/2014/main" id="{5204BA53-4549-4E2A-A0F1-89FB714721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4" name="Elipse 2583">
          <a:extLst>
            <a:ext uri="{FF2B5EF4-FFF2-40B4-BE49-F238E27FC236}">
              <a16:creationId xmlns:a16="http://schemas.microsoft.com/office/drawing/2014/main" id="{F4686A3D-B94F-4653-A7C9-518F9062D8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5" name="Elipse 2584">
          <a:extLst>
            <a:ext uri="{FF2B5EF4-FFF2-40B4-BE49-F238E27FC236}">
              <a16:creationId xmlns:a16="http://schemas.microsoft.com/office/drawing/2014/main" id="{ECD1D3FC-1682-4013-B473-47F7BAB6FC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6" name="Elipse 2585">
          <a:extLst>
            <a:ext uri="{FF2B5EF4-FFF2-40B4-BE49-F238E27FC236}">
              <a16:creationId xmlns:a16="http://schemas.microsoft.com/office/drawing/2014/main" id="{EC43467D-1F57-48FA-A9F5-BB4956AE16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7" name="Elipse 2586">
          <a:extLst>
            <a:ext uri="{FF2B5EF4-FFF2-40B4-BE49-F238E27FC236}">
              <a16:creationId xmlns:a16="http://schemas.microsoft.com/office/drawing/2014/main" id="{18752864-CEC1-48AF-ADC2-C8E2051647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8" name="Elipse 2587">
          <a:extLst>
            <a:ext uri="{FF2B5EF4-FFF2-40B4-BE49-F238E27FC236}">
              <a16:creationId xmlns:a16="http://schemas.microsoft.com/office/drawing/2014/main" id="{76B349A7-D75B-4790-B1E5-517C02DC97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9" name="Elipse 2588">
          <a:extLst>
            <a:ext uri="{FF2B5EF4-FFF2-40B4-BE49-F238E27FC236}">
              <a16:creationId xmlns:a16="http://schemas.microsoft.com/office/drawing/2014/main" id="{225CDE38-DC10-4A42-9181-BCDC44010F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0" name="Elipse 2589">
          <a:extLst>
            <a:ext uri="{FF2B5EF4-FFF2-40B4-BE49-F238E27FC236}">
              <a16:creationId xmlns:a16="http://schemas.microsoft.com/office/drawing/2014/main" id="{FC2653BB-042F-415D-AE73-BE90D3A85E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1" name="Elipse 2590">
          <a:extLst>
            <a:ext uri="{FF2B5EF4-FFF2-40B4-BE49-F238E27FC236}">
              <a16:creationId xmlns:a16="http://schemas.microsoft.com/office/drawing/2014/main" id="{0C79D80B-90D8-4BE3-8960-9301229C21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2" name="Elipse 2591">
          <a:extLst>
            <a:ext uri="{FF2B5EF4-FFF2-40B4-BE49-F238E27FC236}">
              <a16:creationId xmlns:a16="http://schemas.microsoft.com/office/drawing/2014/main" id="{859E3734-E977-47BD-BC8F-8419632867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3" name="Elipse 2592">
          <a:extLst>
            <a:ext uri="{FF2B5EF4-FFF2-40B4-BE49-F238E27FC236}">
              <a16:creationId xmlns:a16="http://schemas.microsoft.com/office/drawing/2014/main" id="{FD203113-B38F-4ACA-A509-8FA619CBD7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4" name="Elipse 2593">
          <a:extLst>
            <a:ext uri="{FF2B5EF4-FFF2-40B4-BE49-F238E27FC236}">
              <a16:creationId xmlns:a16="http://schemas.microsoft.com/office/drawing/2014/main" id="{67A5B8B6-04DA-4580-BDEE-A24333865A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5" name="Elipse 2594">
          <a:extLst>
            <a:ext uri="{FF2B5EF4-FFF2-40B4-BE49-F238E27FC236}">
              <a16:creationId xmlns:a16="http://schemas.microsoft.com/office/drawing/2014/main" id="{8DED8E32-398B-494D-987B-F3C19CB674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6" name="Elipse 2595">
          <a:extLst>
            <a:ext uri="{FF2B5EF4-FFF2-40B4-BE49-F238E27FC236}">
              <a16:creationId xmlns:a16="http://schemas.microsoft.com/office/drawing/2014/main" id="{63D22066-67DB-47F1-9EF4-E3B91707BB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7" name="Elipse 2596">
          <a:extLst>
            <a:ext uri="{FF2B5EF4-FFF2-40B4-BE49-F238E27FC236}">
              <a16:creationId xmlns:a16="http://schemas.microsoft.com/office/drawing/2014/main" id="{7DCAC457-655B-474A-B850-9416D84DCE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8" name="Elipse 2597">
          <a:extLst>
            <a:ext uri="{FF2B5EF4-FFF2-40B4-BE49-F238E27FC236}">
              <a16:creationId xmlns:a16="http://schemas.microsoft.com/office/drawing/2014/main" id="{3A2F23E0-6108-4549-88B1-40F06949B8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9" name="Elipse 2598">
          <a:extLst>
            <a:ext uri="{FF2B5EF4-FFF2-40B4-BE49-F238E27FC236}">
              <a16:creationId xmlns:a16="http://schemas.microsoft.com/office/drawing/2014/main" id="{1745ED4F-5442-4EAD-96AE-FCBC574DC5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0" name="Elipse 2599">
          <a:extLst>
            <a:ext uri="{FF2B5EF4-FFF2-40B4-BE49-F238E27FC236}">
              <a16:creationId xmlns:a16="http://schemas.microsoft.com/office/drawing/2014/main" id="{7DA7FF87-BF4D-45E2-8CA1-A484C097FD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1" name="Elipse 2600">
          <a:extLst>
            <a:ext uri="{FF2B5EF4-FFF2-40B4-BE49-F238E27FC236}">
              <a16:creationId xmlns:a16="http://schemas.microsoft.com/office/drawing/2014/main" id="{381FF802-3801-4BE8-864F-02BD967AF1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2" name="Elipse 2601">
          <a:extLst>
            <a:ext uri="{FF2B5EF4-FFF2-40B4-BE49-F238E27FC236}">
              <a16:creationId xmlns:a16="http://schemas.microsoft.com/office/drawing/2014/main" id="{5EC61498-6D2A-49CB-9484-7955D0ABF6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3" name="Elipse 2602">
          <a:extLst>
            <a:ext uri="{FF2B5EF4-FFF2-40B4-BE49-F238E27FC236}">
              <a16:creationId xmlns:a16="http://schemas.microsoft.com/office/drawing/2014/main" id="{2FEB53C6-9695-4871-8F11-BEE237DEB6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4" name="Elipse 2603">
          <a:extLst>
            <a:ext uri="{FF2B5EF4-FFF2-40B4-BE49-F238E27FC236}">
              <a16:creationId xmlns:a16="http://schemas.microsoft.com/office/drawing/2014/main" id="{AE42F9B8-15C8-4E92-9523-A5F3F1C084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5" name="Elipse 2604">
          <a:extLst>
            <a:ext uri="{FF2B5EF4-FFF2-40B4-BE49-F238E27FC236}">
              <a16:creationId xmlns:a16="http://schemas.microsoft.com/office/drawing/2014/main" id="{4EEF57D5-2080-4D06-9290-E61AB8B48B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6" name="Elipse 2605">
          <a:extLst>
            <a:ext uri="{FF2B5EF4-FFF2-40B4-BE49-F238E27FC236}">
              <a16:creationId xmlns:a16="http://schemas.microsoft.com/office/drawing/2014/main" id="{0D29A883-253C-4690-B14C-62D06E6732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7" name="Elipse 2606">
          <a:extLst>
            <a:ext uri="{FF2B5EF4-FFF2-40B4-BE49-F238E27FC236}">
              <a16:creationId xmlns:a16="http://schemas.microsoft.com/office/drawing/2014/main" id="{6B705424-E7C2-4F0D-9AC8-5864F29283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8" name="Elipse 2607">
          <a:extLst>
            <a:ext uri="{FF2B5EF4-FFF2-40B4-BE49-F238E27FC236}">
              <a16:creationId xmlns:a16="http://schemas.microsoft.com/office/drawing/2014/main" id="{B9D67FD3-F6F2-409E-ABC6-7F5BAE1666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9" name="Elipse 2608">
          <a:extLst>
            <a:ext uri="{FF2B5EF4-FFF2-40B4-BE49-F238E27FC236}">
              <a16:creationId xmlns:a16="http://schemas.microsoft.com/office/drawing/2014/main" id="{C5322866-BE5D-4F75-B6CE-E702B4C67A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0" name="Elipse 2609">
          <a:extLst>
            <a:ext uri="{FF2B5EF4-FFF2-40B4-BE49-F238E27FC236}">
              <a16:creationId xmlns:a16="http://schemas.microsoft.com/office/drawing/2014/main" id="{C8C5C2B0-5D6F-4083-BD7C-0E4897D613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1" name="Elipse 2610">
          <a:extLst>
            <a:ext uri="{FF2B5EF4-FFF2-40B4-BE49-F238E27FC236}">
              <a16:creationId xmlns:a16="http://schemas.microsoft.com/office/drawing/2014/main" id="{814CD734-FA98-44A0-A65B-0DDCD87477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2" name="Elipse 2611">
          <a:extLst>
            <a:ext uri="{FF2B5EF4-FFF2-40B4-BE49-F238E27FC236}">
              <a16:creationId xmlns:a16="http://schemas.microsoft.com/office/drawing/2014/main" id="{31E7DFB0-4BF7-402F-AA07-54B61947D2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3" name="Elipse 2612">
          <a:extLst>
            <a:ext uri="{FF2B5EF4-FFF2-40B4-BE49-F238E27FC236}">
              <a16:creationId xmlns:a16="http://schemas.microsoft.com/office/drawing/2014/main" id="{23A0F46F-B415-48E7-803E-078B0147F1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4" name="Elipse 2613">
          <a:extLst>
            <a:ext uri="{FF2B5EF4-FFF2-40B4-BE49-F238E27FC236}">
              <a16:creationId xmlns:a16="http://schemas.microsoft.com/office/drawing/2014/main" id="{CF42B5B2-43DB-4451-94ED-974D7F62C7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5" name="Elipse 2614">
          <a:extLst>
            <a:ext uri="{FF2B5EF4-FFF2-40B4-BE49-F238E27FC236}">
              <a16:creationId xmlns:a16="http://schemas.microsoft.com/office/drawing/2014/main" id="{506AC4CB-D0FC-48FA-9361-A09327B4DA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6" name="Elipse 2615">
          <a:extLst>
            <a:ext uri="{FF2B5EF4-FFF2-40B4-BE49-F238E27FC236}">
              <a16:creationId xmlns:a16="http://schemas.microsoft.com/office/drawing/2014/main" id="{3006CBC4-5D49-4E1D-8F78-D89B9372A2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7" name="Elipse 2616">
          <a:extLst>
            <a:ext uri="{FF2B5EF4-FFF2-40B4-BE49-F238E27FC236}">
              <a16:creationId xmlns:a16="http://schemas.microsoft.com/office/drawing/2014/main" id="{8F07D501-E399-4BB5-9683-6F8D21247F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8" name="Elipse 2617">
          <a:extLst>
            <a:ext uri="{FF2B5EF4-FFF2-40B4-BE49-F238E27FC236}">
              <a16:creationId xmlns:a16="http://schemas.microsoft.com/office/drawing/2014/main" id="{5BE3EA77-E421-4A08-B821-A2C009824F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9" name="Elipse 2618">
          <a:extLst>
            <a:ext uri="{FF2B5EF4-FFF2-40B4-BE49-F238E27FC236}">
              <a16:creationId xmlns:a16="http://schemas.microsoft.com/office/drawing/2014/main" id="{89E25FAD-ECDD-4428-BD64-E07D9DA109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0" name="Elipse 2619">
          <a:extLst>
            <a:ext uri="{FF2B5EF4-FFF2-40B4-BE49-F238E27FC236}">
              <a16:creationId xmlns:a16="http://schemas.microsoft.com/office/drawing/2014/main" id="{AC8DEBA6-A5C6-406B-8A6C-4E7B55CA59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1" name="Elipse 2620">
          <a:extLst>
            <a:ext uri="{FF2B5EF4-FFF2-40B4-BE49-F238E27FC236}">
              <a16:creationId xmlns:a16="http://schemas.microsoft.com/office/drawing/2014/main" id="{AE54182F-0642-4549-8BD7-E69CF4E05E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2" name="Elipse 2621">
          <a:extLst>
            <a:ext uri="{FF2B5EF4-FFF2-40B4-BE49-F238E27FC236}">
              <a16:creationId xmlns:a16="http://schemas.microsoft.com/office/drawing/2014/main" id="{5D13CCEC-B270-4DFD-BB85-BBD0E8391B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3" name="Elipse 2622">
          <a:extLst>
            <a:ext uri="{FF2B5EF4-FFF2-40B4-BE49-F238E27FC236}">
              <a16:creationId xmlns:a16="http://schemas.microsoft.com/office/drawing/2014/main" id="{25DEC2A0-4789-4095-B501-CA41122752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4" name="Elipse 2623">
          <a:extLst>
            <a:ext uri="{FF2B5EF4-FFF2-40B4-BE49-F238E27FC236}">
              <a16:creationId xmlns:a16="http://schemas.microsoft.com/office/drawing/2014/main" id="{9628C648-B3CC-4504-B1B7-BB591A8F1D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5" name="Elipse 2624">
          <a:extLst>
            <a:ext uri="{FF2B5EF4-FFF2-40B4-BE49-F238E27FC236}">
              <a16:creationId xmlns:a16="http://schemas.microsoft.com/office/drawing/2014/main" id="{D7E994AC-632D-47A4-8B6F-F1FAF043DC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6" name="Elipse 2625">
          <a:extLst>
            <a:ext uri="{FF2B5EF4-FFF2-40B4-BE49-F238E27FC236}">
              <a16:creationId xmlns:a16="http://schemas.microsoft.com/office/drawing/2014/main" id="{439DCB8F-89FA-4117-AD8D-B024BE310C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7" name="Elipse 2626">
          <a:extLst>
            <a:ext uri="{FF2B5EF4-FFF2-40B4-BE49-F238E27FC236}">
              <a16:creationId xmlns:a16="http://schemas.microsoft.com/office/drawing/2014/main" id="{4DC449C2-243E-489C-BB66-EE68833D40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8" name="Elipse 2627">
          <a:extLst>
            <a:ext uri="{FF2B5EF4-FFF2-40B4-BE49-F238E27FC236}">
              <a16:creationId xmlns:a16="http://schemas.microsoft.com/office/drawing/2014/main" id="{6F13D601-CC77-426A-AE72-0FE63F5BEE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9" name="Elipse 2628">
          <a:extLst>
            <a:ext uri="{FF2B5EF4-FFF2-40B4-BE49-F238E27FC236}">
              <a16:creationId xmlns:a16="http://schemas.microsoft.com/office/drawing/2014/main" id="{94067F21-F9F2-454E-981E-4EE94C7664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0" name="Elipse 2629">
          <a:extLst>
            <a:ext uri="{FF2B5EF4-FFF2-40B4-BE49-F238E27FC236}">
              <a16:creationId xmlns:a16="http://schemas.microsoft.com/office/drawing/2014/main" id="{D34EA4F0-1B87-4AC0-BA68-0865E1F5C2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1" name="Elipse 2630">
          <a:extLst>
            <a:ext uri="{FF2B5EF4-FFF2-40B4-BE49-F238E27FC236}">
              <a16:creationId xmlns:a16="http://schemas.microsoft.com/office/drawing/2014/main" id="{F7C0750E-8F94-4204-93F1-91A47DE50B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2" name="Elipse 2631">
          <a:extLst>
            <a:ext uri="{FF2B5EF4-FFF2-40B4-BE49-F238E27FC236}">
              <a16:creationId xmlns:a16="http://schemas.microsoft.com/office/drawing/2014/main" id="{6C4F119C-0E11-4B1B-B1FA-4D4AD7B24B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3" name="Elipse 2632">
          <a:extLst>
            <a:ext uri="{FF2B5EF4-FFF2-40B4-BE49-F238E27FC236}">
              <a16:creationId xmlns:a16="http://schemas.microsoft.com/office/drawing/2014/main" id="{CC9A6A06-F714-4FFD-B826-B4F6A8B395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4" name="Elipse 2633">
          <a:extLst>
            <a:ext uri="{FF2B5EF4-FFF2-40B4-BE49-F238E27FC236}">
              <a16:creationId xmlns:a16="http://schemas.microsoft.com/office/drawing/2014/main" id="{F66E9343-09EA-4CBC-9BBA-E505085525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5" name="Elipse 2634">
          <a:extLst>
            <a:ext uri="{FF2B5EF4-FFF2-40B4-BE49-F238E27FC236}">
              <a16:creationId xmlns:a16="http://schemas.microsoft.com/office/drawing/2014/main" id="{8C6518FC-60EA-4E5B-A749-F9636BEA8B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6" name="Elipse 2635">
          <a:extLst>
            <a:ext uri="{FF2B5EF4-FFF2-40B4-BE49-F238E27FC236}">
              <a16:creationId xmlns:a16="http://schemas.microsoft.com/office/drawing/2014/main" id="{3E666F7E-C603-4D3C-9FD7-B0BBDDEBB4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7" name="Elipse 2636">
          <a:extLst>
            <a:ext uri="{FF2B5EF4-FFF2-40B4-BE49-F238E27FC236}">
              <a16:creationId xmlns:a16="http://schemas.microsoft.com/office/drawing/2014/main" id="{8C79E32C-6AEE-4FCE-9A85-9EE6337E54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8" name="Elipse 2637">
          <a:extLst>
            <a:ext uri="{FF2B5EF4-FFF2-40B4-BE49-F238E27FC236}">
              <a16:creationId xmlns:a16="http://schemas.microsoft.com/office/drawing/2014/main" id="{1085956B-198E-423C-85E4-C258E3A0D3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9" name="Elipse 2638">
          <a:extLst>
            <a:ext uri="{FF2B5EF4-FFF2-40B4-BE49-F238E27FC236}">
              <a16:creationId xmlns:a16="http://schemas.microsoft.com/office/drawing/2014/main" id="{C92D2EF4-A507-400D-BF63-56F4F5084A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0" name="Elipse 2639">
          <a:extLst>
            <a:ext uri="{FF2B5EF4-FFF2-40B4-BE49-F238E27FC236}">
              <a16:creationId xmlns:a16="http://schemas.microsoft.com/office/drawing/2014/main" id="{FA743279-2267-4874-9997-AD463E728C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1" name="Elipse 2640">
          <a:extLst>
            <a:ext uri="{FF2B5EF4-FFF2-40B4-BE49-F238E27FC236}">
              <a16:creationId xmlns:a16="http://schemas.microsoft.com/office/drawing/2014/main" id="{5934663F-1D1D-4695-A972-6CD6ADC59E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2" name="Elipse 2641">
          <a:extLst>
            <a:ext uri="{FF2B5EF4-FFF2-40B4-BE49-F238E27FC236}">
              <a16:creationId xmlns:a16="http://schemas.microsoft.com/office/drawing/2014/main" id="{F62C9762-A5A5-416F-A812-2084C9D42B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3" name="Elipse 2642">
          <a:extLst>
            <a:ext uri="{FF2B5EF4-FFF2-40B4-BE49-F238E27FC236}">
              <a16:creationId xmlns:a16="http://schemas.microsoft.com/office/drawing/2014/main" id="{DD9E08A6-3FB0-4E25-985B-7146C7EDCA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4" name="Elipse 2643">
          <a:extLst>
            <a:ext uri="{FF2B5EF4-FFF2-40B4-BE49-F238E27FC236}">
              <a16:creationId xmlns:a16="http://schemas.microsoft.com/office/drawing/2014/main" id="{57E5B84B-B470-4172-A7B2-3A96ACF079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5" name="Elipse 2644">
          <a:extLst>
            <a:ext uri="{FF2B5EF4-FFF2-40B4-BE49-F238E27FC236}">
              <a16:creationId xmlns:a16="http://schemas.microsoft.com/office/drawing/2014/main" id="{1923A9AF-B002-4849-9158-3829B68448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6" name="Elipse 2645">
          <a:extLst>
            <a:ext uri="{FF2B5EF4-FFF2-40B4-BE49-F238E27FC236}">
              <a16:creationId xmlns:a16="http://schemas.microsoft.com/office/drawing/2014/main" id="{FC073C4A-1BD7-4F71-84AA-EA178E538B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7" name="Elipse 2646">
          <a:extLst>
            <a:ext uri="{FF2B5EF4-FFF2-40B4-BE49-F238E27FC236}">
              <a16:creationId xmlns:a16="http://schemas.microsoft.com/office/drawing/2014/main" id="{EB419AE2-9B29-4C65-BC37-E313F9C2B3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8" name="Elipse 2647">
          <a:extLst>
            <a:ext uri="{FF2B5EF4-FFF2-40B4-BE49-F238E27FC236}">
              <a16:creationId xmlns:a16="http://schemas.microsoft.com/office/drawing/2014/main" id="{82F18B62-7B5F-4F32-A188-E6AADE8742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9" name="Elipse 2648">
          <a:extLst>
            <a:ext uri="{FF2B5EF4-FFF2-40B4-BE49-F238E27FC236}">
              <a16:creationId xmlns:a16="http://schemas.microsoft.com/office/drawing/2014/main" id="{D925D6A8-D733-46DA-B05C-1482AAF14D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0" name="Elipse 2649">
          <a:extLst>
            <a:ext uri="{FF2B5EF4-FFF2-40B4-BE49-F238E27FC236}">
              <a16:creationId xmlns:a16="http://schemas.microsoft.com/office/drawing/2014/main" id="{22E7FF0F-8B84-4784-B483-547861A529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1" name="Elipse 2650">
          <a:extLst>
            <a:ext uri="{FF2B5EF4-FFF2-40B4-BE49-F238E27FC236}">
              <a16:creationId xmlns:a16="http://schemas.microsoft.com/office/drawing/2014/main" id="{8CC26EC9-A70E-4D29-906C-6E80C1B42C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2" name="Elipse 2651">
          <a:extLst>
            <a:ext uri="{FF2B5EF4-FFF2-40B4-BE49-F238E27FC236}">
              <a16:creationId xmlns:a16="http://schemas.microsoft.com/office/drawing/2014/main" id="{EF096E4E-A88E-41E9-B447-A35BD24D54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3" name="Elipse 2652">
          <a:extLst>
            <a:ext uri="{FF2B5EF4-FFF2-40B4-BE49-F238E27FC236}">
              <a16:creationId xmlns:a16="http://schemas.microsoft.com/office/drawing/2014/main" id="{FA9EBD58-3845-4D9C-B35D-5D00AE9039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4" name="Elipse 2653">
          <a:extLst>
            <a:ext uri="{FF2B5EF4-FFF2-40B4-BE49-F238E27FC236}">
              <a16:creationId xmlns:a16="http://schemas.microsoft.com/office/drawing/2014/main" id="{C988F7FC-5BA1-44C9-A273-262CD5D327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5" name="Elipse 2654">
          <a:extLst>
            <a:ext uri="{FF2B5EF4-FFF2-40B4-BE49-F238E27FC236}">
              <a16:creationId xmlns:a16="http://schemas.microsoft.com/office/drawing/2014/main" id="{E093FE5B-BF87-477B-A38E-3E67DA5C9E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6" name="Elipse 2655">
          <a:extLst>
            <a:ext uri="{FF2B5EF4-FFF2-40B4-BE49-F238E27FC236}">
              <a16:creationId xmlns:a16="http://schemas.microsoft.com/office/drawing/2014/main" id="{6C2C0249-768D-4286-BB60-326C17B64B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7" name="Elipse 2656">
          <a:extLst>
            <a:ext uri="{FF2B5EF4-FFF2-40B4-BE49-F238E27FC236}">
              <a16:creationId xmlns:a16="http://schemas.microsoft.com/office/drawing/2014/main" id="{CEEE7AF6-C490-4A48-84F0-8762B80CFB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8" name="Elipse 2657">
          <a:extLst>
            <a:ext uri="{FF2B5EF4-FFF2-40B4-BE49-F238E27FC236}">
              <a16:creationId xmlns:a16="http://schemas.microsoft.com/office/drawing/2014/main" id="{B5EC5301-C295-49DF-AD95-26A7D3E16D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9" name="Elipse 2658">
          <a:extLst>
            <a:ext uri="{FF2B5EF4-FFF2-40B4-BE49-F238E27FC236}">
              <a16:creationId xmlns:a16="http://schemas.microsoft.com/office/drawing/2014/main" id="{8C974678-FCE7-4CAF-93DC-D4C1C22B58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0" name="Elipse 2659">
          <a:extLst>
            <a:ext uri="{FF2B5EF4-FFF2-40B4-BE49-F238E27FC236}">
              <a16:creationId xmlns:a16="http://schemas.microsoft.com/office/drawing/2014/main" id="{C2446A70-4478-4D90-A29D-2291A652C8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1" name="Elipse 2660">
          <a:extLst>
            <a:ext uri="{FF2B5EF4-FFF2-40B4-BE49-F238E27FC236}">
              <a16:creationId xmlns:a16="http://schemas.microsoft.com/office/drawing/2014/main" id="{8DA8D3E6-37F9-4765-91EC-2BC4D2E821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2" name="Elipse 2661">
          <a:extLst>
            <a:ext uri="{FF2B5EF4-FFF2-40B4-BE49-F238E27FC236}">
              <a16:creationId xmlns:a16="http://schemas.microsoft.com/office/drawing/2014/main" id="{64381035-003C-45DA-9B4A-35BF8C99F1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3" name="Elipse 2662">
          <a:extLst>
            <a:ext uri="{FF2B5EF4-FFF2-40B4-BE49-F238E27FC236}">
              <a16:creationId xmlns:a16="http://schemas.microsoft.com/office/drawing/2014/main" id="{2CE7EA6C-ADE2-4B0D-83FD-14B28C5891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4" name="Elipse 2663">
          <a:extLst>
            <a:ext uri="{FF2B5EF4-FFF2-40B4-BE49-F238E27FC236}">
              <a16:creationId xmlns:a16="http://schemas.microsoft.com/office/drawing/2014/main" id="{007FC5EB-3438-4E96-9B22-1CF59D0972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5" name="Elipse 2664">
          <a:extLst>
            <a:ext uri="{FF2B5EF4-FFF2-40B4-BE49-F238E27FC236}">
              <a16:creationId xmlns:a16="http://schemas.microsoft.com/office/drawing/2014/main" id="{5AA7A5EE-6714-4244-A7F2-6311C79B5F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6" name="Elipse 2665">
          <a:extLst>
            <a:ext uri="{FF2B5EF4-FFF2-40B4-BE49-F238E27FC236}">
              <a16:creationId xmlns:a16="http://schemas.microsoft.com/office/drawing/2014/main" id="{334A53AA-FB01-4853-BC69-2040779C17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7" name="Elipse 2666">
          <a:extLst>
            <a:ext uri="{FF2B5EF4-FFF2-40B4-BE49-F238E27FC236}">
              <a16:creationId xmlns:a16="http://schemas.microsoft.com/office/drawing/2014/main" id="{FC60F85F-B98B-470A-934A-92B5C990C7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8" name="Elipse 2667">
          <a:extLst>
            <a:ext uri="{FF2B5EF4-FFF2-40B4-BE49-F238E27FC236}">
              <a16:creationId xmlns:a16="http://schemas.microsoft.com/office/drawing/2014/main" id="{D0CD6A21-124B-43EC-9A03-1549A0CBF2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9" name="Elipse 2668">
          <a:extLst>
            <a:ext uri="{FF2B5EF4-FFF2-40B4-BE49-F238E27FC236}">
              <a16:creationId xmlns:a16="http://schemas.microsoft.com/office/drawing/2014/main" id="{064BDF87-5920-4A20-BDD4-F9DAC20212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0" name="Elipse 2669">
          <a:extLst>
            <a:ext uri="{FF2B5EF4-FFF2-40B4-BE49-F238E27FC236}">
              <a16:creationId xmlns:a16="http://schemas.microsoft.com/office/drawing/2014/main" id="{647EC8D8-D3BA-4AC2-9735-6FEE02E441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1" name="Elipse 2670">
          <a:extLst>
            <a:ext uri="{FF2B5EF4-FFF2-40B4-BE49-F238E27FC236}">
              <a16:creationId xmlns:a16="http://schemas.microsoft.com/office/drawing/2014/main" id="{EF836DF1-FADE-4BCC-A18D-B13500C62C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2" name="Elipse 2671">
          <a:extLst>
            <a:ext uri="{FF2B5EF4-FFF2-40B4-BE49-F238E27FC236}">
              <a16:creationId xmlns:a16="http://schemas.microsoft.com/office/drawing/2014/main" id="{5F999984-EA30-4FE8-8CF1-204FF1006B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3" name="Elipse 2672">
          <a:extLst>
            <a:ext uri="{FF2B5EF4-FFF2-40B4-BE49-F238E27FC236}">
              <a16:creationId xmlns:a16="http://schemas.microsoft.com/office/drawing/2014/main" id="{7FF35202-E604-4706-8C56-ED520F8D86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4" name="Elipse 2673">
          <a:extLst>
            <a:ext uri="{FF2B5EF4-FFF2-40B4-BE49-F238E27FC236}">
              <a16:creationId xmlns:a16="http://schemas.microsoft.com/office/drawing/2014/main" id="{43323BE2-1EB5-46CB-A74D-2C842168E8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5" name="Elipse 2674">
          <a:extLst>
            <a:ext uri="{FF2B5EF4-FFF2-40B4-BE49-F238E27FC236}">
              <a16:creationId xmlns:a16="http://schemas.microsoft.com/office/drawing/2014/main" id="{07B4D2A9-23D6-4D9F-A973-2E1F02F715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6" name="Elipse 2675">
          <a:extLst>
            <a:ext uri="{FF2B5EF4-FFF2-40B4-BE49-F238E27FC236}">
              <a16:creationId xmlns:a16="http://schemas.microsoft.com/office/drawing/2014/main" id="{6C86B78E-F1C5-480F-AAA8-C097F65A4D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7" name="Elipse 2676">
          <a:extLst>
            <a:ext uri="{FF2B5EF4-FFF2-40B4-BE49-F238E27FC236}">
              <a16:creationId xmlns:a16="http://schemas.microsoft.com/office/drawing/2014/main" id="{58541D34-B399-4561-82A9-DB059DCCF9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8" name="Elipse 2677">
          <a:extLst>
            <a:ext uri="{FF2B5EF4-FFF2-40B4-BE49-F238E27FC236}">
              <a16:creationId xmlns:a16="http://schemas.microsoft.com/office/drawing/2014/main" id="{D88DCCDC-1A20-4FD4-B099-1B941776DC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9" name="Elipse 2678">
          <a:extLst>
            <a:ext uri="{FF2B5EF4-FFF2-40B4-BE49-F238E27FC236}">
              <a16:creationId xmlns:a16="http://schemas.microsoft.com/office/drawing/2014/main" id="{5D8EC896-5477-4422-82AD-504DB6AA26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0" name="Elipse 2679">
          <a:extLst>
            <a:ext uri="{FF2B5EF4-FFF2-40B4-BE49-F238E27FC236}">
              <a16:creationId xmlns:a16="http://schemas.microsoft.com/office/drawing/2014/main" id="{1C3D3BDD-8F03-417E-AFC0-A16FF0F3D8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1" name="Elipse 2680">
          <a:extLst>
            <a:ext uri="{FF2B5EF4-FFF2-40B4-BE49-F238E27FC236}">
              <a16:creationId xmlns:a16="http://schemas.microsoft.com/office/drawing/2014/main" id="{33CC93AF-2741-4207-9E48-BF263204D7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2" name="Elipse 2681">
          <a:extLst>
            <a:ext uri="{FF2B5EF4-FFF2-40B4-BE49-F238E27FC236}">
              <a16:creationId xmlns:a16="http://schemas.microsoft.com/office/drawing/2014/main" id="{739C3A1D-FB3F-4531-989B-EA038A08AC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3" name="Elipse 2682">
          <a:extLst>
            <a:ext uri="{FF2B5EF4-FFF2-40B4-BE49-F238E27FC236}">
              <a16:creationId xmlns:a16="http://schemas.microsoft.com/office/drawing/2014/main" id="{0B8459B1-D767-43D8-9DCE-E55DCF2719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4" name="Elipse 2683">
          <a:extLst>
            <a:ext uri="{FF2B5EF4-FFF2-40B4-BE49-F238E27FC236}">
              <a16:creationId xmlns:a16="http://schemas.microsoft.com/office/drawing/2014/main" id="{AA6962BE-CD65-4A7F-A232-790B814FA6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5" name="Elipse 2684">
          <a:extLst>
            <a:ext uri="{FF2B5EF4-FFF2-40B4-BE49-F238E27FC236}">
              <a16:creationId xmlns:a16="http://schemas.microsoft.com/office/drawing/2014/main" id="{23A5EB0A-15D6-4625-BA3A-BB38ACBEA6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6" name="Elipse 2685">
          <a:extLst>
            <a:ext uri="{FF2B5EF4-FFF2-40B4-BE49-F238E27FC236}">
              <a16:creationId xmlns:a16="http://schemas.microsoft.com/office/drawing/2014/main" id="{42CC8F1D-6756-4B74-B231-EDBF69B01F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7" name="Elipse 2686">
          <a:extLst>
            <a:ext uri="{FF2B5EF4-FFF2-40B4-BE49-F238E27FC236}">
              <a16:creationId xmlns:a16="http://schemas.microsoft.com/office/drawing/2014/main" id="{DF4D8469-18E3-4122-BAEE-2A7DFA8CEA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8" name="Elipse 2687">
          <a:extLst>
            <a:ext uri="{FF2B5EF4-FFF2-40B4-BE49-F238E27FC236}">
              <a16:creationId xmlns:a16="http://schemas.microsoft.com/office/drawing/2014/main" id="{A7811A1F-5DA7-41F6-94D0-AF5E599810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9" name="Elipse 2688">
          <a:extLst>
            <a:ext uri="{FF2B5EF4-FFF2-40B4-BE49-F238E27FC236}">
              <a16:creationId xmlns:a16="http://schemas.microsoft.com/office/drawing/2014/main" id="{3A65D012-C0A2-4F70-8FB0-8AA7855E3B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0" name="Elipse 2689">
          <a:extLst>
            <a:ext uri="{FF2B5EF4-FFF2-40B4-BE49-F238E27FC236}">
              <a16:creationId xmlns:a16="http://schemas.microsoft.com/office/drawing/2014/main" id="{4DB6A595-1B18-438F-9989-6BFBA0A4DC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1" name="Elipse 2690">
          <a:extLst>
            <a:ext uri="{FF2B5EF4-FFF2-40B4-BE49-F238E27FC236}">
              <a16:creationId xmlns:a16="http://schemas.microsoft.com/office/drawing/2014/main" id="{CB549171-9BBF-43FE-B36B-F7436ABE03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2" name="Elipse 2691">
          <a:extLst>
            <a:ext uri="{FF2B5EF4-FFF2-40B4-BE49-F238E27FC236}">
              <a16:creationId xmlns:a16="http://schemas.microsoft.com/office/drawing/2014/main" id="{810C8F0E-80C5-400E-B6F4-8F81FCF470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3" name="Elipse 2692">
          <a:extLst>
            <a:ext uri="{FF2B5EF4-FFF2-40B4-BE49-F238E27FC236}">
              <a16:creationId xmlns:a16="http://schemas.microsoft.com/office/drawing/2014/main" id="{8D3E921D-698E-4DAB-A0A5-2A7F620792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4" name="Elipse 2693">
          <a:extLst>
            <a:ext uri="{FF2B5EF4-FFF2-40B4-BE49-F238E27FC236}">
              <a16:creationId xmlns:a16="http://schemas.microsoft.com/office/drawing/2014/main" id="{88C806B7-DED5-4671-B136-EE9C1B3597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5" name="Elipse 2694">
          <a:extLst>
            <a:ext uri="{FF2B5EF4-FFF2-40B4-BE49-F238E27FC236}">
              <a16:creationId xmlns:a16="http://schemas.microsoft.com/office/drawing/2014/main" id="{400DCEEA-7422-48F4-ACAD-57DB3DEE4A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6" name="Elipse 2695">
          <a:extLst>
            <a:ext uri="{FF2B5EF4-FFF2-40B4-BE49-F238E27FC236}">
              <a16:creationId xmlns:a16="http://schemas.microsoft.com/office/drawing/2014/main" id="{A1D95DD0-005E-49C9-B384-90DAFDFA6E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7" name="Elipse 2696">
          <a:extLst>
            <a:ext uri="{FF2B5EF4-FFF2-40B4-BE49-F238E27FC236}">
              <a16:creationId xmlns:a16="http://schemas.microsoft.com/office/drawing/2014/main" id="{5A27A6F3-4313-46B4-8554-5B3C49C065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8" name="Elipse 2697">
          <a:extLst>
            <a:ext uri="{FF2B5EF4-FFF2-40B4-BE49-F238E27FC236}">
              <a16:creationId xmlns:a16="http://schemas.microsoft.com/office/drawing/2014/main" id="{F59CF988-B14A-4814-8091-78E00BC540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9" name="Elipse 2698">
          <a:extLst>
            <a:ext uri="{FF2B5EF4-FFF2-40B4-BE49-F238E27FC236}">
              <a16:creationId xmlns:a16="http://schemas.microsoft.com/office/drawing/2014/main" id="{7AD3D517-4AB6-463F-A0F0-EA170E0B39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0" name="Elipse 2699">
          <a:extLst>
            <a:ext uri="{FF2B5EF4-FFF2-40B4-BE49-F238E27FC236}">
              <a16:creationId xmlns:a16="http://schemas.microsoft.com/office/drawing/2014/main" id="{4A19939B-A20A-4463-A133-B01F0432C6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1" name="Elipse 2700">
          <a:extLst>
            <a:ext uri="{FF2B5EF4-FFF2-40B4-BE49-F238E27FC236}">
              <a16:creationId xmlns:a16="http://schemas.microsoft.com/office/drawing/2014/main" id="{4C9808CB-D321-40D7-8F13-5910BA6D7E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2" name="Elipse 2701">
          <a:extLst>
            <a:ext uri="{FF2B5EF4-FFF2-40B4-BE49-F238E27FC236}">
              <a16:creationId xmlns:a16="http://schemas.microsoft.com/office/drawing/2014/main" id="{DCC61AAC-573E-4E9E-BF87-C09C1422E1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3" name="Elipse 2702">
          <a:extLst>
            <a:ext uri="{FF2B5EF4-FFF2-40B4-BE49-F238E27FC236}">
              <a16:creationId xmlns:a16="http://schemas.microsoft.com/office/drawing/2014/main" id="{BCE2DCD9-0F9B-43A9-B884-51ABDF78C2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4" name="Elipse 2703">
          <a:extLst>
            <a:ext uri="{FF2B5EF4-FFF2-40B4-BE49-F238E27FC236}">
              <a16:creationId xmlns:a16="http://schemas.microsoft.com/office/drawing/2014/main" id="{50B341C2-C294-450E-B7B1-15FA19BF32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5" name="Elipse 2704">
          <a:extLst>
            <a:ext uri="{FF2B5EF4-FFF2-40B4-BE49-F238E27FC236}">
              <a16:creationId xmlns:a16="http://schemas.microsoft.com/office/drawing/2014/main" id="{AD10CA18-2886-4243-93E9-74528A7CDC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6" name="Elipse 2705">
          <a:extLst>
            <a:ext uri="{FF2B5EF4-FFF2-40B4-BE49-F238E27FC236}">
              <a16:creationId xmlns:a16="http://schemas.microsoft.com/office/drawing/2014/main" id="{5896C9AB-74F9-4FBB-A192-3813F8553B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7" name="Elipse 2706">
          <a:extLst>
            <a:ext uri="{FF2B5EF4-FFF2-40B4-BE49-F238E27FC236}">
              <a16:creationId xmlns:a16="http://schemas.microsoft.com/office/drawing/2014/main" id="{5027B22B-94F7-4D00-834C-D1285AE173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8" name="Elipse 2707">
          <a:extLst>
            <a:ext uri="{FF2B5EF4-FFF2-40B4-BE49-F238E27FC236}">
              <a16:creationId xmlns:a16="http://schemas.microsoft.com/office/drawing/2014/main" id="{690865BA-745A-471C-B48C-D62AD6AB99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9" name="Elipse 2708">
          <a:extLst>
            <a:ext uri="{FF2B5EF4-FFF2-40B4-BE49-F238E27FC236}">
              <a16:creationId xmlns:a16="http://schemas.microsoft.com/office/drawing/2014/main" id="{F22B9F87-5A51-4397-A943-D45B750E2E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0" name="Elipse 2709">
          <a:extLst>
            <a:ext uri="{FF2B5EF4-FFF2-40B4-BE49-F238E27FC236}">
              <a16:creationId xmlns:a16="http://schemas.microsoft.com/office/drawing/2014/main" id="{D1E9D1A0-B07D-40EF-870C-AA8D02DA62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1" name="Elipse 2710">
          <a:extLst>
            <a:ext uri="{FF2B5EF4-FFF2-40B4-BE49-F238E27FC236}">
              <a16:creationId xmlns:a16="http://schemas.microsoft.com/office/drawing/2014/main" id="{643665F1-0682-4762-B07E-D972339E41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2" name="Elipse 2711">
          <a:extLst>
            <a:ext uri="{FF2B5EF4-FFF2-40B4-BE49-F238E27FC236}">
              <a16:creationId xmlns:a16="http://schemas.microsoft.com/office/drawing/2014/main" id="{A1024E83-7C8F-4753-B888-FAB5F86C2F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3" name="Elipse 2712">
          <a:extLst>
            <a:ext uri="{FF2B5EF4-FFF2-40B4-BE49-F238E27FC236}">
              <a16:creationId xmlns:a16="http://schemas.microsoft.com/office/drawing/2014/main" id="{F13B0D14-C955-4092-99DC-4613D029B7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4" name="Elipse 2713">
          <a:extLst>
            <a:ext uri="{FF2B5EF4-FFF2-40B4-BE49-F238E27FC236}">
              <a16:creationId xmlns:a16="http://schemas.microsoft.com/office/drawing/2014/main" id="{1BA99E56-A2C8-4D0F-825C-6CC4EAB592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5" name="Elipse 2714">
          <a:extLst>
            <a:ext uri="{FF2B5EF4-FFF2-40B4-BE49-F238E27FC236}">
              <a16:creationId xmlns:a16="http://schemas.microsoft.com/office/drawing/2014/main" id="{B1CFC654-1DAA-4471-A2B3-10ADBE6C7E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6" name="Elipse 2715">
          <a:extLst>
            <a:ext uri="{FF2B5EF4-FFF2-40B4-BE49-F238E27FC236}">
              <a16:creationId xmlns:a16="http://schemas.microsoft.com/office/drawing/2014/main" id="{64273F8C-70E3-4B64-A444-D65E8042BD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7" name="Elipse 2716">
          <a:extLst>
            <a:ext uri="{FF2B5EF4-FFF2-40B4-BE49-F238E27FC236}">
              <a16:creationId xmlns:a16="http://schemas.microsoft.com/office/drawing/2014/main" id="{63C5954F-9E98-481E-9084-712C7DC2B2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8" name="Elipse 2717">
          <a:extLst>
            <a:ext uri="{FF2B5EF4-FFF2-40B4-BE49-F238E27FC236}">
              <a16:creationId xmlns:a16="http://schemas.microsoft.com/office/drawing/2014/main" id="{AE390DE5-0D08-49A8-8BEF-4C12EA415B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9" name="Elipse 2718">
          <a:extLst>
            <a:ext uri="{FF2B5EF4-FFF2-40B4-BE49-F238E27FC236}">
              <a16:creationId xmlns:a16="http://schemas.microsoft.com/office/drawing/2014/main" id="{DC2CD8CE-6355-460E-B696-88F92BC44F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0" name="Elipse 2719">
          <a:extLst>
            <a:ext uri="{FF2B5EF4-FFF2-40B4-BE49-F238E27FC236}">
              <a16:creationId xmlns:a16="http://schemas.microsoft.com/office/drawing/2014/main" id="{AA5FE8C7-F5C5-4783-970B-FEE605BC08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1" name="Elipse 2720">
          <a:extLst>
            <a:ext uri="{FF2B5EF4-FFF2-40B4-BE49-F238E27FC236}">
              <a16:creationId xmlns:a16="http://schemas.microsoft.com/office/drawing/2014/main" id="{96447490-E485-4162-8BAC-B1563B595A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2" name="Elipse 2721">
          <a:extLst>
            <a:ext uri="{FF2B5EF4-FFF2-40B4-BE49-F238E27FC236}">
              <a16:creationId xmlns:a16="http://schemas.microsoft.com/office/drawing/2014/main" id="{CF229A48-C48D-44E0-B62B-A1EFC6CCCC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3" name="Elipse 2722">
          <a:extLst>
            <a:ext uri="{FF2B5EF4-FFF2-40B4-BE49-F238E27FC236}">
              <a16:creationId xmlns:a16="http://schemas.microsoft.com/office/drawing/2014/main" id="{8408A015-40C9-454C-9CAE-E7D4117401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4" name="Elipse 2723">
          <a:extLst>
            <a:ext uri="{FF2B5EF4-FFF2-40B4-BE49-F238E27FC236}">
              <a16:creationId xmlns:a16="http://schemas.microsoft.com/office/drawing/2014/main" id="{568B13A4-C1E9-4E8B-9756-9CD1A1E4DD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5" name="Elipse 2724">
          <a:extLst>
            <a:ext uri="{FF2B5EF4-FFF2-40B4-BE49-F238E27FC236}">
              <a16:creationId xmlns:a16="http://schemas.microsoft.com/office/drawing/2014/main" id="{8910D7ED-1D21-462E-81AD-42B99506A6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6" name="Elipse 2725">
          <a:extLst>
            <a:ext uri="{FF2B5EF4-FFF2-40B4-BE49-F238E27FC236}">
              <a16:creationId xmlns:a16="http://schemas.microsoft.com/office/drawing/2014/main" id="{11AE3BD7-A6DF-4929-AC9E-8740EAB093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7" name="Elipse 2726">
          <a:extLst>
            <a:ext uri="{FF2B5EF4-FFF2-40B4-BE49-F238E27FC236}">
              <a16:creationId xmlns:a16="http://schemas.microsoft.com/office/drawing/2014/main" id="{13A8D967-16AE-440B-926B-2308F25227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8" name="Elipse 2727">
          <a:extLst>
            <a:ext uri="{FF2B5EF4-FFF2-40B4-BE49-F238E27FC236}">
              <a16:creationId xmlns:a16="http://schemas.microsoft.com/office/drawing/2014/main" id="{CB19AD66-2C62-4875-AF74-8A8641AD25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9" name="Elipse 2728">
          <a:extLst>
            <a:ext uri="{FF2B5EF4-FFF2-40B4-BE49-F238E27FC236}">
              <a16:creationId xmlns:a16="http://schemas.microsoft.com/office/drawing/2014/main" id="{E097F276-8608-485F-90F6-7115B1D9A1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0" name="Elipse 2729">
          <a:extLst>
            <a:ext uri="{FF2B5EF4-FFF2-40B4-BE49-F238E27FC236}">
              <a16:creationId xmlns:a16="http://schemas.microsoft.com/office/drawing/2014/main" id="{AC7D82F4-C89A-491B-97DB-9B566075BB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1" name="Elipse 2730">
          <a:extLst>
            <a:ext uri="{FF2B5EF4-FFF2-40B4-BE49-F238E27FC236}">
              <a16:creationId xmlns:a16="http://schemas.microsoft.com/office/drawing/2014/main" id="{C0FBF354-71BA-463C-A063-02E99788E5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2" name="Elipse 2731">
          <a:extLst>
            <a:ext uri="{FF2B5EF4-FFF2-40B4-BE49-F238E27FC236}">
              <a16:creationId xmlns:a16="http://schemas.microsoft.com/office/drawing/2014/main" id="{BE3CE329-B8E9-4EF5-AB9D-9CD50B9F30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3" name="Elipse 2732">
          <a:extLst>
            <a:ext uri="{FF2B5EF4-FFF2-40B4-BE49-F238E27FC236}">
              <a16:creationId xmlns:a16="http://schemas.microsoft.com/office/drawing/2014/main" id="{0E16337B-0173-4CC6-9FD7-4F1BDB7619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4" name="Elipse 2733">
          <a:extLst>
            <a:ext uri="{FF2B5EF4-FFF2-40B4-BE49-F238E27FC236}">
              <a16:creationId xmlns:a16="http://schemas.microsoft.com/office/drawing/2014/main" id="{8A47C5DC-A320-4C7B-B951-77D35C70B2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5" name="Elipse 2734">
          <a:extLst>
            <a:ext uri="{FF2B5EF4-FFF2-40B4-BE49-F238E27FC236}">
              <a16:creationId xmlns:a16="http://schemas.microsoft.com/office/drawing/2014/main" id="{2A68A678-042E-4BA2-A3C2-35DD10FD45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6" name="Elipse 2735">
          <a:extLst>
            <a:ext uri="{FF2B5EF4-FFF2-40B4-BE49-F238E27FC236}">
              <a16:creationId xmlns:a16="http://schemas.microsoft.com/office/drawing/2014/main" id="{19B464F2-C918-4B13-A21D-FD14245C17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7" name="Elipse 2736">
          <a:extLst>
            <a:ext uri="{FF2B5EF4-FFF2-40B4-BE49-F238E27FC236}">
              <a16:creationId xmlns:a16="http://schemas.microsoft.com/office/drawing/2014/main" id="{25B8DB88-7272-4E65-A2FE-9C563869C5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8" name="Elipse 2737">
          <a:extLst>
            <a:ext uri="{FF2B5EF4-FFF2-40B4-BE49-F238E27FC236}">
              <a16:creationId xmlns:a16="http://schemas.microsoft.com/office/drawing/2014/main" id="{D23F5F11-3B1A-4F7D-AF45-C3CD71E67E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9" name="Elipse 2738">
          <a:extLst>
            <a:ext uri="{FF2B5EF4-FFF2-40B4-BE49-F238E27FC236}">
              <a16:creationId xmlns:a16="http://schemas.microsoft.com/office/drawing/2014/main" id="{E668AC96-AE0A-4825-8C6A-1746BAC097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0" name="Elipse 2739">
          <a:extLst>
            <a:ext uri="{FF2B5EF4-FFF2-40B4-BE49-F238E27FC236}">
              <a16:creationId xmlns:a16="http://schemas.microsoft.com/office/drawing/2014/main" id="{40F03E3D-C15F-45C0-9464-CD8D6C9D0F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1" name="Elipse 2740">
          <a:extLst>
            <a:ext uri="{FF2B5EF4-FFF2-40B4-BE49-F238E27FC236}">
              <a16:creationId xmlns:a16="http://schemas.microsoft.com/office/drawing/2014/main" id="{26489BF9-1304-42C2-A1FC-B8F5894587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2" name="Elipse 2741">
          <a:extLst>
            <a:ext uri="{FF2B5EF4-FFF2-40B4-BE49-F238E27FC236}">
              <a16:creationId xmlns:a16="http://schemas.microsoft.com/office/drawing/2014/main" id="{C8943F9B-0512-4B32-B591-6326052C98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3" name="Elipse 2742">
          <a:extLst>
            <a:ext uri="{FF2B5EF4-FFF2-40B4-BE49-F238E27FC236}">
              <a16:creationId xmlns:a16="http://schemas.microsoft.com/office/drawing/2014/main" id="{5508D727-B4C7-4FC8-9646-F6B42CE3D5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4" name="Elipse 2743">
          <a:extLst>
            <a:ext uri="{FF2B5EF4-FFF2-40B4-BE49-F238E27FC236}">
              <a16:creationId xmlns:a16="http://schemas.microsoft.com/office/drawing/2014/main" id="{3725CBDC-9684-427F-9678-D0321DF3ED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5" name="Elipse 2744">
          <a:extLst>
            <a:ext uri="{FF2B5EF4-FFF2-40B4-BE49-F238E27FC236}">
              <a16:creationId xmlns:a16="http://schemas.microsoft.com/office/drawing/2014/main" id="{54744838-A6DA-434D-A634-F520929ED7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6" name="Elipse 2745">
          <a:extLst>
            <a:ext uri="{FF2B5EF4-FFF2-40B4-BE49-F238E27FC236}">
              <a16:creationId xmlns:a16="http://schemas.microsoft.com/office/drawing/2014/main" id="{E439FB77-BCDE-41DD-B5E4-887CA36F66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7" name="Elipse 2746">
          <a:extLst>
            <a:ext uri="{FF2B5EF4-FFF2-40B4-BE49-F238E27FC236}">
              <a16:creationId xmlns:a16="http://schemas.microsoft.com/office/drawing/2014/main" id="{F84440CF-671F-4C19-8345-F39546154F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8" name="Elipse 2747">
          <a:extLst>
            <a:ext uri="{FF2B5EF4-FFF2-40B4-BE49-F238E27FC236}">
              <a16:creationId xmlns:a16="http://schemas.microsoft.com/office/drawing/2014/main" id="{E3D77D8B-526D-4B36-A8C9-E5DEB4C7F7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9" name="Elipse 2748">
          <a:extLst>
            <a:ext uri="{FF2B5EF4-FFF2-40B4-BE49-F238E27FC236}">
              <a16:creationId xmlns:a16="http://schemas.microsoft.com/office/drawing/2014/main" id="{69A867C0-4018-4ABA-A4B1-77BD625492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0" name="Elipse 2749">
          <a:extLst>
            <a:ext uri="{FF2B5EF4-FFF2-40B4-BE49-F238E27FC236}">
              <a16:creationId xmlns:a16="http://schemas.microsoft.com/office/drawing/2014/main" id="{12F70D68-104A-4571-BBF5-49EB923E69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1" name="Elipse 2750">
          <a:extLst>
            <a:ext uri="{FF2B5EF4-FFF2-40B4-BE49-F238E27FC236}">
              <a16:creationId xmlns:a16="http://schemas.microsoft.com/office/drawing/2014/main" id="{B30212E3-9831-4859-BC9B-DD2A2F9625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2" name="Elipse 2751">
          <a:extLst>
            <a:ext uri="{FF2B5EF4-FFF2-40B4-BE49-F238E27FC236}">
              <a16:creationId xmlns:a16="http://schemas.microsoft.com/office/drawing/2014/main" id="{09BC7A89-C9C2-4A9B-AF63-A0DB9812CA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3" name="Elipse 2752">
          <a:extLst>
            <a:ext uri="{FF2B5EF4-FFF2-40B4-BE49-F238E27FC236}">
              <a16:creationId xmlns:a16="http://schemas.microsoft.com/office/drawing/2014/main" id="{A4CB887E-733D-4280-9C9D-7BDD3CC1C1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4" name="Elipse 2753">
          <a:extLst>
            <a:ext uri="{FF2B5EF4-FFF2-40B4-BE49-F238E27FC236}">
              <a16:creationId xmlns:a16="http://schemas.microsoft.com/office/drawing/2014/main" id="{951D01D2-24B6-4323-8473-9F77762C95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5" name="Elipse 2754">
          <a:extLst>
            <a:ext uri="{FF2B5EF4-FFF2-40B4-BE49-F238E27FC236}">
              <a16:creationId xmlns:a16="http://schemas.microsoft.com/office/drawing/2014/main" id="{023CDAD3-A1B9-417C-ADFF-1576BD1BFA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6" name="Elipse 2755">
          <a:extLst>
            <a:ext uri="{FF2B5EF4-FFF2-40B4-BE49-F238E27FC236}">
              <a16:creationId xmlns:a16="http://schemas.microsoft.com/office/drawing/2014/main" id="{53B58B0A-D2B0-4C0F-A7FB-BD2D14FBF9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7" name="Elipse 2756">
          <a:extLst>
            <a:ext uri="{FF2B5EF4-FFF2-40B4-BE49-F238E27FC236}">
              <a16:creationId xmlns:a16="http://schemas.microsoft.com/office/drawing/2014/main" id="{9ED20286-5A5D-4C49-A239-A7018C6E04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8" name="Elipse 2757">
          <a:extLst>
            <a:ext uri="{FF2B5EF4-FFF2-40B4-BE49-F238E27FC236}">
              <a16:creationId xmlns:a16="http://schemas.microsoft.com/office/drawing/2014/main" id="{8B5B63E4-A1BF-4043-ADDA-E157FA11E1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9" name="Elipse 2758">
          <a:extLst>
            <a:ext uri="{FF2B5EF4-FFF2-40B4-BE49-F238E27FC236}">
              <a16:creationId xmlns:a16="http://schemas.microsoft.com/office/drawing/2014/main" id="{C1EA8DD2-E78D-44C7-89AC-A7F937DA23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0" name="Elipse 2759">
          <a:extLst>
            <a:ext uri="{FF2B5EF4-FFF2-40B4-BE49-F238E27FC236}">
              <a16:creationId xmlns:a16="http://schemas.microsoft.com/office/drawing/2014/main" id="{293650D1-8697-4D48-AA20-01B04809C6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1" name="Elipse 2760">
          <a:extLst>
            <a:ext uri="{FF2B5EF4-FFF2-40B4-BE49-F238E27FC236}">
              <a16:creationId xmlns:a16="http://schemas.microsoft.com/office/drawing/2014/main" id="{032D4C99-18D8-43B1-9B33-301DE7BB0B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2" name="Elipse 2761">
          <a:extLst>
            <a:ext uri="{FF2B5EF4-FFF2-40B4-BE49-F238E27FC236}">
              <a16:creationId xmlns:a16="http://schemas.microsoft.com/office/drawing/2014/main" id="{D84C67D3-7D57-4180-974D-0B460D329A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3" name="Elipse 2762">
          <a:extLst>
            <a:ext uri="{FF2B5EF4-FFF2-40B4-BE49-F238E27FC236}">
              <a16:creationId xmlns:a16="http://schemas.microsoft.com/office/drawing/2014/main" id="{FD054490-F52A-47AF-8B10-88F42DA5A1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4" name="Elipse 2763">
          <a:extLst>
            <a:ext uri="{FF2B5EF4-FFF2-40B4-BE49-F238E27FC236}">
              <a16:creationId xmlns:a16="http://schemas.microsoft.com/office/drawing/2014/main" id="{B55B666C-954C-4479-8892-95D52EEACD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5" name="Elipse 2764">
          <a:extLst>
            <a:ext uri="{FF2B5EF4-FFF2-40B4-BE49-F238E27FC236}">
              <a16:creationId xmlns:a16="http://schemas.microsoft.com/office/drawing/2014/main" id="{E5D783FF-78C9-409C-8446-FA8011086C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6" name="Elipse 2765">
          <a:extLst>
            <a:ext uri="{FF2B5EF4-FFF2-40B4-BE49-F238E27FC236}">
              <a16:creationId xmlns:a16="http://schemas.microsoft.com/office/drawing/2014/main" id="{0A5567E6-70CD-43BD-A2EE-EAF4026AA0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7" name="Elipse 2766">
          <a:extLst>
            <a:ext uri="{FF2B5EF4-FFF2-40B4-BE49-F238E27FC236}">
              <a16:creationId xmlns:a16="http://schemas.microsoft.com/office/drawing/2014/main" id="{D636471E-B053-4426-BA94-B90A7EBB63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8" name="Elipse 2767">
          <a:extLst>
            <a:ext uri="{FF2B5EF4-FFF2-40B4-BE49-F238E27FC236}">
              <a16:creationId xmlns:a16="http://schemas.microsoft.com/office/drawing/2014/main" id="{B299B768-2DB8-41D1-968B-3D25A24F1A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9" name="Elipse 2768">
          <a:extLst>
            <a:ext uri="{FF2B5EF4-FFF2-40B4-BE49-F238E27FC236}">
              <a16:creationId xmlns:a16="http://schemas.microsoft.com/office/drawing/2014/main" id="{D75179FF-C327-4D6B-A810-966585AB76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0" name="Elipse 2769">
          <a:extLst>
            <a:ext uri="{FF2B5EF4-FFF2-40B4-BE49-F238E27FC236}">
              <a16:creationId xmlns:a16="http://schemas.microsoft.com/office/drawing/2014/main" id="{0B367486-DEFB-453B-B2DD-0149BAE262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1" name="Elipse 2770">
          <a:extLst>
            <a:ext uri="{FF2B5EF4-FFF2-40B4-BE49-F238E27FC236}">
              <a16:creationId xmlns:a16="http://schemas.microsoft.com/office/drawing/2014/main" id="{DAA02762-2542-4BCC-91BC-ECE6B08834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2" name="Elipse 2771">
          <a:extLst>
            <a:ext uri="{FF2B5EF4-FFF2-40B4-BE49-F238E27FC236}">
              <a16:creationId xmlns:a16="http://schemas.microsoft.com/office/drawing/2014/main" id="{FD5FCE44-065F-4ECB-A8D0-FEF338EAE7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3" name="Elipse 2772">
          <a:extLst>
            <a:ext uri="{FF2B5EF4-FFF2-40B4-BE49-F238E27FC236}">
              <a16:creationId xmlns:a16="http://schemas.microsoft.com/office/drawing/2014/main" id="{9C3684E1-1BA0-4851-8B46-274A71F8AD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4" name="Elipse 2773">
          <a:extLst>
            <a:ext uri="{FF2B5EF4-FFF2-40B4-BE49-F238E27FC236}">
              <a16:creationId xmlns:a16="http://schemas.microsoft.com/office/drawing/2014/main" id="{BD1D2D1B-D258-4830-99B4-579C642931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5" name="Elipse 2774">
          <a:extLst>
            <a:ext uri="{FF2B5EF4-FFF2-40B4-BE49-F238E27FC236}">
              <a16:creationId xmlns:a16="http://schemas.microsoft.com/office/drawing/2014/main" id="{87B5E994-537B-4F4D-BD26-86167C031B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6" name="Elipse 2775">
          <a:extLst>
            <a:ext uri="{FF2B5EF4-FFF2-40B4-BE49-F238E27FC236}">
              <a16:creationId xmlns:a16="http://schemas.microsoft.com/office/drawing/2014/main" id="{4E2EFE62-BA49-4267-878E-F204A08EE5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7" name="Elipse 2776">
          <a:extLst>
            <a:ext uri="{FF2B5EF4-FFF2-40B4-BE49-F238E27FC236}">
              <a16:creationId xmlns:a16="http://schemas.microsoft.com/office/drawing/2014/main" id="{45C5749A-7113-4438-B1D5-3C428D8547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8" name="Elipse 2777">
          <a:extLst>
            <a:ext uri="{FF2B5EF4-FFF2-40B4-BE49-F238E27FC236}">
              <a16:creationId xmlns:a16="http://schemas.microsoft.com/office/drawing/2014/main" id="{9C815391-203E-48DC-B95E-22A7F4A479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9" name="Elipse 2778">
          <a:extLst>
            <a:ext uri="{FF2B5EF4-FFF2-40B4-BE49-F238E27FC236}">
              <a16:creationId xmlns:a16="http://schemas.microsoft.com/office/drawing/2014/main" id="{40EC4FA1-0BA2-4476-B54C-A726F6827D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0" name="Elipse 2779">
          <a:extLst>
            <a:ext uri="{FF2B5EF4-FFF2-40B4-BE49-F238E27FC236}">
              <a16:creationId xmlns:a16="http://schemas.microsoft.com/office/drawing/2014/main" id="{0DC43D3D-B70D-47B5-A751-91498973C9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1" name="Elipse 2780">
          <a:extLst>
            <a:ext uri="{FF2B5EF4-FFF2-40B4-BE49-F238E27FC236}">
              <a16:creationId xmlns:a16="http://schemas.microsoft.com/office/drawing/2014/main" id="{CCF9C88D-1C74-4550-8C52-00F221C14A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2" name="Elipse 2781">
          <a:extLst>
            <a:ext uri="{FF2B5EF4-FFF2-40B4-BE49-F238E27FC236}">
              <a16:creationId xmlns:a16="http://schemas.microsoft.com/office/drawing/2014/main" id="{AC662B19-24A5-4A83-95C1-C3C3E86833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3" name="Elipse 2782">
          <a:extLst>
            <a:ext uri="{FF2B5EF4-FFF2-40B4-BE49-F238E27FC236}">
              <a16:creationId xmlns:a16="http://schemas.microsoft.com/office/drawing/2014/main" id="{E6319578-E39D-4CC1-BE37-07A51ACC93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4" name="Elipse 2783">
          <a:extLst>
            <a:ext uri="{FF2B5EF4-FFF2-40B4-BE49-F238E27FC236}">
              <a16:creationId xmlns:a16="http://schemas.microsoft.com/office/drawing/2014/main" id="{395291B4-FDEF-4A10-8B24-0DB649EFCE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5" name="Elipse 2784">
          <a:extLst>
            <a:ext uri="{FF2B5EF4-FFF2-40B4-BE49-F238E27FC236}">
              <a16:creationId xmlns:a16="http://schemas.microsoft.com/office/drawing/2014/main" id="{2C098C5D-0F58-417A-A819-EE6F7564D9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6" name="Elipse 2785">
          <a:extLst>
            <a:ext uri="{FF2B5EF4-FFF2-40B4-BE49-F238E27FC236}">
              <a16:creationId xmlns:a16="http://schemas.microsoft.com/office/drawing/2014/main" id="{4D8CD96B-21E2-4A40-8200-7E16761B25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7" name="Elipse 2786">
          <a:extLst>
            <a:ext uri="{FF2B5EF4-FFF2-40B4-BE49-F238E27FC236}">
              <a16:creationId xmlns:a16="http://schemas.microsoft.com/office/drawing/2014/main" id="{BF395A87-3C61-4869-BE67-B4829CE1E1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8" name="Elipse 2787">
          <a:extLst>
            <a:ext uri="{FF2B5EF4-FFF2-40B4-BE49-F238E27FC236}">
              <a16:creationId xmlns:a16="http://schemas.microsoft.com/office/drawing/2014/main" id="{CF204CF0-8081-4D15-B946-87A3E583AD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9" name="Elipse 2788">
          <a:extLst>
            <a:ext uri="{FF2B5EF4-FFF2-40B4-BE49-F238E27FC236}">
              <a16:creationId xmlns:a16="http://schemas.microsoft.com/office/drawing/2014/main" id="{06A9A108-6817-409B-88AC-037BDDAB91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0" name="Elipse 2789">
          <a:extLst>
            <a:ext uri="{FF2B5EF4-FFF2-40B4-BE49-F238E27FC236}">
              <a16:creationId xmlns:a16="http://schemas.microsoft.com/office/drawing/2014/main" id="{2FCD49B0-5DBB-4E36-860C-528273CEBB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1" name="Elipse 2790">
          <a:extLst>
            <a:ext uri="{FF2B5EF4-FFF2-40B4-BE49-F238E27FC236}">
              <a16:creationId xmlns:a16="http://schemas.microsoft.com/office/drawing/2014/main" id="{08651BEA-E52C-486D-BC02-1D3DE1FDF3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2" name="Elipse 2791">
          <a:extLst>
            <a:ext uri="{FF2B5EF4-FFF2-40B4-BE49-F238E27FC236}">
              <a16:creationId xmlns:a16="http://schemas.microsoft.com/office/drawing/2014/main" id="{B164AF87-35B9-4C61-A35C-BA45B07ECF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3" name="Elipse 2792">
          <a:extLst>
            <a:ext uri="{FF2B5EF4-FFF2-40B4-BE49-F238E27FC236}">
              <a16:creationId xmlns:a16="http://schemas.microsoft.com/office/drawing/2014/main" id="{249C11D8-CFE6-4CB1-830C-65809DB781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4" name="Elipse 2793">
          <a:extLst>
            <a:ext uri="{FF2B5EF4-FFF2-40B4-BE49-F238E27FC236}">
              <a16:creationId xmlns:a16="http://schemas.microsoft.com/office/drawing/2014/main" id="{24EDDFE8-6200-45B9-88BA-D38D9E9776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5" name="Elipse 2794">
          <a:extLst>
            <a:ext uri="{FF2B5EF4-FFF2-40B4-BE49-F238E27FC236}">
              <a16:creationId xmlns:a16="http://schemas.microsoft.com/office/drawing/2014/main" id="{EE986301-C0C8-46E3-99C7-18263284D2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6" name="Elipse 2795">
          <a:extLst>
            <a:ext uri="{FF2B5EF4-FFF2-40B4-BE49-F238E27FC236}">
              <a16:creationId xmlns:a16="http://schemas.microsoft.com/office/drawing/2014/main" id="{42836776-54C1-43A3-B309-A9F877724D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7" name="Elipse 2796">
          <a:extLst>
            <a:ext uri="{FF2B5EF4-FFF2-40B4-BE49-F238E27FC236}">
              <a16:creationId xmlns:a16="http://schemas.microsoft.com/office/drawing/2014/main" id="{6633EC8A-7C85-4C71-8886-1700A3163C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8" name="Elipse 2797">
          <a:extLst>
            <a:ext uri="{FF2B5EF4-FFF2-40B4-BE49-F238E27FC236}">
              <a16:creationId xmlns:a16="http://schemas.microsoft.com/office/drawing/2014/main" id="{E9740EC6-B715-4192-B360-17FD43C180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9" name="Elipse 2798">
          <a:extLst>
            <a:ext uri="{FF2B5EF4-FFF2-40B4-BE49-F238E27FC236}">
              <a16:creationId xmlns:a16="http://schemas.microsoft.com/office/drawing/2014/main" id="{4F936F9E-4BBA-4C7C-B5F0-395FCE7B04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0" name="Elipse 2799">
          <a:extLst>
            <a:ext uri="{FF2B5EF4-FFF2-40B4-BE49-F238E27FC236}">
              <a16:creationId xmlns:a16="http://schemas.microsoft.com/office/drawing/2014/main" id="{A009E93E-FCD0-4850-965D-3E9660A929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1" name="Elipse 2800">
          <a:extLst>
            <a:ext uri="{FF2B5EF4-FFF2-40B4-BE49-F238E27FC236}">
              <a16:creationId xmlns:a16="http://schemas.microsoft.com/office/drawing/2014/main" id="{91FA0EA9-2DD8-4531-AE13-21BCEB4475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2" name="Elipse 2801">
          <a:extLst>
            <a:ext uri="{FF2B5EF4-FFF2-40B4-BE49-F238E27FC236}">
              <a16:creationId xmlns:a16="http://schemas.microsoft.com/office/drawing/2014/main" id="{C89E2B61-43EA-4906-A33D-774F995523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3" name="Elipse 2802">
          <a:extLst>
            <a:ext uri="{FF2B5EF4-FFF2-40B4-BE49-F238E27FC236}">
              <a16:creationId xmlns:a16="http://schemas.microsoft.com/office/drawing/2014/main" id="{4CE71EDA-9FC6-4AAA-8668-34136C5CE1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4" name="Elipse 2803">
          <a:extLst>
            <a:ext uri="{FF2B5EF4-FFF2-40B4-BE49-F238E27FC236}">
              <a16:creationId xmlns:a16="http://schemas.microsoft.com/office/drawing/2014/main" id="{E5E8A123-D92F-4B97-B0E7-94EB89B060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5" name="Elipse 2804">
          <a:extLst>
            <a:ext uri="{FF2B5EF4-FFF2-40B4-BE49-F238E27FC236}">
              <a16:creationId xmlns:a16="http://schemas.microsoft.com/office/drawing/2014/main" id="{E59EEC3B-52FB-494A-845F-D94F687FBC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6" name="Elipse 2805">
          <a:extLst>
            <a:ext uri="{FF2B5EF4-FFF2-40B4-BE49-F238E27FC236}">
              <a16:creationId xmlns:a16="http://schemas.microsoft.com/office/drawing/2014/main" id="{3F710A84-9BEF-4B8E-8515-AA71D82EEB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7" name="Elipse 2806">
          <a:extLst>
            <a:ext uri="{FF2B5EF4-FFF2-40B4-BE49-F238E27FC236}">
              <a16:creationId xmlns:a16="http://schemas.microsoft.com/office/drawing/2014/main" id="{CFFBC773-1644-4D9F-8F55-6BE07CF9AB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8" name="Elipse 2807">
          <a:extLst>
            <a:ext uri="{FF2B5EF4-FFF2-40B4-BE49-F238E27FC236}">
              <a16:creationId xmlns:a16="http://schemas.microsoft.com/office/drawing/2014/main" id="{145259DC-DD1E-4D4E-881D-1044D26510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9" name="Elipse 2808">
          <a:extLst>
            <a:ext uri="{FF2B5EF4-FFF2-40B4-BE49-F238E27FC236}">
              <a16:creationId xmlns:a16="http://schemas.microsoft.com/office/drawing/2014/main" id="{B1A01081-78B9-4E5C-90CE-654B949124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0" name="Elipse 2809">
          <a:extLst>
            <a:ext uri="{FF2B5EF4-FFF2-40B4-BE49-F238E27FC236}">
              <a16:creationId xmlns:a16="http://schemas.microsoft.com/office/drawing/2014/main" id="{C6F22820-DD85-4C8A-9181-CE173ABAF2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1" name="Elipse 2810">
          <a:extLst>
            <a:ext uri="{FF2B5EF4-FFF2-40B4-BE49-F238E27FC236}">
              <a16:creationId xmlns:a16="http://schemas.microsoft.com/office/drawing/2014/main" id="{0F7C660B-5EE9-455B-8CF6-EA516D7DF5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2" name="Elipse 2811">
          <a:extLst>
            <a:ext uri="{FF2B5EF4-FFF2-40B4-BE49-F238E27FC236}">
              <a16:creationId xmlns:a16="http://schemas.microsoft.com/office/drawing/2014/main" id="{A9E4051B-CC6E-4588-9A14-1734D821E9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3" name="Elipse 2812">
          <a:extLst>
            <a:ext uri="{FF2B5EF4-FFF2-40B4-BE49-F238E27FC236}">
              <a16:creationId xmlns:a16="http://schemas.microsoft.com/office/drawing/2014/main" id="{EC81F642-A19D-453F-8855-0412EAEEE2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4" name="Elipse 2813">
          <a:extLst>
            <a:ext uri="{FF2B5EF4-FFF2-40B4-BE49-F238E27FC236}">
              <a16:creationId xmlns:a16="http://schemas.microsoft.com/office/drawing/2014/main" id="{2CBED042-AB1D-4984-A9DE-98F98F127D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5" name="Elipse 2814">
          <a:extLst>
            <a:ext uri="{FF2B5EF4-FFF2-40B4-BE49-F238E27FC236}">
              <a16:creationId xmlns:a16="http://schemas.microsoft.com/office/drawing/2014/main" id="{92A9E3AD-66D4-4142-9222-3B3DB39588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6" name="Elipse 2815">
          <a:extLst>
            <a:ext uri="{FF2B5EF4-FFF2-40B4-BE49-F238E27FC236}">
              <a16:creationId xmlns:a16="http://schemas.microsoft.com/office/drawing/2014/main" id="{6DC67DEA-F604-4033-B1FF-6CD80BC036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7" name="Elipse 2816">
          <a:extLst>
            <a:ext uri="{FF2B5EF4-FFF2-40B4-BE49-F238E27FC236}">
              <a16:creationId xmlns:a16="http://schemas.microsoft.com/office/drawing/2014/main" id="{7C56F260-ADC4-490A-951E-54126AD3C0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8" name="Elipse 2817">
          <a:extLst>
            <a:ext uri="{FF2B5EF4-FFF2-40B4-BE49-F238E27FC236}">
              <a16:creationId xmlns:a16="http://schemas.microsoft.com/office/drawing/2014/main" id="{735E6E99-9E86-4AC4-B4ED-884F146825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9" name="Elipse 2818">
          <a:extLst>
            <a:ext uri="{FF2B5EF4-FFF2-40B4-BE49-F238E27FC236}">
              <a16:creationId xmlns:a16="http://schemas.microsoft.com/office/drawing/2014/main" id="{99AB8282-5B1D-4EFD-9C20-2139957D6D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0" name="Elipse 2819">
          <a:extLst>
            <a:ext uri="{FF2B5EF4-FFF2-40B4-BE49-F238E27FC236}">
              <a16:creationId xmlns:a16="http://schemas.microsoft.com/office/drawing/2014/main" id="{56A02C03-403E-496F-BF36-E9FD0432D1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1" name="Elipse 2820">
          <a:extLst>
            <a:ext uri="{FF2B5EF4-FFF2-40B4-BE49-F238E27FC236}">
              <a16:creationId xmlns:a16="http://schemas.microsoft.com/office/drawing/2014/main" id="{A20E9044-1F99-414F-A425-984AFAAD28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2" name="Elipse 2821">
          <a:extLst>
            <a:ext uri="{FF2B5EF4-FFF2-40B4-BE49-F238E27FC236}">
              <a16:creationId xmlns:a16="http://schemas.microsoft.com/office/drawing/2014/main" id="{A99A8132-E518-4EAE-A7AF-1747EAA618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3" name="Elipse 2822">
          <a:extLst>
            <a:ext uri="{FF2B5EF4-FFF2-40B4-BE49-F238E27FC236}">
              <a16:creationId xmlns:a16="http://schemas.microsoft.com/office/drawing/2014/main" id="{8A12F6F1-F959-41E9-B4B0-38E9E72397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4" name="Elipse 2823">
          <a:extLst>
            <a:ext uri="{FF2B5EF4-FFF2-40B4-BE49-F238E27FC236}">
              <a16:creationId xmlns:a16="http://schemas.microsoft.com/office/drawing/2014/main" id="{430B8194-101A-443E-A89D-DA1BC9AA43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5" name="Elipse 2824">
          <a:extLst>
            <a:ext uri="{FF2B5EF4-FFF2-40B4-BE49-F238E27FC236}">
              <a16:creationId xmlns:a16="http://schemas.microsoft.com/office/drawing/2014/main" id="{6BBDD9D9-CDF1-4162-B2D5-B27BFE8417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6" name="Elipse 2825">
          <a:extLst>
            <a:ext uri="{FF2B5EF4-FFF2-40B4-BE49-F238E27FC236}">
              <a16:creationId xmlns:a16="http://schemas.microsoft.com/office/drawing/2014/main" id="{E108B3FB-6118-42E9-A8E8-3AAD612CA9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7" name="Elipse 2826">
          <a:extLst>
            <a:ext uri="{FF2B5EF4-FFF2-40B4-BE49-F238E27FC236}">
              <a16:creationId xmlns:a16="http://schemas.microsoft.com/office/drawing/2014/main" id="{F11E10C0-F6C7-4D22-B037-58DD30FB2F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8" name="Elipse 2827">
          <a:extLst>
            <a:ext uri="{FF2B5EF4-FFF2-40B4-BE49-F238E27FC236}">
              <a16:creationId xmlns:a16="http://schemas.microsoft.com/office/drawing/2014/main" id="{C73848C1-90BB-42D7-8D74-AEC28A004A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9" name="Elipse 2828">
          <a:extLst>
            <a:ext uri="{FF2B5EF4-FFF2-40B4-BE49-F238E27FC236}">
              <a16:creationId xmlns:a16="http://schemas.microsoft.com/office/drawing/2014/main" id="{FEDF2427-D3CC-4341-8ECD-F2BFCAA187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0" name="Elipse 2829">
          <a:extLst>
            <a:ext uri="{FF2B5EF4-FFF2-40B4-BE49-F238E27FC236}">
              <a16:creationId xmlns:a16="http://schemas.microsoft.com/office/drawing/2014/main" id="{B487102F-FD20-48CF-809D-DC64880557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1" name="Elipse 2830">
          <a:extLst>
            <a:ext uri="{FF2B5EF4-FFF2-40B4-BE49-F238E27FC236}">
              <a16:creationId xmlns:a16="http://schemas.microsoft.com/office/drawing/2014/main" id="{FAEBD0E4-9DB2-4075-AE38-04C72F32D2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2" name="Elipse 2831">
          <a:extLst>
            <a:ext uri="{FF2B5EF4-FFF2-40B4-BE49-F238E27FC236}">
              <a16:creationId xmlns:a16="http://schemas.microsoft.com/office/drawing/2014/main" id="{F786E3F0-F571-4C16-8EAD-4D55F65E02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3" name="Elipse 2832">
          <a:extLst>
            <a:ext uri="{FF2B5EF4-FFF2-40B4-BE49-F238E27FC236}">
              <a16:creationId xmlns:a16="http://schemas.microsoft.com/office/drawing/2014/main" id="{FC4B71C9-A12E-4250-8A53-7FCB661F89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4" name="Elipse 2833">
          <a:extLst>
            <a:ext uri="{FF2B5EF4-FFF2-40B4-BE49-F238E27FC236}">
              <a16:creationId xmlns:a16="http://schemas.microsoft.com/office/drawing/2014/main" id="{47103740-1069-4BB1-8591-E4BEC02F60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5" name="Elipse 2834">
          <a:extLst>
            <a:ext uri="{FF2B5EF4-FFF2-40B4-BE49-F238E27FC236}">
              <a16:creationId xmlns:a16="http://schemas.microsoft.com/office/drawing/2014/main" id="{D5CB77E8-EFD6-47E2-BC14-029ADD8A56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6" name="Elipse 2835">
          <a:extLst>
            <a:ext uri="{FF2B5EF4-FFF2-40B4-BE49-F238E27FC236}">
              <a16:creationId xmlns:a16="http://schemas.microsoft.com/office/drawing/2014/main" id="{A22C2159-B549-47F3-83E5-C778E865CE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7" name="Elipse 2836">
          <a:extLst>
            <a:ext uri="{FF2B5EF4-FFF2-40B4-BE49-F238E27FC236}">
              <a16:creationId xmlns:a16="http://schemas.microsoft.com/office/drawing/2014/main" id="{AE489B6B-B647-4414-8D7C-30496BA6F0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8" name="Elipse 2837">
          <a:extLst>
            <a:ext uri="{FF2B5EF4-FFF2-40B4-BE49-F238E27FC236}">
              <a16:creationId xmlns:a16="http://schemas.microsoft.com/office/drawing/2014/main" id="{FA57FF95-6805-42A1-9C16-7FF87925EB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9" name="Elipse 2838">
          <a:extLst>
            <a:ext uri="{FF2B5EF4-FFF2-40B4-BE49-F238E27FC236}">
              <a16:creationId xmlns:a16="http://schemas.microsoft.com/office/drawing/2014/main" id="{FFFC4868-BDFF-45F8-9F5C-931E596629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0" name="Elipse 2839">
          <a:extLst>
            <a:ext uri="{FF2B5EF4-FFF2-40B4-BE49-F238E27FC236}">
              <a16:creationId xmlns:a16="http://schemas.microsoft.com/office/drawing/2014/main" id="{1D396302-AAED-4854-AFCF-316D241E6C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1" name="Elipse 2840">
          <a:extLst>
            <a:ext uri="{FF2B5EF4-FFF2-40B4-BE49-F238E27FC236}">
              <a16:creationId xmlns:a16="http://schemas.microsoft.com/office/drawing/2014/main" id="{B16134B6-EF0F-40B2-843A-ED6DA389F8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2" name="Elipse 2841">
          <a:extLst>
            <a:ext uri="{FF2B5EF4-FFF2-40B4-BE49-F238E27FC236}">
              <a16:creationId xmlns:a16="http://schemas.microsoft.com/office/drawing/2014/main" id="{394A6F9B-F81A-4E49-B208-FBC4E945BB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3" name="Elipse 2842">
          <a:extLst>
            <a:ext uri="{FF2B5EF4-FFF2-40B4-BE49-F238E27FC236}">
              <a16:creationId xmlns:a16="http://schemas.microsoft.com/office/drawing/2014/main" id="{AC1DF125-7BE2-433C-A6DC-C3C94D0184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4" name="Elipse 2843">
          <a:extLst>
            <a:ext uri="{FF2B5EF4-FFF2-40B4-BE49-F238E27FC236}">
              <a16:creationId xmlns:a16="http://schemas.microsoft.com/office/drawing/2014/main" id="{A3D9C505-7F54-4F16-B736-0A74EB24C8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5" name="Elipse 2844">
          <a:extLst>
            <a:ext uri="{FF2B5EF4-FFF2-40B4-BE49-F238E27FC236}">
              <a16:creationId xmlns:a16="http://schemas.microsoft.com/office/drawing/2014/main" id="{56D10F5D-FEB8-4CEE-8437-45421BB6F2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6" name="Elipse 2845">
          <a:extLst>
            <a:ext uri="{FF2B5EF4-FFF2-40B4-BE49-F238E27FC236}">
              <a16:creationId xmlns:a16="http://schemas.microsoft.com/office/drawing/2014/main" id="{ECBC180C-6950-4741-97BB-0613A78DC7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7" name="Elipse 2846">
          <a:extLst>
            <a:ext uri="{FF2B5EF4-FFF2-40B4-BE49-F238E27FC236}">
              <a16:creationId xmlns:a16="http://schemas.microsoft.com/office/drawing/2014/main" id="{89442A1F-D8A5-4EE6-8164-04A0671792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8" name="Elipse 2847">
          <a:extLst>
            <a:ext uri="{FF2B5EF4-FFF2-40B4-BE49-F238E27FC236}">
              <a16:creationId xmlns:a16="http://schemas.microsoft.com/office/drawing/2014/main" id="{76C7E51E-597B-46B8-A127-8D2C22B115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9" name="Elipse 2848">
          <a:extLst>
            <a:ext uri="{FF2B5EF4-FFF2-40B4-BE49-F238E27FC236}">
              <a16:creationId xmlns:a16="http://schemas.microsoft.com/office/drawing/2014/main" id="{17717AD4-CC6C-4262-93BE-08450AD081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0" name="Elipse 2849">
          <a:extLst>
            <a:ext uri="{FF2B5EF4-FFF2-40B4-BE49-F238E27FC236}">
              <a16:creationId xmlns:a16="http://schemas.microsoft.com/office/drawing/2014/main" id="{29EF1FE0-588C-4079-9E84-25D59A03AC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1" name="Elipse 2850">
          <a:extLst>
            <a:ext uri="{FF2B5EF4-FFF2-40B4-BE49-F238E27FC236}">
              <a16:creationId xmlns:a16="http://schemas.microsoft.com/office/drawing/2014/main" id="{09E6B4D5-023D-4BEC-85F0-7DA8742BF3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2" name="Elipse 2851">
          <a:extLst>
            <a:ext uri="{FF2B5EF4-FFF2-40B4-BE49-F238E27FC236}">
              <a16:creationId xmlns:a16="http://schemas.microsoft.com/office/drawing/2014/main" id="{2D327493-FA72-45B9-A637-13C1A24F56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3" name="Elipse 2852">
          <a:extLst>
            <a:ext uri="{FF2B5EF4-FFF2-40B4-BE49-F238E27FC236}">
              <a16:creationId xmlns:a16="http://schemas.microsoft.com/office/drawing/2014/main" id="{CE44632A-496E-4779-A2E5-E77467FFB5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4" name="Elipse 2853">
          <a:extLst>
            <a:ext uri="{FF2B5EF4-FFF2-40B4-BE49-F238E27FC236}">
              <a16:creationId xmlns:a16="http://schemas.microsoft.com/office/drawing/2014/main" id="{7B66B8C8-0801-40AB-91F4-DC7404297C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5" name="Elipse 2854">
          <a:extLst>
            <a:ext uri="{FF2B5EF4-FFF2-40B4-BE49-F238E27FC236}">
              <a16:creationId xmlns:a16="http://schemas.microsoft.com/office/drawing/2014/main" id="{F7A50A11-19E7-4619-8ABD-A5143DE35A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6" name="Elipse 2855">
          <a:extLst>
            <a:ext uri="{FF2B5EF4-FFF2-40B4-BE49-F238E27FC236}">
              <a16:creationId xmlns:a16="http://schemas.microsoft.com/office/drawing/2014/main" id="{B319B204-11F1-4C08-A0BE-D41F14D014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7" name="Elipse 2856">
          <a:extLst>
            <a:ext uri="{FF2B5EF4-FFF2-40B4-BE49-F238E27FC236}">
              <a16:creationId xmlns:a16="http://schemas.microsoft.com/office/drawing/2014/main" id="{9061A9D5-364F-4CD5-BF03-3FB49E5E9E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8" name="Elipse 2857">
          <a:extLst>
            <a:ext uri="{FF2B5EF4-FFF2-40B4-BE49-F238E27FC236}">
              <a16:creationId xmlns:a16="http://schemas.microsoft.com/office/drawing/2014/main" id="{E3575EDE-D887-4E5C-B810-933064F8EF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9" name="Elipse 2858">
          <a:extLst>
            <a:ext uri="{FF2B5EF4-FFF2-40B4-BE49-F238E27FC236}">
              <a16:creationId xmlns:a16="http://schemas.microsoft.com/office/drawing/2014/main" id="{1BE30A8A-4F45-4575-8369-9E0C73C537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0" name="Elipse 2859">
          <a:extLst>
            <a:ext uri="{FF2B5EF4-FFF2-40B4-BE49-F238E27FC236}">
              <a16:creationId xmlns:a16="http://schemas.microsoft.com/office/drawing/2014/main" id="{45C847C8-8D25-4C5E-BE13-1F4D9970CF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1" name="Elipse 2860">
          <a:extLst>
            <a:ext uri="{FF2B5EF4-FFF2-40B4-BE49-F238E27FC236}">
              <a16:creationId xmlns:a16="http://schemas.microsoft.com/office/drawing/2014/main" id="{8188043E-0639-45EF-BB2D-DBEAF1E9B9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2" name="Elipse 2861">
          <a:extLst>
            <a:ext uri="{FF2B5EF4-FFF2-40B4-BE49-F238E27FC236}">
              <a16:creationId xmlns:a16="http://schemas.microsoft.com/office/drawing/2014/main" id="{B7A7F88D-26A0-4EAB-9BA3-15684D82B4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3" name="Elipse 2862">
          <a:extLst>
            <a:ext uri="{FF2B5EF4-FFF2-40B4-BE49-F238E27FC236}">
              <a16:creationId xmlns:a16="http://schemas.microsoft.com/office/drawing/2014/main" id="{C6DFB9E3-EE69-4A99-B027-F2E035AA82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4" name="Elipse 2863">
          <a:extLst>
            <a:ext uri="{FF2B5EF4-FFF2-40B4-BE49-F238E27FC236}">
              <a16:creationId xmlns:a16="http://schemas.microsoft.com/office/drawing/2014/main" id="{A57FD84A-766A-46F9-9C2A-E8BDD8EEEA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5" name="Elipse 2864">
          <a:extLst>
            <a:ext uri="{FF2B5EF4-FFF2-40B4-BE49-F238E27FC236}">
              <a16:creationId xmlns:a16="http://schemas.microsoft.com/office/drawing/2014/main" id="{F863E020-FBE7-4A7C-8EF8-FCDF085A1C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6" name="Elipse 2865">
          <a:extLst>
            <a:ext uri="{FF2B5EF4-FFF2-40B4-BE49-F238E27FC236}">
              <a16:creationId xmlns:a16="http://schemas.microsoft.com/office/drawing/2014/main" id="{5818E3D7-8FA2-4440-9FA6-40482F983D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7" name="Elipse 2866">
          <a:extLst>
            <a:ext uri="{FF2B5EF4-FFF2-40B4-BE49-F238E27FC236}">
              <a16:creationId xmlns:a16="http://schemas.microsoft.com/office/drawing/2014/main" id="{22AE82C2-5DC4-46BD-ACAE-46DFE7CCB6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8" name="Elipse 2867">
          <a:extLst>
            <a:ext uri="{FF2B5EF4-FFF2-40B4-BE49-F238E27FC236}">
              <a16:creationId xmlns:a16="http://schemas.microsoft.com/office/drawing/2014/main" id="{B33AFB77-E093-4E4A-878D-C948BFD132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9" name="Elipse 2868">
          <a:extLst>
            <a:ext uri="{FF2B5EF4-FFF2-40B4-BE49-F238E27FC236}">
              <a16:creationId xmlns:a16="http://schemas.microsoft.com/office/drawing/2014/main" id="{8C186169-2F64-4327-B5B6-F1BA064C3D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0" name="Elipse 2869">
          <a:extLst>
            <a:ext uri="{FF2B5EF4-FFF2-40B4-BE49-F238E27FC236}">
              <a16:creationId xmlns:a16="http://schemas.microsoft.com/office/drawing/2014/main" id="{15D0AFE0-7EE6-449D-9F17-4D5E13FE6F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1" name="Elipse 2870">
          <a:extLst>
            <a:ext uri="{FF2B5EF4-FFF2-40B4-BE49-F238E27FC236}">
              <a16:creationId xmlns:a16="http://schemas.microsoft.com/office/drawing/2014/main" id="{1A89A621-2697-47BD-A8AB-D27B1FB176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2" name="Elipse 2871">
          <a:extLst>
            <a:ext uri="{FF2B5EF4-FFF2-40B4-BE49-F238E27FC236}">
              <a16:creationId xmlns:a16="http://schemas.microsoft.com/office/drawing/2014/main" id="{BD571F52-12A4-4AF6-8BEC-948A38530F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3" name="Elipse 2872">
          <a:extLst>
            <a:ext uri="{FF2B5EF4-FFF2-40B4-BE49-F238E27FC236}">
              <a16:creationId xmlns:a16="http://schemas.microsoft.com/office/drawing/2014/main" id="{8F8AE55F-BB7D-4CE5-BA9D-FC000F65A6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4" name="Elipse 2873">
          <a:extLst>
            <a:ext uri="{FF2B5EF4-FFF2-40B4-BE49-F238E27FC236}">
              <a16:creationId xmlns:a16="http://schemas.microsoft.com/office/drawing/2014/main" id="{13C2410E-1319-40EB-B488-6B4F526702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5" name="Elipse 2874">
          <a:extLst>
            <a:ext uri="{FF2B5EF4-FFF2-40B4-BE49-F238E27FC236}">
              <a16:creationId xmlns:a16="http://schemas.microsoft.com/office/drawing/2014/main" id="{726C8663-305F-4E03-BF7F-9883A431F5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6" name="Elipse 2875">
          <a:extLst>
            <a:ext uri="{FF2B5EF4-FFF2-40B4-BE49-F238E27FC236}">
              <a16:creationId xmlns:a16="http://schemas.microsoft.com/office/drawing/2014/main" id="{B4B0EF91-6C9E-4C4D-B3F2-C7B1AD53AF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7" name="Elipse 2876">
          <a:extLst>
            <a:ext uri="{FF2B5EF4-FFF2-40B4-BE49-F238E27FC236}">
              <a16:creationId xmlns:a16="http://schemas.microsoft.com/office/drawing/2014/main" id="{D7ED8E5E-99AB-4E21-ADA9-47E4E89983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8" name="Elipse 2877">
          <a:extLst>
            <a:ext uri="{FF2B5EF4-FFF2-40B4-BE49-F238E27FC236}">
              <a16:creationId xmlns:a16="http://schemas.microsoft.com/office/drawing/2014/main" id="{32842A58-03EA-4667-94A2-9428B9AC00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9" name="Elipse 2878">
          <a:extLst>
            <a:ext uri="{FF2B5EF4-FFF2-40B4-BE49-F238E27FC236}">
              <a16:creationId xmlns:a16="http://schemas.microsoft.com/office/drawing/2014/main" id="{D9C59958-EBC3-4144-B2D9-2DF0ACE3D5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0" name="Elipse 2879">
          <a:extLst>
            <a:ext uri="{FF2B5EF4-FFF2-40B4-BE49-F238E27FC236}">
              <a16:creationId xmlns:a16="http://schemas.microsoft.com/office/drawing/2014/main" id="{F4CEDFE2-08E0-4F5D-B5FF-B2CB2CBE2E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1" name="Elipse 2880">
          <a:extLst>
            <a:ext uri="{FF2B5EF4-FFF2-40B4-BE49-F238E27FC236}">
              <a16:creationId xmlns:a16="http://schemas.microsoft.com/office/drawing/2014/main" id="{D9E1A4C7-43C7-4B2D-9A20-155EB80710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2" name="Elipse 2881">
          <a:extLst>
            <a:ext uri="{FF2B5EF4-FFF2-40B4-BE49-F238E27FC236}">
              <a16:creationId xmlns:a16="http://schemas.microsoft.com/office/drawing/2014/main" id="{3C896C93-1E1F-4281-9E88-9C6580480E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3" name="Elipse 2882">
          <a:extLst>
            <a:ext uri="{FF2B5EF4-FFF2-40B4-BE49-F238E27FC236}">
              <a16:creationId xmlns:a16="http://schemas.microsoft.com/office/drawing/2014/main" id="{B22E0968-E3F0-4BCB-B67B-0F096325ED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4" name="Elipse 2883">
          <a:extLst>
            <a:ext uri="{FF2B5EF4-FFF2-40B4-BE49-F238E27FC236}">
              <a16:creationId xmlns:a16="http://schemas.microsoft.com/office/drawing/2014/main" id="{61475D0A-8C52-4D75-B04D-6C0E50365C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5" name="Elipse 2884">
          <a:extLst>
            <a:ext uri="{FF2B5EF4-FFF2-40B4-BE49-F238E27FC236}">
              <a16:creationId xmlns:a16="http://schemas.microsoft.com/office/drawing/2014/main" id="{86ADBE2B-8773-4AB2-9624-830BB4B268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6" name="Elipse 2885">
          <a:extLst>
            <a:ext uri="{FF2B5EF4-FFF2-40B4-BE49-F238E27FC236}">
              <a16:creationId xmlns:a16="http://schemas.microsoft.com/office/drawing/2014/main" id="{06563C5D-E748-4D88-9124-ACB2EEA950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7" name="Elipse 2886">
          <a:extLst>
            <a:ext uri="{FF2B5EF4-FFF2-40B4-BE49-F238E27FC236}">
              <a16:creationId xmlns:a16="http://schemas.microsoft.com/office/drawing/2014/main" id="{DCCDDA3C-FB2D-461C-BCB7-AD03B962B9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8" name="Elipse 2887">
          <a:extLst>
            <a:ext uri="{FF2B5EF4-FFF2-40B4-BE49-F238E27FC236}">
              <a16:creationId xmlns:a16="http://schemas.microsoft.com/office/drawing/2014/main" id="{F7FC0AFF-9FBF-4DE3-B7BE-BDB0826CB2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9" name="Elipse 2888">
          <a:extLst>
            <a:ext uri="{FF2B5EF4-FFF2-40B4-BE49-F238E27FC236}">
              <a16:creationId xmlns:a16="http://schemas.microsoft.com/office/drawing/2014/main" id="{80D0C085-7F0B-4791-BD67-26E8496F2F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0" name="Elipse 2889">
          <a:extLst>
            <a:ext uri="{FF2B5EF4-FFF2-40B4-BE49-F238E27FC236}">
              <a16:creationId xmlns:a16="http://schemas.microsoft.com/office/drawing/2014/main" id="{BBE54B31-619A-400E-ABE8-BC0DE78430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1" name="Elipse 2890">
          <a:extLst>
            <a:ext uri="{FF2B5EF4-FFF2-40B4-BE49-F238E27FC236}">
              <a16:creationId xmlns:a16="http://schemas.microsoft.com/office/drawing/2014/main" id="{C545F885-840A-4B00-8322-B18DE3B5FC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2" name="Elipse 2891">
          <a:extLst>
            <a:ext uri="{FF2B5EF4-FFF2-40B4-BE49-F238E27FC236}">
              <a16:creationId xmlns:a16="http://schemas.microsoft.com/office/drawing/2014/main" id="{2B2818B4-083E-4140-AE5B-DD611A7286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3" name="Elipse 2892">
          <a:extLst>
            <a:ext uri="{FF2B5EF4-FFF2-40B4-BE49-F238E27FC236}">
              <a16:creationId xmlns:a16="http://schemas.microsoft.com/office/drawing/2014/main" id="{0B0ABF18-FE74-46B7-8A02-E277AFDB25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4" name="Elipse 2893">
          <a:extLst>
            <a:ext uri="{FF2B5EF4-FFF2-40B4-BE49-F238E27FC236}">
              <a16:creationId xmlns:a16="http://schemas.microsoft.com/office/drawing/2014/main" id="{1167C5E1-7CD8-4913-9D27-CE3ECE9FE1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5" name="Elipse 2894">
          <a:extLst>
            <a:ext uri="{FF2B5EF4-FFF2-40B4-BE49-F238E27FC236}">
              <a16:creationId xmlns:a16="http://schemas.microsoft.com/office/drawing/2014/main" id="{7C9F7E3D-0E06-42BF-8B32-1A1C509DFA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6" name="Elipse 2895">
          <a:extLst>
            <a:ext uri="{FF2B5EF4-FFF2-40B4-BE49-F238E27FC236}">
              <a16:creationId xmlns:a16="http://schemas.microsoft.com/office/drawing/2014/main" id="{26CBF93D-812D-4C66-BD1B-4509AFC212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7" name="Elipse 2896">
          <a:extLst>
            <a:ext uri="{FF2B5EF4-FFF2-40B4-BE49-F238E27FC236}">
              <a16:creationId xmlns:a16="http://schemas.microsoft.com/office/drawing/2014/main" id="{1C87AC77-EBCD-4B25-B6A3-84CBC4DCB0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8" name="Elipse 2897">
          <a:extLst>
            <a:ext uri="{FF2B5EF4-FFF2-40B4-BE49-F238E27FC236}">
              <a16:creationId xmlns:a16="http://schemas.microsoft.com/office/drawing/2014/main" id="{4D69561E-624B-4E32-9485-72318F0053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9" name="Elipse 2898">
          <a:extLst>
            <a:ext uri="{FF2B5EF4-FFF2-40B4-BE49-F238E27FC236}">
              <a16:creationId xmlns:a16="http://schemas.microsoft.com/office/drawing/2014/main" id="{EFC38A58-B258-47B6-8B1B-A668CE89E9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0" name="Elipse 2899">
          <a:extLst>
            <a:ext uri="{FF2B5EF4-FFF2-40B4-BE49-F238E27FC236}">
              <a16:creationId xmlns:a16="http://schemas.microsoft.com/office/drawing/2014/main" id="{166B17C9-ED27-4B76-A4D2-AE2E70BFF0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1" name="Elipse 2900">
          <a:extLst>
            <a:ext uri="{FF2B5EF4-FFF2-40B4-BE49-F238E27FC236}">
              <a16:creationId xmlns:a16="http://schemas.microsoft.com/office/drawing/2014/main" id="{B85A2D9A-6222-400A-99DA-50E74CFD75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2" name="Elipse 2901">
          <a:extLst>
            <a:ext uri="{FF2B5EF4-FFF2-40B4-BE49-F238E27FC236}">
              <a16:creationId xmlns:a16="http://schemas.microsoft.com/office/drawing/2014/main" id="{26817B85-F99B-4FBA-B8D7-1019D79FBA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3" name="Elipse 2902">
          <a:extLst>
            <a:ext uri="{FF2B5EF4-FFF2-40B4-BE49-F238E27FC236}">
              <a16:creationId xmlns:a16="http://schemas.microsoft.com/office/drawing/2014/main" id="{9AD451F4-21A1-4A72-AE2D-F6ADD64B29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4" name="Elipse 2903">
          <a:extLst>
            <a:ext uri="{FF2B5EF4-FFF2-40B4-BE49-F238E27FC236}">
              <a16:creationId xmlns:a16="http://schemas.microsoft.com/office/drawing/2014/main" id="{870C09CA-244B-4710-AFF7-CCC7B753CB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5" name="Elipse 2904">
          <a:extLst>
            <a:ext uri="{FF2B5EF4-FFF2-40B4-BE49-F238E27FC236}">
              <a16:creationId xmlns:a16="http://schemas.microsoft.com/office/drawing/2014/main" id="{C464A1C6-4C7B-41B1-8A11-4F4B4A6BCE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6" name="Elipse 2905">
          <a:extLst>
            <a:ext uri="{FF2B5EF4-FFF2-40B4-BE49-F238E27FC236}">
              <a16:creationId xmlns:a16="http://schemas.microsoft.com/office/drawing/2014/main" id="{EEF855D3-67DF-4B77-8464-22279797A0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7" name="Elipse 2906">
          <a:extLst>
            <a:ext uri="{FF2B5EF4-FFF2-40B4-BE49-F238E27FC236}">
              <a16:creationId xmlns:a16="http://schemas.microsoft.com/office/drawing/2014/main" id="{43772439-E7C3-47D8-BA5B-EE0F32C6FC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8" name="Elipse 2907">
          <a:extLst>
            <a:ext uri="{FF2B5EF4-FFF2-40B4-BE49-F238E27FC236}">
              <a16:creationId xmlns:a16="http://schemas.microsoft.com/office/drawing/2014/main" id="{3D3AD5FE-882F-40CA-AC07-2149E69879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9" name="Elipse 2908">
          <a:extLst>
            <a:ext uri="{FF2B5EF4-FFF2-40B4-BE49-F238E27FC236}">
              <a16:creationId xmlns:a16="http://schemas.microsoft.com/office/drawing/2014/main" id="{EF6D602B-9602-48C1-9D08-817E194513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0" name="Elipse 2909">
          <a:extLst>
            <a:ext uri="{FF2B5EF4-FFF2-40B4-BE49-F238E27FC236}">
              <a16:creationId xmlns:a16="http://schemas.microsoft.com/office/drawing/2014/main" id="{03677F9F-D9A3-4650-A3F6-89D94DDFD3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1" name="Elipse 2910">
          <a:extLst>
            <a:ext uri="{FF2B5EF4-FFF2-40B4-BE49-F238E27FC236}">
              <a16:creationId xmlns:a16="http://schemas.microsoft.com/office/drawing/2014/main" id="{86BCD69C-56E8-41E1-930A-E530EFFD5E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2" name="Elipse 2911">
          <a:extLst>
            <a:ext uri="{FF2B5EF4-FFF2-40B4-BE49-F238E27FC236}">
              <a16:creationId xmlns:a16="http://schemas.microsoft.com/office/drawing/2014/main" id="{9C96F7BF-7BDD-4CBA-BDF0-E8A50E002E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3" name="Elipse 2912">
          <a:extLst>
            <a:ext uri="{FF2B5EF4-FFF2-40B4-BE49-F238E27FC236}">
              <a16:creationId xmlns:a16="http://schemas.microsoft.com/office/drawing/2014/main" id="{D53A0F1B-E243-4671-A9E7-A61210B8B2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4" name="Elipse 2913">
          <a:extLst>
            <a:ext uri="{FF2B5EF4-FFF2-40B4-BE49-F238E27FC236}">
              <a16:creationId xmlns:a16="http://schemas.microsoft.com/office/drawing/2014/main" id="{945684AA-489C-45C4-9690-9D312D70B5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5" name="Elipse 2914">
          <a:extLst>
            <a:ext uri="{FF2B5EF4-FFF2-40B4-BE49-F238E27FC236}">
              <a16:creationId xmlns:a16="http://schemas.microsoft.com/office/drawing/2014/main" id="{A104ED31-25BA-4B60-97C5-ABBC20FF5D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6" name="Elipse 2915">
          <a:extLst>
            <a:ext uri="{FF2B5EF4-FFF2-40B4-BE49-F238E27FC236}">
              <a16:creationId xmlns:a16="http://schemas.microsoft.com/office/drawing/2014/main" id="{56E7BC10-2D8A-41F2-B729-74FB4CFA7A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7" name="Elipse 2916">
          <a:extLst>
            <a:ext uri="{FF2B5EF4-FFF2-40B4-BE49-F238E27FC236}">
              <a16:creationId xmlns:a16="http://schemas.microsoft.com/office/drawing/2014/main" id="{5351BA17-B9F2-49A6-BA70-5F4C09D27E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8" name="Elipse 2917">
          <a:extLst>
            <a:ext uri="{FF2B5EF4-FFF2-40B4-BE49-F238E27FC236}">
              <a16:creationId xmlns:a16="http://schemas.microsoft.com/office/drawing/2014/main" id="{8DCE7C35-1A64-42D1-8C68-29FCC1CB30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9" name="Elipse 2918">
          <a:extLst>
            <a:ext uri="{FF2B5EF4-FFF2-40B4-BE49-F238E27FC236}">
              <a16:creationId xmlns:a16="http://schemas.microsoft.com/office/drawing/2014/main" id="{3AE07C60-CE82-4271-9D38-4F2963E7CA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0" name="Elipse 2919">
          <a:extLst>
            <a:ext uri="{FF2B5EF4-FFF2-40B4-BE49-F238E27FC236}">
              <a16:creationId xmlns:a16="http://schemas.microsoft.com/office/drawing/2014/main" id="{73D4E91A-EB68-44AC-AF91-F69B57FBE7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1" name="Elipse 2920">
          <a:extLst>
            <a:ext uri="{FF2B5EF4-FFF2-40B4-BE49-F238E27FC236}">
              <a16:creationId xmlns:a16="http://schemas.microsoft.com/office/drawing/2014/main" id="{69824DBE-CBAF-4E35-BDDD-B73F50A18A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2" name="Elipse 2921">
          <a:extLst>
            <a:ext uri="{FF2B5EF4-FFF2-40B4-BE49-F238E27FC236}">
              <a16:creationId xmlns:a16="http://schemas.microsoft.com/office/drawing/2014/main" id="{704C4D9B-C312-420C-99C3-EF189FB149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3" name="Elipse 2922">
          <a:extLst>
            <a:ext uri="{FF2B5EF4-FFF2-40B4-BE49-F238E27FC236}">
              <a16:creationId xmlns:a16="http://schemas.microsoft.com/office/drawing/2014/main" id="{BDC52F71-A150-47D2-BA02-E525CDC4AA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4" name="Elipse 2923">
          <a:extLst>
            <a:ext uri="{FF2B5EF4-FFF2-40B4-BE49-F238E27FC236}">
              <a16:creationId xmlns:a16="http://schemas.microsoft.com/office/drawing/2014/main" id="{2A0625A6-E695-40A2-8A9E-A811F248A3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5" name="Elipse 2924">
          <a:extLst>
            <a:ext uri="{FF2B5EF4-FFF2-40B4-BE49-F238E27FC236}">
              <a16:creationId xmlns:a16="http://schemas.microsoft.com/office/drawing/2014/main" id="{96BB86BF-49F5-41C7-9A21-DBA6ABF202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6" name="Elipse 2925">
          <a:extLst>
            <a:ext uri="{FF2B5EF4-FFF2-40B4-BE49-F238E27FC236}">
              <a16:creationId xmlns:a16="http://schemas.microsoft.com/office/drawing/2014/main" id="{0224FB2E-C29F-453A-8F65-BA2274B7F9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7" name="Elipse 2926">
          <a:extLst>
            <a:ext uri="{FF2B5EF4-FFF2-40B4-BE49-F238E27FC236}">
              <a16:creationId xmlns:a16="http://schemas.microsoft.com/office/drawing/2014/main" id="{2D51C2A8-D91E-476B-8FE1-7DE0A405AD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8" name="Elipse 2927">
          <a:extLst>
            <a:ext uri="{FF2B5EF4-FFF2-40B4-BE49-F238E27FC236}">
              <a16:creationId xmlns:a16="http://schemas.microsoft.com/office/drawing/2014/main" id="{1B00C6BA-0AB3-4C3D-945E-AA749C3C99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9" name="Elipse 2928">
          <a:extLst>
            <a:ext uri="{FF2B5EF4-FFF2-40B4-BE49-F238E27FC236}">
              <a16:creationId xmlns:a16="http://schemas.microsoft.com/office/drawing/2014/main" id="{FDAF57BF-E52E-483D-B38C-1D89E0E570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0" name="Elipse 2929">
          <a:extLst>
            <a:ext uri="{FF2B5EF4-FFF2-40B4-BE49-F238E27FC236}">
              <a16:creationId xmlns:a16="http://schemas.microsoft.com/office/drawing/2014/main" id="{AE696B93-6C34-44B2-87EB-FE568B5224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1" name="Elipse 2930">
          <a:extLst>
            <a:ext uri="{FF2B5EF4-FFF2-40B4-BE49-F238E27FC236}">
              <a16:creationId xmlns:a16="http://schemas.microsoft.com/office/drawing/2014/main" id="{9C3AF04B-DE1A-4038-9F33-FE68DD9726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2" name="Elipse 2931">
          <a:extLst>
            <a:ext uri="{FF2B5EF4-FFF2-40B4-BE49-F238E27FC236}">
              <a16:creationId xmlns:a16="http://schemas.microsoft.com/office/drawing/2014/main" id="{68C5ABCC-64B1-495A-A289-0418C723DF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3" name="Elipse 2932">
          <a:extLst>
            <a:ext uri="{FF2B5EF4-FFF2-40B4-BE49-F238E27FC236}">
              <a16:creationId xmlns:a16="http://schemas.microsoft.com/office/drawing/2014/main" id="{625D7D6E-8DB7-4B83-8FBB-AFFBA972A4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4" name="Elipse 2933">
          <a:extLst>
            <a:ext uri="{FF2B5EF4-FFF2-40B4-BE49-F238E27FC236}">
              <a16:creationId xmlns:a16="http://schemas.microsoft.com/office/drawing/2014/main" id="{102F44CA-7190-474B-A3A5-B9B703970A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5" name="Elipse 2934">
          <a:extLst>
            <a:ext uri="{FF2B5EF4-FFF2-40B4-BE49-F238E27FC236}">
              <a16:creationId xmlns:a16="http://schemas.microsoft.com/office/drawing/2014/main" id="{C22820AB-A493-43CD-9338-727B9F6A8E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6" name="Elipse 2935">
          <a:extLst>
            <a:ext uri="{FF2B5EF4-FFF2-40B4-BE49-F238E27FC236}">
              <a16:creationId xmlns:a16="http://schemas.microsoft.com/office/drawing/2014/main" id="{9ED17903-B4E2-42EA-9586-AE9B29F69F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7" name="Elipse 2936">
          <a:extLst>
            <a:ext uri="{FF2B5EF4-FFF2-40B4-BE49-F238E27FC236}">
              <a16:creationId xmlns:a16="http://schemas.microsoft.com/office/drawing/2014/main" id="{92CC14B1-55D3-4851-B9FE-802476EFF0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8" name="Elipse 2937">
          <a:extLst>
            <a:ext uri="{FF2B5EF4-FFF2-40B4-BE49-F238E27FC236}">
              <a16:creationId xmlns:a16="http://schemas.microsoft.com/office/drawing/2014/main" id="{289C39C0-1FDB-4BB9-9A9D-8A5A2C74E4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9" name="Elipse 2938">
          <a:extLst>
            <a:ext uri="{FF2B5EF4-FFF2-40B4-BE49-F238E27FC236}">
              <a16:creationId xmlns:a16="http://schemas.microsoft.com/office/drawing/2014/main" id="{4DF0C154-CBFC-4E0E-B229-19A81AC70B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0" name="Elipse 2939">
          <a:extLst>
            <a:ext uri="{FF2B5EF4-FFF2-40B4-BE49-F238E27FC236}">
              <a16:creationId xmlns:a16="http://schemas.microsoft.com/office/drawing/2014/main" id="{842D3EF8-311F-414E-87AC-4855205343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1" name="Elipse 2940">
          <a:extLst>
            <a:ext uri="{FF2B5EF4-FFF2-40B4-BE49-F238E27FC236}">
              <a16:creationId xmlns:a16="http://schemas.microsoft.com/office/drawing/2014/main" id="{AA4EE8BC-92AA-423A-A27B-CE0EF0BC19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2" name="Elipse 2941">
          <a:extLst>
            <a:ext uri="{FF2B5EF4-FFF2-40B4-BE49-F238E27FC236}">
              <a16:creationId xmlns:a16="http://schemas.microsoft.com/office/drawing/2014/main" id="{F7381F73-322A-488C-A051-68E0603FFB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3" name="Elipse 2942">
          <a:extLst>
            <a:ext uri="{FF2B5EF4-FFF2-40B4-BE49-F238E27FC236}">
              <a16:creationId xmlns:a16="http://schemas.microsoft.com/office/drawing/2014/main" id="{5530E376-9E8B-4274-9536-C8D29D3D58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4" name="Elipse 2943">
          <a:extLst>
            <a:ext uri="{FF2B5EF4-FFF2-40B4-BE49-F238E27FC236}">
              <a16:creationId xmlns:a16="http://schemas.microsoft.com/office/drawing/2014/main" id="{42F80055-6463-4C9B-AA59-FB9B94EF10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5" name="Elipse 2944">
          <a:extLst>
            <a:ext uri="{FF2B5EF4-FFF2-40B4-BE49-F238E27FC236}">
              <a16:creationId xmlns:a16="http://schemas.microsoft.com/office/drawing/2014/main" id="{3A2CF128-D4E8-4ADB-B3F5-E9FC9082E5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6" name="Elipse 2945">
          <a:extLst>
            <a:ext uri="{FF2B5EF4-FFF2-40B4-BE49-F238E27FC236}">
              <a16:creationId xmlns:a16="http://schemas.microsoft.com/office/drawing/2014/main" id="{08E83D9B-CA44-4DDE-B073-696CFD4A7F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7" name="Elipse 2946">
          <a:extLst>
            <a:ext uri="{FF2B5EF4-FFF2-40B4-BE49-F238E27FC236}">
              <a16:creationId xmlns:a16="http://schemas.microsoft.com/office/drawing/2014/main" id="{9A979031-62F3-4EC8-AD2E-BBD5F4840A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8" name="Elipse 2947">
          <a:extLst>
            <a:ext uri="{FF2B5EF4-FFF2-40B4-BE49-F238E27FC236}">
              <a16:creationId xmlns:a16="http://schemas.microsoft.com/office/drawing/2014/main" id="{4EABA6FB-29AE-46AD-91AD-26DAF75B18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9" name="Elipse 2948">
          <a:extLst>
            <a:ext uri="{FF2B5EF4-FFF2-40B4-BE49-F238E27FC236}">
              <a16:creationId xmlns:a16="http://schemas.microsoft.com/office/drawing/2014/main" id="{E81B07B3-5A3A-49AD-8D1A-BC1C13EC8D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0" name="Elipse 2949">
          <a:extLst>
            <a:ext uri="{FF2B5EF4-FFF2-40B4-BE49-F238E27FC236}">
              <a16:creationId xmlns:a16="http://schemas.microsoft.com/office/drawing/2014/main" id="{DD2B5393-4154-42EE-8C07-250CCA3946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1" name="Elipse 2950">
          <a:extLst>
            <a:ext uri="{FF2B5EF4-FFF2-40B4-BE49-F238E27FC236}">
              <a16:creationId xmlns:a16="http://schemas.microsoft.com/office/drawing/2014/main" id="{5FEFD9F5-E58B-4671-8D63-9A0F5F7A26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2" name="Elipse 2951">
          <a:extLst>
            <a:ext uri="{FF2B5EF4-FFF2-40B4-BE49-F238E27FC236}">
              <a16:creationId xmlns:a16="http://schemas.microsoft.com/office/drawing/2014/main" id="{D165370B-5321-427D-B697-51CD96AA9B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3" name="Elipse 2952">
          <a:extLst>
            <a:ext uri="{FF2B5EF4-FFF2-40B4-BE49-F238E27FC236}">
              <a16:creationId xmlns:a16="http://schemas.microsoft.com/office/drawing/2014/main" id="{39A49E7D-BD75-4D59-BF8D-58BC135310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4" name="Elipse 2953">
          <a:extLst>
            <a:ext uri="{FF2B5EF4-FFF2-40B4-BE49-F238E27FC236}">
              <a16:creationId xmlns:a16="http://schemas.microsoft.com/office/drawing/2014/main" id="{1CE440D8-F585-4854-A1E5-C052E1665B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5" name="Elipse 2954">
          <a:extLst>
            <a:ext uri="{FF2B5EF4-FFF2-40B4-BE49-F238E27FC236}">
              <a16:creationId xmlns:a16="http://schemas.microsoft.com/office/drawing/2014/main" id="{0D85EC5A-764D-468E-9EB5-E398877285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6" name="Elipse 2955">
          <a:extLst>
            <a:ext uri="{FF2B5EF4-FFF2-40B4-BE49-F238E27FC236}">
              <a16:creationId xmlns:a16="http://schemas.microsoft.com/office/drawing/2014/main" id="{333E8787-AC1D-4C0C-997F-8E8F3A1E0B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7" name="Elipse 2956">
          <a:extLst>
            <a:ext uri="{FF2B5EF4-FFF2-40B4-BE49-F238E27FC236}">
              <a16:creationId xmlns:a16="http://schemas.microsoft.com/office/drawing/2014/main" id="{3803E258-BDD2-4DAF-ACA8-0960A39A84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8" name="Elipse 2957">
          <a:extLst>
            <a:ext uri="{FF2B5EF4-FFF2-40B4-BE49-F238E27FC236}">
              <a16:creationId xmlns:a16="http://schemas.microsoft.com/office/drawing/2014/main" id="{DE2450A8-554D-4A45-97DB-44920DE5E6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9" name="Elipse 2958">
          <a:extLst>
            <a:ext uri="{FF2B5EF4-FFF2-40B4-BE49-F238E27FC236}">
              <a16:creationId xmlns:a16="http://schemas.microsoft.com/office/drawing/2014/main" id="{70DE372B-92E2-4857-852D-ED578ED4C3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0" name="Elipse 2959">
          <a:extLst>
            <a:ext uri="{FF2B5EF4-FFF2-40B4-BE49-F238E27FC236}">
              <a16:creationId xmlns:a16="http://schemas.microsoft.com/office/drawing/2014/main" id="{7DEF660F-CB9A-4CB7-B64B-685148847C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1" name="Elipse 2960">
          <a:extLst>
            <a:ext uri="{FF2B5EF4-FFF2-40B4-BE49-F238E27FC236}">
              <a16:creationId xmlns:a16="http://schemas.microsoft.com/office/drawing/2014/main" id="{1601EA53-DDE4-4B5E-B66C-928F90E726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2" name="Elipse 2961">
          <a:extLst>
            <a:ext uri="{FF2B5EF4-FFF2-40B4-BE49-F238E27FC236}">
              <a16:creationId xmlns:a16="http://schemas.microsoft.com/office/drawing/2014/main" id="{E2C61A85-9DFA-4765-8235-D1E2FB2CDF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3" name="Elipse 2962">
          <a:extLst>
            <a:ext uri="{FF2B5EF4-FFF2-40B4-BE49-F238E27FC236}">
              <a16:creationId xmlns:a16="http://schemas.microsoft.com/office/drawing/2014/main" id="{21E63CEC-1AE8-4A0A-B05D-B86CB75267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4" name="Elipse 2963">
          <a:extLst>
            <a:ext uri="{FF2B5EF4-FFF2-40B4-BE49-F238E27FC236}">
              <a16:creationId xmlns:a16="http://schemas.microsoft.com/office/drawing/2014/main" id="{5B21B98F-C1DF-465D-8EBD-4CB79AD06C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5" name="Elipse 2964">
          <a:extLst>
            <a:ext uri="{FF2B5EF4-FFF2-40B4-BE49-F238E27FC236}">
              <a16:creationId xmlns:a16="http://schemas.microsoft.com/office/drawing/2014/main" id="{966A3647-C849-4344-B981-A2CE754CAD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6" name="Elipse 2965">
          <a:extLst>
            <a:ext uri="{FF2B5EF4-FFF2-40B4-BE49-F238E27FC236}">
              <a16:creationId xmlns:a16="http://schemas.microsoft.com/office/drawing/2014/main" id="{7D56EC9B-4A02-4E9D-9750-AD0D696454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7" name="Elipse 2966">
          <a:extLst>
            <a:ext uri="{FF2B5EF4-FFF2-40B4-BE49-F238E27FC236}">
              <a16:creationId xmlns:a16="http://schemas.microsoft.com/office/drawing/2014/main" id="{44CF339F-EA11-479F-93A0-6394219319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8" name="Elipse 2967">
          <a:extLst>
            <a:ext uri="{FF2B5EF4-FFF2-40B4-BE49-F238E27FC236}">
              <a16:creationId xmlns:a16="http://schemas.microsoft.com/office/drawing/2014/main" id="{FDE6ACB7-3102-424F-95E4-EEAC9AF22C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9" name="Elipse 2968">
          <a:extLst>
            <a:ext uri="{FF2B5EF4-FFF2-40B4-BE49-F238E27FC236}">
              <a16:creationId xmlns:a16="http://schemas.microsoft.com/office/drawing/2014/main" id="{6BC43A8F-2FB9-45CB-8F5A-F9B56E743B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0" name="Elipse 2969">
          <a:extLst>
            <a:ext uri="{FF2B5EF4-FFF2-40B4-BE49-F238E27FC236}">
              <a16:creationId xmlns:a16="http://schemas.microsoft.com/office/drawing/2014/main" id="{EA53616A-D75A-4DE8-AD47-41E2BEA422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1" name="Elipse 2970">
          <a:extLst>
            <a:ext uri="{FF2B5EF4-FFF2-40B4-BE49-F238E27FC236}">
              <a16:creationId xmlns:a16="http://schemas.microsoft.com/office/drawing/2014/main" id="{4751A37B-1C46-44FF-B777-E14D55E8C8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2" name="Elipse 2971">
          <a:extLst>
            <a:ext uri="{FF2B5EF4-FFF2-40B4-BE49-F238E27FC236}">
              <a16:creationId xmlns:a16="http://schemas.microsoft.com/office/drawing/2014/main" id="{C5F93F45-8F8A-4843-9CF2-0925B7F775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3" name="Elipse 2972">
          <a:extLst>
            <a:ext uri="{FF2B5EF4-FFF2-40B4-BE49-F238E27FC236}">
              <a16:creationId xmlns:a16="http://schemas.microsoft.com/office/drawing/2014/main" id="{7448CD6D-B3CB-4EC0-ADF2-B562A41731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4" name="Elipse 2973">
          <a:extLst>
            <a:ext uri="{FF2B5EF4-FFF2-40B4-BE49-F238E27FC236}">
              <a16:creationId xmlns:a16="http://schemas.microsoft.com/office/drawing/2014/main" id="{5496EE3B-C81D-4EC3-AD23-6A35E8AE26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5" name="Elipse 2974">
          <a:extLst>
            <a:ext uri="{FF2B5EF4-FFF2-40B4-BE49-F238E27FC236}">
              <a16:creationId xmlns:a16="http://schemas.microsoft.com/office/drawing/2014/main" id="{F44A875B-0F3E-43A0-8E4E-DA1396D8C2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6" name="Elipse 2975">
          <a:extLst>
            <a:ext uri="{FF2B5EF4-FFF2-40B4-BE49-F238E27FC236}">
              <a16:creationId xmlns:a16="http://schemas.microsoft.com/office/drawing/2014/main" id="{9C625063-D0CE-4CD9-9EF7-1B36912331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7" name="Elipse 2976">
          <a:extLst>
            <a:ext uri="{FF2B5EF4-FFF2-40B4-BE49-F238E27FC236}">
              <a16:creationId xmlns:a16="http://schemas.microsoft.com/office/drawing/2014/main" id="{C391B7AF-7D09-416B-B8BE-77AAC00D6E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8" name="Elipse 2977">
          <a:extLst>
            <a:ext uri="{FF2B5EF4-FFF2-40B4-BE49-F238E27FC236}">
              <a16:creationId xmlns:a16="http://schemas.microsoft.com/office/drawing/2014/main" id="{45B0F57A-49A5-414A-A66C-26E86C440F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9" name="Elipse 2978">
          <a:extLst>
            <a:ext uri="{FF2B5EF4-FFF2-40B4-BE49-F238E27FC236}">
              <a16:creationId xmlns:a16="http://schemas.microsoft.com/office/drawing/2014/main" id="{DC1A0550-44FE-44F5-BF18-7896553D43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0" name="Elipse 2979">
          <a:extLst>
            <a:ext uri="{FF2B5EF4-FFF2-40B4-BE49-F238E27FC236}">
              <a16:creationId xmlns:a16="http://schemas.microsoft.com/office/drawing/2014/main" id="{E5FEF54A-2FDA-4B1B-83A1-034AD7B69C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1" name="Elipse 2980">
          <a:extLst>
            <a:ext uri="{FF2B5EF4-FFF2-40B4-BE49-F238E27FC236}">
              <a16:creationId xmlns:a16="http://schemas.microsoft.com/office/drawing/2014/main" id="{08DC39EF-91BB-472E-AB24-5E0AE24334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2" name="Elipse 2981">
          <a:extLst>
            <a:ext uri="{FF2B5EF4-FFF2-40B4-BE49-F238E27FC236}">
              <a16:creationId xmlns:a16="http://schemas.microsoft.com/office/drawing/2014/main" id="{183CE1FA-37DC-455E-BA55-D8691E4443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3" name="Elipse 2982">
          <a:extLst>
            <a:ext uri="{FF2B5EF4-FFF2-40B4-BE49-F238E27FC236}">
              <a16:creationId xmlns:a16="http://schemas.microsoft.com/office/drawing/2014/main" id="{15DB0ED7-E038-4BF1-AC8E-DF8C3FCDE0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4" name="Elipse 2983">
          <a:extLst>
            <a:ext uri="{FF2B5EF4-FFF2-40B4-BE49-F238E27FC236}">
              <a16:creationId xmlns:a16="http://schemas.microsoft.com/office/drawing/2014/main" id="{3E40BC01-79B6-44E6-AF78-400D6F0BFD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5" name="Elipse 2984">
          <a:extLst>
            <a:ext uri="{FF2B5EF4-FFF2-40B4-BE49-F238E27FC236}">
              <a16:creationId xmlns:a16="http://schemas.microsoft.com/office/drawing/2014/main" id="{07CEF8CB-9DE9-4D63-AA79-7ECDCD0987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6" name="Elipse 2985">
          <a:extLst>
            <a:ext uri="{FF2B5EF4-FFF2-40B4-BE49-F238E27FC236}">
              <a16:creationId xmlns:a16="http://schemas.microsoft.com/office/drawing/2014/main" id="{3B19E49F-0FAB-49C1-A792-9DCBB7162C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7" name="Elipse 2986">
          <a:extLst>
            <a:ext uri="{FF2B5EF4-FFF2-40B4-BE49-F238E27FC236}">
              <a16:creationId xmlns:a16="http://schemas.microsoft.com/office/drawing/2014/main" id="{6295C885-1BC2-4632-8389-1D9EC88333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8" name="Elipse 2987">
          <a:extLst>
            <a:ext uri="{FF2B5EF4-FFF2-40B4-BE49-F238E27FC236}">
              <a16:creationId xmlns:a16="http://schemas.microsoft.com/office/drawing/2014/main" id="{862CCD37-3F0B-48B4-AD22-55E73C337C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9" name="Elipse 2988">
          <a:extLst>
            <a:ext uri="{FF2B5EF4-FFF2-40B4-BE49-F238E27FC236}">
              <a16:creationId xmlns:a16="http://schemas.microsoft.com/office/drawing/2014/main" id="{EF18E3CA-85DA-4061-9628-AF78FE0948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0" name="Elipse 2989">
          <a:extLst>
            <a:ext uri="{FF2B5EF4-FFF2-40B4-BE49-F238E27FC236}">
              <a16:creationId xmlns:a16="http://schemas.microsoft.com/office/drawing/2014/main" id="{8AAE4BEA-769F-4A8C-BDA9-0C75A2FD67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1" name="Elipse 2990">
          <a:extLst>
            <a:ext uri="{FF2B5EF4-FFF2-40B4-BE49-F238E27FC236}">
              <a16:creationId xmlns:a16="http://schemas.microsoft.com/office/drawing/2014/main" id="{DDBFA6C5-2E68-4FA7-8CAD-2286387209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2" name="Elipse 2991">
          <a:extLst>
            <a:ext uri="{FF2B5EF4-FFF2-40B4-BE49-F238E27FC236}">
              <a16:creationId xmlns:a16="http://schemas.microsoft.com/office/drawing/2014/main" id="{151EE80D-7C1B-4BD4-A34B-027A676E12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3" name="Elipse 2992">
          <a:extLst>
            <a:ext uri="{FF2B5EF4-FFF2-40B4-BE49-F238E27FC236}">
              <a16:creationId xmlns:a16="http://schemas.microsoft.com/office/drawing/2014/main" id="{72FF6D57-570C-4D90-9BC6-5E77170275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4" name="Elipse 2993">
          <a:extLst>
            <a:ext uri="{FF2B5EF4-FFF2-40B4-BE49-F238E27FC236}">
              <a16:creationId xmlns:a16="http://schemas.microsoft.com/office/drawing/2014/main" id="{32685AB4-89DF-4D95-8364-77155B974C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5" name="Elipse 2994">
          <a:extLst>
            <a:ext uri="{FF2B5EF4-FFF2-40B4-BE49-F238E27FC236}">
              <a16:creationId xmlns:a16="http://schemas.microsoft.com/office/drawing/2014/main" id="{94046DF3-AD00-4FF8-BE49-07A6BFB151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6" name="Elipse 2995">
          <a:extLst>
            <a:ext uri="{FF2B5EF4-FFF2-40B4-BE49-F238E27FC236}">
              <a16:creationId xmlns:a16="http://schemas.microsoft.com/office/drawing/2014/main" id="{EEF5F8F8-EE08-451E-A81F-E7BA8B6CF8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7" name="Elipse 2996">
          <a:extLst>
            <a:ext uri="{FF2B5EF4-FFF2-40B4-BE49-F238E27FC236}">
              <a16:creationId xmlns:a16="http://schemas.microsoft.com/office/drawing/2014/main" id="{EB24C00E-E2A0-41F5-9F2F-CD36CAA028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8" name="Elipse 2997">
          <a:extLst>
            <a:ext uri="{FF2B5EF4-FFF2-40B4-BE49-F238E27FC236}">
              <a16:creationId xmlns:a16="http://schemas.microsoft.com/office/drawing/2014/main" id="{65D948A9-10A9-4B35-8DD8-1C3FE1F5DB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9" name="Elipse 2998">
          <a:extLst>
            <a:ext uri="{FF2B5EF4-FFF2-40B4-BE49-F238E27FC236}">
              <a16:creationId xmlns:a16="http://schemas.microsoft.com/office/drawing/2014/main" id="{6FFC2F36-62D4-4839-AE81-98356CB47D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0" name="Elipse 2999">
          <a:extLst>
            <a:ext uri="{FF2B5EF4-FFF2-40B4-BE49-F238E27FC236}">
              <a16:creationId xmlns:a16="http://schemas.microsoft.com/office/drawing/2014/main" id="{A20D6B00-195C-445E-B6FE-53EDB0F672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1" name="Elipse 3000">
          <a:extLst>
            <a:ext uri="{FF2B5EF4-FFF2-40B4-BE49-F238E27FC236}">
              <a16:creationId xmlns:a16="http://schemas.microsoft.com/office/drawing/2014/main" id="{BDCDF583-14D6-42B9-BD96-EB885FA142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2" name="Elipse 3001">
          <a:extLst>
            <a:ext uri="{FF2B5EF4-FFF2-40B4-BE49-F238E27FC236}">
              <a16:creationId xmlns:a16="http://schemas.microsoft.com/office/drawing/2014/main" id="{2CDF9225-23D6-4896-80FA-281F9ADBB0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3" name="Elipse 3002">
          <a:extLst>
            <a:ext uri="{FF2B5EF4-FFF2-40B4-BE49-F238E27FC236}">
              <a16:creationId xmlns:a16="http://schemas.microsoft.com/office/drawing/2014/main" id="{676121AB-15AE-4A34-BA21-312F59C8FA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4" name="Elipse 3003">
          <a:extLst>
            <a:ext uri="{FF2B5EF4-FFF2-40B4-BE49-F238E27FC236}">
              <a16:creationId xmlns:a16="http://schemas.microsoft.com/office/drawing/2014/main" id="{A8FF7136-F973-4999-B363-A9333D5DF4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5" name="Elipse 3004">
          <a:extLst>
            <a:ext uri="{FF2B5EF4-FFF2-40B4-BE49-F238E27FC236}">
              <a16:creationId xmlns:a16="http://schemas.microsoft.com/office/drawing/2014/main" id="{64787548-BD94-4AC6-9B17-D2EBE01951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6" name="Elipse 3005">
          <a:extLst>
            <a:ext uri="{FF2B5EF4-FFF2-40B4-BE49-F238E27FC236}">
              <a16:creationId xmlns:a16="http://schemas.microsoft.com/office/drawing/2014/main" id="{88127967-5AC7-432F-B0AD-7DA8B97E18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7" name="Elipse 3006">
          <a:extLst>
            <a:ext uri="{FF2B5EF4-FFF2-40B4-BE49-F238E27FC236}">
              <a16:creationId xmlns:a16="http://schemas.microsoft.com/office/drawing/2014/main" id="{B47E38B9-7BCE-4B14-BA9C-1DC1FDE3CB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8" name="Elipse 3007">
          <a:extLst>
            <a:ext uri="{FF2B5EF4-FFF2-40B4-BE49-F238E27FC236}">
              <a16:creationId xmlns:a16="http://schemas.microsoft.com/office/drawing/2014/main" id="{5888ED91-C853-4C9D-B9A9-8D7D748F45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9" name="Elipse 3008">
          <a:extLst>
            <a:ext uri="{FF2B5EF4-FFF2-40B4-BE49-F238E27FC236}">
              <a16:creationId xmlns:a16="http://schemas.microsoft.com/office/drawing/2014/main" id="{429BEE6D-A4F3-4327-8762-5D3417F3A4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0" name="Elipse 3009">
          <a:extLst>
            <a:ext uri="{FF2B5EF4-FFF2-40B4-BE49-F238E27FC236}">
              <a16:creationId xmlns:a16="http://schemas.microsoft.com/office/drawing/2014/main" id="{13E02C50-EBF9-4A0B-9544-780A9B6EFD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1" name="Elipse 3010">
          <a:extLst>
            <a:ext uri="{FF2B5EF4-FFF2-40B4-BE49-F238E27FC236}">
              <a16:creationId xmlns:a16="http://schemas.microsoft.com/office/drawing/2014/main" id="{619C908C-A5BF-4EA1-B225-858E871C62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2" name="Elipse 3011">
          <a:extLst>
            <a:ext uri="{FF2B5EF4-FFF2-40B4-BE49-F238E27FC236}">
              <a16:creationId xmlns:a16="http://schemas.microsoft.com/office/drawing/2014/main" id="{05A3CC72-BAC3-464D-B861-230DBE734A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3" name="Elipse 3012">
          <a:extLst>
            <a:ext uri="{FF2B5EF4-FFF2-40B4-BE49-F238E27FC236}">
              <a16:creationId xmlns:a16="http://schemas.microsoft.com/office/drawing/2014/main" id="{C18CD0E2-A29E-41C5-AC4C-D91429DA1B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4" name="Elipse 3013">
          <a:extLst>
            <a:ext uri="{FF2B5EF4-FFF2-40B4-BE49-F238E27FC236}">
              <a16:creationId xmlns:a16="http://schemas.microsoft.com/office/drawing/2014/main" id="{3496F7D9-7CE8-4E13-8581-AE53C62502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5" name="Elipse 3014">
          <a:extLst>
            <a:ext uri="{FF2B5EF4-FFF2-40B4-BE49-F238E27FC236}">
              <a16:creationId xmlns:a16="http://schemas.microsoft.com/office/drawing/2014/main" id="{91ED4AB3-D34E-45C9-B37E-FA1524E86D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6" name="Elipse 3015">
          <a:extLst>
            <a:ext uri="{FF2B5EF4-FFF2-40B4-BE49-F238E27FC236}">
              <a16:creationId xmlns:a16="http://schemas.microsoft.com/office/drawing/2014/main" id="{06054C76-7AE4-4498-9870-4D394EC092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7" name="Elipse 3016">
          <a:extLst>
            <a:ext uri="{FF2B5EF4-FFF2-40B4-BE49-F238E27FC236}">
              <a16:creationId xmlns:a16="http://schemas.microsoft.com/office/drawing/2014/main" id="{B8633E17-F3ED-4E15-9349-66FB0E3F78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8" name="Elipse 3017">
          <a:extLst>
            <a:ext uri="{FF2B5EF4-FFF2-40B4-BE49-F238E27FC236}">
              <a16:creationId xmlns:a16="http://schemas.microsoft.com/office/drawing/2014/main" id="{BDAA64BD-4A43-42AD-8092-09D48A6444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9" name="Elipse 3018">
          <a:extLst>
            <a:ext uri="{FF2B5EF4-FFF2-40B4-BE49-F238E27FC236}">
              <a16:creationId xmlns:a16="http://schemas.microsoft.com/office/drawing/2014/main" id="{6327613A-EC1D-47C4-AF55-80028F84C0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0" name="Elipse 3019">
          <a:extLst>
            <a:ext uri="{FF2B5EF4-FFF2-40B4-BE49-F238E27FC236}">
              <a16:creationId xmlns:a16="http://schemas.microsoft.com/office/drawing/2014/main" id="{36F8061E-F2AE-462B-8C1B-45BD9ECD7E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1" name="Elipse 3020">
          <a:extLst>
            <a:ext uri="{FF2B5EF4-FFF2-40B4-BE49-F238E27FC236}">
              <a16:creationId xmlns:a16="http://schemas.microsoft.com/office/drawing/2014/main" id="{4356D923-8AE1-4390-B62D-172E146566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2" name="Elipse 3021">
          <a:extLst>
            <a:ext uri="{FF2B5EF4-FFF2-40B4-BE49-F238E27FC236}">
              <a16:creationId xmlns:a16="http://schemas.microsoft.com/office/drawing/2014/main" id="{3D46ADA6-0E86-4807-9CC7-3BCCB12200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3" name="Elipse 3022">
          <a:extLst>
            <a:ext uri="{FF2B5EF4-FFF2-40B4-BE49-F238E27FC236}">
              <a16:creationId xmlns:a16="http://schemas.microsoft.com/office/drawing/2014/main" id="{1BDDD067-2F8F-4007-A129-E71AEB5A29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4" name="Elipse 3023">
          <a:extLst>
            <a:ext uri="{FF2B5EF4-FFF2-40B4-BE49-F238E27FC236}">
              <a16:creationId xmlns:a16="http://schemas.microsoft.com/office/drawing/2014/main" id="{3C63F5FA-B2FC-42EC-8A98-0A971B4C5B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5" name="Elipse 3024">
          <a:extLst>
            <a:ext uri="{FF2B5EF4-FFF2-40B4-BE49-F238E27FC236}">
              <a16:creationId xmlns:a16="http://schemas.microsoft.com/office/drawing/2014/main" id="{B00E0CB6-9D54-457A-8EE1-2CCDC2774C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6" name="Elipse 3025">
          <a:extLst>
            <a:ext uri="{FF2B5EF4-FFF2-40B4-BE49-F238E27FC236}">
              <a16:creationId xmlns:a16="http://schemas.microsoft.com/office/drawing/2014/main" id="{D828B5C6-0B33-411F-8F60-C4F0AABA62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7" name="Elipse 3026">
          <a:extLst>
            <a:ext uri="{FF2B5EF4-FFF2-40B4-BE49-F238E27FC236}">
              <a16:creationId xmlns:a16="http://schemas.microsoft.com/office/drawing/2014/main" id="{40C937F8-D0E1-4E08-AC9C-44C1DB3D62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8" name="Elipse 3027">
          <a:extLst>
            <a:ext uri="{FF2B5EF4-FFF2-40B4-BE49-F238E27FC236}">
              <a16:creationId xmlns:a16="http://schemas.microsoft.com/office/drawing/2014/main" id="{7F7FF2B7-2FA6-4A5E-9C89-D73A74375B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9" name="Elipse 3028">
          <a:extLst>
            <a:ext uri="{FF2B5EF4-FFF2-40B4-BE49-F238E27FC236}">
              <a16:creationId xmlns:a16="http://schemas.microsoft.com/office/drawing/2014/main" id="{F848CB02-96B0-45AA-9710-56D1E3C386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0" name="Elipse 3029">
          <a:extLst>
            <a:ext uri="{FF2B5EF4-FFF2-40B4-BE49-F238E27FC236}">
              <a16:creationId xmlns:a16="http://schemas.microsoft.com/office/drawing/2014/main" id="{D091A746-01CE-482A-8D74-BE3E335E87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1" name="Elipse 3030">
          <a:extLst>
            <a:ext uri="{FF2B5EF4-FFF2-40B4-BE49-F238E27FC236}">
              <a16:creationId xmlns:a16="http://schemas.microsoft.com/office/drawing/2014/main" id="{9FFA92A4-8CBA-4E17-8160-8012F351F5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2" name="Elipse 3031">
          <a:extLst>
            <a:ext uri="{FF2B5EF4-FFF2-40B4-BE49-F238E27FC236}">
              <a16:creationId xmlns:a16="http://schemas.microsoft.com/office/drawing/2014/main" id="{619D6E69-CF34-4460-A0CE-0ADB114FA8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3" name="Elipse 3032">
          <a:extLst>
            <a:ext uri="{FF2B5EF4-FFF2-40B4-BE49-F238E27FC236}">
              <a16:creationId xmlns:a16="http://schemas.microsoft.com/office/drawing/2014/main" id="{07664108-01D3-4581-8F84-2B4A954D97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4" name="Elipse 3033">
          <a:extLst>
            <a:ext uri="{FF2B5EF4-FFF2-40B4-BE49-F238E27FC236}">
              <a16:creationId xmlns:a16="http://schemas.microsoft.com/office/drawing/2014/main" id="{2F106160-E4A0-4134-ACD4-7CFFCF1D79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5" name="Elipse 3034">
          <a:extLst>
            <a:ext uri="{FF2B5EF4-FFF2-40B4-BE49-F238E27FC236}">
              <a16:creationId xmlns:a16="http://schemas.microsoft.com/office/drawing/2014/main" id="{A20AAF30-4719-41B3-9579-CE529744F1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6" name="Elipse 3035">
          <a:extLst>
            <a:ext uri="{FF2B5EF4-FFF2-40B4-BE49-F238E27FC236}">
              <a16:creationId xmlns:a16="http://schemas.microsoft.com/office/drawing/2014/main" id="{4ABB680B-CE56-47A3-AADE-EE05A44B9C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7" name="Elipse 3036">
          <a:extLst>
            <a:ext uri="{FF2B5EF4-FFF2-40B4-BE49-F238E27FC236}">
              <a16:creationId xmlns:a16="http://schemas.microsoft.com/office/drawing/2014/main" id="{DD2A39AA-C20A-4A3C-B52A-8435F72AC5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8" name="Elipse 3037">
          <a:extLst>
            <a:ext uri="{FF2B5EF4-FFF2-40B4-BE49-F238E27FC236}">
              <a16:creationId xmlns:a16="http://schemas.microsoft.com/office/drawing/2014/main" id="{BE7ABE82-CF5F-4D40-9C16-783B1FDF2D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9" name="Elipse 3038">
          <a:extLst>
            <a:ext uri="{FF2B5EF4-FFF2-40B4-BE49-F238E27FC236}">
              <a16:creationId xmlns:a16="http://schemas.microsoft.com/office/drawing/2014/main" id="{A326F099-FDE0-4162-8438-D8812B9ACB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0" name="Elipse 3039">
          <a:extLst>
            <a:ext uri="{FF2B5EF4-FFF2-40B4-BE49-F238E27FC236}">
              <a16:creationId xmlns:a16="http://schemas.microsoft.com/office/drawing/2014/main" id="{B4F01CA1-3D9B-4E2C-B8D7-E5FC4CB07E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1" name="Elipse 3040">
          <a:extLst>
            <a:ext uri="{FF2B5EF4-FFF2-40B4-BE49-F238E27FC236}">
              <a16:creationId xmlns:a16="http://schemas.microsoft.com/office/drawing/2014/main" id="{5483E224-9778-4FC2-A4C0-BB59BED38C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2" name="Elipse 3041">
          <a:extLst>
            <a:ext uri="{FF2B5EF4-FFF2-40B4-BE49-F238E27FC236}">
              <a16:creationId xmlns:a16="http://schemas.microsoft.com/office/drawing/2014/main" id="{F590A119-1101-4808-8075-D9641A459C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3" name="Elipse 3042">
          <a:extLst>
            <a:ext uri="{FF2B5EF4-FFF2-40B4-BE49-F238E27FC236}">
              <a16:creationId xmlns:a16="http://schemas.microsoft.com/office/drawing/2014/main" id="{E2E852CC-448F-4969-8373-BEAFDA652D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4" name="Elipse 3043">
          <a:extLst>
            <a:ext uri="{FF2B5EF4-FFF2-40B4-BE49-F238E27FC236}">
              <a16:creationId xmlns:a16="http://schemas.microsoft.com/office/drawing/2014/main" id="{E7DDA50D-652A-433B-84CA-D7A4C47E12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5" name="Elipse 3044">
          <a:extLst>
            <a:ext uri="{FF2B5EF4-FFF2-40B4-BE49-F238E27FC236}">
              <a16:creationId xmlns:a16="http://schemas.microsoft.com/office/drawing/2014/main" id="{E9153CDF-21A8-4E4B-8E8E-148DBCFAE6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6" name="Elipse 3045">
          <a:extLst>
            <a:ext uri="{FF2B5EF4-FFF2-40B4-BE49-F238E27FC236}">
              <a16:creationId xmlns:a16="http://schemas.microsoft.com/office/drawing/2014/main" id="{F309ECEC-0AAC-4350-90C9-701C96D1F8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7" name="Elipse 3046">
          <a:extLst>
            <a:ext uri="{FF2B5EF4-FFF2-40B4-BE49-F238E27FC236}">
              <a16:creationId xmlns:a16="http://schemas.microsoft.com/office/drawing/2014/main" id="{32A91783-5CA5-48CA-88C0-161EB1FD96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8" name="Elipse 3047">
          <a:extLst>
            <a:ext uri="{FF2B5EF4-FFF2-40B4-BE49-F238E27FC236}">
              <a16:creationId xmlns:a16="http://schemas.microsoft.com/office/drawing/2014/main" id="{E31FC44C-D167-469E-BC78-FCAA77D485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9" name="Elipse 3048">
          <a:extLst>
            <a:ext uri="{FF2B5EF4-FFF2-40B4-BE49-F238E27FC236}">
              <a16:creationId xmlns:a16="http://schemas.microsoft.com/office/drawing/2014/main" id="{BA52B2EA-36FD-403E-9109-EE0DF2EEDB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0" name="Elipse 3049">
          <a:extLst>
            <a:ext uri="{FF2B5EF4-FFF2-40B4-BE49-F238E27FC236}">
              <a16:creationId xmlns:a16="http://schemas.microsoft.com/office/drawing/2014/main" id="{DF8E0A6A-B8F3-4F68-8724-ABF72A1ECD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1" name="Elipse 3050">
          <a:extLst>
            <a:ext uri="{FF2B5EF4-FFF2-40B4-BE49-F238E27FC236}">
              <a16:creationId xmlns:a16="http://schemas.microsoft.com/office/drawing/2014/main" id="{F6622F23-11F9-4EDA-A421-058F059354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2" name="Elipse 3051">
          <a:extLst>
            <a:ext uri="{FF2B5EF4-FFF2-40B4-BE49-F238E27FC236}">
              <a16:creationId xmlns:a16="http://schemas.microsoft.com/office/drawing/2014/main" id="{B52C4A4D-E965-4202-A0EB-FF388337CA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3" name="Elipse 3052">
          <a:extLst>
            <a:ext uri="{FF2B5EF4-FFF2-40B4-BE49-F238E27FC236}">
              <a16:creationId xmlns:a16="http://schemas.microsoft.com/office/drawing/2014/main" id="{680B8321-2133-4473-8BC6-F414D6E131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4" name="Elipse 3053">
          <a:extLst>
            <a:ext uri="{FF2B5EF4-FFF2-40B4-BE49-F238E27FC236}">
              <a16:creationId xmlns:a16="http://schemas.microsoft.com/office/drawing/2014/main" id="{E88A9781-8F1B-400F-9C0A-CE311789FD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5" name="Elipse 3054">
          <a:extLst>
            <a:ext uri="{FF2B5EF4-FFF2-40B4-BE49-F238E27FC236}">
              <a16:creationId xmlns:a16="http://schemas.microsoft.com/office/drawing/2014/main" id="{843F2852-B70F-442F-9E1F-C6D786E111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6" name="Elipse 3055">
          <a:extLst>
            <a:ext uri="{FF2B5EF4-FFF2-40B4-BE49-F238E27FC236}">
              <a16:creationId xmlns:a16="http://schemas.microsoft.com/office/drawing/2014/main" id="{8A23BB6B-B2C3-4BB5-A85E-7BC7925CC7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7" name="Elipse 3056">
          <a:extLst>
            <a:ext uri="{FF2B5EF4-FFF2-40B4-BE49-F238E27FC236}">
              <a16:creationId xmlns:a16="http://schemas.microsoft.com/office/drawing/2014/main" id="{952AA609-0E06-4B27-AE79-F4498E7783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8" name="Elipse 3057">
          <a:extLst>
            <a:ext uri="{FF2B5EF4-FFF2-40B4-BE49-F238E27FC236}">
              <a16:creationId xmlns:a16="http://schemas.microsoft.com/office/drawing/2014/main" id="{68F0732C-5B15-41F8-BC6F-65B3FE0446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9" name="Elipse 3058">
          <a:extLst>
            <a:ext uri="{FF2B5EF4-FFF2-40B4-BE49-F238E27FC236}">
              <a16:creationId xmlns:a16="http://schemas.microsoft.com/office/drawing/2014/main" id="{A542127B-7E56-4D7C-9397-7D7DB805C2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0" name="Elipse 3059">
          <a:extLst>
            <a:ext uri="{FF2B5EF4-FFF2-40B4-BE49-F238E27FC236}">
              <a16:creationId xmlns:a16="http://schemas.microsoft.com/office/drawing/2014/main" id="{4D9E9349-028C-457B-9B78-26AB0C1258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1" name="Elipse 3060">
          <a:extLst>
            <a:ext uri="{FF2B5EF4-FFF2-40B4-BE49-F238E27FC236}">
              <a16:creationId xmlns:a16="http://schemas.microsoft.com/office/drawing/2014/main" id="{DD3F4748-37D0-4C27-9521-4B75E44F86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2" name="Elipse 3061">
          <a:extLst>
            <a:ext uri="{FF2B5EF4-FFF2-40B4-BE49-F238E27FC236}">
              <a16:creationId xmlns:a16="http://schemas.microsoft.com/office/drawing/2014/main" id="{81AD74F1-9D1F-4944-97A4-AABF67C45C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3" name="Elipse 3062">
          <a:extLst>
            <a:ext uri="{FF2B5EF4-FFF2-40B4-BE49-F238E27FC236}">
              <a16:creationId xmlns:a16="http://schemas.microsoft.com/office/drawing/2014/main" id="{F8745457-C3D4-4A67-ADB3-3C8AD45BA6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4" name="Elipse 3063">
          <a:extLst>
            <a:ext uri="{FF2B5EF4-FFF2-40B4-BE49-F238E27FC236}">
              <a16:creationId xmlns:a16="http://schemas.microsoft.com/office/drawing/2014/main" id="{BD28B2D7-767B-465D-BC15-F338D14C74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5" name="Elipse 3064">
          <a:extLst>
            <a:ext uri="{FF2B5EF4-FFF2-40B4-BE49-F238E27FC236}">
              <a16:creationId xmlns:a16="http://schemas.microsoft.com/office/drawing/2014/main" id="{1F53B262-BCB7-447A-BE3C-ED6F7BEEA3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6" name="Elipse 3065">
          <a:extLst>
            <a:ext uri="{FF2B5EF4-FFF2-40B4-BE49-F238E27FC236}">
              <a16:creationId xmlns:a16="http://schemas.microsoft.com/office/drawing/2014/main" id="{2954F031-4CA1-47DE-A5B7-57A6A758A6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7" name="Elipse 3066">
          <a:extLst>
            <a:ext uri="{FF2B5EF4-FFF2-40B4-BE49-F238E27FC236}">
              <a16:creationId xmlns:a16="http://schemas.microsoft.com/office/drawing/2014/main" id="{817BEC62-FFE6-4D9D-B127-8A4138E285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8" name="Elipse 3067">
          <a:extLst>
            <a:ext uri="{FF2B5EF4-FFF2-40B4-BE49-F238E27FC236}">
              <a16:creationId xmlns:a16="http://schemas.microsoft.com/office/drawing/2014/main" id="{5363345B-183F-4ACD-8701-5D8A964A61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9" name="Elipse 3068">
          <a:extLst>
            <a:ext uri="{FF2B5EF4-FFF2-40B4-BE49-F238E27FC236}">
              <a16:creationId xmlns:a16="http://schemas.microsoft.com/office/drawing/2014/main" id="{824214ED-1440-471B-8A39-C03476C5E1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0" name="Elipse 3069">
          <a:extLst>
            <a:ext uri="{FF2B5EF4-FFF2-40B4-BE49-F238E27FC236}">
              <a16:creationId xmlns:a16="http://schemas.microsoft.com/office/drawing/2014/main" id="{6AFA94DB-2271-43D6-8D40-1C641C0597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1" name="Elipse 3070">
          <a:extLst>
            <a:ext uri="{FF2B5EF4-FFF2-40B4-BE49-F238E27FC236}">
              <a16:creationId xmlns:a16="http://schemas.microsoft.com/office/drawing/2014/main" id="{F8D80E51-1C53-4E54-8890-6A20F6DFCC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2" name="Elipse 3071">
          <a:extLst>
            <a:ext uri="{FF2B5EF4-FFF2-40B4-BE49-F238E27FC236}">
              <a16:creationId xmlns:a16="http://schemas.microsoft.com/office/drawing/2014/main" id="{07306CB0-35EC-4317-B7DD-D760F89495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3" name="Elipse 3072">
          <a:extLst>
            <a:ext uri="{FF2B5EF4-FFF2-40B4-BE49-F238E27FC236}">
              <a16:creationId xmlns:a16="http://schemas.microsoft.com/office/drawing/2014/main" id="{03AFEBE7-370E-4B58-BCD0-3942C84B84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4" name="Elipse 3073">
          <a:extLst>
            <a:ext uri="{FF2B5EF4-FFF2-40B4-BE49-F238E27FC236}">
              <a16:creationId xmlns:a16="http://schemas.microsoft.com/office/drawing/2014/main" id="{3B1C092C-80CC-4775-BD63-670FA5C391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5" name="Elipse 3074">
          <a:extLst>
            <a:ext uri="{FF2B5EF4-FFF2-40B4-BE49-F238E27FC236}">
              <a16:creationId xmlns:a16="http://schemas.microsoft.com/office/drawing/2014/main" id="{28C1010A-2838-4990-8BEF-B44E0DAE65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6" name="Elipse 3075">
          <a:extLst>
            <a:ext uri="{FF2B5EF4-FFF2-40B4-BE49-F238E27FC236}">
              <a16:creationId xmlns:a16="http://schemas.microsoft.com/office/drawing/2014/main" id="{33F05D70-A61D-41EB-AEF8-D117CDCA36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7" name="Elipse 3076">
          <a:extLst>
            <a:ext uri="{FF2B5EF4-FFF2-40B4-BE49-F238E27FC236}">
              <a16:creationId xmlns:a16="http://schemas.microsoft.com/office/drawing/2014/main" id="{DD008206-61C9-4A80-9344-58544AA428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8" name="Elipse 3077">
          <a:extLst>
            <a:ext uri="{FF2B5EF4-FFF2-40B4-BE49-F238E27FC236}">
              <a16:creationId xmlns:a16="http://schemas.microsoft.com/office/drawing/2014/main" id="{EE884D70-96B0-45BD-A47E-180F9A11CE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9" name="Elipse 3078">
          <a:extLst>
            <a:ext uri="{FF2B5EF4-FFF2-40B4-BE49-F238E27FC236}">
              <a16:creationId xmlns:a16="http://schemas.microsoft.com/office/drawing/2014/main" id="{76998091-854F-4D57-AA0B-3FC7204FCA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0" name="Elipse 3079">
          <a:extLst>
            <a:ext uri="{FF2B5EF4-FFF2-40B4-BE49-F238E27FC236}">
              <a16:creationId xmlns:a16="http://schemas.microsoft.com/office/drawing/2014/main" id="{B2290ED2-6B6B-4284-ABAD-9E3671AAA8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1" name="Elipse 3080">
          <a:extLst>
            <a:ext uri="{FF2B5EF4-FFF2-40B4-BE49-F238E27FC236}">
              <a16:creationId xmlns:a16="http://schemas.microsoft.com/office/drawing/2014/main" id="{D5032632-AF76-4DC4-8B1C-FE2D69893C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2" name="Elipse 3081">
          <a:extLst>
            <a:ext uri="{FF2B5EF4-FFF2-40B4-BE49-F238E27FC236}">
              <a16:creationId xmlns:a16="http://schemas.microsoft.com/office/drawing/2014/main" id="{12311168-D8CD-49C3-AE4D-CF81B8DAE9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3" name="Elipse 3082">
          <a:extLst>
            <a:ext uri="{FF2B5EF4-FFF2-40B4-BE49-F238E27FC236}">
              <a16:creationId xmlns:a16="http://schemas.microsoft.com/office/drawing/2014/main" id="{26036BD6-2467-48C7-ABDC-E6C49D19A5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4" name="Elipse 3083">
          <a:extLst>
            <a:ext uri="{FF2B5EF4-FFF2-40B4-BE49-F238E27FC236}">
              <a16:creationId xmlns:a16="http://schemas.microsoft.com/office/drawing/2014/main" id="{8150B8C2-9153-4F71-B2AB-3B9DD0F26C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5" name="Elipse 3084">
          <a:extLst>
            <a:ext uri="{FF2B5EF4-FFF2-40B4-BE49-F238E27FC236}">
              <a16:creationId xmlns:a16="http://schemas.microsoft.com/office/drawing/2014/main" id="{8A02E867-9782-4127-ADF9-96FB0FDC1E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6" name="Elipse 3085">
          <a:extLst>
            <a:ext uri="{FF2B5EF4-FFF2-40B4-BE49-F238E27FC236}">
              <a16:creationId xmlns:a16="http://schemas.microsoft.com/office/drawing/2014/main" id="{0711AB19-44AA-4464-9AAD-26080A5579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7" name="Elipse 3086">
          <a:extLst>
            <a:ext uri="{FF2B5EF4-FFF2-40B4-BE49-F238E27FC236}">
              <a16:creationId xmlns:a16="http://schemas.microsoft.com/office/drawing/2014/main" id="{7CF8F283-8DA6-4A00-8AFF-DEB469D9B6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8" name="Elipse 3087">
          <a:extLst>
            <a:ext uri="{FF2B5EF4-FFF2-40B4-BE49-F238E27FC236}">
              <a16:creationId xmlns:a16="http://schemas.microsoft.com/office/drawing/2014/main" id="{D89D77D6-5795-4268-9DC5-B006BA45B7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9" name="Elipse 3088">
          <a:extLst>
            <a:ext uri="{FF2B5EF4-FFF2-40B4-BE49-F238E27FC236}">
              <a16:creationId xmlns:a16="http://schemas.microsoft.com/office/drawing/2014/main" id="{8AC241ED-2B32-4FF2-ACB0-D13970086F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0" name="Elipse 3089">
          <a:extLst>
            <a:ext uri="{FF2B5EF4-FFF2-40B4-BE49-F238E27FC236}">
              <a16:creationId xmlns:a16="http://schemas.microsoft.com/office/drawing/2014/main" id="{4F5DEEC0-728D-4D8D-903B-239EC27ACF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1" name="Elipse 3090">
          <a:extLst>
            <a:ext uri="{FF2B5EF4-FFF2-40B4-BE49-F238E27FC236}">
              <a16:creationId xmlns:a16="http://schemas.microsoft.com/office/drawing/2014/main" id="{4089C0C5-D77E-4BF3-B612-AB8AED7A12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2" name="Elipse 3091">
          <a:extLst>
            <a:ext uri="{FF2B5EF4-FFF2-40B4-BE49-F238E27FC236}">
              <a16:creationId xmlns:a16="http://schemas.microsoft.com/office/drawing/2014/main" id="{E81DA6B3-8039-4A5E-84F4-D5E6CC6023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3" name="Elipse 3092">
          <a:extLst>
            <a:ext uri="{FF2B5EF4-FFF2-40B4-BE49-F238E27FC236}">
              <a16:creationId xmlns:a16="http://schemas.microsoft.com/office/drawing/2014/main" id="{5B33EEC7-6F8B-4A75-AF00-4F1BD99752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4" name="Elipse 3093">
          <a:extLst>
            <a:ext uri="{FF2B5EF4-FFF2-40B4-BE49-F238E27FC236}">
              <a16:creationId xmlns:a16="http://schemas.microsoft.com/office/drawing/2014/main" id="{9B48ADA9-E173-4540-837C-D26525ABA2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5" name="Elipse 3094">
          <a:extLst>
            <a:ext uri="{FF2B5EF4-FFF2-40B4-BE49-F238E27FC236}">
              <a16:creationId xmlns:a16="http://schemas.microsoft.com/office/drawing/2014/main" id="{18C6AC28-0180-4BD4-A523-184C4D88FF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6" name="Elipse 3095">
          <a:extLst>
            <a:ext uri="{FF2B5EF4-FFF2-40B4-BE49-F238E27FC236}">
              <a16:creationId xmlns:a16="http://schemas.microsoft.com/office/drawing/2014/main" id="{DB25A088-E12A-4764-B4E8-5A3923ABFD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7" name="Elipse 3096">
          <a:extLst>
            <a:ext uri="{FF2B5EF4-FFF2-40B4-BE49-F238E27FC236}">
              <a16:creationId xmlns:a16="http://schemas.microsoft.com/office/drawing/2014/main" id="{BAED146F-0696-4D8C-A3EA-82461348C6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8" name="Elipse 3097">
          <a:extLst>
            <a:ext uri="{FF2B5EF4-FFF2-40B4-BE49-F238E27FC236}">
              <a16:creationId xmlns:a16="http://schemas.microsoft.com/office/drawing/2014/main" id="{C1AC2E93-33E4-49BB-A444-E54882BEAA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9" name="Elipse 3098">
          <a:extLst>
            <a:ext uri="{FF2B5EF4-FFF2-40B4-BE49-F238E27FC236}">
              <a16:creationId xmlns:a16="http://schemas.microsoft.com/office/drawing/2014/main" id="{B51F5052-DA29-4DA5-BC90-481D608BCD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0" name="Elipse 3099">
          <a:extLst>
            <a:ext uri="{FF2B5EF4-FFF2-40B4-BE49-F238E27FC236}">
              <a16:creationId xmlns:a16="http://schemas.microsoft.com/office/drawing/2014/main" id="{123319A6-3A27-4A2A-8372-12BCF0019F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1" name="Elipse 3100">
          <a:extLst>
            <a:ext uri="{FF2B5EF4-FFF2-40B4-BE49-F238E27FC236}">
              <a16:creationId xmlns:a16="http://schemas.microsoft.com/office/drawing/2014/main" id="{26EF9CBF-91D4-48FF-80D6-A744167551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2" name="Elipse 3101">
          <a:extLst>
            <a:ext uri="{FF2B5EF4-FFF2-40B4-BE49-F238E27FC236}">
              <a16:creationId xmlns:a16="http://schemas.microsoft.com/office/drawing/2014/main" id="{591A584D-2936-4BAB-8445-2F0CB03F1A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3" name="Elipse 3102">
          <a:extLst>
            <a:ext uri="{FF2B5EF4-FFF2-40B4-BE49-F238E27FC236}">
              <a16:creationId xmlns:a16="http://schemas.microsoft.com/office/drawing/2014/main" id="{E3B803DC-407C-47C6-8D84-84C49433D4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4" name="Elipse 3103">
          <a:extLst>
            <a:ext uri="{FF2B5EF4-FFF2-40B4-BE49-F238E27FC236}">
              <a16:creationId xmlns:a16="http://schemas.microsoft.com/office/drawing/2014/main" id="{134905FB-87C6-4E4F-AC65-DA62184ACA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5" name="Elipse 3104">
          <a:extLst>
            <a:ext uri="{FF2B5EF4-FFF2-40B4-BE49-F238E27FC236}">
              <a16:creationId xmlns:a16="http://schemas.microsoft.com/office/drawing/2014/main" id="{AD76A92B-0E18-40D3-A79F-3C34C29FC6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6" name="Elipse 3105">
          <a:extLst>
            <a:ext uri="{FF2B5EF4-FFF2-40B4-BE49-F238E27FC236}">
              <a16:creationId xmlns:a16="http://schemas.microsoft.com/office/drawing/2014/main" id="{0157807E-A58C-4A3E-87FB-3F52D03F91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7" name="Elipse 3106">
          <a:extLst>
            <a:ext uri="{FF2B5EF4-FFF2-40B4-BE49-F238E27FC236}">
              <a16:creationId xmlns:a16="http://schemas.microsoft.com/office/drawing/2014/main" id="{BD2E1013-D012-4140-B035-00911E5105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8" name="Elipse 3107">
          <a:extLst>
            <a:ext uri="{FF2B5EF4-FFF2-40B4-BE49-F238E27FC236}">
              <a16:creationId xmlns:a16="http://schemas.microsoft.com/office/drawing/2014/main" id="{562A6FD1-E451-4516-9C0D-D31B112DB3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9" name="Elipse 3108">
          <a:extLst>
            <a:ext uri="{FF2B5EF4-FFF2-40B4-BE49-F238E27FC236}">
              <a16:creationId xmlns:a16="http://schemas.microsoft.com/office/drawing/2014/main" id="{53E7BD66-188E-42F0-8F36-239FD5D82C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0" name="Elipse 3109">
          <a:extLst>
            <a:ext uri="{FF2B5EF4-FFF2-40B4-BE49-F238E27FC236}">
              <a16:creationId xmlns:a16="http://schemas.microsoft.com/office/drawing/2014/main" id="{928D16C6-730C-48D0-923B-67DB53190A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1" name="Elipse 3110">
          <a:extLst>
            <a:ext uri="{FF2B5EF4-FFF2-40B4-BE49-F238E27FC236}">
              <a16:creationId xmlns:a16="http://schemas.microsoft.com/office/drawing/2014/main" id="{29D0B21C-0674-4200-A181-0AB6A49A03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2" name="Elipse 3111">
          <a:extLst>
            <a:ext uri="{FF2B5EF4-FFF2-40B4-BE49-F238E27FC236}">
              <a16:creationId xmlns:a16="http://schemas.microsoft.com/office/drawing/2014/main" id="{EC5AD8E7-D2DD-41FA-B330-A833C180E4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3" name="Elipse 3112">
          <a:extLst>
            <a:ext uri="{FF2B5EF4-FFF2-40B4-BE49-F238E27FC236}">
              <a16:creationId xmlns:a16="http://schemas.microsoft.com/office/drawing/2014/main" id="{BC075D78-CADC-4EC4-9C5C-3830B8515E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4" name="Elipse 3113">
          <a:extLst>
            <a:ext uri="{FF2B5EF4-FFF2-40B4-BE49-F238E27FC236}">
              <a16:creationId xmlns:a16="http://schemas.microsoft.com/office/drawing/2014/main" id="{B36DAF7D-996A-47F5-B8F3-ECF4BAA176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5" name="Elipse 3114">
          <a:extLst>
            <a:ext uri="{FF2B5EF4-FFF2-40B4-BE49-F238E27FC236}">
              <a16:creationId xmlns:a16="http://schemas.microsoft.com/office/drawing/2014/main" id="{5A419835-72C8-4EDA-9F0B-D390FE36A7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6" name="Elipse 3115">
          <a:extLst>
            <a:ext uri="{FF2B5EF4-FFF2-40B4-BE49-F238E27FC236}">
              <a16:creationId xmlns:a16="http://schemas.microsoft.com/office/drawing/2014/main" id="{B06CFA58-A4D3-4283-B71D-6B88B668EA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7" name="Elipse 3116">
          <a:extLst>
            <a:ext uri="{FF2B5EF4-FFF2-40B4-BE49-F238E27FC236}">
              <a16:creationId xmlns:a16="http://schemas.microsoft.com/office/drawing/2014/main" id="{FED05DDF-2939-4F60-9958-66F5EA7A1B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8" name="Elipse 3117">
          <a:extLst>
            <a:ext uri="{FF2B5EF4-FFF2-40B4-BE49-F238E27FC236}">
              <a16:creationId xmlns:a16="http://schemas.microsoft.com/office/drawing/2014/main" id="{04A916FF-75E9-4A64-9BCE-7F4B213B79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9" name="Elipse 3118">
          <a:extLst>
            <a:ext uri="{FF2B5EF4-FFF2-40B4-BE49-F238E27FC236}">
              <a16:creationId xmlns:a16="http://schemas.microsoft.com/office/drawing/2014/main" id="{C6C940E3-12FB-4BF3-99BF-07947A5B09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0" name="Elipse 3119">
          <a:extLst>
            <a:ext uri="{FF2B5EF4-FFF2-40B4-BE49-F238E27FC236}">
              <a16:creationId xmlns:a16="http://schemas.microsoft.com/office/drawing/2014/main" id="{A1D5ADA1-37C1-4A83-BAA5-679429C011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1" name="Elipse 3120">
          <a:extLst>
            <a:ext uri="{FF2B5EF4-FFF2-40B4-BE49-F238E27FC236}">
              <a16:creationId xmlns:a16="http://schemas.microsoft.com/office/drawing/2014/main" id="{0461865B-0A0A-4882-9F80-B4D312F4DE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2" name="Elipse 3121">
          <a:extLst>
            <a:ext uri="{FF2B5EF4-FFF2-40B4-BE49-F238E27FC236}">
              <a16:creationId xmlns:a16="http://schemas.microsoft.com/office/drawing/2014/main" id="{CCE3D331-F4B2-4F50-86E8-B7FA42C937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3" name="Elipse 3122">
          <a:extLst>
            <a:ext uri="{FF2B5EF4-FFF2-40B4-BE49-F238E27FC236}">
              <a16:creationId xmlns:a16="http://schemas.microsoft.com/office/drawing/2014/main" id="{253479CD-430B-48E8-B6C2-D32BC54B09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4" name="Elipse 3123">
          <a:extLst>
            <a:ext uri="{FF2B5EF4-FFF2-40B4-BE49-F238E27FC236}">
              <a16:creationId xmlns:a16="http://schemas.microsoft.com/office/drawing/2014/main" id="{5A2000EC-6DB5-4D28-9B67-0A2A01EC50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5" name="Elipse 3124">
          <a:extLst>
            <a:ext uri="{FF2B5EF4-FFF2-40B4-BE49-F238E27FC236}">
              <a16:creationId xmlns:a16="http://schemas.microsoft.com/office/drawing/2014/main" id="{09B460AA-1423-40D1-AF7A-1F864E4714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6" name="Elipse 3125">
          <a:extLst>
            <a:ext uri="{FF2B5EF4-FFF2-40B4-BE49-F238E27FC236}">
              <a16:creationId xmlns:a16="http://schemas.microsoft.com/office/drawing/2014/main" id="{221D227A-D231-4CE6-9139-5F6FB0E9B2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7" name="Elipse 3126">
          <a:extLst>
            <a:ext uri="{FF2B5EF4-FFF2-40B4-BE49-F238E27FC236}">
              <a16:creationId xmlns:a16="http://schemas.microsoft.com/office/drawing/2014/main" id="{3ECBB09C-8F2F-4B8E-A3B3-C1E21ADE75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8" name="Elipse 3127">
          <a:extLst>
            <a:ext uri="{FF2B5EF4-FFF2-40B4-BE49-F238E27FC236}">
              <a16:creationId xmlns:a16="http://schemas.microsoft.com/office/drawing/2014/main" id="{3C2DF3C2-44A0-4AB4-84CF-FC5EF6899A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9" name="Elipse 3128">
          <a:extLst>
            <a:ext uri="{FF2B5EF4-FFF2-40B4-BE49-F238E27FC236}">
              <a16:creationId xmlns:a16="http://schemas.microsoft.com/office/drawing/2014/main" id="{4153E311-CCBC-4B0E-813E-6963572555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0" name="Elipse 3129">
          <a:extLst>
            <a:ext uri="{FF2B5EF4-FFF2-40B4-BE49-F238E27FC236}">
              <a16:creationId xmlns:a16="http://schemas.microsoft.com/office/drawing/2014/main" id="{1DB5CF9A-D0E1-425E-B452-4928BC1B4A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1" name="Elipse 3130">
          <a:extLst>
            <a:ext uri="{FF2B5EF4-FFF2-40B4-BE49-F238E27FC236}">
              <a16:creationId xmlns:a16="http://schemas.microsoft.com/office/drawing/2014/main" id="{B319526F-0466-4618-8120-F7FC0F987F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2" name="Elipse 3131">
          <a:extLst>
            <a:ext uri="{FF2B5EF4-FFF2-40B4-BE49-F238E27FC236}">
              <a16:creationId xmlns:a16="http://schemas.microsoft.com/office/drawing/2014/main" id="{AF6FE84F-A6A4-4B09-9F89-E01A7BD60C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3" name="Elipse 3132">
          <a:extLst>
            <a:ext uri="{FF2B5EF4-FFF2-40B4-BE49-F238E27FC236}">
              <a16:creationId xmlns:a16="http://schemas.microsoft.com/office/drawing/2014/main" id="{AA903F86-761D-41F5-A4BF-980CD6FE7C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4" name="Elipse 3133">
          <a:extLst>
            <a:ext uri="{FF2B5EF4-FFF2-40B4-BE49-F238E27FC236}">
              <a16:creationId xmlns:a16="http://schemas.microsoft.com/office/drawing/2014/main" id="{3D626592-1936-4907-ABE6-688D9DF11F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5" name="Elipse 3134">
          <a:extLst>
            <a:ext uri="{FF2B5EF4-FFF2-40B4-BE49-F238E27FC236}">
              <a16:creationId xmlns:a16="http://schemas.microsoft.com/office/drawing/2014/main" id="{DA74381E-2490-4588-B385-67648EE900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6" name="Elipse 3135">
          <a:extLst>
            <a:ext uri="{FF2B5EF4-FFF2-40B4-BE49-F238E27FC236}">
              <a16:creationId xmlns:a16="http://schemas.microsoft.com/office/drawing/2014/main" id="{E790B068-8A0F-46A8-9E67-7E793BF881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7" name="Elipse 3136">
          <a:extLst>
            <a:ext uri="{FF2B5EF4-FFF2-40B4-BE49-F238E27FC236}">
              <a16:creationId xmlns:a16="http://schemas.microsoft.com/office/drawing/2014/main" id="{6C4D70AF-87AE-46E9-B711-28CCA4F9AA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8" name="Elipse 3137">
          <a:extLst>
            <a:ext uri="{FF2B5EF4-FFF2-40B4-BE49-F238E27FC236}">
              <a16:creationId xmlns:a16="http://schemas.microsoft.com/office/drawing/2014/main" id="{B7E50393-4FA3-4BB3-80F6-0D37E530EB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9" name="Elipse 3138">
          <a:extLst>
            <a:ext uri="{FF2B5EF4-FFF2-40B4-BE49-F238E27FC236}">
              <a16:creationId xmlns:a16="http://schemas.microsoft.com/office/drawing/2014/main" id="{B6590B87-FFE7-4FDD-B1D2-AF58DF39AB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0" name="Elipse 3139">
          <a:extLst>
            <a:ext uri="{FF2B5EF4-FFF2-40B4-BE49-F238E27FC236}">
              <a16:creationId xmlns:a16="http://schemas.microsoft.com/office/drawing/2014/main" id="{1104D4BE-A328-41FB-84F0-3F488230C1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1" name="Elipse 3140">
          <a:extLst>
            <a:ext uri="{FF2B5EF4-FFF2-40B4-BE49-F238E27FC236}">
              <a16:creationId xmlns:a16="http://schemas.microsoft.com/office/drawing/2014/main" id="{E482EBA9-A508-47E0-AB26-C524A3C526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2" name="Elipse 3141">
          <a:extLst>
            <a:ext uri="{FF2B5EF4-FFF2-40B4-BE49-F238E27FC236}">
              <a16:creationId xmlns:a16="http://schemas.microsoft.com/office/drawing/2014/main" id="{54A2A844-4AA3-45AA-956B-446F76A795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3" name="Elipse 3142">
          <a:extLst>
            <a:ext uri="{FF2B5EF4-FFF2-40B4-BE49-F238E27FC236}">
              <a16:creationId xmlns:a16="http://schemas.microsoft.com/office/drawing/2014/main" id="{C2EF0B8A-21AA-441B-8017-7D276F89C3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4" name="Elipse 3143">
          <a:extLst>
            <a:ext uri="{FF2B5EF4-FFF2-40B4-BE49-F238E27FC236}">
              <a16:creationId xmlns:a16="http://schemas.microsoft.com/office/drawing/2014/main" id="{98DC9FEC-4B40-4C1E-A2FF-BB24CA4F02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5" name="Elipse 3144">
          <a:extLst>
            <a:ext uri="{FF2B5EF4-FFF2-40B4-BE49-F238E27FC236}">
              <a16:creationId xmlns:a16="http://schemas.microsoft.com/office/drawing/2014/main" id="{B5A747CF-CD43-4C22-B5AD-469CB7DCA8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6" name="Elipse 3145">
          <a:extLst>
            <a:ext uri="{FF2B5EF4-FFF2-40B4-BE49-F238E27FC236}">
              <a16:creationId xmlns:a16="http://schemas.microsoft.com/office/drawing/2014/main" id="{7F821B56-B1E8-4C4A-8332-B374F7D9A7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7" name="Elipse 3146">
          <a:extLst>
            <a:ext uri="{FF2B5EF4-FFF2-40B4-BE49-F238E27FC236}">
              <a16:creationId xmlns:a16="http://schemas.microsoft.com/office/drawing/2014/main" id="{0BC121A6-74DB-493F-B4BA-C98BDB059D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8" name="Elipse 3147">
          <a:extLst>
            <a:ext uri="{FF2B5EF4-FFF2-40B4-BE49-F238E27FC236}">
              <a16:creationId xmlns:a16="http://schemas.microsoft.com/office/drawing/2014/main" id="{C0DB8329-9156-405C-9E27-8AA9137FF6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9" name="Elipse 3148">
          <a:extLst>
            <a:ext uri="{FF2B5EF4-FFF2-40B4-BE49-F238E27FC236}">
              <a16:creationId xmlns:a16="http://schemas.microsoft.com/office/drawing/2014/main" id="{39E28F84-B79E-479C-AE6D-B2E2ACAF60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0" name="Elipse 3149">
          <a:extLst>
            <a:ext uri="{FF2B5EF4-FFF2-40B4-BE49-F238E27FC236}">
              <a16:creationId xmlns:a16="http://schemas.microsoft.com/office/drawing/2014/main" id="{569B880C-A795-47E3-A9FA-2CE9BCC63C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1" name="Elipse 3150">
          <a:extLst>
            <a:ext uri="{FF2B5EF4-FFF2-40B4-BE49-F238E27FC236}">
              <a16:creationId xmlns:a16="http://schemas.microsoft.com/office/drawing/2014/main" id="{30EACB50-AFD5-4F32-BF5E-7EFC87BF30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2" name="Elipse 3151">
          <a:extLst>
            <a:ext uri="{FF2B5EF4-FFF2-40B4-BE49-F238E27FC236}">
              <a16:creationId xmlns:a16="http://schemas.microsoft.com/office/drawing/2014/main" id="{0CDCBF5B-4307-4737-BF50-B6DD9A18F6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3" name="Elipse 3152">
          <a:extLst>
            <a:ext uri="{FF2B5EF4-FFF2-40B4-BE49-F238E27FC236}">
              <a16:creationId xmlns:a16="http://schemas.microsoft.com/office/drawing/2014/main" id="{BC0D502C-44D7-4484-B9C6-E895072F4B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4" name="Elipse 3153">
          <a:extLst>
            <a:ext uri="{FF2B5EF4-FFF2-40B4-BE49-F238E27FC236}">
              <a16:creationId xmlns:a16="http://schemas.microsoft.com/office/drawing/2014/main" id="{C71BA195-E1FC-48D3-A9F2-733F0E30FF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5" name="Elipse 3154">
          <a:extLst>
            <a:ext uri="{FF2B5EF4-FFF2-40B4-BE49-F238E27FC236}">
              <a16:creationId xmlns:a16="http://schemas.microsoft.com/office/drawing/2014/main" id="{BE935578-A006-4D1C-96BE-C7C13515F7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6" name="Elipse 3155">
          <a:extLst>
            <a:ext uri="{FF2B5EF4-FFF2-40B4-BE49-F238E27FC236}">
              <a16:creationId xmlns:a16="http://schemas.microsoft.com/office/drawing/2014/main" id="{19A41245-66CE-4339-8FC5-F65285216A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7" name="Elipse 3156">
          <a:extLst>
            <a:ext uri="{FF2B5EF4-FFF2-40B4-BE49-F238E27FC236}">
              <a16:creationId xmlns:a16="http://schemas.microsoft.com/office/drawing/2014/main" id="{911AE62C-A193-4822-AB7A-03C7190ACE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8" name="Elipse 3157">
          <a:extLst>
            <a:ext uri="{FF2B5EF4-FFF2-40B4-BE49-F238E27FC236}">
              <a16:creationId xmlns:a16="http://schemas.microsoft.com/office/drawing/2014/main" id="{CAECBCA7-F378-46A7-8063-69D7E932C1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9" name="Elipse 3158">
          <a:extLst>
            <a:ext uri="{FF2B5EF4-FFF2-40B4-BE49-F238E27FC236}">
              <a16:creationId xmlns:a16="http://schemas.microsoft.com/office/drawing/2014/main" id="{280D5797-5A75-4A78-A3B1-FB1FB39DAC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0" name="Elipse 3159">
          <a:extLst>
            <a:ext uri="{FF2B5EF4-FFF2-40B4-BE49-F238E27FC236}">
              <a16:creationId xmlns:a16="http://schemas.microsoft.com/office/drawing/2014/main" id="{DC92DBCC-6031-48A8-B7AD-D5EE2976DF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1" name="Elipse 3160">
          <a:extLst>
            <a:ext uri="{FF2B5EF4-FFF2-40B4-BE49-F238E27FC236}">
              <a16:creationId xmlns:a16="http://schemas.microsoft.com/office/drawing/2014/main" id="{B328511F-F249-4283-9C2C-8EB203DA29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2" name="Elipse 3161">
          <a:extLst>
            <a:ext uri="{FF2B5EF4-FFF2-40B4-BE49-F238E27FC236}">
              <a16:creationId xmlns:a16="http://schemas.microsoft.com/office/drawing/2014/main" id="{90C34055-EBD3-4BB6-9CB9-B559C73512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3" name="Elipse 3162">
          <a:extLst>
            <a:ext uri="{FF2B5EF4-FFF2-40B4-BE49-F238E27FC236}">
              <a16:creationId xmlns:a16="http://schemas.microsoft.com/office/drawing/2014/main" id="{869CBD7B-0058-4665-B6CE-9139F49D89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4" name="Elipse 3163">
          <a:extLst>
            <a:ext uri="{FF2B5EF4-FFF2-40B4-BE49-F238E27FC236}">
              <a16:creationId xmlns:a16="http://schemas.microsoft.com/office/drawing/2014/main" id="{146EBCBC-4C80-42CB-B44C-2E27CC6830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5" name="Elipse 3164">
          <a:extLst>
            <a:ext uri="{FF2B5EF4-FFF2-40B4-BE49-F238E27FC236}">
              <a16:creationId xmlns:a16="http://schemas.microsoft.com/office/drawing/2014/main" id="{E7124743-BD46-4681-AB68-AA999A5661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6" name="Elipse 3165">
          <a:extLst>
            <a:ext uri="{FF2B5EF4-FFF2-40B4-BE49-F238E27FC236}">
              <a16:creationId xmlns:a16="http://schemas.microsoft.com/office/drawing/2014/main" id="{AEDBF58D-8722-460D-9FF0-31DA72225F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7" name="Elipse 3166">
          <a:extLst>
            <a:ext uri="{FF2B5EF4-FFF2-40B4-BE49-F238E27FC236}">
              <a16:creationId xmlns:a16="http://schemas.microsoft.com/office/drawing/2014/main" id="{2B549C32-7F3C-4BB4-A9CA-412D739C64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8" name="Elipse 3167">
          <a:extLst>
            <a:ext uri="{FF2B5EF4-FFF2-40B4-BE49-F238E27FC236}">
              <a16:creationId xmlns:a16="http://schemas.microsoft.com/office/drawing/2014/main" id="{6D1C4B9B-BE3E-41DD-96F0-007C06F840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9" name="Elipse 3168">
          <a:extLst>
            <a:ext uri="{FF2B5EF4-FFF2-40B4-BE49-F238E27FC236}">
              <a16:creationId xmlns:a16="http://schemas.microsoft.com/office/drawing/2014/main" id="{9EBF0A42-4B46-4778-A347-23CE2A08E7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0" name="Elipse 3169">
          <a:extLst>
            <a:ext uri="{FF2B5EF4-FFF2-40B4-BE49-F238E27FC236}">
              <a16:creationId xmlns:a16="http://schemas.microsoft.com/office/drawing/2014/main" id="{00C6563C-9C73-4628-A8A2-F78F73BA61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1" name="Elipse 3170">
          <a:extLst>
            <a:ext uri="{FF2B5EF4-FFF2-40B4-BE49-F238E27FC236}">
              <a16:creationId xmlns:a16="http://schemas.microsoft.com/office/drawing/2014/main" id="{FE53E8FC-E064-40F4-84CB-2A88850304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2" name="Elipse 3171">
          <a:extLst>
            <a:ext uri="{FF2B5EF4-FFF2-40B4-BE49-F238E27FC236}">
              <a16:creationId xmlns:a16="http://schemas.microsoft.com/office/drawing/2014/main" id="{BFB4009B-6C0C-420C-BA5F-7A9DCB864C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3" name="Elipse 3172">
          <a:extLst>
            <a:ext uri="{FF2B5EF4-FFF2-40B4-BE49-F238E27FC236}">
              <a16:creationId xmlns:a16="http://schemas.microsoft.com/office/drawing/2014/main" id="{03BDCF81-1999-40A3-BEA0-26FABD089E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4" name="Elipse 3173">
          <a:extLst>
            <a:ext uri="{FF2B5EF4-FFF2-40B4-BE49-F238E27FC236}">
              <a16:creationId xmlns:a16="http://schemas.microsoft.com/office/drawing/2014/main" id="{4685292C-8F8B-454C-B7CC-FFE38B6842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5" name="Elipse 3174">
          <a:extLst>
            <a:ext uri="{FF2B5EF4-FFF2-40B4-BE49-F238E27FC236}">
              <a16:creationId xmlns:a16="http://schemas.microsoft.com/office/drawing/2014/main" id="{6AF5EE82-4D4C-4D9F-95C2-D2F55F7327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6" name="Elipse 3175">
          <a:extLst>
            <a:ext uri="{FF2B5EF4-FFF2-40B4-BE49-F238E27FC236}">
              <a16:creationId xmlns:a16="http://schemas.microsoft.com/office/drawing/2014/main" id="{A75DAA4C-BA9C-4509-A655-CB71CF5B8B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7" name="Elipse 3176">
          <a:extLst>
            <a:ext uri="{FF2B5EF4-FFF2-40B4-BE49-F238E27FC236}">
              <a16:creationId xmlns:a16="http://schemas.microsoft.com/office/drawing/2014/main" id="{07D56930-AC06-44CB-A9AD-5E91F7073C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8" name="Elipse 3177">
          <a:extLst>
            <a:ext uri="{FF2B5EF4-FFF2-40B4-BE49-F238E27FC236}">
              <a16:creationId xmlns:a16="http://schemas.microsoft.com/office/drawing/2014/main" id="{CEE962B5-9670-4DC4-8CBF-3C32A25C71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9" name="Elipse 3178">
          <a:extLst>
            <a:ext uri="{FF2B5EF4-FFF2-40B4-BE49-F238E27FC236}">
              <a16:creationId xmlns:a16="http://schemas.microsoft.com/office/drawing/2014/main" id="{461112DE-0DB2-470D-9A91-8DB871D2FB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0" name="Elipse 3179">
          <a:extLst>
            <a:ext uri="{FF2B5EF4-FFF2-40B4-BE49-F238E27FC236}">
              <a16:creationId xmlns:a16="http://schemas.microsoft.com/office/drawing/2014/main" id="{3FF5DA23-18F9-4B29-8F90-2ECEF5C348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1" name="Elipse 3180">
          <a:extLst>
            <a:ext uri="{FF2B5EF4-FFF2-40B4-BE49-F238E27FC236}">
              <a16:creationId xmlns:a16="http://schemas.microsoft.com/office/drawing/2014/main" id="{E5A6BA46-5093-4456-8E12-DE96FB5F51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2" name="Elipse 3181">
          <a:extLst>
            <a:ext uri="{FF2B5EF4-FFF2-40B4-BE49-F238E27FC236}">
              <a16:creationId xmlns:a16="http://schemas.microsoft.com/office/drawing/2014/main" id="{25DC781F-E6E6-4120-915B-A1A15CB46B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3" name="Elipse 3182">
          <a:extLst>
            <a:ext uri="{FF2B5EF4-FFF2-40B4-BE49-F238E27FC236}">
              <a16:creationId xmlns:a16="http://schemas.microsoft.com/office/drawing/2014/main" id="{ABEC6355-1ABF-4A62-A99F-E05DCA62C2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4" name="Elipse 3183">
          <a:extLst>
            <a:ext uri="{FF2B5EF4-FFF2-40B4-BE49-F238E27FC236}">
              <a16:creationId xmlns:a16="http://schemas.microsoft.com/office/drawing/2014/main" id="{2CE552B5-7694-4501-8907-E88AAF1F2C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5" name="Elipse 3184">
          <a:extLst>
            <a:ext uri="{FF2B5EF4-FFF2-40B4-BE49-F238E27FC236}">
              <a16:creationId xmlns:a16="http://schemas.microsoft.com/office/drawing/2014/main" id="{FBAD3EEE-C244-4FCD-8714-2F2B069192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6" name="Elipse 3185">
          <a:extLst>
            <a:ext uri="{FF2B5EF4-FFF2-40B4-BE49-F238E27FC236}">
              <a16:creationId xmlns:a16="http://schemas.microsoft.com/office/drawing/2014/main" id="{0EA07F46-A65E-4573-8DCE-2387CA7269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7" name="Elipse 3186">
          <a:extLst>
            <a:ext uri="{FF2B5EF4-FFF2-40B4-BE49-F238E27FC236}">
              <a16:creationId xmlns:a16="http://schemas.microsoft.com/office/drawing/2014/main" id="{3EC2A6D5-16B7-45A2-9FD5-79239A03CE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8" name="Elipse 3187">
          <a:extLst>
            <a:ext uri="{FF2B5EF4-FFF2-40B4-BE49-F238E27FC236}">
              <a16:creationId xmlns:a16="http://schemas.microsoft.com/office/drawing/2014/main" id="{0D643A24-9102-4C01-BD1F-670DA28B08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9" name="Elipse 3188">
          <a:extLst>
            <a:ext uri="{FF2B5EF4-FFF2-40B4-BE49-F238E27FC236}">
              <a16:creationId xmlns:a16="http://schemas.microsoft.com/office/drawing/2014/main" id="{1ADC5C87-43A7-407A-8685-EC49A77EE5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0" name="Elipse 3189">
          <a:extLst>
            <a:ext uri="{FF2B5EF4-FFF2-40B4-BE49-F238E27FC236}">
              <a16:creationId xmlns:a16="http://schemas.microsoft.com/office/drawing/2014/main" id="{9EDC56D1-BECE-4A3D-9EBE-0B448405FE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1" name="Elipse 3190">
          <a:extLst>
            <a:ext uri="{FF2B5EF4-FFF2-40B4-BE49-F238E27FC236}">
              <a16:creationId xmlns:a16="http://schemas.microsoft.com/office/drawing/2014/main" id="{33D0D990-4D69-4B05-BEE9-C0737511EE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2" name="Elipse 3191">
          <a:extLst>
            <a:ext uri="{FF2B5EF4-FFF2-40B4-BE49-F238E27FC236}">
              <a16:creationId xmlns:a16="http://schemas.microsoft.com/office/drawing/2014/main" id="{7E893D82-C363-4A16-9C9D-F20B21DA2B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3" name="Elipse 3192">
          <a:extLst>
            <a:ext uri="{FF2B5EF4-FFF2-40B4-BE49-F238E27FC236}">
              <a16:creationId xmlns:a16="http://schemas.microsoft.com/office/drawing/2014/main" id="{051E015A-0B9D-4A5F-B589-E89A1AEE6F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4" name="Elipse 3193">
          <a:extLst>
            <a:ext uri="{FF2B5EF4-FFF2-40B4-BE49-F238E27FC236}">
              <a16:creationId xmlns:a16="http://schemas.microsoft.com/office/drawing/2014/main" id="{074424C9-E0DD-4A2D-B5C5-87A4097A0B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5" name="Elipse 3194">
          <a:extLst>
            <a:ext uri="{FF2B5EF4-FFF2-40B4-BE49-F238E27FC236}">
              <a16:creationId xmlns:a16="http://schemas.microsoft.com/office/drawing/2014/main" id="{5FE5A1E8-5BEE-4995-9BD6-B370A8AC64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6" name="Elipse 3195">
          <a:extLst>
            <a:ext uri="{FF2B5EF4-FFF2-40B4-BE49-F238E27FC236}">
              <a16:creationId xmlns:a16="http://schemas.microsoft.com/office/drawing/2014/main" id="{D6D0B60F-B9C2-42B8-AA5A-EAEF148A27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7" name="Elipse 3196">
          <a:extLst>
            <a:ext uri="{FF2B5EF4-FFF2-40B4-BE49-F238E27FC236}">
              <a16:creationId xmlns:a16="http://schemas.microsoft.com/office/drawing/2014/main" id="{EA6A3FAE-B140-43AC-9A7D-885E4FD685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8" name="Elipse 3197">
          <a:extLst>
            <a:ext uri="{FF2B5EF4-FFF2-40B4-BE49-F238E27FC236}">
              <a16:creationId xmlns:a16="http://schemas.microsoft.com/office/drawing/2014/main" id="{B47FB3A7-B281-4323-A1D3-17C74A9EAE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9" name="Elipse 3198">
          <a:extLst>
            <a:ext uri="{FF2B5EF4-FFF2-40B4-BE49-F238E27FC236}">
              <a16:creationId xmlns:a16="http://schemas.microsoft.com/office/drawing/2014/main" id="{2E330A18-86E3-4ED5-A0C2-EBD7A83E22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0" name="Elipse 3199">
          <a:extLst>
            <a:ext uri="{FF2B5EF4-FFF2-40B4-BE49-F238E27FC236}">
              <a16:creationId xmlns:a16="http://schemas.microsoft.com/office/drawing/2014/main" id="{7F4B4334-CC7A-4127-AE90-22864CB24A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1" name="Elipse 3200">
          <a:extLst>
            <a:ext uri="{FF2B5EF4-FFF2-40B4-BE49-F238E27FC236}">
              <a16:creationId xmlns:a16="http://schemas.microsoft.com/office/drawing/2014/main" id="{23DB9CEF-6015-4713-AFAF-4680AC4E26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2" name="Elipse 3201">
          <a:extLst>
            <a:ext uri="{FF2B5EF4-FFF2-40B4-BE49-F238E27FC236}">
              <a16:creationId xmlns:a16="http://schemas.microsoft.com/office/drawing/2014/main" id="{30118C3E-8608-44AF-850C-E62D39E5F5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3" name="Elipse 3202">
          <a:extLst>
            <a:ext uri="{FF2B5EF4-FFF2-40B4-BE49-F238E27FC236}">
              <a16:creationId xmlns:a16="http://schemas.microsoft.com/office/drawing/2014/main" id="{2E54EBF1-77F5-4070-8D51-2EC84489E9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4" name="Elipse 3203">
          <a:extLst>
            <a:ext uri="{FF2B5EF4-FFF2-40B4-BE49-F238E27FC236}">
              <a16:creationId xmlns:a16="http://schemas.microsoft.com/office/drawing/2014/main" id="{39AD6236-3388-478F-83C9-C4EC30D676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5" name="Elipse 3204">
          <a:extLst>
            <a:ext uri="{FF2B5EF4-FFF2-40B4-BE49-F238E27FC236}">
              <a16:creationId xmlns:a16="http://schemas.microsoft.com/office/drawing/2014/main" id="{BFBF06D6-CF15-42BB-9F8B-5D629CD0C7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6" name="Elipse 3205">
          <a:extLst>
            <a:ext uri="{FF2B5EF4-FFF2-40B4-BE49-F238E27FC236}">
              <a16:creationId xmlns:a16="http://schemas.microsoft.com/office/drawing/2014/main" id="{81D30BF6-E214-466D-B4D0-3F38341F56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7" name="Elipse 3206">
          <a:extLst>
            <a:ext uri="{FF2B5EF4-FFF2-40B4-BE49-F238E27FC236}">
              <a16:creationId xmlns:a16="http://schemas.microsoft.com/office/drawing/2014/main" id="{C6447624-365D-4174-A16D-702587693D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8" name="Elipse 3207">
          <a:extLst>
            <a:ext uri="{FF2B5EF4-FFF2-40B4-BE49-F238E27FC236}">
              <a16:creationId xmlns:a16="http://schemas.microsoft.com/office/drawing/2014/main" id="{E5DA320B-E48E-4F25-A3A5-C95335C070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9" name="Elipse 3208">
          <a:extLst>
            <a:ext uri="{FF2B5EF4-FFF2-40B4-BE49-F238E27FC236}">
              <a16:creationId xmlns:a16="http://schemas.microsoft.com/office/drawing/2014/main" id="{297BD7F8-1865-4300-9CDC-24C601B210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0" name="Elipse 3209">
          <a:extLst>
            <a:ext uri="{FF2B5EF4-FFF2-40B4-BE49-F238E27FC236}">
              <a16:creationId xmlns:a16="http://schemas.microsoft.com/office/drawing/2014/main" id="{44B5F113-6E24-4980-B530-7ECC9A68A0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1" name="Elipse 3210">
          <a:extLst>
            <a:ext uri="{FF2B5EF4-FFF2-40B4-BE49-F238E27FC236}">
              <a16:creationId xmlns:a16="http://schemas.microsoft.com/office/drawing/2014/main" id="{76F62792-7793-448D-880B-56239F12EA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2" name="Elipse 3211">
          <a:extLst>
            <a:ext uri="{FF2B5EF4-FFF2-40B4-BE49-F238E27FC236}">
              <a16:creationId xmlns:a16="http://schemas.microsoft.com/office/drawing/2014/main" id="{612311AA-C52D-4353-8C65-7D4B53570A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3" name="Elipse 3212">
          <a:extLst>
            <a:ext uri="{FF2B5EF4-FFF2-40B4-BE49-F238E27FC236}">
              <a16:creationId xmlns:a16="http://schemas.microsoft.com/office/drawing/2014/main" id="{05D516EF-12C6-420C-8073-215B11570D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4" name="Elipse 3213">
          <a:extLst>
            <a:ext uri="{FF2B5EF4-FFF2-40B4-BE49-F238E27FC236}">
              <a16:creationId xmlns:a16="http://schemas.microsoft.com/office/drawing/2014/main" id="{6754ED9C-BA34-4D11-9E96-9A7BB8739D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5" name="Elipse 3214">
          <a:extLst>
            <a:ext uri="{FF2B5EF4-FFF2-40B4-BE49-F238E27FC236}">
              <a16:creationId xmlns:a16="http://schemas.microsoft.com/office/drawing/2014/main" id="{54968E3D-118F-4DD0-924D-8FE0E090F6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6" name="Elipse 3215">
          <a:extLst>
            <a:ext uri="{FF2B5EF4-FFF2-40B4-BE49-F238E27FC236}">
              <a16:creationId xmlns:a16="http://schemas.microsoft.com/office/drawing/2014/main" id="{10A4720D-9A8D-4888-B5B6-B64DDB888C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7" name="Elipse 3216">
          <a:extLst>
            <a:ext uri="{FF2B5EF4-FFF2-40B4-BE49-F238E27FC236}">
              <a16:creationId xmlns:a16="http://schemas.microsoft.com/office/drawing/2014/main" id="{04FF3C26-F1D0-4275-A1B4-C7B2C61ED7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8" name="Elipse 3217">
          <a:extLst>
            <a:ext uri="{FF2B5EF4-FFF2-40B4-BE49-F238E27FC236}">
              <a16:creationId xmlns:a16="http://schemas.microsoft.com/office/drawing/2014/main" id="{34B8CEDA-347A-49A2-B629-0E0C9973D7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9" name="Elipse 3218">
          <a:extLst>
            <a:ext uri="{FF2B5EF4-FFF2-40B4-BE49-F238E27FC236}">
              <a16:creationId xmlns:a16="http://schemas.microsoft.com/office/drawing/2014/main" id="{C5567CE9-BAEA-44D7-9C88-37321CD599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0" name="Elipse 3219">
          <a:extLst>
            <a:ext uri="{FF2B5EF4-FFF2-40B4-BE49-F238E27FC236}">
              <a16:creationId xmlns:a16="http://schemas.microsoft.com/office/drawing/2014/main" id="{BDE06E32-EF04-4D63-8924-9A0FF4AEA8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1" name="Elipse 3220">
          <a:extLst>
            <a:ext uri="{FF2B5EF4-FFF2-40B4-BE49-F238E27FC236}">
              <a16:creationId xmlns:a16="http://schemas.microsoft.com/office/drawing/2014/main" id="{657D6C07-86C6-439B-B649-F9F98FB012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2" name="Elipse 3221">
          <a:extLst>
            <a:ext uri="{FF2B5EF4-FFF2-40B4-BE49-F238E27FC236}">
              <a16:creationId xmlns:a16="http://schemas.microsoft.com/office/drawing/2014/main" id="{5B946F0C-E90C-4B0F-9CD0-32F608AE94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3" name="Elipse 3222">
          <a:extLst>
            <a:ext uri="{FF2B5EF4-FFF2-40B4-BE49-F238E27FC236}">
              <a16:creationId xmlns:a16="http://schemas.microsoft.com/office/drawing/2014/main" id="{681494AF-BEDF-4238-B79D-5674335C4F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4" name="Elipse 3223">
          <a:extLst>
            <a:ext uri="{FF2B5EF4-FFF2-40B4-BE49-F238E27FC236}">
              <a16:creationId xmlns:a16="http://schemas.microsoft.com/office/drawing/2014/main" id="{3884010D-98BB-45F3-9EAB-1717051A24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5" name="Elipse 3224">
          <a:extLst>
            <a:ext uri="{FF2B5EF4-FFF2-40B4-BE49-F238E27FC236}">
              <a16:creationId xmlns:a16="http://schemas.microsoft.com/office/drawing/2014/main" id="{6936C7D4-329F-4532-A922-62AADE973F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6" name="Elipse 3225">
          <a:extLst>
            <a:ext uri="{FF2B5EF4-FFF2-40B4-BE49-F238E27FC236}">
              <a16:creationId xmlns:a16="http://schemas.microsoft.com/office/drawing/2014/main" id="{E50375E1-E911-45F3-9D3E-F4D21497DC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7" name="Elipse 3226">
          <a:extLst>
            <a:ext uri="{FF2B5EF4-FFF2-40B4-BE49-F238E27FC236}">
              <a16:creationId xmlns:a16="http://schemas.microsoft.com/office/drawing/2014/main" id="{9B7FE053-890F-485C-B7F6-AFF949DD6C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8" name="Elipse 3227">
          <a:extLst>
            <a:ext uri="{FF2B5EF4-FFF2-40B4-BE49-F238E27FC236}">
              <a16:creationId xmlns:a16="http://schemas.microsoft.com/office/drawing/2014/main" id="{F3CC0310-EE0A-4C02-B3B3-A7635B943F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9" name="Elipse 3228">
          <a:extLst>
            <a:ext uri="{FF2B5EF4-FFF2-40B4-BE49-F238E27FC236}">
              <a16:creationId xmlns:a16="http://schemas.microsoft.com/office/drawing/2014/main" id="{606A3323-C76C-4CE5-B2BD-DA65550307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0" name="Elipse 3229">
          <a:extLst>
            <a:ext uri="{FF2B5EF4-FFF2-40B4-BE49-F238E27FC236}">
              <a16:creationId xmlns:a16="http://schemas.microsoft.com/office/drawing/2014/main" id="{582ED7CA-F0A0-42F0-9F78-09437EB190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1" name="Elipse 3230">
          <a:extLst>
            <a:ext uri="{FF2B5EF4-FFF2-40B4-BE49-F238E27FC236}">
              <a16:creationId xmlns:a16="http://schemas.microsoft.com/office/drawing/2014/main" id="{5E4A70B1-C00A-44DC-92CC-5B7869102E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2" name="Elipse 3231">
          <a:extLst>
            <a:ext uri="{FF2B5EF4-FFF2-40B4-BE49-F238E27FC236}">
              <a16:creationId xmlns:a16="http://schemas.microsoft.com/office/drawing/2014/main" id="{B76D4575-96E6-419F-90BA-B331182C55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3" name="Elipse 3232">
          <a:extLst>
            <a:ext uri="{FF2B5EF4-FFF2-40B4-BE49-F238E27FC236}">
              <a16:creationId xmlns:a16="http://schemas.microsoft.com/office/drawing/2014/main" id="{E0E088CD-38A3-4491-B15E-A891AA56CF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4" name="Elipse 3233">
          <a:extLst>
            <a:ext uri="{FF2B5EF4-FFF2-40B4-BE49-F238E27FC236}">
              <a16:creationId xmlns:a16="http://schemas.microsoft.com/office/drawing/2014/main" id="{C0B8E0B9-B29F-43C4-8C62-568E017833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5" name="Elipse 3234">
          <a:extLst>
            <a:ext uri="{FF2B5EF4-FFF2-40B4-BE49-F238E27FC236}">
              <a16:creationId xmlns:a16="http://schemas.microsoft.com/office/drawing/2014/main" id="{E44594AA-1280-4A8D-964A-3AE76B09ED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6" name="Elipse 3235">
          <a:extLst>
            <a:ext uri="{FF2B5EF4-FFF2-40B4-BE49-F238E27FC236}">
              <a16:creationId xmlns:a16="http://schemas.microsoft.com/office/drawing/2014/main" id="{B51E345E-3A72-4160-9C27-A101807316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7" name="Elipse 3236">
          <a:extLst>
            <a:ext uri="{FF2B5EF4-FFF2-40B4-BE49-F238E27FC236}">
              <a16:creationId xmlns:a16="http://schemas.microsoft.com/office/drawing/2014/main" id="{26971BB3-4462-4F06-ABD0-7CCE0018E0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8" name="Elipse 3237">
          <a:extLst>
            <a:ext uri="{FF2B5EF4-FFF2-40B4-BE49-F238E27FC236}">
              <a16:creationId xmlns:a16="http://schemas.microsoft.com/office/drawing/2014/main" id="{B1B68642-FCBA-4E0D-959C-52704E095D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9" name="Elipse 3238">
          <a:extLst>
            <a:ext uri="{FF2B5EF4-FFF2-40B4-BE49-F238E27FC236}">
              <a16:creationId xmlns:a16="http://schemas.microsoft.com/office/drawing/2014/main" id="{BD5E944D-D5B9-4768-B248-6AE30A4F6B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0" name="Elipse 3239">
          <a:extLst>
            <a:ext uri="{FF2B5EF4-FFF2-40B4-BE49-F238E27FC236}">
              <a16:creationId xmlns:a16="http://schemas.microsoft.com/office/drawing/2014/main" id="{B83FC2D6-6A3C-421F-AD09-4372780E79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1" name="Elipse 3240">
          <a:extLst>
            <a:ext uri="{FF2B5EF4-FFF2-40B4-BE49-F238E27FC236}">
              <a16:creationId xmlns:a16="http://schemas.microsoft.com/office/drawing/2014/main" id="{B98224CE-ED02-4665-9EBA-DC6FD50285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2" name="Elipse 3241">
          <a:extLst>
            <a:ext uri="{FF2B5EF4-FFF2-40B4-BE49-F238E27FC236}">
              <a16:creationId xmlns:a16="http://schemas.microsoft.com/office/drawing/2014/main" id="{0A690953-3D2F-430F-AF5B-812AE57A46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3" name="Elipse 3242">
          <a:extLst>
            <a:ext uri="{FF2B5EF4-FFF2-40B4-BE49-F238E27FC236}">
              <a16:creationId xmlns:a16="http://schemas.microsoft.com/office/drawing/2014/main" id="{F3837324-6903-4A54-A5B6-340747ED5B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4" name="Elipse 3243">
          <a:extLst>
            <a:ext uri="{FF2B5EF4-FFF2-40B4-BE49-F238E27FC236}">
              <a16:creationId xmlns:a16="http://schemas.microsoft.com/office/drawing/2014/main" id="{95C53252-4B72-409F-8880-4E5B42DF06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5" name="Elipse 3244">
          <a:extLst>
            <a:ext uri="{FF2B5EF4-FFF2-40B4-BE49-F238E27FC236}">
              <a16:creationId xmlns:a16="http://schemas.microsoft.com/office/drawing/2014/main" id="{33F05504-9E61-4AA5-BD5E-4028FBA434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6" name="Elipse 3245">
          <a:extLst>
            <a:ext uri="{FF2B5EF4-FFF2-40B4-BE49-F238E27FC236}">
              <a16:creationId xmlns:a16="http://schemas.microsoft.com/office/drawing/2014/main" id="{EA34A33D-1E1C-416A-8710-55664262EB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7" name="Elipse 3246">
          <a:extLst>
            <a:ext uri="{FF2B5EF4-FFF2-40B4-BE49-F238E27FC236}">
              <a16:creationId xmlns:a16="http://schemas.microsoft.com/office/drawing/2014/main" id="{E7AB668A-947E-4EF3-BF30-8174E3F40B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8" name="Elipse 3247">
          <a:extLst>
            <a:ext uri="{FF2B5EF4-FFF2-40B4-BE49-F238E27FC236}">
              <a16:creationId xmlns:a16="http://schemas.microsoft.com/office/drawing/2014/main" id="{3527F194-0A40-434A-B8DD-B64A422FF5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9" name="Elipse 3248">
          <a:extLst>
            <a:ext uri="{FF2B5EF4-FFF2-40B4-BE49-F238E27FC236}">
              <a16:creationId xmlns:a16="http://schemas.microsoft.com/office/drawing/2014/main" id="{9F35EA5C-CBE1-4A05-994D-FC86D91360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0" name="Elipse 3249">
          <a:extLst>
            <a:ext uri="{FF2B5EF4-FFF2-40B4-BE49-F238E27FC236}">
              <a16:creationId xmlns:a16="http://schemas.microsoft.com/office/drawing/2014/main" id="{F8CC6C90-D48C-40C3-9C59-2F897FC239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1" name="Elipse 3250">
          <a:extLst>
            <a:ext uri="{FF2B5EF4-FFF2-40B4-BE49-F238E27FC236}">
              <a16:creationId xmlns:a16="http://schemas.microsoft.com/office/drawing/2014/main" id="{5950AD97-B45A-40D0-B013-A97F2AFE42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2" name="Elipse 3251">
          <a:extLst>
            <a:ext uri="{FF2B5EF4-FFF2-40B4-BE49-F238E27FC236}">
              <a16:creationId xmlns:a16="http://schemas.microsoft.com/office/drawing/2014/main" id="{724717FE-B26D-482A-A5B3-387B1AC622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3" name="Elipse 3252">
          <a:extLst>
            <a:ext uri="{FF2B5EF4-FFF2-40B4-BE49-F238E27FC236}">
              <a16:creationId xmlns:a16="http://schemas.microsoft.com/office/drawing/2014/main" id="{1EBCD5A4-38BB-411A-93CF-8CCD202681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4" name="Elipse 3253">
          <a:extLst>
            <a:ext uri="{FF2B5EF4-FFF2-40B4-BE49-F238E27FC236}">
              <a16:creationId xmlns:a16="http://schemas.microsoft.com/office/drawing/2014/main" id="{A389B317-5423-443C-A177-77719F7956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5" name="Elipse 3254">
          <a:extLst>
            <a:ext uri="{FF2B5EF4-FFF2-40B4-BE49-F238E27FC236}">
              <a16:creationId xmlns:a16="http://schemas.microsoft.com/office/drawing/2014/main" id="{14E4E30B-0F44-454E-970C-C8FA965959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6" name="Elipse 3255">
          <a:extLst>
            <a:ext uri="{FF2B5EF4-FFF2-40B4-BE49-F238E27FC236}">
              <a16:creationId xmlns:a16="http://schemas.microsoft.com/office/drawing/2014/main" id="{86AFBCF0-DA90-48D9-9BE5-E74BA70A66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7" name="Elipse 3256">
          <a:extLst>
            <a:ext uri="{FF2B5EF4-FFF2-40B4-BE49-F238E27FC236}">
              <a16:creationId xmlns:a16="http://schemas.microsoft.com/office/drawing/2014/main" id="{7FAE586B-70FB-4316-BD07-C91C5ECFB4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8" name="Elipse 3257">
          <a:extLst>
            <a:ext uri="{FF2B5EF4-FFF2-40B4-BE49-F238E27FC236}">
              <a16:creationId xmlns:a16="http://schemas.microsoft.com/office/drawing/2014/main" id="{8B434A1D-F552-48C5-9F89-ED901D716B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9" name="Elipse 3258">
          <a:extLst>
            <a:ext uri="{FF2B5EF4-FFF2-40B4-BE49-F238E27FC236}">
              <a16:creationId xmlns:a16="http://schemas.microsoft.com/office/drawing/2014/main" id="{9359331F-10EE-4B63-AE73-B9FEA5114B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0" name="Elipse 3259">
          <a:extLst>
            <a:ext uri="{FF2B5EF4-FFF2-40B4-BE49-F238E27FC236}">
              <a16:creationId xmlns:a16="http://schemas.microsoft.com/office/drawing/2014/main" id="{DB161516-64B2-4680-BE5E-6F37EC141C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1" name="Elipse 3260">
          <a:extLst>
            <a:ext uri="{FF2B5EF4-FFF2-40B4-BE49-F238E27FC236}">
              <a16:creationId xmlns:a16="http://schemas.microsoft.com/office/drawing/2014/main" id="{7DC227C3-B9BE-4BCD-A37E-3AFDB28914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2" name="Elipse 3261">
          <a:extLst>
            <a:ext uri="{FF2B5EF4-FFF2-40B4-BE49-F238E27FC236}">
              <a16:creationId xmlns:a16="http://schemas.microsoft.com/office/drawing/2014/main" id="{E4930D46-FD90-4EEA-A038-7E748F622B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3" name="Elipse 3262">
          <a:extLst>
            <a:ext uri="{FF2B5EF4-FFF2-40B4-BE49-F238E27FC236}">
              <a16:creationId xmlns:a16="http://schemas.microsoft.com/office/drawing/2014/main" id="{426393FF-B13E-4A25-AD8C-DBAAAF399F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4" name="Elipse 3263">
          <a:extLst>
            <a:ext uri="{FF2B5EF4-FFF2-40B4-BE49-F238E27FC236}">
              <a16:creationId xmlns:a16="http://schemas.microsoft.com/office/drawing/2014/main" id="{662E319F-9C66-4B81-9FC1-8DF67BE50C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5" name="Elipse 3264">
          <a:extLst>
            <a:ext uri="{FF2B5EF4-FFF2-40B4-BE49-F238E27FC236}">
              <a16:creationId xmlns:a16="http://schemas.microsoft.com/office/drawing/2014/main" id="{6BEFBB6E-360E-4A50-9796-C04FE8FA19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6" name="Elipse 3265">
          <a:extLst>
            <a:ext uri="{FF2B5EF4-FFF2-40B4-BE49-F238E27FC236}">
              <a16:creationId xmlns:a16="http://schemas.microsoft.com/office/drawing/2014/main" id="{AAF8E677-F261-46C0-BDD9-344DE3804B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7" name="Elipse 3266">
          <a:extLst>
            <a:ext uri="{FF2B5EF4-FFF2-40B4-BE49-F238E27FC236}">
              <a16:creationId xmlns:a16="http://schemas.microsoft.com/office/drawing/2014/main" id="{88287009-D305-4FC4-BC52-887E202DF0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8" name="Elipse 3267">
          <a:extLst>
            <a:ext uri="{FF2B5EF4-FFF2-40B4-BE49-F238E27FC236}">
              <a16:creationId xmlns:a16="http://schemas.microsoft.com/office/drawing/2014/main" id="{2A4E09B8-F93E-4D04-B5CE-6D047DD223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9" name="Elipse 3268">
          <a:extLst>
            <a:ext uri="{FF2B5EF4-FFF2-40B4-BE49-F238E27FC236}">
              <a16:creationId xmlns:a16="http://schemas.microsoft.com/office/drawing/2014/main" id="{4210EF62-0B91-4EEC-A09D-28F0902D50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0" name="Elipse 3269">
          <a:extLst>
            <a:ext uri="{FF2B5EF4-FFF2-40B4-BE49-F238E27FC236}">
              <a16:creationId xmlns:a16="http://schemas.microsoft.com/office/drawing/2014/main" id="{82D9933F-0EAF-4C3F-BF7E-A32D82C918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1" name="Elipse 3270">
          <a:extLst>
            <a:ext uri="{FF2B5EF4-FFF2-40B4-BE49-F238E27FC236}">
              <a16:creationId xmlns:a16="http://schemas.microsoft.com/office/drawing/2014/main" id="{BC10899E-9F7B-494E-A8A1-676C0452CF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2" name="Elipse 3271">
          <a:extLst>
            <a:ext uri="{FF2B5EF4-FFF2-40B4-BE49-F238E27FC236}">
              <a16:creationId xmlns:a16="http://schemas.microsoft.com/office/drawing/2014/main" id="{EB4FE3BA-92D0-48C8-AFD0-2087FFB42F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3" name="Elipse 3272">
          <a:extLst>
            <a:ext uri="{FF2B5EF4-FFF2-40B4-BE49-F238E27FC236}">
              <a16:creationId xmlns:a16="http://schemas.microsoft.com/office/drawing/2014/main" id="{B894FF25-191B-460F-B179-D06281A60C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4" name="Elipse 3273">
          <a:extLst>
            <a:ext uri="{FF2B5EF4-FFF2-40B4-BE49-F238E27FC236}">
              <a16:creationId xmlns:a16="http://schemas.microsoft.com/office/drawing/2014/main" id="{7EC1731E-6F01-4F74-B271-B256328053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5" name="Elipse 3274">
          <a:extLst>
            <a:ext uri="{FF2B5EF4-FFF2-40B4-BE49-F238E27FC236}">
              <a16:creationId xmlns:a16="http://schemas.microsoft.com/office/drawing/2014/main" id="{95A63D9C-B9B6-42A2-979E-A42F813B55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6" name="Elipse 3275">
          <a:extLst>
            <a:ext uri="{FF2B5EF4-FFF2-40B4-BE49-F238E27FC236}">
              <a16:creationId xmlns:a16="http://schemas.microsoft.com/office/drawing/2014/main" id="{3BB948B3-A49C-4613-BE1A-B765A734C5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7" name="Elipse 3276">
          <a:extLst>
            <a:ext uri="{FF2B5EF4-FFF2-40B4-BE49-F238E27FC236}">
              <a16:creationId xmlns:a16="http://schemas.microsoft.com/office/drawing/2014/main" id="{D6C7914B-F137-4219-86A4-8D759B5CF6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8" name="Elipse 3277">
          <a:extLst>
            <a:ext uri="{FF2B5EF4-FFF2-40B4-BE49-F238E27FC236}">
              <a16:creationId xmlns:a16="http://schemas.microsoft.com/office/drawing/2014/main" id="{A40006A8-0A02-4783-858F-367724693F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9" name="Elipse 3278">
          <a:extLst>
            <a:ext uri="{FF2B5EF4-FFF2-40B4-BE49-F238E27FC236}">
              <a16:creationId xmlns:a16="http://schemas.microsoft.com/office/drawing/2014/main" id="{3088D10C-C9BD-4C20-BCEB-D3F659D6D6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0" name="Elipse 3279">
          <a:extLst>
            <a:ext uri="{FF2B5EF4-FFF2-40B4-BE49-F238E27FC236}">
              <a16:creationId xmlns:a16="http://schemas.microsoft.com/office/drawing/2014/main" id="{822F5B0A-0EBC-475E-A40D-A7D02BCC5A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1" name="Elipse 3280">
          <a:extLst>
            <a:ext uri="{FF2B5EF4-FFF2-40B4-BE49-F238E27FC236}">
              <a16:creationId xmlns:a16="http://schemas.microsoft.com/office/drawing/2014/main" id="{C95BA3C1-FE77-40BC-88C1-98BEA7DAFE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2" name="Elipse 3281">
          <a:extLst>
            <a:ext uri="{FF2B5EF4-FFF2-40B4-BE49-F238E27FC236}">
              <a16:creationId xmlns:a16="http://schemas.microsoft.com/office/drawing/2014/main" id="{D3DD2038-1626-4A81-A6F6-2A8A0F4AC6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3" name="Elipse 3282">
          <a:extLst>
            <a:ext uri="{FF2B5EF4-FFF2-40B4-BE49-F238E27FC236}">
              <a16:creationId xmlns:a16="http://schemas.microsoft.com/office/drawing/2014/main" id="{38745E8B-9F69-4253-B238-D3454A4852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4" name="Elipse 3283">
          <a:extLst>
            <a:ext uri="{FF2B5EF4-FFF2-40B4-BE49-F238E27FC236}">
              <a16:creationId xmlns:a16="http://schemas.microsoft.com/office/drawing/2014/main" id="{D773E462-4012-499D-8DCC-56743BB303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5" name="Elipse 3284">
          <a:extLst>
            <a:ext uri="{FF2B5EF4-FFF2-40B4-BE49-F238E27FC236}">
              <a16:creationId xmlns:a16="http://schemas.microsoft.com/office/drawing/2014/main" id="{2054590B-8CD9-43F4-A6C3-7132BD965A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6" name="Elipse 3285">
          <a:extLst>
            <a:ext uri="{FF2B5EF4-FFF2-40B4-BE49-F238E27FC236}">
              <a16:creationId xmlns:a16="http://schemas.microsoft.com/office/drawing/2014/main" id="{CA1E5836-86BD-4594-B409-844649417B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7" name="Elipse 3286">
          <a:extLst>
            <a:ext uri="{FF2B5EF4-FFF2-40B4-BE49-F238E27FC236}">
              <a16:creationId xmlns:a16="http://schemas.microsoft.com/office/drawing/2014/main" id="{4CEE46BE-2787-41A6-AE12-57AC208A4D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8" name="Elipse 3287">
          <a:extLst>
            <a:ext uri="{FF2B5EF4-FFF2-40B4-BE49-F238E27FC236}">
              <a16:creationId xmlns:a16="http://schemas.microsoft.com/office/drawing/2014/main" id="{2D8FFDB4-7AA9-47EB-B7EF-19E35BDA79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9" name="Elipse 3288">
          <a:extLst>
            <a:ext uri="{FF2B5EF4-FFF2-40B4-BE49-F238E27FC236}">
              <a16:creationId xmlns:a16="http://schemas.microsoft.com/office/drawing/2014/main" id="{AA65100F-2615-4BE8-B972-5E076FC7F5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0" name="Elipse 3289">
          <a:extLst>
            <a:ext uri="{FF2B5EF4-FFF2-40B4-BE49-F238E27FC236}">
              <a16:creationId xmlns:a16="http://schemas.microsoft.com/office/drawing/2014/main" id="{A6D1C1D0-A20F-4DF4-B8FA-8019117F3B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1" name="Elipse 3290">
          <a:extLst>
            <a:ext uri="{FF2B5EF4-FFF2-40B4-BE49-F238E27FC236}">
              <a16:creationId xmlns:a16="http://schemas.microsoft.com/office/drawing/2014/main" id="{0514749B-46F3-4369-AC14-A15D5AFAA8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2" name="Elipse 3291">
          <a:extLst>
            <a:ext uri="{FF2B5EF4-FFF2-40B4-BE49-F238E27FC236}">
              <a16:creationId xmlns:a16="http://schemas.microsoft.com/office/drawing/2014/main" id="{5A5247A1-DC75-4E44-BA28-FC18019046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3" name="Elipse 3292">
          <a:extLst>
            <a:ext uri="{FF2B5EF4-FFF2-40B4-BE49-F238E27FC236}">
              <a16:creationId xmlns:a16="http://schemas.microsoft.com/office/drawing/2014/main" id="{36358C31-6BB3-4119-9CBE-E5F1953BC4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4" name="Elipse 3293">
          <a:extLst>
            <a:ext uri="{FF2B5EF4-FFF2-40B4-BE49-F238E27FC236}">
              <a16:creationId xmlns:a16="http://schemas.microsoft.com/office/drawing/2014/main" id="{A4A172B4-66DB-4797-A051-BB0090D42C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5" name="Elipse 3294">
          <a:extLst>
            <a:ext uri="{FF2B5EF4-FFF2-40B4-BE49-F238E27FC236}">
              <a16:creationId xmlns:a16="http://schemas.microsoft.com/office/drawing/2014/main" id="{53088DF5-51B5-4EE9-BC1A-E9B675FC1B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6" name="Elipse 3295">
          <a:extLst>
            <a:ext uri="{FF2B5EF4-FFF2-40B4-BE49-F238E27FC236}">
              <a16:creationId xmlns:a16="http://schemas.microsoft.com/office/drawing/2014/main" id="{A02D1653-8088-44DF-A330-3EBD03E69A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7" name="Elipse 3296">
          <a:extLst>
            <a:ext uri="{FF2B5EF4-FFF2-40B4-BE49-F238E27FC236}">
              <a16:creationId xmlns:a16="http://schemas.microsoft.com/office/drawing/2014/main" id="{1775D56F-2075-42C1-B28A-5AD6A4EFC5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8" name="Elipse 3297">
          <a:extLst>
            <a:ext uri="{FF2B5EF4-FFF2-40B4-BE49-F238E27FC236}">
              <a16:creationId xmlns:a16="http://schemas.microsoft.com/office/drawing/2014/main" id="{B95B1211-CF36-4C13-9908-D655ED04BC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9" name="Elipse 3298">
          <a:extLst>
            <a:ext uri="{FF2B5EF4-FFF2-40B4-BE49-F238E27FC236}">
              <a16:creationId xmlns:a16="http://schemas.microsoft.com/office/drawing/2014/main" id="{F9F6A693-32B3-4B73-8FDD-28C65E5205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0" name="Elipse 3299">
          <a:extLst>
            <a:ext uri="{FF2B5EF4-FFF2-40B4-BE49-F238E27FC236}">
              <a16:creationId xmlns:a16="http://schemas.microsoft.com/office/drawing/2014/main" id="{CEA9F17F-218E-4062-B7F2-4F0433D007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1" name="Elipse 3300">
          <a:extLst>
            <a:ext uri="{FF2B5EF4-FFF2-40B4-BE49-F238E27FC236}">
              <a16:creationId xmlns:a16="http://schemas.microsoft.com/office/drawing/2014/main" id="{B66E9AF3-DA9B-4B4A-A555-1BDEDEE652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2" name="Elipse 3301">
          <a:extLst>
            <a:ext uri="{FF2B5EF4-FFF2-40B4-BE49-F238E27FC236}">
              <a16:creationId xmlns:a16="http://schemas.microsoft.com/office/drawing/2014/main" id="{FD9BDDA1-1B9D-4C4B-A021-F0F67E450C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3" name="Elipse 3302">
          <a:extLst>
            <a:ext uri="{FF2B5EF4-FFF2-40B4-BE49-F238E27FC236}">
              <a16:creationId xmlns:a16="http://schemas.microsoft.com/office/drawing/2014/main" id="{68EC9145-3CD3-4B41-A730-47459B5205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4" name="Elipse 3303">
          <a:extLst>
            <a:ext uri="{FF2B5EF4-FFF2-40B4-BE49-F238E27FC236}">
              <a16:creationId xmlns:a16="http://schemas.microsoft.com/office/drawing/2014/main" id="{1C59237A-DEB8-466C-8FE9-C78CF2AEEB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5" name="Elipse 3304">
          <a:extLst>
            <a:ext uri="{FF2B5EF4-FFF2-40B4-BE49-F238E27FC236}">
              <a16:creationId xmlns:a16="http://schemas.microsoft.com/office/drawing/2014/main" id="{887B70E7-7F88-4633-9A3A-0F2ABD8777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6" name="Elipse 3305">
          <a:extLst>
            <a:ext uri="{FF2B5EF4-FFF2-40B4-BE49-F238E27FC236}">
              <a16:creationId xmlns:a16="http://schemas.microsoft.com/office/drawing/2014/main" id="{3875E212-B731-4F56-A1F4-2BC51F1A50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7" name="Elipse 3306">
          <a:extLst>
            <a:ext uri="{FF2B5EF4-FFF2-40B4-BE49-F238E27FC236}">
              <a16:creationId xmlns:a16="http://schemas.microsoft.com/office/drawing/2014/main" id="{81FAEB10-15DF-4478-9B6F-F743B9CC35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8" name="Elipse 3307">
          <a:extLst>
            <a:ext uri="{FF2B5EF4-FFF2-40B4-BE49-F238E27FC236}">
              <a16:creationId xmlns:a16="http://schemas.microsoft.com/office/drawing/2014/main" id="{2ADD6DC6-4385-4945-A1A5-19CC1B028F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9" name="Elipse 3308">
          <a:extLst>
            <a:ext uri="{FF2B5EF4-FFF2-40B4-BE49-F238E27FC236}">
              <a16:creationId xmlns:a16="http://schemas.microsoft.com/office/drawing/2014/main" id="{820F3341-6062-4981-A96C-FF9398707C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0" name="Elipse 3309">
          <a:extLst>
            <a:ext uri="{FF2B5EF4-FFF2-40B4-BE49-F238E27FC236}">
              <a16:creationId xmlns:a16="http://schemas.microsoft.com/office/drawing/2014/main" id="{C60749E4-8C2B-42F4-89E0-92511B94EA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1" name="Elipse 3310">
          <a:extLst>
            <a:ext uri="{FF2B5EF4-FFF2-40B4-BE49-F238E27FC236}">
              <a16:creationId xmlns:a16="http://schemas.microsoft.com/office/drawing/2014/main" id="{6C158212-D1C9-41C0-816D-E1C70AF0BB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2" name="Elipse 3311">
          <a:extLst>
            <a:ext uri="{FF2B5EF4-FFF2-40B4-BE49-F238E27FC236}">
              <a16:creationId xmlns:a16="http://schemas.microsoft.com/office/drawing/2014/main" id="{7970421F-6BFA-4C3A-BB42-9FD743AF39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3" name="Elipse 3312">
          <a:extLst>
            <a:ext uri="{FF2B5EF4-FFF2-40B4-BE49-F238E27FC236}">
              <a16:creationId xmlns:a16="http://schemas.microsoft.com/office/drawing/2014/main" id="{04E9CA6B-684C-4B4B-A2DF-A18700836E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4" name="Elipse 3313">
          <a:extLst>
            <a:ext uri="{FF2B5EF4-FFF2-40B4-BE49-F238E27FC236}">
              <a16:creationId xmlns:a16="http://schemas.microsoft.com/office/drawing/2014/main" id="{96CC9BEB-2DE3-4C9A-A84D-8C6A50BD85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5" name="Elipse 3314">
          <a:extLst>
            <a:ext uri="{FF2B5EF4-FFF2-40B4-BE49-F238E27FC236}">
              <a16:creationId xmlns:a16="http://schemas.microsoft.com/office/drawing/2014/main" id="{98417932-5D17-4794-9722-B3BECFC6C8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6" name="Elipse 3315">
          <a:extLst>
            <a:ext uri="{FF2B5EF4-FFF2-40B4-BE49-F238E27FC236}">
              <a16:creationId xmlns:a16="http://schemas.microsoft.com/office/drawing/2014/main" id="{3FAE7840-274E-48A2-8218-EB4FF51D63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7" name="Elipse 3316">
          <a:extLst>
            <a:ext uri="{FF2B5EF4-FFF2-40B4-BE49-F238E27FC236}">
              <a16:creationId xmlns:a16="http://schemas.microsoft.com/office/drawing/2014/main" id="{C9F8FD51-04F6-43A1-93C3-6DD4E2E52D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8" name="Elipse 3317">
          <a:extLst>
            <a:ext uri="{FF2B5EF4-FFF2-40B4-BE49-F238E27FC236}">
              <a16:creationId xmlns:a16="http://schemas.microsoft.com/office/drawing/2014/main" id="{9F452F08-B158-4410-BAFC-7D7060DD3A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9" name="Elipse 3318">
          <a:extLst>
            <a:ext uri="{FF2B5EF4-FFF2-40B4-BE49-F238E27FC236}">
              <a16:creationId xmlns:a16="http://schemas.microsoft.com/office/drawing/2014/main" id="{6886D72D-9469-4A87-A3A0-17FC74C324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0" name="Elipse 3319">
          <a:extLst>
            <a:ext uri="{FF2B5EF4-FFF2-40B4-BE49-F238E27FC236}">
              <a16:creationId xmlns:a16="http://schemas.microsoft.com/office/drawing/2014/main" id="{18CE7AD2-1505-4785-B357-CAC603D632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1" name="Elipse 3320">
          <a:extLst>
            <a:ext uri="{FF2B5EF4-FFF2-40B4-BE49-F238E27FC236}">
              <a16:creationId xmlns:a16="http://schemas.microsoft.com/office/drawing/2014/main" id="{97634CD9-910C-44AD-A941-B9973923B3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2" name="Elipse 3321">
          <a:extLst>
            <a:ext uri="{FF2B5EF4-FFF2-40B4-BE49-F238E27FC236}">
              <a16:creationId xmlns:a16="http://schemas.microsoft.com/office/drawing/2014/main" id="{5001F1C0-C855-4292-B3EB-4AD62C6EE2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3" name="Elipse 3322">
          <a:extLst>
            <a:ext uri="{FF2B5EF4-FFF2-40B4-BE49-F238E27FC236}">
              <a16:creationId xmlns:a16="http://schemas.microsoft.com/office/drawing/2014/main" id="{2247C72A-BC10-4884-81E3-31A5059D98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4" name="Elipse 3323">
          <a:extLst>
            <a:ext uri="{FF2B5EF4-FFF2-40B4-BE49-F238E27FC236}">
              <a16:creationId xmlns:a16="http://schemas.microsoft.com/office/drawing/2014/main" id="{F3B1D1E8-E409-4BC8-93F2-DF3C29FC22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5" name="Elipse 3324">
          <a:extLst>
            <a:ext uri="{FF2B5EF4-FFF2-40B4-BE49-F238E27FC236}">
              <a16:creationId xmlns:a16="http://schemas.microsoft.com/office/drawing/2014/main" id="{49691EDA-8551-43D2-ABAB-7828AAEB12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6" name="Elipse 3325">
          <a:extLst>
            <a:ext uri="{FF2B5EF4-FFF2-40B4-BE49-F238E27FC236}">
              <a16:creationId xmlns:a16="http://schemas.microsoft.com/office/drawing/2014/main" id="{C20CC684-B7E0-488E-8924-D2449A1E07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7" name="Elipse 3326">
          <a:extLst>
            <a:ext uri="{FF2B5EF4-FFF2-40B4-BE49-F238E27FC236}">
              <a16:creationId xmlns:a16="http://schemas.microsoft.com/office/drawing/2014/main" id="{484054A5-F6C9-46CA-8D47-302FF911C2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8" name="Elipse 3327">
          <a:extLst>
            <a:ext uri="{FF2B5EF4-FFF2-40B4-BE49-F238E27FC236}">
              <a16:creationId xmlns:a16="http://schemas.microsoft.com/office/drawing/2014/main" id="{1CB0BA5E-BFF9-4132-9405-AEDFD45A67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9" name="Elipse 3328">
          <a:extLst>
            <a:ext uri="{FF2B5EF4-FFF2-40B4-BE49-F238E27FC236}">
              <a16:creationId xmlns:a16="http://schemas.microsoft.com/office/drawing/2014/main" id="{4EC91ACE-1706-4809-A537-E2A1B4965E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0" name="Elipse 3329">
          <a:extLst>
            <a:ext uri="{FF2B5EF4-FFF2-40B4-BE49-F238E27FC236}">
              <a16:creationId xmlns:a16="http://schemas.microsoft.com/office/drawing/2014/main" id="{53E0B680-F407-4417-9DE5-E730252DC2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1" name="Elipse 3330">
          <a:extLst>
            <a:ext uri="{FF2B5EF4-FFF2-40B4-BE49-F238E27FC236}">
              <a16:creationId xmlns:a16="http://schemas.microsoft.com/office/drawing/2014/main" id="{B908F3E0-647F-4E1D-901E-E68D3C28BD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2" name="Elipse 3331">
          <a:extLst>
            <a:ext uri="{FF2B5EF4-FFF2-40B4-BE49-F238E27FC236}">
              <a16:creationId xmlns:a16="http://schemas.microsoft.com/office/drawing/2014/main" id="{00DC9CBC-AE76-4652-B152-B21733A437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3" name="Elipse 3332">
          <a:extLst>
            <a:ext uri="{FF2B5EF4-FFF2-40B4-BE49-F238E27FC236}">
              <a16:creationId xmlns:a16="http://schemas.microsoft.com/office/drawing/2014/main" id="{27237831-F407-46E4-9F68-AB57116390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4" name="Elipse 3333">
          <a:extLst>
            <a:ext uri="{FF2B5EF4-FFF2-40B4-BE49-F238E27FC236}">
              <a16:creationId xmlns:a16="http://schemas.microsoft.com/office/drawing/2014/main" id="{DA5F047E-573F-4BFD-B0E2-CC8D660916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5" name="Elipse 3334">
          <a:extLst>
            <a:ext uri="{FF2B5EF4-FFF2-40B4-BE49-F238E27FC236}">
              <a16:creationId xmlns:a16="http://schemas.microsoft.com/office/drawing/2014/main" id="{AE81DBAE-99C8-4E7B-B258-1EA8E0D627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6" name="Elipse 3335">
          <a:extLst>
            <a:ext uri="{FF2B5EF4-FFF2-40B4-BE49-F238E27FC236}">
              <a16:creationId xmlns:a16="http://schemas.microsoft.com/office/drawing/2014/main" id="{1DF5874F-D719-4306-B164-35CCE26883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7" name="Elipse 3336">
          <a:extLst>
            <a:ext uri="{FF2B5EF4-FFF2-40B4-BE49-F238E27FC236}">
              <a16:creationId xmlns:a16="http://schemas.microsoft.com/office/drawing/2014/main" id="{FF7795C8-C541-474A-A5E1-303A898CB6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8" name="Elipse 3337">
          <a:extLst>
            <a:ext uri="{FF2B5EF4-FFF2-40B4-BE49-F238E27FC236}">
              <a16:creationId xmlns:a16="http://schemas.microsoft.com/office/drawing/2014/main" id="{FFAB5FEA-BB9F-4541-A2C4-6DA07B41C4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9" name="Elipse 3338">
          <a:extLst>
            <a:ext uri="{FF2B5EF4-FFF2-40B4-BE49-F238E27FC236}">
              <a16:creationId xmlns:a16="http://schemas.microsoft.com/office/drawing/2014/main" id="{F18EFC34-70A7-40DE-A278-941B2B41C2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0" name="Elipse 3339">
          <a:extLst>
            <a:ext uri="{FF2B5EF4-FFF2-40B4-BE49-F238E27FC236}">
              <a16:creationId xmlns:a16="http://schemas.microsoft.com/office/drawing/2014/main" id="{D9473717-0BFF-4B9E-AC1D-C9591DC1B6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1" name="Elipse 3340">
          <a:extLst>
            <a:ext uri="{FF2B5EF4-FFF2-40B4-BE49-F238E27FC236}">
              <a16:creationId xmlns:a16="http://schemas.microsoft.com/office/drawing/2014/main" id="{278C866F-7E45-470C-99FC-3588CAC6D7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2" name="Elipse 3341">
          <a:extLst>
            <a:ext uri="{FF2B5EF4-FFF2-40B4-BE49-F238E27FC236}">
              <a16:creationId xmlns:a16="http://schemas.microsoft.com/office/drawing/2014/main" id="{53771826-37F9-4775-A59A-6392C76E5D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3" name="Elipse 3342">
          <a:extLst>
            <a:ext uri="{FF2B5EF4-FFF2-40B4-BE49-F238E27FC236}">
              <a16:creationId xmlns:a16="http://schemas.microsoft.com/office/drawing/2014/main" id="{B902C23A-15E7-48F5-BA4B-83D5E59602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4" name="Elipse 3343">
          <a:extLst>
            <a:ext uri="{FF2B5EF4-FFF2-40B4-BE49-F238E27FC236}">
              <a16:creationId xmlns:a16="http://schemas.microsoft.com/office/drawing/2014/main" id="{D21C8F97-E044-4A61-AD6B-7D166BE08B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5" name="Elipse 3344">
          <a:extLst>
            <a:ext uri="{FF2B5EF4-FFF2-40B4-BE49-F238E27FC236}">
              <a16:creationId xmlns:a16="http://schemas.microsoft.com/office/drawing/2014/main" id="{323F8907-45BB-4233-813B-8656940CEC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6" name="Elipse 3345">
          <a:extLst>
            <a:ext uri="{FF2B5EF4-FFF2-40B4-BE49-F238E27FC236}">
              <a16:creationId xmlns:a16="http://schemas.microsoft.com/office/drawing/2014/main" id="{3F7F2D7B-39A9-44CA-97AD-1BD4F59744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7" name="Elipse 3346">
          <a:extLst>
            <a:ext uri="{FF2B5EF4-FFF2-40B4-BE49-F238E27FC236}">
              <a16:creationId xmlns:a16="http://schemas.microsoft.com/office/drawing/2014/main" id="{60B603BD-9EA2-4CF5-A21F-33A74AF910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8" name="Elipse 3347">
          <a:extLst>
            <a:ext uri="{FF2B5EF4-FFF2-40B4-BE49-F238E27FC236}">
              <a16:creationId xmlns:a16="http://schemas.microsoft.com/office/drawing/2014/main" id="{9B4FCE7C-9716-414D-8DB1-40E713DA05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9" name="Elipse 3348">
          <a:extLst>
            <a:ext uri="{FF2B5EF4-FFF2-40B4-BE49-F238E27FC236}">
              <a16:creationId xmlns:a16="http://schemas.microsoft.com/office/drawing/2014/main" id="{EC647794-8E68-4A48-88DF-E88F788FD4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0" name="Elipse 3349">
          <a:extLst>
            <a:ext uri="{FF2B5EF4-FFF2-40B4-BE49-F238E27FC236}">
              <a16:creationId xmlns:a16="http://schemas.microsoft.com/office/drawing/2014/main" id="{E119C722-91A2-4F0F-B573-B9738C065F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1" name="Elipse 3350">
          <a:extLst>
            <a:ext uri="{FF2B5EF4-FFF2-40B4-BE49-F238E27FC236}">
              <a16:creationId xmlns:a16="http://schemas.microsoft.com/office/drawing/2014/main" id="{A00C5EBD-B464-460B-A34D-E528ADED6B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2" name="Elipse 3351">
          <a:extLst>
            <a:ext uri="{FF2B5EF4-FFF2-40B4-BE49-F238E27FC236}">
              <a16:creationId xmlns:a16="http://schemas.microsoft.com/office/drawing/2014/main" id="{F4B29FE7-991B-42BD-9C10-A7E5E86D88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3" name="Elipse 3352">
          <a:extLst>
            <a:ext uri="{FF2B5EF4-FFF2-40B4-BE49-F238E27FC236}">
              <a16:creationId xmlns:a16="http://schemas.microsoft.com/office/drawing/2014/main" id="{223F40D4-EBD7-4223-8CC6-B6A64BE4FE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4" name="Elipse 3353">
          <a:extLst>
            <a:ext uri="{FF2B5EF4-FFF2-40B4-BE49-F238E27FC236}">
              <a16:creationId xmlns:a16="http://schemas.microsoft.com/office/drawing/2014/main" id="{F42BA5D1-C046-4213-BB11-8D15110C71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5" name="Elipse 3354">
          <a:extLst>
            <a:ext uri="{FF2B5EF4-FFF2-40B4-BE49-F238E27FC236}">
              <a16:creationId xmlns:a16="http://schemas.microsoft.com/office/drawing/2014/main" id="{B395C234-B1A8-4A16-9A26-70DF884A5F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6" name="Elipse 3355">
          <a:extLst>
            <a:ext uri="{FF2B5EF4-FFF2-40B4-BE49-F238E27FC236}">
              <a16:creationId xmlns:a16="http://schemas.microsoft.com/office/drawing/2014/main" id="{80A346D0-79E7-4C2C-95BE-848BF69E64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7" name="Elipse 3356">
          <a:extLst>
            <a:ext uri="{FF2B5EF4-FFF2-40B4-BE49-F238E27FC236}">
              <a16:creationId xmlns:a16="http://schemas.microsoft.com/office/drawing/2014/main" id="{3ECA67EC-E06D-43B4-9A0E-9E297D333F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8" name="Elipse 3357">
          <a:extLst>
            <a:ext uri="{FF2B5EF4-FFF2-40B4-BE49-F238E27FC236}">
              <a16:creationId xmlns:a16="http://schemas.microsoft.com/office/drawing/2014/main" id="{05664E56-57E2-4DE8-9429-3A20087EFE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9" name="Elipse 3358">
          <a:extLst>
            <a:ext uri="{FF2B5EF4-FFF2-40B4-BE49-F238E27FC236}">
              <a16:creationId xmlns:a16="http://schemas.microsoft.com/office/drawing/2014/main" id="{D9032A02-35C0-45C6-9D46-630641695F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0" name="Elipse 3359">
          <a:extLst>
            <a:ext uri="{FF2B5EF4-FFF2-40B4-BE49-F238E27FC236}">
              <a16:creationId xmlns:a16="http://schemas.microsoft.com/office/drawing/2014/main" id="{9D63AD7D-1393-4473-B6B0-892CA90D38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1" name="Elipse 3360">
          <a:extLst>
            <a:ext uri="{FF2B5EF4-FFF2-40B4-BE49-F238E27FC236}">
              <a16:creationId xmlns:a16="http://schemas.microsoft.com/office/drawing/2014/main" id="{6E42BEC3-F725-499A-A46C-2A98453E2C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2" name="Elipse 3361">
          <a:extLst>
            <a:ext uri="{FF2B5EF4-FFF2-40B4-BE49-F238E27FC236}">
              <a16:creationId xmlns:a16="http://schemas.microsoft.com/office/drawing/2014/main" id="{9BE4F337-79BC-4097-852C-DE0BAF853D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3" name="Elipse 3362">
          <a:extLst>
            <a:ext uri="{FF2B5EF4-FFF2-40B4-BE49-F238E27FC236}">
              <a16:creationId xmlns:a16="http://schemas.microsoft.com/office/drawing/2014/main" id="{781D4A09-A3BD-45D9-91B9-4F21711E31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4" name="Elipse 3363">
          <a:extLst>
            <a:ext uri="{FF2B5EF4-FFF2-40B4-BE49-F238E27FC236}">
              <a16:creationId xmlns:a16="http://schemas.microsoft.com/office/drawing/2014/main" id="{18CF0A2F-9281-4DF9-A257-FB3626FDE7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5" name="Elipse 3364">
          <a:extLst>
            <a:ext uri="{FF2B5EF4-FFF2-40B4-BE49-F238E27FC236}">
              <a16:creationId xmlns:a16="http://schemas.microsoft.com/office/drawing/2014/main" id="{4D927A29-ADA5-427D-970D-25DAF99753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6" name="Elipse 3365">
          <a:extLst>
            <a:ext uri="{FF2B5EF4-FFF2-40B4-BE49-F238E27FC236}">
              <a16:creationId xmlns:a16="http://schemas.microsoft.com/office/drawing/2014/main" id="{7404ADC6-F5E7-4008-9235-7D2512BE66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7" name="Elipse 3366">
          <a:extLst>
            <a:ext uri="{FF2B5EF4-FFF2-40B4-BE49-F238E27FC236}">
              <a16:creationId xmlns:a16="http://schemas.microsoft.com/office/drawing/2014/main" id="{57174A6D-94C2-44FD-AB99-C9E58770F3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8" name="Elipse 3367">
          <a:extLst>
            <a:ext uri="{FF2B5EF4-FFF2-40B4-BE49-F238E27FC236}">
              <a16:creationId xmlns:a16="http://schemas.microsoft.com/office/drawing/2014/main" id="{6BD3CFD8-E8D3-4FE9-9235-514E8AC87F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9" name="Elipse 3368">
          <a:extLst>
            <a:ext uri="{FF2B5EF4-FFF2-40B4-BE49-F238E27FC236}">
              <a16:creationId xmlns:a16="http://schemas.microsoft.com/office/drawing/2014/main" id="{AB63A14C-503E-4B88-B4AB-3BA0D68948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0" name="Elipse 3369">
          <a:extLst>
            <a:ext uri="{FF2B5EF4-FFF2-40B4-BE49-F238E27FC236}">
              <a16:creationId xmlns:a16="http://schemas.microsoft.com/office/drawing/2014/main" id="{B14E0BCE-4E92-436A-8163-234904B4D0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1" name="Elipse 3370">
          <a:extLst>
            <a:ext uri="{FF2B5EF4-FFF2-40B4-BE49-F238E27FC236}">
              <a16:creationId xmlns:a16="http://schemas.microsoft.com/office/drawing/2014/main" id="{2EFB3EE6-E624-460E-9A75-38F8D3D33E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2" name="Elipse 3371">
          <a:extLst>
            <a:ext uri="{FF2B5EF4-FFF2-40B4-BE49-F238E27FC236}">
              <a16:creationId xmlns:a16="http://schemas.microsoft.com/office/drawing/2014/main" id="{1B351831-F66F-4AAE-8020-68BEE4D8B6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3" name="Elipse 3372">
          <a:extLst>
            <a:ext uri="{FF2B5EF4-FFF2-40B4-BE49-F238E27FC236}">
              <a16:creationId xmlns:a16="http://schemas.microsoft.com/office/drawing/2014/main" id="{B9A6D430-214D-49AE-BEDC-7C1E038BFD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4" name="Elipse 3373">
          <a:extLst>
            <a:ext uri="{FF2B5EF4-FFF2-40B4-BE49-F238E27FC236}">
              <a16:creationId xmlns:a16="http://schemas.microsoft.com/office/drawing/2014/main" id="{CA3A8BC1-18ED-4136-A3A8-F7C6FF8F46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5" name="Elipse 3374">
          <a:extLst>
            <a:ext uri="{FF2B5EF4-FFF2-40B4-BE49-F238E27FC236}">
              <a16:creationId xmlns:a16="http://schemas.microsoft.com/office/drawing/2014/main" id="{50270497-F669-43B3-A55B-09DC038A4E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6" name="Elipse 3375">
          <a:extLst>
            <a:ext uri="{FF2B5EF4-FFF2-40B4-BE49-F238E27FC236}">
              <a16:creationId xmlns:a16="http://schemas.microsoft.com/office/drawing/2014/main" id="{1AFD6447-C825-4CF5-8615-B1B039358F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7" name="Elipse 3376">
          <a:extLst>
            <a:ext uri="{FF2B5EF4-FFF2-40B4-BE49-F238E27FC236}">
              <a16:creationId xmlns:a16="http://schemas.microsoft.com/office/drawing/2014/main" id="{3CC42597-D10F-4B13-9D2F-DA7D08D877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8" name="Elipse 3377">
          <a:extLst>
            <a:ext uri="{FF2B5EF4-FFF2-40B4-BE49-F238E27FC236}">
              <a16:creationId xmlns:a16="http://schemas.microsoft.com/office/drawing/2014/main" id="{E8B1554A-8F95-4721-B8E8-C1A76E637C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9" name="Elipse 3378">
          <a:extLst>
            <a:ext uri="{FF2B5EF4-FFF2-40B4-BE49-F238E27FC236}">
              <a16:creationId xmlns:a16="http://schemas.microsoft.com/office/drawing/2014/main" id="{C54EE41E-9288-4226-B9F8-24F2FE8218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0" name="Elipse 3379">
          <a:extLst>
            <a:ext uri="{FF2B5EF4-FFF2-40B4-BE49-F238E27FC236}">
              <a16:creationId xmlns:a16="http://schemas.microsoft.com/office/drawing/2014/main" id="{C85BB54E-7629-4231-99BF-217EEE1970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1" name="Elipse 3380">
          <a:extLst>
            <a:ext uri="{FF2B5EF4-FFF2-40B4-BE49-F238E27FC236}">
              <a16:creationId xmlns:a16="http://schemas.microsoft.com/office/drawing/2014/main" id="{B48BFE9B-9420-476A-84BB-A16FC7D06E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2" name="Elipse 3381">
          <a:extLst>
            <a:ext uri="{FF2B5EF4-FFF2-40B4-BE49-F238E27FC236}">
              <a16:creationId xmlns:a16="http://schemas.microsoft.com/office/drawing/2014/main" id="{6808E1C5-DF0D-488C-9043-7171EBD765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3" name="Elipse 3382">
          <a:extLst>
            <a:ext uri="{FF2B5EF4-FFF2-40B4-BE49-F238E27FC236}">
              <a16:creationId xmlns:a16="http://schemas.microsoft.com/office/drawing/2014/main" id="{526E1F0E-A198-44EA-9F45-7F9CCD9EB2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4" name="Elipse 3383">
          <a:extLst>
            <a:ext uri="{FF2B5EF4-FFF2-40B4-BE49-F238E27FC236}">
              <a16:creationId xmlns:a16="http://schemas.microsoft.com/office/drawing/2014/main" id="{4080778F-3F16-45EC-AA9C-7E25013AE7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5" name="Elipse 3384">
          <a:extLst>
            <a:ext uri="{FF2B5EF4-FFF2-40B4-BE49-F238E27FC236}">
              <a16:creationId xmlns:a16="http://schemas.microsoft.com/office/drawing/2014/main" id="{06F75AD8-A5A4-4B17-8C3B-5B2251491E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6" name="Elipse 3385">
          <a:extLst>
            <a:ext uri="{FF2B5EF4-FFF2-40B4-BE49-F238E27FC236}">
              <a16:creationId xmlns:a16="http://schemas.microsoft.com/office/drawing/2014/main" id="{0A34DBB3-A196-42F1-AC60-0BC566621D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7" name="Elipse 3386">
          <a:extLst>
            <a:ext uri="{FF2B5EF4-FFF2-40B4-BE49-F238E27FC236}">
              <a16:creationId xmlns:a16="http://schemas.microsoft.com/office/drawing/2014/main" id="{E4C28C95-E817-47DF-9893-461060CD87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8" name="Elipse 3387">
          <a:extLst>
            <a:ext uri="{FF2B5EF4-FFF2-40B4-BE49-F238E27FC236}">
              <a16:creationId xmlns:a16="http://schemas.microsoft.com/office/drawing/2014/main" id="{1A8EB7F5-33B4-40DF-9136-E159DD49EF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9" name="Elipse 3388">
          <a:extLst>
            <a:ext uri="{FF2B5EF4-FFF2-40B4-BE49-F238E27FC236}">
              <a16:creationId xmlns:a16="http://schemas.microsoft.com/office/drawing/2014/main" id="{C24BEF87-7426-4CDF-AD83-5D00821A19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0" name="Elipse 3389">
          <a:extLst>
            <a:ext uri="{FF2B5EF4-FFF2-40B4-BE49-F238E27FC236}">
              <a16:creationId xmlns:a16="http://schemas.microsoft.com/office/drawing/2014/main" id="{CB27FB8B-774F-4021-9F65-8D85E4A8FD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1" name="Elipse 3390">
          <a:extLst>
            <a:ext uri="{FF2B5EF4-FFF2-40B4-BE49-F238E27FC236}">
              <a16:creationId xmlns:a16="http://schemas.microsoft.com/office/drawing/2014/main" id="{D86AC6DE-192F-4262-BAD7-4B2BCF9981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2" name="Elipse 3391">
          <a:extLst>
            <a:ext uri="{FF2B5EF4-FFF2-40B4-BE49-F238E27FC236}">
              <a16:creationId xmlns:a16="http://schemas.microsoft.com/office/drawing/2014/main" id="{21B45A99-5556-4B80-A996-3D000690DF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3" name="Elipse 3392">
          <a:extLst>
            <a:ext uri="{FF2B5EF4-FFF2-40B4-BE49-F238E27FC236}">
              <a16:creationId xmlns:a16="http://schemas.microsoft.com/office/drawing/2014/main" id="{436CFB36-1F68-4008-8E5F-511BFB9D1A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4" name="Elipse 3393">
          <a:extLst>
            <a:ext uri="{FF2B5EF4-FFF2-40B4-BE49-F238E27FC236}">
              <a16:creationId xmlns:a16="http://schemas.microsoft.com/office/drawing/2014/main" id="{C5FFE662-7CE4-4B06-8D76-4F903975C4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5" name="Elipse 3394">
          <a:extLst>
            <a:ext uri="{FF2B5EF4-FFF2-40B4-BE49-F238E27FC236}">
              <a16:creationId xmlns:a16="http://schemas.microsoft.com/office/drawing/2014/main" id="{BEBBF8CD-D8ED-4F84-90DE-2CF27DF4AF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6" name="Elipse 3395">
          <a:extLst>
            <a:ext uri="{FF2B5EF4-FFF2-40B4-BE49-F238E27FC236}">
              <a16:creationId xmlns:a16="http://schemas.microsoft.com/office/drawing/2014/main" id="{CE1A9C9D-E1A6-4260-8DD3-0BD44F831F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7" name="Elipse 3396">
          <a:extLst>
            <a:ext uri="{FF2B5EF4-FFF2-40B4-BE49-F238E27FC236}">
              <a16:creationId xmlns:a16="http://schemas.microsoft.com/office/drawing/2014/main" id="{00562DA1-CDDD-425A-AE7F-33C1FA92D2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8" name="Elipse 3397">
          <a:extLst>
            <a:ext uri="{FF2B5EF4-FFF2-40B4-BE49-F238E27FC236}">
              <a16:creationId xmlns:a16="http://schemas.microsoft.com/office/drawing/2014/main" id="{36555676-5875-4F70-B8B9-2E828D9F36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9" name="Elipse 3398">
          <a:extLst>
            <a:ext uri="{FF2B5EF4-FFF2-40B4-BE49-F238E27FC236}">
              <a16:creationId xmlns:a16="http://schemas.microsoft.com/office/drawing/2014/main" id="{996DB546-5656-40BD-BD94-10001A32DD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0" name="Elipse 3399">
          <a:extLst>
            <a:ext uri="{FF2B5EF4-FFF2-40B4-BE49-F238E27FC236}">
              <a16:creationId xmlns:a16="http://schemas.microsoft.com/office/drawing/2014/main" id="{2E060B1C-3251-4DDB-A8AD-589DC52BC9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1" name="Elipse 3400">
          <a:extLst>
            <a:ext uri="{FF2B5EF4-FFF2-40B4-BE49-F238E27FC236}">
              <a16:creationId xmlns:a16="http://schemas.microsoft.com/office/drawing/2014/main" id="{E8242647-DA73-480C-A18C-248B709810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2" name="Elipse 3401">
          <a:extLst>
            <a:ext uri="{FF2B5EF4-FFF2-40B4-BE49-F238E27FC236}">
              <a16:creationId xmlns:a16="http://schemas.microsoft.com/office/drawing/2014/main" id="{A86A0B95-C78C-489E-A2F3-1AA1BDE151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3" name="Elipse 3402">
          <a:extLst>
            <a:ext uri="{FF2B5EF4-FFF2-40B4-BE49-F238E27FC236}">
              <a16:creationId xmlns:a16="http://schemas.microsoft.com/office/drawing/2014/main" id="{C13EB1F8-688E-49DA-9919-CEDD97D61C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4" name="Elipse 3403">
          <a:extLst>
            <a:ext uri="{FF2B5EF4-FFF2-40B4-BE49-F238E27FC236}">
              <a16:creationId xmlns:a16="http://schemas.microsoft.com/office/drawing/2014/main" id="{DD22F297-6396-4023-A855-264E2222C1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5" name="Elipse 3404">
          <a:extLst>
            <a:ext uri="{FF2B5EF4-FFF2-40B4-BE49-F238E27FC236}">
              <a16:creationId xmlns:a16="http://schemas.microsoft.com/office/drawing/2014/main" id="{44BC4FF3-F93C-46DE-8997-288674D2D6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6" name="Elipse 3405">
          <a:extLst>
            <a:ext uri="{FF2B5EF4-FFF2-40B4-BE49-F238E27FC236}">
              <a16:creationId xmlns:a16="http://schemas.microsoft.com/office/drawing/2014/main" id="{DEAE7387-68C8-488D-9E29-0E4BCF67B4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7" name="Elipse 3406">
          <a:extLst>
            <a:ext uri="{FF2B5EF4-FFF2-40B4-BE49-F238E27FC236}">
              <a16:creationId xmlns:a16="http://schemas.microsoft.com/office/drawing/2014/main" id="{5F9FC7D1-5A45-4F76-AA0D-4D09039A6D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8" name="Elipse 3407">
          <a:extLst>
            <a:ext uri="{FF2B5EF4-FFF2-40B4-BE49-F238E27FC236}">
              <a16:creationId xmlns:a16="http://schemas.microsoft.com/office/drawing/2014/main" id="{9A48F569-5B76-4D6D-BE94-9C23875496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9" name="Elipse 3408">
          <a:extLst>
            <a:ext uri="{FF2B5EF4-FFF2-40B4-BE49-F238E27FC236}">
              <a16:creationId xmlns:a16="http://schemas.microsoft.com/office/drawing/2014/main" id="{A03DDFA8-042F-4029-95D7-8D20E026E7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0" name="Elipse 3409">
          <a:extLst>
            <a:ext uri="{FF2B5EF4-FFF2-40B4-BE49-F238E27FC236}">
              <a16:creationId xmlns:a16="http://schemas.microsoft.com/office/drawing/2014/main" id="{170E54D6-C466-420D-9B10-91D6A5EE36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1" name="Elipse 3410">
          <a:extLst>
            <a:ext uri="{FF2B5EF4-FFF2-40B4-BE49-F238E27FC236}">
              <a16:creationId xmlns:a16="http://schemas.microsoft.com/office/drawing/2014/main" id="{3B33EE57-5FD6-40FA-898B-B03619E003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2" name="Elipse 3411">
          <a:extLst>
            <a:ext uri="{FF2B5EF4-FFF2-40B4-BE49-F238E27FC236}">
              <a16:creationId xmlns:a16="http://schemas.microsoft.com/office/drawing/2014/main" id="{4429B2F4-FF83-4CE2-891F-015DE02A82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3" name="Elipse 3412">
          <a:extLst>
            <a:ext uri="{FF2B5EF4-FFF2-40B4-BE49-F238E27FC236}">
              <a16:creationId xmlns:a16="http://schemas.microsoft.com/office/drawing/2014/main" id="{1ADEDAA1-655E-49B1-AE1A-937705005C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4" name="Elipse 3413">
          <a:extLst>
            <a:ext uri="{FF2B5EF4-FFF2-40B4-BE49-F238E27FC236}">
              <a16:creationId xmlns:a16="http://schemas.microsoft.com/office/drawing/2014/main" id="{AD38DB62-BEC7-4923-BBFB-DE7DE09DB9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5" name="Elipse 3414">
          <a:extLst>
            <a:ext uri="{FF2B5EF4-FFF2-40B4-BE49-F238E27FC236}">
              <a16:creationId xmlns:a16="http://schemas.microsoft.com/office/drawing/2014/main" id="{97D6F887-E4A7-4B51-B7B0-962CFFAE86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6" name="Elipse 3415">
          <a:extLst>
            <a:ext uri="{FF2B5EF4-FFF2-40B4-BE49-F238E27FC236}">
              <a16:creationId xmlns:a16="http://schemas.microsoft.com/office/drawing/2014/main" id="{166AD0D9-5FAC-41AD-B22F-0DB75D3509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7" name="Elipse 3416">
          <a:extLst>
            <a:ext uri="{FF2B5EF4-FFF2-40B4-BE49-F238E27FC236}">
              <a16:creationId xmlns:a16="http://schemas.microsoft.com/office/drawing/2014/main" id="{A173CA34-36AD-44A7-AC1C-2350725D03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8" name="Elipse 3417">
          <a:extLst>
            <a:ext uri="{FF2B5EF4-FFF2-40B4-BE49-F238E27FC236}">
              <a16:creationId xmlns:a16="http://schemas.microsoft.com/office/drawing/2014/main" id="{5384513A-F55D-4F66-BEC3-ABF81C1589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9" name="Elipse 3418">
          <a:extLst>
            <a:ext uri="{FF2B5EF4-FFF2-40B4-BE49-F238E27FC236}">
              <a16:creationId xmlns:a16="http://schemas.microsoft.com/office/drawing/2014/main" id="{098BEEBD-9791-4AB0-841E-3B3286A4C9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0" name="Elipse 3419">
          <a:extLst>
            <a:ext uri="{FF2B5EF4-FFF2-40B4-BE49-F238E27FC236}">
              <a16:creationId xmlns:a16="http://schemas.microsoft.com/office/drawing/2014/main" id="{BCE8591F-0310-47AA-8044-28D9137C06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1" name="Elipse 3420">
          <a:extLst>
            <a:ext uri="{FF2B5EF4-FFF2-40B4-BE49-F238E27FC236}">
              <a16:creationId xmlns:a16="http://schemas.microsoft.com/office/drawing/2014/main" id="{87FB3E6B-F0A5-424A-A2E5-9976883BE3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2" name="Elipse 3421">
          <a:extLst>
            <a:ext uri="{FF2B5EF4-FFF2-40B4-BE49-F238E27FC236}">
              <a16:creationId xmlns:a16="http://schemas.microsoft.com/office/drawing/2014/main" id="{473F65A1-D1C8-41B6-87DE-29CE2E12DD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3" name="Elipse 3422">
          <a:extLst>
            <a:ext uri="{FF2B5EF4-FFF2-40B4-BE49-F238E27FC236}">
              <a16:creationId xmlns:a16="http://schemas.microsoft.com/office/drawing/2014/main" id="{150E6134-14C5-44FF-B9CF-9A03EDE28D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4" name="Elipse 3423">
          <a:extLst>
            <a:ext uri="{FF2B5EF4-FFF2-40B4-BE49-F238E27FC236}">
              <a16:creationId xmlns:a16="http://schemas.microsoft.com/office/drawing/2014/main" id="{1575F90B-CC3A-4358-B3AF-1126E46D40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5" name="Elipse 3424">
          <a:extLst>
            <a:ext uri="{FF2B5EF4-FFF2-40B4-BE49-F238E27FC236}">
              <a16:creationId xmlns:a16="http://schemas.microsoft.com/office/drawing/2014/main" id="{E15E322A-0649-4F24-BA94-BCDF718D3C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6" name="Elipse 3425">
          <a:extLst>
            <a:ext uri="{FF2B5EF4-FFF2-40B4-BE49-F238E27FC236}">
              <a16:creationId xmlns:a16="http://schemas.microsoft.com/office/drawing/2014/main" id="{6FC33621-3EA5-4409-8FF2-7E9F9D7C63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7" name="Elipse 3426">
          <a:extLst>
            <a:ext uri="{FF2B5EF4-FFF2-40B4-BE49-F238E27FC236}">
              <a16:creationId xmlns:a16="http://schemas.microsoft.com/office/drawing/2014/main" id="{32BDDEA9-8EB8-4FF1-99ED-D708065748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8" name="Elipse 3427">
          <a:extLst>
            <a:ext uri="{FF2B5EF4-FFF2-40B4-BE49-F238E27FC236}">
              <a16:creationId xmlns:a16="http://schemas.microsoft.com/office/drawing/2014/main" id="{3B00BACC-AE96-4515-A67F-D728014541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9" name="Elipse 3428">
          <a:extLst>
            <a:ext uri="{FF2B5EF4-FFF2-40B4-BE49-F238E27FC236}">
              <a16:creationId xmlns:a16="http://schemas.microsoft.com/office/drawing/2014/main" id="{9367C007-1D8F-4BCB-9B15-BBDAC62DB7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0" name="Elipse 3429">
          <a:extLst>
            <a:ext uri="{FF2B5EF4-FFF2-40B4-BE49-F238E27FC236}">
              <a16:creationId xmlns:a16="http://schemas.microsoft.com/office/drawing/2014/main" id="{E5961476-979F-475F-AB72-EA6D67B04D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1" name="Elipse 3430">
          <a:extLst>
            <a:ext uri="{FF2B5EF4-FFF2-40B4-BE49-F238E27FC236}">
              <a16:creationId xmlns:a16="http://schemas.microsoft.com/office/drawing/2014/main" id="{32501E40-09B2-4B84-9C70-C4C5FECF70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2" name="Elipse 3431">
          <a:extLst>
            <a:ext uri="{FF2B5EF4-FFF2-40B4-BE49-F238E27FC236}">
              <a16:creationId xmlns:a16="http://schemas.microsoft.com/office/drawing/2014/main" id="{642130A3-7C82-4225-BC40-9AC7EB4D0F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3" name="Elipse 3432">
          <a:extLst>
            <a:ext uri="{FF2B5EF4-FFF2-40B4-BE49-F238E27FC236}">
              <a16:creationId xmlns:a16="http://schemas.microsoft.com/office/drawing/2014/main" id="{E10458A8-6F0E-473A-8781-4A66332CDC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4" name="Elipse 3433">
          <a:extLst>
            <a:ext uri="{FF2B5EF4-FFF2-40B4-BE49-F238E27FC236}">
              <a16:creationId xmlns:a16="http://schemas.microsoft.com/office/drawing/2014/main" id="{9B1439F7-8365-4053-8FCC-D2012958C6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5" name="Elipse 3434">
          <a:extLst>
            <a:ext uri="{FF2B5EF4-FFF2-40B4-BE49-F238E27FC236}">
              <a16:creationId xmlns:a16="http://schemas.microsoft.com/office/drawing/2014/main" id="{CF5494BE-4C3A-4730-9DD8-E11034DFF3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6" name="Elipse 3435">
          <a:extLst>
            <a:ext uri="{FF2B5EF4-FFF2-40B4-BE49-F238E27FC236}">
              <a16:creationId xmlns:a16="http://schemas.microsoft.com/office/drawing/2014/main" id="{23A7CBB9-E131-4F0C-BFDC-B5C31B702D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7" name="Elipse 3436">
          <a:extLst>
            <a:ext uri="{FF2B5EF4-FFF2-40B4-BE49-F238E27FC236}">
              <a16:creationId xmlns:a16="http://schemas.microsoft.com/office/drawing/2014/main" id="{DCF6FBF7-BCC2-4F0F-B2F3-5135C0D39F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8" name="Elipse 3437">
          <a:extLst>
            <a:ext uri="{FF2B5EF4-FFF2-40B4-BE49-F238E27FC236}">
              <a16:creationId xmlns:a16="http://schemas.microsoft.com/office/drawing/2014/main" id="{D177F226-AA43-4516-989C-941BB36B45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9" name="Elipse 3438">
          <a:extLst>
            <a:ext uri="{FF2B5EF4-FFF2-40B4-BE49-F238E27FC236}">
              <a16:creationId xmlns:a16="http://schemas.microsoft.com/office/drawing/2014/main" id="{A7261071-C78A-4A1D-8DEB-5AA402055E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0" name="Elipse 3439">
          <a:extLst>
            <a:ext uri="{FF2B5EF4-FFF2-40B4-BE49-F238E27FC236}">
              <a16:creationId xmlns:a16="http://schemas.microsoft.com/office/drawing/2014/main" id="{906AB3F6-947A-43F7-AD3F-34E4087E6B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1" name="Elipse 3440">
          <a:extLst>
            <a:ext uri="{FF2B5EF4-FFF2-40B4-BE49-F238E27FC236}">
              <a16:creationId xmlns:a16="http://schemas.microsoft.com/office/drawing/2014/main" id="{FDEF7230-6C9C-44A6-B0F7-057CC8D5F9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2" name="Elipse 3441">
          <a:extLst>
            <a:ext uri="{FF2B5EF4-FFF2-40B4-BE49-F238E27FC236}">
              <a16:creationId xmlns:a16="http://schemas.microsoft.com/office/drawing/2014/main" id="{46D5F5EF-45D5-47CC-81A5-61133B44AA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3" name="Elipse 3442">
          <a:extLst>
            <a:ext uri="{FF2B5EF4-FFF2-40B4-BE49-F238E27FC236}">
              <a16:creationId xmlns:a16="http://schemas.microsoft.com/office/drawing/2014/main" id="{2C1DBF82-9D0C-49D1-8956-39AC2BA9C0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4" name="Elipse 3443">
          <a:extLst>
            <a:ext uri="{FF2B5EF4-FFF2-40B4-BE49-F238E27FC236}">
              <a16:creationId xmlns:a16="http://schemas.microsoft.com/office/drawing/2014/main" id="{DC4A8C8F-C70C-46E0-A2D5-4ACC76023E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5" name="Elipse 3444">
          <a:extLst>
            <a:ext uri="{FF2B5EF4-FFF2-40B4-BE49-F238E27FC236}">
              <a16:creationId xmlns:a16="http://schemas.microsoft.com/office/drawing/2014/main" id="{D0351D14-D778-4146-A073-F4276E0298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6" name="Elipse 3445">
          <a:extLst>
            <a:ext uri="{FF2B5EF4-FFF2-40B4-BE49-F238E27FC236}">
              <a16:creationId xmlns:a16="http://schemas.microsoft.com/office/drawing/2014/main" id="{527D6DBD-66D8-45C7-9380-1CE8F0BD02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7" name="Elipse 3446">
          <a:extLst>
            <a:ext uri="{FF2B5EF4-FFF2-40B4-BE49-F238E27FC236}">
              <a16:creationId xmlns:a16="http://schemas.microsoft.com/office/drawing/2014/main" id="{3B6D0AD6-FA4E-4EFC-9846-F2B1276080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8" name="Elipse 3447">
          <a:extLst>
            <a:ext uri="{FF2B5EF4-FFF2-40B4-BE49-F238E27FC236}">
              <a16:creationId xmlns:a16="http://schemas.microsoft.com/office/drawing/2014/main" id="{D0E07E0C-7430-4B5A-85A2-7F38985092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9" name="Elipse 3448">
          <a:extLst>
            <a:ext uri="{FF2B5EF4-FFF2-40B4-BE49-F238E27FC236}">
              <a16:creationId xmlns:a16="http://schemas.microsoft.com/office/drawing/2014/main" id="{7F371741-FA86-41F8-8E57-B488F1217B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0" name="Elipse 3449">
          <a:extLst>
            <a:ext uri="{FF2B5EF4-FFF2-40B4-BE49-F238E27FC236}">
              <a16:creationId xmlns:a16="http://schemas.microsoft.com/office/drawing/2014/main" id="{54192293-CE40-4ED2-AB3F-4E68D8BBA4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1" name="Elipse 3450">
          <a:extLst>
            <a:ext uri="{FF2B5EF4-FFF2-40B4-BE49-F238E27FC236}">
              <a16:creationId xmlns:a16="http://schemas.microsoft.com/office/drawing/2014/main" id="{ABC63A3A-8023-4A97-9162-36BC02BBF7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2" name="Elipse 3451">
          <a:extLst>
            <a:ext uri="{FF2B5EF4-FFF2-40B4-BE49-F238E27FC236}">
              <a16:creationId xmlns:a16="http://schemas.microsoft.com/office/drawing/2014/main" id="{230AF761-0C6E-41B6-AE4F-FB95500D65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3" name="Elipse 3452">
          <a:extLst>
            <a:ext uri="{FF2B5EF4-FFF2-40B4-BE49-F238E27FC236}">
              <a16:creationId xmlns:a16="http://schemas.microsoft.com/office/drawing/2014/main" id="{7641657D-34F5-434D-AE6F-8AC6ED0710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4" name="Elipse 3453">
          <a:extLst>
            <a:ext uri="{FF2B5EF4-FFF2-40B4-BE49-F238E27FC236}">
              <a16:creationId xmlns:a16="http://schemas.microsoft.com/office/drawing/2014/main" id="{4836E4A8-A222-43EF-9F8F-7E1D636CFA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5" name="Elipse 3454">
          <a:extLst>
            <a:ext uri="{FF2B5EF4-FFF2-40B4-BE49-F238E27FC236}">
              <a16:creationId xmlns:a16="http://schemas.microsoft.com/office/drawing/2014/main" id="{04E18EF3-0751-4690-80D7-E82809F15C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6" name="Elipse 3455">
          <a:extLst>
            <a:ext uri="{FF2B5EF4-FFF2-40B4-BE49-F238E27FC236}">
              <a16:creationId xmlns:a16="http://schemas.microsoft.com/office/drawing/2014/main" id="{A0B3B472-4C0B-48CB-A943-5129D95748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7" name="Elipse 3456">
          <a:extLst>
            <a:ext uri="{FF2B5EF4-FFF2-40B4-BE49-F238E27FC236}">
              <a16:creationId xmlns:a16="http://schemas.microsoft.com/office/drawing/2014/main" id="{2FBEC7FA-4F2D-45D7-9659-B1FDA01219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8" name="Elipse 3457">
          <a:extLst>
            <a:ext uri="{FF2B5EF4-FFF2-40B4-BE49-F238E27FC236}">
              <a16:creationId xmlns:a16="http://schemas.microsoft.com/office/drawing/2014/main" id="{74318E42-CC95-4F53-A6BB-91215EF6F1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9" name="Elipse 3458">
          <a:extLst>
            <a:ext uri="{FF2B5EF4-FFF2-40B4-BE49-F238E27FC236}">
              <a16:creationId xmlns:a16="http://schemas.microsoft.com/office/drawing/2014/main" id="{57CEC7FC-3DEB-421A-87B5-44B2FFF89B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0" name="Elipse 3459">
          <a:extLst>
            <a:ext uri="{FF2B5EF4-FFF2-40B4-BE49-F238E27FC236}">
              <a16:creationId xmlns:a16="http://schemas.microsoft.com/office/drawing/2014/main" id="{0F373DF1-1FA0-4563-9279-9FAD05F143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1" name="Elipse 3460">
          <a:extLst>
            <a:ext uri="{FF2B5EF4-FFF2-40B4-BE49-F238E27FC236}">
              <a16:creationId xmlns:a16="http://schemas.microsoft.com/office/drawing/2014/main" id="{FE875E47-29C6-449F-8D5C-CB0A549712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2" name="Elipse 3461">
          <a:extLst>
            <a:ext uri="{FF2B5EF4-FFF2-40B4-BE49-F238E27FC236}">
              <a16:creationId xmlns:a16="http://schemas.microsoft.com/office/drawing/2014/main" id="{B221B52B-C789-4165-B36F-F0B0188952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3" name="Elipse 3462">
          <a:extLst>
            <a:ext uri="{FF2B5EF4-FFF2-40B4-BE49-F238E27FC236}">
              <a16:creationId xmlns:a16="http://schemas.microsoft.com/office/drawing/2014/main" id="{E56D3550-FD99-493F-B540-FB89FAF36C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4" name="Elipse 3463">
          <a:extLst>
            <a:ext uri="{FF2B5EF4-FFF2-40B4-BE49-F238E27FC236}">
              <a16:creationId xmlns:a16="http://schemas.microsoft.com/office/drawing/2014/main" id="{8831A938-9629-425E-9F6C-B6238265BE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5" name="Elipse 3464">
          <a:extLst>
            <a:ext uri="{FF2B5EF4-FFF2-40B4-BE49-F238E27FC236}">
              <a16:creationId xmlns:a16="http://schemas.microsoft.com/office/drawing/2014/main" id="{45F2B8DB-00A7-4F34-A5F8-895FEAD92D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6" name="Elipse 3465">
          <a:extLst>
            <a:ext uri="{FF2B5EF4-FFF2-40B4-BE49-F238E27FC236}">
              <a16:creationId xmlns:a16="http://schemas.microsoft.com/office/drawing/2014/main" id="{286B1433-ACE7-4366-A172-5892A1C87B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7" name="Elipse 3466">
          <a:extLst>
            <a:ext uri="{FF2B5EF4-FFF2-40B4-BE49-F238E27FC236}">
              <a16:creationId xmlns:a16="http://schemas.microsoft.com/office/drawing/2014/main" id="{4B81EB33-C6EA-4AAA-83D0-690093012F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8" name="Elipse 3467">
          <a:extLst>
            <a:ext uri="{FF2B5EF4-FFF2-40B4-BE49-F238E27FC236}">
              <a16:creationId xmlns:a16="http://schemas.microsoft.com/office/drawing/2014/main" id="{21C541F7-B2E1-4813-B760-700F5EEAF8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9" name="Elipse 3468">
          <a:extLst>
            <a:ext uri="{FF2B5EF4-FFF2-40B4-BE49-F238E27FC236}">
              <a16:creationId xmlns:a16="http://schemas.microsoft.com/office/drawing/2014/main" id="{159DE5AF-ADC8-43AC-8896-FFE7AC586C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0" name="Elipse 3469">
          <a:extLst>
            <a:ext uri="{FF2B5EF4-FFF2-40B4-BE49-F238E27FC236}">
              <a16:creationId xmlns:a16="http://schemas.microsoft.com/office/drawing/2014/main" id="{65D5BDFC-34FF-450A-8311-6F619E796A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1" name="Elipse 3470">
          <a:extLst>
            <a:ext uri="{FF2B5EF4-FFF2-40B4-BE49-F238E27FC236}">
              <a16:creationId xmlns:a16="http://schemas.microsoft.com/office/drawing/2014/main" id="{1555E89C-48B6-4F53-BBA0-5845F58B30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2" name="Elipse 3471">
          <a:extLst>
            <a:ext uri="{FF2B5EF4-FFF2-40B4-BE49-F238E27FC236}">
              <a16:creationId xmlns:a16="http://schemas.microsoft.com/office/drawing/2014/main" id="{6C2006DE-DE3E-4EBC-877E-38715EB110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3" name="Elipse 3472">
          <a:extLst>
            <a:ext uri="{FF2B5EF4-FFF2-40B4-BE49-F238E27FC236}">
              <a16:creationId xmlns:a16="http://schemas.microsoft.com/office/drawing/2014/main" id="{FDCD2CC1-3DBB-4EDF-8CC6-4FBE9FF744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4" name="Elipse 3473">
          <a:extLst>
            <a:ext uri="{FF2B5EF4-FFF2-40B4-BE49-F238E27FC236}">
              <a16:creationId xmlns:a16="http://schemas.microsoft.com/office/drawing/2014/main" id="{E474E173-A7EE-47C3-B554-3568C065CA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5" name="Elipse 3474">
          <a:extLst>
            <a:ext uri="{FF2B5EF4-FFF2-40B4-BE49-F238E27FC236}">
              <a16:creationId xmlns:a16="http://schemas.microsoft.com/office/drawing/2014/main" id="{2B023755-46F3-427E-9286-7E57659EDF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6" name="Elipse 3475">
          <a:extLst>
            <a:ext uri="{FF2B5EF4-FFF2-40B4-BE49-F238E27FC236}">
              <a16:creationId xmlns:a16="http://schemas.microsoft.com/office/drawing/2014/main" id="{73263A43-3E76-40CE-8CB0-6EF5E9CFE0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7" name="Elipse 3476">
          <a:extLst>
            <a:ext uri="{FF2B5EF4-FFF2-40B4-BE49-F238E27FC236}">
              <a16:creationId xmlns:a16="http://schemas.microsoft.com/office/drawing/2014/main" id="{C699052D-3574-4414-A0E9-9E94B893DF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8" name="Elipse 3477">
          <a:extLst>
            <a:ext uri="{FF2B5EF4-FFF2-40B4-BE49-F238E27FC236}">
              <a16:creationId xmlns:a16="http://schemas.microsoft.com/office/drawing/2014/main" id="{8C031659-3291-4CDA-A9F8-EB2D15C42F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9" name="Elipse 3478">
          <a:extLst>
            <a:ext uri="{FF2B5EF4-FFF2-40B4-BE49-F238E27FC236}">
              <a16:creationId xmlns:a16="http://schemas.microsoft.com/office/drawing/2014/main" id="{D83E6D5C-2D4A-4DF2-A88A-CB17D7BAD3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0" name="Elipse 3479">
          <a:extLst>
            <a:ext uri="{FF2B5EF4-FFF2-40B4-BE49-F238E27FC236}">
              <a16:creationId xmlns:a16="http://schemas.microsoft.com/office/drawing/2014/main" id="{C26B05CD-929B-49C5-B7DE-C7D1FD2E7F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1" name="Elipse 3480">
          <a:extLst>
            <a:ext uri="{FF2B5EF4-FFF2-40B4-BE49-F238E27FC236}">
              <a16:creationId xmlns:a16="http://schemas.microsoft.com/office/drawing/2014/main" id="{76EF0B29-4855-4496-81BA-C352A52433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2" name="Elipse 3481">
          <a:extLst>
            <a:ext uri="{FF2B5EF4-FFF2-40B4-BE49-F238E27FC236}">
              <a16:creationId xmlns:a16="http://schemas.microsoft.com/office/drawing/2014/main" id="{DE8A616A-DCD9-4853-B380-49FA3EE228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3" name="Elipse 3482">
          <a:extLst>
            <a:ext uri="{FF2B5EF4-FFF2-40B4-BE49-F238E27FC236}">
              <a16:creationId xmlns:a16="http://schemas.microsoft.com/office/drawing/2014/main" id="{B5969ADF-88B8-4E97-B32B-532415BA96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4" name="Elipse 3483">
          <a:extLst>
            <a:ext uri="{FF2B5EF4-FFF2-40B4-BE49-F238E27FC236}">
              <a16:creationId xmlns:a16="http://schemas.microsoft.com/office/drawing/2014/main" id="{CD375BEC-58F6-4FF9-A0CB-0A7EDF8232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5" name="Elipse 3484">
          <a:extLst>
            <a:ext uri="{FF2B5EF4-FFF2-40B4-BE49-F238E27FC236}">
              <a16:creationId xmlns:a16="http://schemas.microsoft.com/office/drawing/2014/main" id="{9582EDB6-AD66-4A2B-9E2D-E63D3FCA5F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6" name="Elipse 3485">
          <a:extLst>
            <a:ext uri="{FF2B5EF4-FFF2-40B4-BE49-F238E27FC236}">
              <a16:creationId xmlns:a16="http://schemas.microsoft.com/office/drawing/2014/main" id="{D6BBC961-3DF8-4950-A9B3-0A8696DA92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7" name="Elipse 3486">
          <a:extLst>
            <a:ext uri="{FF2B5EF4-FFF2-40B4-BE49-F238E27FC236}">
              <a16:creationId xmlns:a16="http://schemas.microsoft.com/office/drawing/2014/main" id="{8788EE6E-84B1-4373-BA97-507B2E6399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8" name="Elipse 3487">
          <a:extLst>
            <a:ext uri="{FF2B5EF4-FFF2-40B4-BE49-F238E27FC236}">
              <a16:creationId xmlns:a16="http://schemas.microsoft.com/office/drawing/2014/main" id="{B70511BB-8988-452F-A014-938FAD6898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9" name="Elipse 3488">
          <a:extLst>
            <a:ext uri="{FF2B5EF4-FFF2-40B4-BE49-F238E27FC236}">
              <a16:creationId xmlns:a16="http://schemas.microsoft.com/office/drawing/2014/main" id="{CC8713CD-F69A-45F5-A9F0-14D3200F39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0" name="Elipse 3489">
          <a:extLst>
            <a:ext uri="{FF2B5EF4-FFF2-40B4-BE49-F238E27FC236}">
              <a16:creationId xmlns:a16="http://schemas.microsoft.com/office/drawing/2014/main" id="{8FA6C694-59D6-4A64-B7B0-024B0956D0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1" name="Elipse 3490">
          <a:extLst>
            <a:ext uri="{FF2B5EF4-FFF2-40B4-BE49-F238E27FC236}">
              <a16:creationId xmlns:a16="http://schemas.microsoft.com/office/drawing/2014/main" id="{E481317D-2316-4AA9-9285-DBD59F4283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2" name="Elipse 3491">
          <a:extLst>
            <a:ext uri="{FF2B5EF4-FFF2-40B4-BE49-F238E27FC236}">
              <a16:creationId xmlns:a16="http://schemas.microsoft.com/office/drawing/2014/main" id="{BA97F5D2-8BCD-4AD7-AB4F-6B2FE669CC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3" name="Elipse 3492">
          <a:extLst>
            <a:ext uri="{FF2B5EF4-FFF2-40B4-BE49-F238E27FC236}">
              <a16:creationId xmlns:a16="http://schemas.microsoft.com/office/drawing/2014/main" id="{29E60687-1379-4B7C-8E33-51471A7D5B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4" name="Elipse 3493">
          <a:extLst>
            <a:ext uri="{FF2B5EF4-FFF2-40B4-BE49-F238E27FC236}">
              <a16:creationId xmlns:a16="http://schemas.microsoft.com/office/drawing/2014/main" id="{CC3C738B-D405-499A-88A1-BD08A48C66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5" name="Elipse 3494">
          <a:extLst>
            <a:ext uri="{FF2B5EF4-FFF2-40B4-BE49-F238E27FC236}">
              <a16:creationId xmlns:a16="http://schemas.microsoft.com/office/drawing/2014/main" id="{75AABD86-CC3B-4BCD-81FD-7FE3E0A75F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6" name="Elipse 3495">
          <a:extLst>
            <a:ext uri="{FF2B5EF4-FFF2-40B4-BE49-F238E27FC236}">
              <a16:creationId xmlns:a16="http://schemas.microsoft.com/office/drawing/2014/main" id="{4585FBF5-2A42-49C6-8E14-8515651E0B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7" name="Elipse 3496">
          <a:extLst>
            <a:ext uri="{FF2B5EF4-FFF2-40B4-BE49-F238E27FC236}">
              <a16:creationId xmlns:a16="http://schemas.microsoft.com/office/drawing/2014/main" id="{1C902BC6-9CB6-405F-8E33-8E01C06503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8" name="Elipse 3497">
          <a:extLst>
            <a:ext uri="{FF2B5EF4-FFF2-40B4-BE49-F238E27FC236}">
              <a16:creationId xmlns:a16="http://schemas.microsoft.com/office/drawing/2014/main" id="{24DB1F1D-5105-49A8-B38A-A8195C7808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9" name="Elipse 3498">
          <a:extLst>
            <a:ext uri="{FF2B5EF4-FFF2-40B4-BE49-F238E27FC236}">
              <a16:creationId xmlns:a16="http://schemas.microsoft.com/office/drawing/2014/main" id="{E231B32D-F8DF-4D74-8195-8322B2ECA1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0" name="Elipse 3499">
          <a:extLst>
            <a:ext uri="{FF2B5EF4-FFF2-40B4-BE49-F238E27FC236}">
              <a16:creationId xmlns:a16="http://schemas.microsoft.com/office/drawing/2014/main" id="{8108707D-A29B-46B7-8F82-75C8412C4D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1" name="Elipse 3500">
          <a:extLst>
            <a:ext uri="{FF2B5EF4-FFF2-40B4-BE49-F238E27FC236}">
              <a16:creationId xmlns:a16="http://schemas.microsoft.com/office/drawing/2014/main" id="{9634C8EE-AB53-4093-A77A-F752B9DE32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2" name="Elipse 3501">
          <a:extLst>
            <a:ext uri="{FF2B5EF4-FFF2-40B4-BE49-F238E27FC236}">
              <a16:creationId xmlns:a16="http://schemas.microsoft.com/office/drawing/2014/main" id="{2F7084E3-A885-4A0B-A360-B9AC409FEC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3" name="Elipse 3502">
          <a:extLst>
            <a:ext uri="{FF2B5EF4-FFF2-40B4-BE49-F238E27FC236}">
              <a16:creationId xmlns:a16="http://schemas.microsoft.com/office/drawing/2014/main" id="{D8C16A29-B47F-44BC-A3ED-BAF9FBAC0E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4" name="Elipse 3503">
          <a:extLst>
            <a:ext uri="{FF2B5EF4-FFF2-40B4-BE49-F238E27FC236}">
              <a16:creationId xmlns:a16="http://schemas.microsoft.com/office/drawing/2014/main" id="{01D9E62A-E1FE-401A-915E-BB7174FF75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5" name="Elipse 3504">
          <a:extLst>
            <a:ext uri="{FF2B5EF4-FFF2-40B4-BE49-F238E27FC236}">
              <a16:creationId xmlns:a16="http://schemas.microsoft.com/office/drawing/2014/main" id="{C2382B3E-3BF9-44CE-BA13-3AF1497396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6" name="Elipse 3505">
          <a:extLst>
            <a:ext uri="{FF2B5EF4-FFF2-40B4-BE49-F238E27FC236}">
              <a16:creationId xmlns:a16="http://schemas.microsoft.com/office/drawing/2014/main" id="{D890C8FC-F4BA-4F81-AF16-385517659B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7" name="Elipse 3506">
          <a:extLst>
            <a:ext uri="{FF2B5EF4-FFF2-40B4-BE49-F238E27FC236}">
              <a16:creationId xmlns:a16="http://schemas.microsoft.com/office/drawing/2014/main" id="{FAC068FF-830A-4D2A-89C4-BD0124CFC6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8" name="Elipse 3507">
          <a:extLst>
            <a:ext uri="{FF2B5EF4-FFF2-40B4-BE49-F238E27FC236}">
              <a16:creationId xmlns:a16="http://schemas.microsoft.com/office/drawing/2014/main" id="{1D84EFC9-5401-4C37-921D-E900139D9B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9" name="Elipse 3508">
          <a:extLst>
            <a:ext uri="{FF2B5EF4-FFF2-40B4-BE49-F238E27FC236}">
              <a16:creationId xmlns:a16="http://schemas.microsoft.com/office/drawing/2014/main" id="{EE43D047-A519-40B8-AC24-A170F238A4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0" name="Elipse 3509">
          <a:extLst>
            <a:ext uri="{FF2B5EF4-FFF2-40B4-BE49-F238E27FC236}">
              <a16:creationId xmlns:a16="http://schemas.microsoft.com/office/drawing/2014/main" id="{3095F5D3-C057-4C09-87F9-19E3D9D3EC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1" name="Elipse 3510">
          <a:extLst>
            <a:ext uri="{FF2B5EF4-FFF2-40B4-BE49-F238E27FC236}">
              <a16:creationId xmlns:a16="http://schemas.microsoft.com/office/drawing/2014/main" id="{28BF14BC-97CF-40EC-97B3-B93B7E8A9B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2" name="Elipse 3511">
          <a:extLst>
            <a:ext uri="{FF2B5EF4-FFF2-40B4-BE49-F238E27FC236}">
              <a16:creationId xmlns:a16="http://schemas.microsoft.com/office/drawing/2014/main" id="{D1C4C352-511B-4BB1-BDE4-A27BFC348C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3" name="Elipse 3512">
          <a:extLst>
            <a:ext uri="{FF2B5EF4-FFF2-40B4-BE49-F238E27FC236}">
              <a16:creationId xmlns:a16="http://schemas.microsoft.com/office/drawing/2014/main" id="{D67BE0C9-EF06-40D0-A96C-3C405C17E0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4" name="Elipse 3513">
          <a:extLst>
            <a:ext uri="{FF2B5EF4-FFF2-40B4-BE49-F238E27FC236}">
              <a16:creationId xmlns:a16="http://schemas.microsoft.com/office/drawing/2014/main" id="{6A3E52B0-C39E-4980-8FCD-D703B2D4C8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5" name="Elipse 3514">
          <a:extLst>
            <a:ext uri="{FF2B5EF4-FFF2-40B4-BE49-F238E27FC236}">
              <a16:creationId xmlns:a16="http://schemas.microsoft.com/office/drawing/2014/main" id="{FA0B2F1A-BE32-4541-A8AC-650AC3B46F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6" name="Elipse 3515">
          <a:extLst>
            <a:ext uri="{FF2B5EF4-FFF2-40B4-BE49-F238E27FC236}">
              <a16:creationId xmlns:a16="http://schemas.microsoft.com/office/drawing/2014/main" id="{680B7DFC-F1D6-4F9A-96D5-B013B3D6BB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7" name="Elipse 3516">
          <a:extLst>
            <a:ext uri="{FF2B5EF4-FFF2-40B4-BE49-F238E27FC236}">
              <a16:creationId xmlns:a16="http://schemas.microsoft.com/office/drawing/2014/main" id="{745486F8-607A-452C-B0C7-4451DBF516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8" name="Elipse 3517">
          <a:extLst>
            <a:ext uri="{FF2B5EF4-FFF2-40B4-BE49-F238E27FC236}">
              <a16:creationId xmlns:a16="http://schemas.microsoft.com/office/drawing/2014/main" id="{24A38416-9B5F-4BD3-B17A-A5955A1F11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9" name="Elipse 3518">
          <a:extLst>
            <a:ext uri="{FF2B5EF4-FFF2-40B4-BE49-F238E27FC236}">
              <a16:creationId xmlns:a16="http://schemas.microsoft.com/office/drawing/2014/main" id="{261D5BA0-C00A-4C6E-A520-37BC306189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0" name="Elipse 3519">
          <a:extLst>
            <a:ext uri="{FF2B5EF4-FFF2-40B4-BE49-F238E27FC236}">
              <a16:creationId xmlns:a16="http://schemas.microsoft.com/office/drawing/2014/main" id="{E53CD964-7A57-46A1-9F00-B7184641D7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1" name="Elipse 3520">
          <a:extLst>
            <a:ext uri="{FF2B5EF4-FFF2-40B4-BE49-F238E27FC236}">
              <a16:creationId xmlns:a16="http://schemas.microsoft.com/office/drawing/2014/main" id="{C388277C-8C27-4F3F-867E-4E915F95A8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2" name="Elipse 3521">
          <a:extLst>
            <a:ext uri="{FF2B5EF4-FFF2-40B4-BE49-F238E27FC236}">
              <a16:creationId xmlns:a16="http://schemas.microsoft.com/office/drawing/2014/main" id="{E7FA6DEE-0280-4EB8-A193-BBDA3014B2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3" name="Elipse 3522">
          <a:extLst>
            <a:ext uri="{FF2B5EF4-FFF2-40B4-BE49-F238E27FC236}">
              <a16:creationId xmlns:a16="http://schemas.microsoft.com/office/drawing/2014/main" id="{8578C9B9-2134-4412-99D2-48D2E3466E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4" name="Elipse 3523">
          <a:extLst>
            <a:ext uri="{FF2B5EF4-FFF2-40B4-BE49-F238E27FC236}">
              <a16:creationId xmlns:a16="http://schemas.microsoft.com/office/drawing/2014/main" id="{EE3D2F21-83D8-443A-90E0-DCB066BE79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5" name="Elipse 3524">
          <a:extLst>
            <a:ext uri="{FF2B5EF4-FFF2-40B4-BE49-F238E27FC236}">
              <a16:creationId xmlns:a16="http://schemas.microsoft.com/office/drawing/2014/main" id="{7CECFD42-09A0-42A5-9328-F24D00CC20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6" name="Elipse 3525">
          <a:extLst>
            <a:ext uri="{FF2B5EF4-FFF2-40B4-BE49-F238E27FC236}">
              <a16:creationId xmlns:a16="http://schemas.microsoft.com/office/drawing/2014/main" id="{D1E699E8-37F4-4BBF-99BF-1533112FC4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7" name="Elipse 3526">
          <a:extLst>
            <a:ext uri="{FF2B5EF4-FFF2-40B4-BE49-F238E27FC236}">
              <a16:creationId xmlns:a16="http://schemas.microsoft.com/office/drawing/2014/main" id="{939D874C-EEBB-48A7-815A-1762874012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8" name="Elipse 3527">
          <a:extLst>
            <a:ext uri="{FF2B5EF4-FFF2-40B4-BE49-F238E27FC236}">
              <a16:creationId xmlns:a16="http://schemas.microsoft.com/office/drawing/2014/main" id="{E0F6F680-DAAE-4DDE-BC86-C324231C51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9" name="Elipse 3528">
          <a:extLst>
            <a:ext uri="{FF2B5EF4-FFF2-40B4-BE49-F238E27FC236}">
              <a16:creationId xmlns:a16="http://schemas.microsoft.com/office/drawing/2014/main" id="{881B62BC-AB6C-48CE-9BC1-50B9EAE455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0" name="Elipse 3529">
          <a:extLst>
            <a:ext uri="{FF2B5EF4-FFF2-40B4-BE49-F238E27FC236}">
              <a16:creationId xmlns:a16="http://schemas.microsoft.com/office/drawing/2014/main" id="{B5FEF1D2-814A-499D-905F-1A8AF268E3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1" name="Elipse 3530">
          <a:extLst>
            <a:ext uri="{FF2B5EF4-FFF2-40B4-BE49-F238E27FC236}">
              <a16:creationId xmlns:a16="http://schemas.microsoft.com/office/drawing/2014/main" id="{6B24FCDD-20FC-45E6-A8AE-521E82B10C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2" name="Elipse 3531">
          <a:extLst>
            <a:ext uri="{FF2B5EF4-FFF2-40B4-BE49-F238E27FC236}">
              <a16:creationId xmlns:a16="http://schemas.microsoft.com/office/drawing/2014/main" id="{9F0ECC5C-6C4B-4DAF-8C29-464D7E5D7E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3" name="Elipse 3532">
          <a:extLst>
            <a:ext uri="{FF2B5EF4-FFF2-40B4-BE49-F238E27FC236}">
              <a16:creationId xmlns:a16="http://schemas.microsoft.com/office/drawing/2014/main" id="{633C845E-B8E2-4BDB-8352-8FABA14C7E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4" name="Elipse 3533">
          <a:extLst>
            <a:ext uri="{FF2B5EF4-FFF2-40B4-BE49-F238E27FC236}">
              <a16:creationId xmlns:a16="http://schemas.microsoft.com/office/drawing/2014/main" id="{CF21FFA0-455D-4EB2-9A45-6B6C823F4F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5" name="Elipse 3534">
          <a:extLst>
            <a:ext uri="{FF2B5EF4-FFF2-40B4-BE49-F238E27FC236}">
              <a16:creationId xmlns:a16="http://schemas.microsoft.com/office/drawing/2014/main" id="{E32B89A0-8A5B-42E8-B03B-A89CE63F1D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6" name="Elipse 3535">
          <a:extLst>
            <a:ext uri="{FF2B5EF4-FFF2-40B4-BE49-F238E27FC236}">
              <a16:creationId xmlns:a16="http://schemas.microsoft.com/office/drawing/2014/main" id="{FC94E750-7EF7-407A-9434-F2A45F9055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7" name="Elipse 3536">
          <a:extLst>
            <a:ext uri="{FF2B5EF4-FFF2-40B4-BE49-F238E27FC236}">
              <a16:creationId xmlns:a16="http://schemas.microsoft.com/office/drawing/2014/main" id="{13186F50-9C7C-424D-A13D-8E69FB63E2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8" name="Elipse 3537">
          <a:extLst>
            <a:ext uri="{FF2B5EF4-FFF2-40B4-BE49-F238E27FC236}">
              <a16:creationId xmlns:a16="http://schemas.microsoft.com/office/drawing/2014/main" id="{09B80752-F271-4769-8D80-2F320BE2C3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9" name="Elipse 3538">
          <a:extLst>
            <a:ext uri="{FF2B5EF4-FFF2-40B4-BE49-F238E27FC236}">
              <a16:creationId xmlns:a16="http://schemas.microsoft.com/office/drawing/2014/main" id="{4F24F923-B325-4DB8-A666-41D236D303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0" name="Elipse 3539">
          <a:extLst>
            <a:ext uri="{FF2B5EF4-FFF2-40B4-BE49-F238E27FC236}">
              <a16:creationId xmlns:a16="http://schemas.microsoft.com/office/drawing/2014/main" id="{BC27FF18-2AA9-478B-8A81-ACE86D8B61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1" name="Elipse 3540">
          <a:extLst>
            <a:ext uri="{FF2B5EF4-FFF2-40B4-BE49-F238E27FC236}">
              <a16:creationId xmlns:a16="http://schemas.microsoft.com/office/drawing/2014/main" id="{ECF5943A-8D46-4547-8D6B-ADDAEF2623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2" name="Elipse 3541">
          <a:extLst>
            <a:ext uri="{FF2B5EF4-FFF2-40B4-BE49-F238E27FC236}">
              <a16:creationId xmlns:a16="http://schemas.microsoft.com/office/drawing/2014/main" id="{CBB97A3F-A0B4-4EDC-9B49-B25E236EC0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3" name="Elipse 3542">
          <a:extLst>
            <a:ext uri="{FF2B5EF4-FFF2-40B4-BE49-F238E27FC236}">
              <a16:creationId xmlns:a16="http://schemas.microsoft.com/office/drawing/2014/main" id="{E5AD63F8-BC1A-4555-9EB7-7D09BE823D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4" name="Elipse 3543">
          <a:extLst>
            <a:ext uri="{FF2B5EF4-FFF2-40B4-BE49-F238E27FC236}">
              <a16:creationId xmlns:a16="http://schemas.microsoft.com/office/drawing/2014/main" id="{B334690D-C142-4523-B630-F6AF916D55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5" name="Elipse 3544">
          <a:extLst>
            <a:ext uri="{FF2B5EF4-FFF2-40B4-BE49-F238E27FC236}">
              <a16:creationId xmlns:a16="http://schemas.microsoft.com/office/drawing/2014/main" id="{5FD2A915-03C2-4E7B-9B77-597A2EFD0A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6" name="Elipse 3545">
          <a:extLst>
            <a:ext uri="{FF2B5EF4-FFF2-40B4-BE49-F238E27FC236}">
              <a16:creationId xmlns:a16="http://schemas.microsoft.com/office/drawing/2014/main" id="{9A0A3602-8572-4E4E-ACBF-8FB47F1BEA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7" name="Elipse 3546">
          <a:extLst>
            <a:ext uri="{FF2B5EF4-FFF2-40B4-BE49-F238E27FC236}">
              <a16:creationId xmlns:a16="http://schemas.microsoft.com/office/drawing/2014/main" id="{86766E98-4243-44B7-9756-CA59F38218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8" name="Elipse 3547">
          <a:extLst>
            <a:ext uri="{FF2B5EF4-FFF2-40B4-BE49-F238E27FC236}">
              <a16:creationId xmlns:a16="http://schemas.microsoft.com/office/drawing/2014/main" id="{9D490BFE-72A0-4B7E-AA3F-5A633E365A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9" name="Elipse 3548">
          <a:extLst>
            <a:ext uri="{FF2B5EF4-FFF2-40B4-BE49-F238E27FC236}">
              <a16:creationId xmlns:a16="http://schemas.microsoft.com/office/drawing/2014/main" id="{B850D0BD-296E-42BF-A460-2CEE0B6C80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0" name="Elipse 3549">
          <a:extLst>
            <a:ext uri="{FF2B5EF4-FFF2-40B4-BE49-F238E27FC236}">
              <a16:creationId xmlns:a16="http://schemas.microsoft.com/office/drawing/2014/main" id="{68206247-AFAE-4536-8AAC-5489CF891F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1" name="Elipse 3550">
          <a:extLst>
            <a:ext uri="{FF2B5EF4-FFF2-40B4-BE49-F238E27FC236}">
              <a16:creationId xmlns:a16="http://schemas.microsoft.com/office/drawing/2014/main" id="{959CB067-1ED6-49B4-9BB1-6FC1D152BB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2" name="Elipse 3551">
          <a:extLst>
            <a:ext uri="{FF2B5EF4-FFF2-40B4-BE49-F238E27FC236}">
              <a16:creationId xmlns:a16="http://schemas.microsoft.com/office/drawing/2014/main" id="{C74404F0-653F-49C3-9FE1-0DA2A5FBCF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3" name="Elipse 3552">
          <a:extLst>
            <a:ext uri="{FF2B5EF4-FFF2-40B4-BE49-F238E27FC236}">
              <a16:creationId xmlns:a16="http://schemas.microsoft.com/office/drawing/2014/main" id="{7E055AB8-AE22-4B26-8257-236B6A55F3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4" name="Elipse 3553">
          <a:extLst>
            <a:ext uri="{FF2B5EF4-FFF2-40B4-BE49-F238E27FC236}">
              <a16:creationId xmlns:a16="http://schemas.microsoft.com/office/drawing/2014/main" id="{6DC5E868-AD12-4025-B98F-DEF5D72FF3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5" name="Elipse 3554">
          <a:extLst>
            <a:ext uri="{FF2B5EF4-FFF2-40B4-BE49-F238E27FC236}">
              <a16:creationId xmlns:a16="http://schemas.microsoft.com/office/drawing/2014/main" id="{D31CA0AD-A9CD-4D18-9C15-9A8EEE9361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6" name="Elipse 3555">
          <a:extLst>
            <a:ext uri="{FF2B5EF4-FFF2-40B4-BE49-F238E27FC236}">
              <a16:creationId xmlns:a16="http://schemas.microsoft.com/office/drawing/2014/main" id="{2AC847F7-E8A9-4D2D-86C8-73E61E0E81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7" name="Elipse 3556">
          <a:extLst>
            <a:ext uri="{FF2B5EF4-FFF2-40B4-BE49-F238E27FC236}">
              <a16:creationId xmlns:a16="http://schemas.microsoft.com/office/drawing/2014/main" id="{A8B7D523-5783-4A6D-9E57-50396921D5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8" name="Elipse 3557">
          <a:extLst>
            <a:ext uri="{FF2B5EF4-FFF2-40B4-BE49-F238E27FC236}">
              <a16:creationId xmlns:a16="http://schemas.microsoft.com/office/drawing/2014/main" id="{26ACCC80-B690-467D-8155-C11A1F9057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9" name="Elipse 3558">
          <a:extLst>
            <a:ext uri="{FF2B5EF4-FFF2-40B4-BE49-F238E27FC236}">
              <a16:creationId xmlns:a16="http://schemas.microsoft.com/office/drawing/2014/main" id="{DD1E319F-30CB-4FE1-9D41-CA3D6271B4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0" name="Elipse 3559">
          <a:extLst>
            <a:ext uri="{FF2B5EF4-FFF2-40B4-BE49-F238E27FC236}">
              <a16:creationId xmlns:a16="http://schemas.microsoft.com/office/drawing/2014/main" id="{CDEDEDAD-52EB-425D-8B0C-C3FB61A7DC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1" name="Elipse 3560">
          <a:extLst>
            <a:ext uri="{FF2B5EF4-FFF2-40B4-BE49-F238E27FC236}">
              <a16:creationId xmlns:a16="http://schemas.microsoft.com/office/drawing/2014/main" id="{B4919ACE-E4CD-4B7D-A52D-AC572D478E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2" name="Elipse 3561">
          <a:extLst>
            <a:ext uri="{FF2B5EF4-FFF2-40B4-BE49-F238E27FC236}">
              <a16:creationId xmlns:a16="http://schemas.microsoft.com/office/drawing/2014/main" id="{29E0B908-A7E1-447B-AB1E-866062B54B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3" name="Elipse 3562">
          <a:extLst>
            <a:ext uri="{FF2B5EF4-FFF2-40B4-BE49-F238E27FC236}">
              <a16:creationId xmlns:a16="http://schemas.microsoft.com/office/drawing/2014/main" id="{B5160026-BECB-4428-ADFF-34FFA62574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4" name="Elipse 3563">
          <a:extLst>
            <a:ext uri="{FF2B5EF4-FFF2-40B4-BE49-F238E27FC236}">
              <a16:creationId xmlns:a16="http://schemas.microsoft.com/office/drawing/2014/main" id="{F4ED24AF-2A12-4FBF-8931-E189AAAFBD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5" name="Elipse 3564">
          <a:extLst>
            <a:ext uri="{FF2B5EF4-FFF2-40B4-BE49-F238E27FC236}">
              <a16:creationId xmlns:a16="http://schemas.microsoft.com/office/drawing/2014/main" id="{6A459882-5C8E-40B5-B261-262A5F36FB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6" name="Elipse 3565">
          <a:extLst>
            <a:ext uri="{FF2B5EF4-FFF2-40B4-BE49-F238E27FC236}">
              <a16:creationId xmlns:a16="http://schemas.microsoft.com/office/drawing/2014/main" id="{4A7601A0-8395-4D19-93E0-41A89F2F4C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7" name="Elipse 3566">
          <a:extLst>
            <a:ext uri="{FF2B5EF4-FFF2-40B4-BE49-F238E27FC236}">
              <a16:creationId xmlns:a16="http://schemas.microsoft.com/office/drawing/2014/main" id="{561FE461-AAC0-49F6-9D3F-A3B615C2D0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8" name="Elipse 3567">
          <a:extLst>
            <a:ext uri="{FF2B5EF4-FFF2-40B4-BE49-F238E27FC236}">
              <a16:creationId xmlns:a16="http://schemas.microsoft.com/office/drawing/2014/main" id="{59D4338C-A102-42DA-99B8-6920C7512B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9" name="Elipse 3568">
          <a:extLst>
            <a:ext uri="{FF2B5EF4-FFF2-40B4-BE49-F238E27FC236}">
              <a16:creationId xmlns:a16="http://schemas.microsoft.com/office/drawing/2014/main" id="{658D3499-D107-433F-8C9B-ACB60850C1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0" name="Elipse 3569">
          <a:extLst>
            <a:ext uri="{FF2B5EF4-FFF2-40B4-BE49-F238E27FC236}">
              <a16:creationId xmlns:a16="http://schemas.microsoft.com/office/drawing/2014/main" id="{8077DB21-895E-44D2-9662-4747A36D0A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1" name="Elipse 3570">
          <a:extLst>
            <a:ext uri="{FF2B5EF4-FFF2-40B4-BE49-F238E27FC236}">
              <a16:creationId xmlns:a16="http://schemas.microsoft.com/office/drawing/2014/main" id="{638737D4-8D20-410F-9AA4-4FB0E08E2B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2" name="Elipse 3571">
          <a:extLst>
            <a:ext uri="{FF2B5EF4-FFF2-40B4-BE49-F238E27FC236}">
              <a16:creationId xmlns:a16="http://schemas.microsoft.com/office/drawing/2014/main" id="{E954E5CA-F5B5-473C-8B3A-6F0B125B29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3" name="Elipse 3572">
          <a:extLst>
            <a:ext uri="{FF2B5EF4-FFF2-40B4-BE49-F238E27FC236}">
              <a16:creationId xmlns:a16="http://schemas.microsoft.com/office/drawing/2014/main" id="{2004593F-D0E2-448B-B3D5-4F7BD1C6D2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4" name="Elipse 3573">
          <a:extLst>
            <a:ext uri="{FF2B5EF4-FFF2-40B4-BE49-F238E27FC236}">
              <a16:creationId xmlns:a16="http://schemas.microsoft.com/office/drawing/2014/main" id="{3C8D307B-2481-403D-B743-69CAF37DAB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5" name="Elipse 3574">
          <a:extLst>
            <a:ext uri="{FF2B5EF4-FFF2-40B4-BE49-F238E27FC236}">
              <a16:creationId xmlns:a16="http://schemas.microsoft.com/office/drawing/2014/main" id="{A2FC1760-7199-4B1B-A3E6-A35C0BE32B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6" name="Elipse 3575">
          <a:extLst>
            <a:ext uri="{FF2B5EF4-FFF2-40B4-BE49-F238E27FC236}">
              <a16:creationId xmlns:a16="http://schemas.microsoft.com/office/drawing/2014/main" id="{A4D7D2C6-BC89-4020-B2DB-E6BF8D9A2B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7" name="Elipse 3576">
          <a:extLst>
            <a:ext uri="{FF2B5EF4-FFF2-40B4-BE49-F238E27FC236}">
              <a16:creationId xmlns:a16="http://schemas.microsoft.com/office/drawing/2014/main" id="{B3FDF9A4-A036-434E-9FB7-C32053DB88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8" name="Elipse 3577">
          <a:extLst>
            <a:ext uri="{FF2B5EF4-FFF2-40B4-BE49-F238E27FC236}">
              <a16:creationId xmlns:a16="http://schemas.microsoft.com/office/drawing/2014/main" id="{86C9936C-EFBB-4612-8B5B-66CEF4C722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9" name="Elipse 3578">
          <a:extLst>
            <a:ext uri="{FF2B5EF4-FFF2-40B4-BE49-F238E27FC236}">
              <a16:creationId xmlns:a16="http://schemas.microsoft.com/office/drawing/2014/main" id="{7ACC77A1-2733-4A45-B23D-15F44BD444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0" name="Elipse 3579">
          <a:extLst>
            <a:ext uri="{FF2B5EF4-FFF2-40B4-BE49-F238E27FC236}">
              <a16:creationId xmlns:a16="http://schemas.microsoft.com/office/drawing/2014/main" id="{3F19E21B-3FCD-4878-87B9-538F36516A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1" name="Elipse 3580">
          <a:extLst>
            <a:ext uri="{FF2B5EF4-FFF2-40B4-BE49-F238E27FC236}">
              <a16:creationId xmlns:a16="http://schemas.microsoft.com/office/drawing/2014/main" id="{0E226CD8-CA57-4224-B21E-E06DFC0B5D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2" name="Elipse 3581">
          <a:extLst>
            <a:ext uri="{FF2B5EF4-FFF2-40B4-BE49-F238E27FC236}">
              <a16:creationId xmlns:a16="http://schemas.microsoft.com/office/drawing/2014/main" id="{7664E22F-2A83-4E88-939A-AD80396182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3" name="Elipse 3582">
          <a:extLst>
            <a:ext uri="{FF2B5EF4-FFF2-40B4-BE49-F238E27FC236}">
              <a16:creationId xmlns:a16="http://schemas.microsoft.com/office/drawing/2014/main" id="{4C700C8D-F5CE-4EE7-B2DD-53E7939351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4" name="Elipse 3583">
          <a:extLst>
            <a:ext uri="{FF2B5EF4-FFF2-40B4-BE49-F238E27FC236}">
              <a16:creationId xmlns:a16="http://schemas.microsoft.com/office/drawing/2014/main" id="{B9B48AB1-1ED1-4A22-9460-FC9E9F11C4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5" name="Elipse 3584">
          <a:extLst>
            <a:ext uri="{FF2B5EF4-FFF2-40B4-BE49-F238E27FC236}">
              <a16:creationId xmlns:a16="http://schemas.microsoft.com/office/drawing/2014/main" id="{B5A58CFC-451D-4C10-A145-B6B10BD156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6" name="Elipse 3585">
          <a:extLst>
            <a:ext uri="{FF2B5EF4-FFF2-40B4-BE49-F238E27FC236}">
              <a16:creationId xmlns:a16="http://schemas.microsoft.com/office/drawing/2014/main" id="{ED7C5275-A12C-4D81-A8A2-BB164FE9FE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7" name="Elipse 3586">
          <a:extLst>
            <a:ext uri="{FF2B5EF4-FFF2-40B4-BE49-F238E27FC236}">
              <a16:creationId xmlns:a16="http://schemas.microsoft.com/office/drawing/2014/main" id="{FCD7CF9F-B0B4-4035-931C-10FE8DA359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8" name="Elipse 3587">
          <a:extLst>
            <a:ext uri="{FF2B5EF4-FFF2-40B4-BE49-F238E27FC236}">
              <a16:creationId xmlns:a16="http://schemas.microsoft.com/office/drawing/2014/main" id="{985E1E04-90EE-4928-B781-8C5A46421B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9" name="Elipse 3588">
          <a:extLst>
            <a:ext uri="{FF2B5EF4-FFF2-40B4-BE49-F238E27FC236}">
              <a16:creationId xmlns:a16="http://schemas.microsoft.com/office/drawing/2014/main" id="{5197EC89-C0EA-46AA-A93C-51C8C16AAC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0" name="Elipse 3589">
          <a:extLst>
            <a:ext uri="{FF2B5EF4-FFF2-40B4-BE49-F238E27FC236}">
              <a16:creationId xmlns:a16="http://schemas.microsoft.com/office/drawing/2014/main" id="{EA82EFFF-5B90-4F98-AEE7-3B2FE1E3CD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1" name="Elipse 3590">
          <a:extLst>
            <a:ext uri="{FF2B5EF4-FFF2-40B4-BE49-F238E27FC236}">
              <a16:creationId xmlns:a16="http://schemas.microsoft.com/office/drawing/2014/main" id="{9E310D69-F37F-48BB-9BD2-529C8E8573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2" name="Elipse 3591">
          <a:extLst>
            <a:ext uri="{FF2B5EF4-FFF2-40B4-BE49-F238E27FC236}">
              <a16:creationId xmlns:a16="http://schemas.microsoft.com/office/drawing/2014/main" id="{53399922-4A2A-4F58-A24D-3487E2BBFC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3" name="Elipse 3592">
          <a:extLst>
            <a:ext uri="{FF2B5EF4-FFF2-40B4-BE49-F238E27FC236}">
              <a16:creationId xmlns:a16="http://schemas.microsoft.com/office/drawing/2014/main" id="{F1DB5B19-6755-4F00-AE88-F99832A5BB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4" name="Elipse 3593">
          <a:extLst>
            <a:ext uri="{FF2B5EF4-FFF2-40B4-BE49-F238E27FC236}">
              <a16:creationId xmlns:a16="http://schemas.microsoft.com/office/drawing/2014/main" id="{698BFDCA-2742-4776-A209-E82837143C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5" name="Elipse 3594">
          <a:extLst>
            <a:ext uri="{FF2B5EF4-FFF2-40B4-BE49-F238E27FC236}">
              <a16:creationId xmlns:a16="http://schemas.microsoft.com/office/drawing/2014/main" id="{74B912A2-D0E5-4369-881E-20C9BFA3BF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6" name="Elipse 3595">
          <a:extLst>
            <a:ext uri="{FF2B5EF4-FFF2-40B4-BE49-F238E27FC236}">
              <a16:creationId xmlns:a16="http://schemas.microsoft.com/office/drawing/2014/main" id="{BF10837E-10A2-40D9-90BE-DC96FEB18F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7" name="Elipse 3596">
          <a:extLst>
            <a:ext uri="{FF2B5EF4-FFF2-40B4-BE49-F238E27FC236}">
              <a16:creationId xmlns:a16="http://schemas.microsoft.com/office/drawing/2014/main" id="{9965ACB1-C941-4F15-B852-4BC69C0B35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8" name="Elipse 3597">
          <a:extLst>
            <a:ext uri="{FF2B5EF4-FFF2-40B4-BE49-F238E27FC236}">
              <a16:creationId xmlns:a16="http://schemas.microsoft.com/office/drawing/2014/main" id="{090E9B56-43FA-42B7-8816-7868E741A3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9" name="Elipse 3598">
          <a:extLst>
            <a:ext uri="{FF2B5EF4-FFF2-40B4-BE49-F238E27FC236}">
              <a16:creationId xmlns:a16="http://schemas.microsoft.com/office/drawing/2014/main" id="{B1A5A41A-3CFA-40B3-BE4A-D07EC47936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0" name="Elipse 3599">
          <a:extLst>
            <a:ext uri="{FF2B5EF4-FFF2-40B4-BE49-F238E27FC236}">
              <a16:creationId xmlns:a16="http://schemas.microsoft.com/office/drawing/2014/main" id="{E3E04B36-5892-4F79-9189-F4852C19A9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1" name="Elipse 3600">
          <a:extLst>
            <a:ext uri="{FF2B5EF4-FFF2-40B4-BE49-F238E27FC236}">
              <a16:creationId xmlns:a16="http://schemas.microsoft.com/office/drawing/2014/main" id="{55E75B4A-91F1-4C8C-9D9F-B0469E1EB8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2" name="Elipse 3601">
          <a:extLst>
            <a:ext uri="{FF2B5EF4-FFF2-40B4-BE49-F238E27FC236}">
              <a16:creationId xmlns:a16="http://schemas.microsoft.com/office/drawing/2014/main" id="{F3A6C204-7B10-46E6-860D-0FEE6FFB12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3" name="Elipse 3602">
          <a:extLst>
            <a:ext uri="{FF2B5EF4-FFF2-40B4-BE49-F238E27FC236}">
              <a16:creationId xmlns:a16="http://schemas.microsoft.com/office/drawing/2014/main" id="{51E64F3A-C874-4E63-9D52-8EAF3A66F4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4" name="Elipse 3603">
          <a:extLst>
            <a:ext uri="{FF2B5EF4-FFF2-40B4-BE49-F238E27FC236}">
              <a16:creationId xmlns:a16="http://schemas.microsoft.com/office/drawing/2014/main" id="{F94F6630-3281-4240-BCDC-B523E73223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5" name="Elipse 3604">
          <a:extLst>
            <a:ext uri="{FF2B5EF4-FFF2-40B4-BE49-F238E27FC236}">
              <a16:creationId xmlns:a16="http://schemas.microsoft.com/office/drawing/2014/main" id="{876ACF56-2A0F-4CBC-972A-8529B72597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6" name="Elipse 3605">
          <a:extLst>
            <a:ext uri="{FF2B5EF4-FFF2-40B4-BE49-F238E27FC236}">
              <a16:creationId xmlns:a16="http://schemas.microsoft.com/office/drawing/2014/main" id="{2185417D-762C-45A4-B927-0C45D47B25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7" name="Elipse 3606">
          <a:extLst>
            <a:ext uri="{FF2B5EF4-FFF2-40B4-BE49-F238E27FC236}">
              <a16:creationId xmlns:a16="http://schemas.microsoft.com/office/drawing/2014/main" id="{53E5C937-0B2B-4481-AAC8-7CEA94AD03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8" name="Elipse 3607">
          <a:extLst>
            <a:ext uri="{FF2B5EF4-FFF2-40B4-BE49-F238E27FC236}">
              <a16:creationId xmlns:a16="http://schemas.microsoft.com/office/drawing/2014/main" id="{FEFAA7A5-04FA-439E-A8FC-7F2606E49B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9" name="Elipse 3608">
          <a:extLst>
            <a:ext uri="{FF2B5EF4-FFF2-40B4-BE49-F238E27FC236}">
              <a16:creationId xmlns:a16="http://schemas.microsoft.com/office/drawing/2014/main" id="{7F3E6AEF-15CB-41BF-9C18-119E750D00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0" name="Elipse 3609">
          <a:extLst>
            <a:ext uri="{FF2B5EF4-FFF2-40B4-BE49-F238E27FC236}">
              <a16:creationId xmlns:a16="http://schemas.microsoft.com/office/drawing/2014/main" id="{90CAC9BE-53EB-4F4B-85F5-CFEA9D6229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1" name="Elipse 3610">
          <a:extLst>
            <a:ext uri="{FF2B5EF4-FFF2-40B4-BE49-F238E27FC236}">
              <a16:creationId xmlns:a16="http://schemas.microsoft.com/office/drawing/2014/main" id="{D6960829-3EFA-4617-8A3D-F970E481B7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2" name="Elipse 3611">
          <a:extLst>
            <a:ext uri="{FF2B5EF4-FFF2-40B4-BE49-F238E27FC236}">
              <a16:creationId xmlns:a16="http://schemas.microsoft.com/office/drawing/2014/main" id="{717CD2C9-8656-4772-BA0E-213610E60B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3" name="Elipse 3612">
          <a:extLst>
            <a:ext uri="{FF2B5EF4-FFF2-40B4-BE49-F238E27FC236}">
              <a16:creationId xmlns:a16="http://schemas.microsoft.com/office/drawing/2014/main" id="{FE2F3DB4-48C8-4E2E-AF86-357724017A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4" name="Elipse 3613">
          <a:extLst>
            <a:ext uri="{FF2B5EF4-FFF2-40B4-BE49-F238E27FC236}">
              <a16:creationId xmlns:a16="http://schemas.microsoft.com/office/drawing/2014/main" id="{EFB559BC-8F7B-41CE-B29B-43599CEB58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5" name="Elipse 3614">
          <a:extLst>
            <a:ext uri="{FF2B5EF4-FFF2-40B4-BE49-F238E27FC236}">
              <a16:creationId xmlns:a16="http://schemas.microsoft.com/office/drawing/2014/main" id="{7B519F8C-5560-46B5-9EA7-FC9DA230B3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6" name="Elipse 3615">
          <a:extLst>
            <a:ext uri="{FF2B5EF4-FFF2-40B4-BE49-F238E27FC236}">
              <a16:creationId xmlns:a16="http://schemas.microsoft.com/office/drawing/2014/main" id="{F1C2E8CB-32D4-469E-B558-5ECFC7A8F3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7" name="Elipse 3616">
          <a:extLst>
            <a:ext uri="{FF2B5EF4-FFF2-40B4-BE49-F238E27FC236}">
              <a16:creationId xmlns:a16="http://schemas.microsoft.com/office/drawing/2014/main" id="{F3671458-457A-4A0B-9F7E-061DF27189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8" name="Elipse 3617">
          <a:extLst>
            <a:ext uri="{FF2B5EF4-FFF2-40B4-BE49-F238E27FC236}">
              <a16:creationId xmlns:a16="http://schemas.microsoft.com/office/drawing/2014/main" id="{142607BE-D3F6-4D06-AAF0-64E5343907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9" name="Elipse 3618">
          <a:extLst>
            <a:ext uri="{FF2B5EF4-FFF2-40B4-BE49-F238E27FC236}">
              <a16:creationId xmlns:a16="http://schemas.microsoft.com/office/drawing/2014/main" id="{180559AB-11FE-4B85-9805-A41F85BF37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0" name="Elipse 3619">
          <a:extLst>
            <a:ext uri="{FF2B5EF4-FFF2-40B4-BE49-F238E27FC236}">
              <a16:creationId xmlns:a16="http://schemas.microsoft.com/office/drawing/2014/main" id="{76E98421-AEFD-4950-AF94-9DB45D09D0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1" name="Elipse 3620">
          <a:extLst>
            <a:ext uri="{FF2B5EF4-FFF2-40B4-BE49-F238E27FC236}">
              <a16:creationId xmlns:a16="http://schemas.microsoft.com/office/drawing/2014/main" id="{E8BEA1F4-67DA-49EB-BC4B-4374270E50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2" name="Elipse 3621">
          <a:extLst>
            <a:ext uri="{FF2B5EF4-FFF2-40B4-BE49-F238E27FC236}">
              <a16:creationId xmlns:a16="http://schemas.microsoft.com/office/drawing/2014/main" id="{23F3EE62-9EDC-49CD-B7DB-864BCFC3E3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3" name="Elipse 3622">
          <a:extLst>
            <a:ext uri="{FF2B5EF4-FFF2-40B4-BE49-F238E27FC236}">
              <a16:creationId xmlns:a16="http://schemas.microsoft.com/office/drawing/2014/main" id="{97C5B1BD-9206-41F3-B610-47248F961B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4" name="Elipse 3623">
          <a:extLst>
            <a:ext uri="{FF2B5EF4-FFF2-40B4-BE49-F238E27FC236}">
              <a16:creationId xmlns:a16="http://schemas.microsoft.com/office/drawing/2014/main" id="{5E5C42EF-6CDF-4D92-85DA-2C628EF676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5" name="Elipse 3624">
          <a:extLst>
            <a:ext uri="{FF2B5EF4-FFF2-40B4-BE49-F238E27FC236}">
              <a16:creationId xmlns:a16="http://schemas.microsoft.com/office/drawing/2014/main" id="{6B95998E-DA9C-483F-BB38-E711B2FC3B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6" name="Elipse 3625">
          <a:extLst>
            <a:ext uri="{FF2B5EF4-FFF2-40B4-BE49-F238E27FC236}">
              <a16:creationId xmlns:a16="http://schemas.microsoft.com/office/drawing/2014/main" id="{54F84AD7-A4B9-48DE-9520-1406CFE049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7" name="Elipse 3626">
          <a:extLst>
            <a:ext uri="{FF2B5EF4-FFF2-40B4-BE49-F238E27FC236}">
              <a16:creationId xmlns:a16="http://schemas.microsoft.com/office/drawing/2014/main" id="{413DEAB2-FA24-4E57-A610-A545A101A2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8" name="Elipse 3627">
          <a:extLst>
            <a:ext uri="{FF2B5EF4-FFF2-40B4-BE49-F238E27FC236}">
              <a16:creationId xmlns:a16="http://schemas.microsoft.com/office/drawing/2014/main" id="{7F703CDF-53D7-415F-84C2-FF9DBBB5CB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9" name="Elipse 3628">
          <a:extLst>
            <a:ext uri="{FF2B5EF4-FFF2-40B4-BE49-F238E27FC236}">
              <a16:creationId xmlns:a16="http://schemas.microsoft.com/office/drawing/2014/main" id="{FC749EF0-9029-4252-B02C-7E8F533621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0" name="Elipse 3629">
          <a:extLst>
            <a:ext uri="{FF2B5EF4-FFF2-40B4-BE49-F238E27FC236}">
              <a16:creationId xmlns:a16="http://schemas.microsoft.com/office/drawing/2014/main" id="{A2941212-5A45-469A-AC7D-90B8A56991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1" name="Elipse 3630">
          <a:extLst>
            <a:ext uri="{FF2B5EF4-FFF2-40B4-BE49-F238E27FC236}">
              <a16:creationId xmlns:a16="http://schemas.microsoft.com/office/drawing/2014/main" id="{F1BA48A1-04E4-4F73-BF9E-523F5BFCC4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2" name="Elipse 3631">
          <a:extLst>
            <a:ext uri="{FF2B5EF4-FFF2-40B4-BE49-F238E27FC236}">
              <a16:creationId xmlns:a16="http://schemas.microsoft.com/office/drawing/2014/main" id="{69A7D8DF-0A10-4A06-838F-1A406ED5E4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3" name="Elipse 3632">
          <a:extLst>
            <a:ext uri="{FF2B5EF4-FFF2-40B4-BE49-F238E27FC236}">
              <a16:creationId xmlns:a16="http://schemas.microsoft.com/office/drawing/2014/main" id="{F6E8F49B-A68A-42C1-AC37-31856E21D4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4" name="Elipse 3633">
          <a:extLst>
            <a:ext uri="{FF2B5EF4-FFF2-40B4-BE49-F238E27FC236}">
              <a16:creationId xmlns:a16="http://schemas.microsoft.com/office/drawing/2014/main" id="{8234FD7C-70E3-45CD-97CB-85A2337E1F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5" name="Elipse 3634">
          <a:extLst>
            <a:ext uri="{FF2B5EF4-FFF2-40B4-BE49-F238E27FC236}">
              <a16:creationId xmlns:a16="http://schemas.microsoft.com/office/drawing/2014/main" id="{14E6D47A-67AE-40FE-BF24-82613F3F6E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6" name="Elipse 3635">
          <a:extLst>
            <a:ext uri="{FF2B5EF4-FFF2-40B4-BE49-F238E27FC236}">
              <a16:creationId xmlns:a16="http://schemas.microsoft.com/office/drawing/2014/main" id="{463613D4-021D-4117-B8E1-1704FAE5E1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7" name="Elipse 3636">
          <a:extLst>
            <a:ext uri="{FF2B5EF4-FFF2-40B4-BE49-F238E27FC236}">
              <a16:creationId xmlns:a16="http://schemas.microsoft.com/office/drawing/2014/main" id="{7F08F66A-2150-4261-A2E2-838DB4E937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8" name="Elipse 3637">
          <a:extLst>
            <a:ext uri="{FF2B5EF4-FFF2-40B4-BE49-F238E27FC236}">
              <a16:creationId xmlns:a16="http://schemas.microsoft.com/office/drawing/2014/main" id="{CB9A10D5-FAD0-4032-9C79-C1D5ACD9C0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9" name="Elipse 3638">
          <a:extLst>
            <a:ext uri="{FF2B5EF4-FFF2-40B4-BE49-F238E27FC236}">
              <a16:creationId xmlns:a16="http://schemas.microsoft.com/office/drawing/2014/main" id="{22EE5414-1C57-43E6-BC0A-8169569EBA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0" name="Elipse 3639">
          <a:extLst>
            <a:ext uri="{FF2B5EF4-FFF2-40B4-BE49-F238E27FC236}">
              <a16:creationId xmlns:a16="http://schemas.microsoft.com/office/drawing/2014/main" id="{C1F9F0C0-A191-4CC1-BF85-4B4349AC65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1" name="Elipse 3640">
          <a:extLst>
            <a:ext uri="{FF2B5EF4-FFF2-40B4-BE49-F238E27FC236}">
              <a16:creationId xmlns:a16="http://schemas.microsoft.com/office/drawing/2014/main" id="{752881CB-3721-4C6C-A51B-FFBF355725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2" name="Elipse 3641">
          <a:extLst>
            <a:ext uri="{FF2B5EF4-FFF2-40B4-BE49-F238E27FC236}">
              <a16:creationId xmlns:a16="http://schemas.microsoft.com/office/drawing/2014/main" id="{C9C80C14-D0CA-43C2-B50A-4D02B92177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3" name="Elipse 3642">
          <a:extLst>
            <a:ext uri="{FF2B5EF4-FFF2-40B4-BE49-F238E27FC236}">
              <a16:creationId xmlns:a16="http://schemas.microsoft.com/office/drawing/2014/main" id="{F2219F05-CCF5-4D33-9916-5E1F9B8A29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4" name="Elipse 3643">
          <a:extLst>
            <a:ext uri="{FF2B5EF4-FFF2-40B4-BE49-F238E27FC236}">
              <a16:creationId xmlns:a16="http://schemas.microsoft.com/office/drawing/2014/main" id="{6F18C295-7B75-4096-B6C0-55D39B2C42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5" name="Elipse 3644">
          <a:extLst>
            <a:ext uri="{FF2B5EF4-FFF2-40B4-BE49-F238E27FC236}">
              <a16:creationId xmlns:a16="http://schemas.microsoft.com/office/drawing/2014/main" id="{9E9095CD-7A33-4153-BECD-9B1CE3A227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6" name="Elipse 3645">
          <a:extLst>
            <a:ext uri="{FF2B5EF4-FFF2-40B4-BE49-F238E27FC236}">
              <a16:creationId xmlns:a16="http://schemas.microsoft.com/office/drawing/2014/main" id="{662ADC31-55A3-446C-95DD-03B9D61C05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7" name="Elipse 3646">
          <a:extLst>
            <a:ext uri="{FF2B5EF4-FFF2-40B4-BE49-F238E27FC236}">
              <a16:creationId xmlns:a16="http://schemas.microsoft.com/office/drawing/2014/main" id="{502EB071-330A-49E3-B0D0-23EE0D2E96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8" name="Elipse 3647">
          <a:extLst>
            <a:ext uri="{FF2B5EF4-FFF2-40B4-BE49-F238E27FC236}">
              <a16:creationId xmlns:a16="http://schemas.microsoft.com/office/drawing/2014/main" id="{9D3E81A3-113F-46E6-A8FD-6C63F7C8AD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9" name="Elipse 3648">
          <a:extLst>
            <a:ext uri="{FF2B5EF4-FFF2-40B4-BE49-F238E27FC236}">
              <a16:creationId xmlns:a16="http://schemas.microsoft.com/office/drawing/2014/main" id="{97F8021E-1C6B-447B-BE4C-42D4D8FFE3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0" name="Elipse 3649">
          <a:extLst>
            <a:ext uri="{FF2B5EF4-FFF2-40B4-BE49-F238E27FC236}">
              <a16:creationId xmlns:a16="http://schemas.microsoft.com/office/drawing/2014/main" id="{98100051-E17E-4406-BABA-C3E601B9EB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1" name="Elipse 3650">
          <a:extLst>
            <a:ext uri="{FF2B5EF4-FFF2-40B4-BE49-F238E27FC236}">
              <a16:creationId xmlns:a16="http://schemas.microsoft.com/office/drawing/2014/main" id="{2EBF19C7-34E5-4F2C-BEB9-9032481E9C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2" name="Elipse 3651">
          <a:extLst>
            <a:ext uri="{FF2B5EF4-FFF2-40B4-BE49-F238E27FC236}">
              <a16:creationId xmlns:a16="http://schemas.microsoft.com/office/drawing/2014/main" id="{F8C4F7B4-3824-4E73-B195-047E815B25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3" name="Elipse 3652">
          <a:extLst>
            <a:ext uri="{FF2B5EF4-FFF2-40B4-BE49-F238E27FC236}">
              <a16:creationId xmlns:a16="http://schemas.microsoft.com/office/drawing/2014/main" id="{FA92A839-1E0F-478B-A8DF-E0D9602B47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4" name="Elipse 3653">
          <a:extLst>
            <a:ext uri="{FF2B5EF4-FFF2-40B4-BE49-F238E27FC236}">
              <a16:creationId xmlns:a16="http://schemas.microsoft.com/office/drawing/2014/main" id="{1BBA0A34-61AA-48AD-B672-72D4FB2552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5" name="Elipse 3654">
          <a:extLst>
            <a:ext uri="{FF2B5EF4-FFF2-40B4-BE49-F238E27FC236}">
              <a16:creationId xmlns:a16="http://schemas.microsoft.com/office/drawing/2014/main" id="{9DF1329D-B5EB-4808-A114-B824ED3C35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6" name="Elipse 3655">
          <a:extLst>
            <a:ext uri="{FF2B5EF4-FFF2-40B4-BE49-F238E27FC236}">
              <a16:creationId xmlns:a16="http://schemas.microsoft.com/office/drawing/2014/main" id="{6608D6D5-142E-4691-A6DE-1B66AB9D08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7" name="Elipse 3656">
          <a:extLst>
            <a:ext uri="{FF2B5EF4-FFF2-40B4-BE49-F238E27FC236}">
              <a16:creationId xmlns:a16="http://schemas.microsoft.com/office/drawing/2014/main" id="{8A22B2D1-2CEF-4BFB-BD00-F1BA97D11B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8" name="Elipse 3657">
          <a:extLst>
            <a:ext uri="{FF2B5EF4-FFF2-40B4-BE49-F238E27FC236}">
              <a16:creationId xmlns:a16="http://schemas.microsoft.com/office/drawing/2014/main" id="{6C13B3F2-0A03-4CCE-8E36-0A163F199B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9" name="Elipse 3658">
          <a:extLst>
            <a:ext uri="{FF2B5EF4-FFF2-40B4-BE49-F238E27FC236}">
              <a16:creationId xmlns:a16="http://schemas.microsoft.com/office/drawing/2014/main" id="{8414E9D3-64E4-4BE7-8140-E7D7853E65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0" name="Elipse 3659">
          <a:extLst>
            <a:ext uri="{FF2B5EF4-FFF2-40B4-BE49-F238E27FC236}">
              <a16:creationId xmlns:a16="http://schemas.microsoft.com/office/drawing/2014/main" id="{1DF92F97-B332-487C-B22E-A71574B88F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1" name="Elipse 3660">
          <a:extLst>
            <a:ext uri="{FF2B5EF4-FFF2-40B4-BE49-F238E27FC236}">
              <a16:creationId xmlns:a16="http://schemas.microsoft.com/office/drawing/2014/main" id="{9899C5A0-170E-4FF1-9596-F882EAE139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2" name="Elipse 3661">
          <a:extLst>
            <a:ext uri="{FF2B5EF4-FFF2-40B4-BE49-F238E27FC236}">
              <a16:creationId xmlns:a16="http://schemas.microsoft.com/office/drawing/2014/main" id="{529D770C-240C-4BF3-8BAF-1B0404C4AD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3" name="Elipse 3662">
          <a:extLst>
            <a:ext uri="{FF2B5EF4-FFF2-40B4-BE49-F238E27FC236}">
              <a16:creationId xmlns:a16="http://schemas.microsoft.com/office/drawing/2014/main" id="{1AD6C37B-05C9-4251-A40B-25E363A76E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4" name="Elipse 3663">
          <a:extLst>
            <a:ext uri="{FF2B5EF4-FFF2-40B4-BE49-F238E27FC236}">
              <a16:creationId xmlns:a16="http://schemas.microsoft.com/office/drawing/2014/main" id="{CF5A0826-7493-460F-9CBA-74A1B0D8B7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5" name="Elipse 3664">
          <a:extLst>
            <a:ext uri="{FF2B5EF4-FFF2-40B4-BE49-F238E27FC236}">
              <a16:creationId xmlns:a16="http://schemas.microsoft.com/office/drawing/2014/main" id="{8986FF82-E5C7-428B-9E6E-F0D099EC6D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6" name="Elipse 3665">
          <a:extLst>
            <a:ext uri="{FF2B5EF4-FFF2-40B4-BE49-F238E27FC236}">
              <a16:creationId xmlns:a16="http://schemas.microsoft.com/office/drawing/2014/main" id="{6AF7D7EE-C3FD-4676-B4A7-8FF0D4DDE0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7" name="Elipse 3666">
          <a:extLst>
            <a:ext uri="{FF2B5EF4-FFF2-40B4-BE49-F238E27FC236}">
              <a16:creationId xmlns:a16="http://schemas.microsoft.com/office/drawing/2014/main" id="{8A19E9A1-086C-4E79-BB3D-E0DD471704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8" name="Elipse 3667">
          <a:extLst>
            <a:ext uri="{FF2B5EF4-FFF2-40B4-BE49-F238E27FC236}">
              <a16:creationId xmlns:a16="http://schemas.microsoft.com/office/drawing/2014/main" id="{B5C1D66A-5846-4F9A-BAC3-3151493546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9" name="Elipse 3668">
          <a:extLst>
            <a:ext uri="{FF2B5EF4-FFF2-40B4-BE49-F238E27FC236}">
              <a16:creationId xmlns:a16="http://schemas.microsoft.com/office/drawing/2014/main" id="{7257CA3F-B379-4692-B21D-339F9A30FA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0" name="Elipse 3669">
          <a:extLst>
            <a:ext uri="{FF2B5EF4-FFF2-40B4-BE49-F238E27FC236}">
              <a16:creationId xmlns:a16="http://schemas.microsoft.com/office/drawing/2014/main" id="{367F01A3-7F55-471A-92B1-A43860D0D1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1" name="Elipse 3670">
          <a:extLst>
            <a:ext uri="{FF2B5EF4-FFF2-40B4-BE49-F238E27FC236}">
              <a16:creationId xmlns:a16="http://schemas.microsoft.com/office/drawing/2014/main" id="{587E8606-B8F9-4F86-B567-292869B337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2" name="Elipse 3671">
          <a:extLst>
            <a:ext uri="{FF2B5EF4-FFF2-40B4-BE49-F238E27FC236}">
              <a16:creationId xmlns:a16="http://schemas.microsoft.com/office/drawing/2014/main" id="{4541B988-F579-4C43-B9A0-F5C0FEA4F2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3" name="Elipse 3672">
          <a:extLst>
            <a:ext uri="{FF2B5EF4-FFF2-40B4-BE49-F238E27FC236}">
              <a16:creationId xmlns:a16="http://schemas.microsoft.com/office/drawing/2014/main" id="{A48C6D32-9A08-48F6-BB09-CBF8DA4058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4" name="Elipse 3673">
          <a:extLst>
            <a:ext uri="{FF2B5EF4-FFF2-40B4-BE49-F238E27FC236}">
              <a16:creationId xmlns:a16="http://schemas.microsoft.com/office/drawing/2014/main" id="{D94335CF-C9B8-4827-BDC7-80B1D3F42E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5" name="Elipse 3674">
          <a:extLst>
            <a:ext uri="{FF2B5EF4-FFF2-40B4-BE49-F238E27FC236}">
              <a16:creationId xmlns:a16="http://schemas.microsoft.com/office/drawing/2014/main" id="{BA08B32F-B9A3-464B-92B5-01939226E9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6" name="Elipse 3675">
          <a:extLst>
            <a:ext uri="{FF2B5EF4-FFF2-40B4-BE49-F238E27FC236}">
              <a16:creationId xmlns:a16="http://schemas.microsoft.com/office/drawing/2014/main" id="{C376D49C-AC26-411A-85FB-C3E273135B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7" name="Elipse 3676">
          <a:extLst>
            <a:ext uri="{FF2B5EF4-FFF2-40B4-BE49-F238E27FC236}">
              <a16:creationId xmlns:a16="http://schemas.microsoft.com/office/drawing/2014/main" id="{B71C87D0-4D67-4EFE-B92B-2B6B147851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8" name="Elipse 3677">
          <a:extLst>
            <a:ext uri="{FF2B5EF4-FFF2-40B4-BE49-F238E27FC236}">
              <a16:creationId xmlns:a16="http://schemas.microsoft.com/office/drawing/2014/main" id="{12C5C76F-FDC8-4781-BD7F-E13D4ACD03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9" name="Elipse 3678">
          <a:extLst>
            <a:ext uri="{FF2B5EF4-FFF2-40B4-BE49-F238E27FC236}">
              <a16:creationId xmlns:a16="http://schemas.microsoft.com/office/drawing/2014/main" id="{1A213D69-1161-4EDF-BA9C-D3A65E024D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0" name="Elipse 3679">
          <a:extLst>
            <a:ext uri="{FF2B5EF4-FFF2-40B4-BE49-F238E27FC236}">
              <a16:creationId xmlns:a16="http://schemas.microsoft.com/office/drawing/2014/main" id="{1B011318-50B6-43BD-B716-2D14A45E60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1" name="Elipse 3680">
          <a:extLst>
            <a:ext uri="{FF2B5EF4-FFF2-40B4-BE49-F238E27FC236}">
              <a16:creationId xmlns:a16="http://schemas.microsoft.com/office/drawing/2014/main" id="{1A86F00D-2E2C-4E72-B3E3-26F7308A64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2" name="Elipse 3681">
          <a:extLst>
            <a:ext uri="{FF2B5EF4-FFF2-40B4-BE49-F238E27FC236}">
              <a16:creationId xmlns:a16="http://schemas.microsoft.com/office/drawing/2014/main" id="{8496EB89-2732-4185-AD1E-5647AEB5EC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3" name="Elipse 3682">
          <a:extLst>
            <a:ext uri="{FF2B5EF4-FFF2-40B4-BE49-F238E27FC236}">
              <a16:creationId xmlns:a16="http://schemas.microsoft.com/office/drawing/2014/main" id="{D40CD3D0-5BEA-4156-B75B-5B5D80A73F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4" name="Elipse 3683">
          <a:extLst>
            <a:ext uri="{FF2B5EF4-FFF2-40B4-BE49-F238E27FC236}">
              <a16:creationId xmlns:a16="http://schemas.microsoft.com/office/drawing/2014/main" id="{CDDFE160-9868-44BC-BC8C-C054F9EEB2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5" name="Elipse 3684">
          <a:extLst>
            <a:ext uri="{FF2B5EF4-FFF2-40B4-BE49-F238E27FC236}">
              <a16:creationId xmlns:a16="http://schemas.microsoft.com/office/drawing/2014/main" id="{87D5DF71-515B-40C5-9965-86AD555BE4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6" name="Elipse 3685">
          <a:extLst>
            <a:ext uri="{FF2B5EF4-FFF2-40B4-BE49-F238E27FC236}">
              <a16:creationId xmlns:a16="http://schemas.microsoft.com/office/drawing/2014/main" id="{DC987246-0E0D-4B95-A58B-2789546AFD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7" name="Elipse 3686">
          <a:extLst>
            <a:ext uri="{FF2B5EF4-FFF2-40B4-BE49-F238E27FC236}">
              <a16:creationId xmlns:a16="http://schemas.microsoft.com/office/drawing/2014/main" id="{B42D3DD9-90ED-427C-80CA-35870F0AA0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8" name="Elipse 3687">
          <a:extLst>
            <a:ext uri="{FF2B5EF4-FFF2-40B4-BE49-F238E27FC236}">
              <a16:creationId xmlns:a16="http://schemas.microsoft.com/office/drawing/2014/main" id="{6D2C819A-ADE6-43C7-A037-25243CB454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9" name="Elipse 3688">
          <a:extLst>
            <a:ext uri="{FF2B5EF4-FFF2-40B4-BE49-F238E27FC236}">
              <a16:creationId xmlns:a16="http://schemas.microsoft.com/office/drawing/2014/main" id="{F89EAB04-6F25-4EF4-B6E1-82DB21D119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0" name="Elipse 3689">
          <a:extLst>
            <a:ext uri="{FF2B5EF4-FFF2-40B4-BE49-F238E27FC236}">
              <a16:creationId xmlns:a16="http://schemas.microsoft.com/office/drawing/2014/main" id="{95E79626-1DF7-40CD-8281-463CD2F382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1" name="Elipse 3690">
          <a:extLst>
            <a:ext uri="{FF2B5EF4-FFF2-40B4-BE49-F238E27FC236}">
              <a16:creationId xmlns:a16="http://schemas.microsoft.com/office/drawing/2014/main" id="{05536694-9404-4013-99AF-E019F82F11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2" name="Elipse 3691">
          <a:extLst>
            <a:ext uri="{FF2B5EF4-FFF2-40B4-BE49-F238E27FC236}">
              <a16:creationId xmlns:a16="http://schemas.microsoft.com/office/drawing/2014/main" id="{BD1531F4-FD17-45B9-94D9-4573A2C72F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3" name="Elipse 3692">
          <a:extLst>
            <a:ext uri="{FF2B5EF4-FFF2-40B4-BE49-F238E27FC236}">
              <a16:creationId xmlns:a16="http://schemas.microsoft.com/office/drawing/2014/main" id="{F0D7ACE0-9AAC-41A1-8479-0EE3594C0F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4" name="Elipse 3693">
          <a:extLst>
            <a:ext uri="{FF2B5EF4-FFF2-40B4-BE49-F238E27FC236}">
              <a16:creationId xmlns:a16="http://schemas.microsoft.com/office/drawing/2014/main" id="{A707A2DF-97F4-429B-8E98-2F689C89A9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5" name="Elipse 3694">
          <a:extLst>
            <a:ext uri="{FF2B5EF4-FFF2-40B4-BE49-F238E27FC236}">
              <a16:creationId xmlns:a16="http://schemas.microsoft.com/office/drawing/2014/main" id="{197D4321-8DBC-4647-A754-70B6FBF771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6" name="Elipse 3695">
          <a:extLst>
            <a:ext uri="{FF2B5EF4-FFF2-40B4-BE49-F238E27FC236}">
              <a16:creationId xmlns:a16="http://schemas.microsoft.com/office/drawing/2014/main" id="{02642121-24D4-48BD-BA78-B9D8F6AFFB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7" name="Elipse 3696">
          <a:extLst>
            <a:ext uri="{FF2B5EF4-FFF2-40B4-BE49-F238E27FC236}">
              <a16:creationId xmlns:a16="http://schemas.microsoft.com/office/drawing/2014/main" id="{E34BDD8F-CDE8-4328-8600-A3CC7A7093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8" name="Elipse 3697">
          <a:extLst>
            <a:ext uri="{FF2B5EF4-FFF2-40B4-BE49-F238E27FC236}">
              <a16:creationId xmlns:a16="http://schemas.microsoft.com/office/drawing/2014/main" id="{8403285F-041F-493B-A511-4A7DAFBDF8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9" name="Elipse 3698">
          <a:extLst>
            <a:ext uri="{FF2B5EF4-FFF2-40B4-BE49-F238E27FC236}">
              <a16:creationId xmlns:a16="http://schemas.microsoft.com/office/drawing/2014/main" id="{AFA1C335-80D4-405F-B791-E8244FA486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0" name="Elipse 3699">
          <a:extLst>
            <a:ext uri="{FF2B5EF4-FFF2-40B4-BE49-F238E27FC236}">
              <a16:creationId xmlns:a16="http://schemas.microsoft.com/office/drawing/2014/main" id="{9D8142EC-A766-4F92-B408-7F40F23DFB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1" name="Elipse 3700">
          <a:extLst>
            <a:ext uri="{FF2B5EF4-FFF2-40B4-BE49-F238E27FC236}">
              <a16:creationId xmlns:a16="http://schemas.microsoft.com/office/drawing/2014/main" id="{1979F106-CE4A-4BE0-9996-3B1D598A9C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2" name="Elipse 3701">
          <a:extLst>
            <a:ext uri="{FF2B5EF4-FFF2-40B4-BE49-F238E27FC236}">
              <a16:creationId xmlns:a16="http://schemas.microsoft.com/office/drawing/2014/main" id="{817E4DA5-7E7C-467F-B245-95546700D0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3" name="Elipse 3702">
          <a:extLst>
            <a:ext uri="{FF2B5EF4-FFF2-40B4-BE49-F238E27FC236}">
              <a16:creationId xmlns:a16="http://schemas.microsoft.com/office/drawing/2014/main" id="{47B818EA-7E10-4CD8-9B9A-0E750ECD12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4" name="Elipse 3703">
          <a:extLst>
            <a:ext uri="{FF2B5EF4-FFF2-40B4-BE49-F238E27FC236}">
              <a16:creationId xmlns:a16="http://schemas.microsoft.com/office/drawing/2014/main" id="{0D475B61-B986-44A2-BF52-89CFEFB2D4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5" name="Elipse 3704">
          <a:extLst>
            <a:ext uri="{FF2B5EF4-FFF2-40B4-BE49-F238E27FC236}">
              <a16:creationId xmlns:a16="http://schemas.microsoft.com/office/drawing/2014/main" id="{BD9FC198-1A5F-482F-90F1-39DA0E90AD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6" name="Elipse 3705">
          <a:extLst>
            <a:ext uri="{FF2B5EF4-FFF2-40B4-BE49-F238E27FC236}">
              <a16:creationId xmlns:a16="http://schemas.microsoft.com/office/drawing/2014/main" id="{6245C7C5-EAE8-42CA-8275-761DE5B5EE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7" name="Elipse 3706">
          <a:extLst>
            <a:ext uri="{FF2B5EF4-FFF2-40B4-BE49-F238E27FC236}">
              <a16:creationId xmlns:a16="http://schemas.microsoft.com/office/drawing/2014/main" id="{774275DC-923C-4E9A-9172-59C7F677CD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8" name="Elipse 3707">
          <a:extLst>
            <a:ext uri="{FF2B5EF4-FFF2-40B4-BE49-F238E27FC236}">
              <a16:creationId xmlns:a16="http://schemas.microsoft.com/office/drawing/2014/main" id="{4CEA460E-407F-4FC3-98A9-496D8EDF3E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9" name="Elipse 3708">
          <a:extLst>
            <a:ext uri="{FF2B5EF4-FFF2-40B4-BE49-F238E27FC236}">
              <a16:creationId xmlns:a16="http://schemas.microsoft.com/office/drawing/2014/main" id="{35B9E087-E1AC-430B-9675-F4F33960DB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0" name="Elipse 3709">
          <a:extLst>
            <a:ext uri="{FF2B5EF4-FFF2-40B4-BE49-F238E27FC236}">
              <a16:creationId xmlns:a16="http://schemas.microsoft.com/office/drawing/2014/main" id="{141B39E0-5BEB-4270-8434-AB281970A4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1" name="Elipse 3710">
          <a:extLst>
            <a:ext uri="{FF2B5EF4-FFF2-40B4-BE49-F238E27FC236}">
              <a16:creationId xmlns:a16="http://schemas.microsoft.com/office/drawing/2014/main" id="{7B893EEC-201E-4C11-B0FD-3E603FE553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2" name="Elipse 3711">
          <a:extLst>
            <a:ext uri="{FF2B5EF4-FFF2-40B4-BE49-F238E27FC236}">
              <a16:creationId xmlns:a16="http://schemas.microsoft.com/office/drawing/2014/main" id="{17F5D6D8-D109-4ED7-86CD-BE3A1F73C6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3" name="Elipse 3712">
          <a:extLst>
            <a:ext uri="{FF2B5EF4-FFF2-40B4-BE49-F238E27FC236}">
              <a16:creationId xmlns:a16="http://schemas.microsoft.com/office/drawing/2014/main" id="{F04CA043-1DA2-4EAF-8AF8-9342A00B21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4" name="Elipse 3713">
          <a:extLst>
            <a:ext uri="{FF2B5EF4-FFF2-40B4-BE49-F238E27FC236}">
              <a16:creationId xmlns:a16="http://schemas.microsoft.com/office/drawing/2014/main" id="{FE94E7AE-2257-4C84-80D2-967F213676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5" name="Elipse 3714">
          <a:extLst>
            <a:ext uri="{FF2B5EF4-FFF2-40B4-BE49-F238E27FC236}">
              <a16:creationId xmlns:a16="http://schemas.microsoft.com/office/drawing/2014/main" id="{90E6B399-4518-466E-98A8-FF1AE22874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6" name="Elipse 3715">
          <a:extLst>
            <a:ext uri="{FF2B5EF4-FFF2-40B4-BE49-F238E27FC236}">
              <a16:creationId xmlns:a16="http://schemas.microsoft.com/office/drawing/2014/main" id="{50A338DE-535A-4E5E-B298-4BA4DE87F3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7" name="Elipse 3716">
          <a:extLst>
            <a:ext uri="{FF2B5EF4-FFF2-40B4-BE49-F238E27FC236}">
              <a16:creationId xmlns:a16="http://schemas.microsoft.com/office/drawing/2014/main" id="{D9DA4712-8238-46FD-A334-EDC1A8177F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8" name="Elipse 3717">
          <a:extLst>
            <a:ext uri="{FF2B5EF4-FFF2-40B4-BE49-F238E27FC236}">
              <a16:creationId xmlns:a16="http://schemas.microsoft.com/office/drawing/2014/main" id="{3D3D52E4-5688-4B07-A4BD-0ACF6BDE11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9" name="Elipse 3718">
          <a:extLst>
            <a:ext uri="{FF2B5EF4-FFF2-40B4-BE49-F238E27FC236}">
              <a16:creationId xmlns:a16="http://schemas.microsoft.com/office/drawing/2014/main" id="{C2192B69-AD1A-42E6-A4C2-EFD9CDE975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0" name="Elipse 3719">
          <a:extLst>
            <a:ext uri="{FF2B5EF4-FFF2-40B4-BE49-F238E27FC236}">
              <a16:creationId xmlns:a16="http://schemas.microsoft.com/office/drawing/2014/main" id="{45553611-35A0-4BA8-B7A4-E8F3107A03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1" name="Elipse 3720">
          <a:extLst>
            <a:ext uri="{FF2B5EF4-FFF2-40B4-BE49-F238E27FC236}">
              <a16:creationId xmlns:a16="http://schemas.microsoft.com/office/drawing/2014/main" id="{04F29D30-9865-42D2-8CDB-E8A39D8979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2" name="Elipse 3721">
          <a:extLst>
            <a:ext uri="{FF2B5EF4-FFF2-40B4-BE49-F238E27FC236}">
              <a16:creationId xmlns:a16="http://schemas.microsoft.com/office/drawing/2014/main" id="{0F169A0A-ADDE-4CB2-A81C-A8DD1C5107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3" name="Elipse 3722">
          <a:extLst>
            <a:ext uri="{FF2B5EF4-FFF2-40B4-BE49-F238E27FC236}">
              <a16:creationId xmlns:a16="http://schemas.microsoft.com/office/drawing/2014/main" id="{3813F4D2-74C7-423C-948F-F5C7C40B1F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4" name="Elipse 3723">
          <a:extLst>
            <a:ext uri="{FF2B5EF4-FFF2-40B4-BE49-F238E27FC236}">
              <a16:creationId xmlns:a16="http://schemas.microsoft.com/office/drawing/2014/main" id="{BA81BEF9-21C0-4973-A3A1-EF431430D0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5" name="Elipse 3724">
          <a:extLst>
            <a:ext uri="{FF2B5EF4-FFF2-40B4-BE49-F238E27FC236}">
              <a16:creationId xmlns:a16="http://schemas.microsoft.com/office/drawing/2014/main" id="{82F68E89-4225-40FC-8714-D688E2E374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6" name="Elipse 3725">
          <a:extLst>
            <a:ext uri="{FF2B5EF4-FFF2-40B4-BE49-F238E27FC236}">
              <a16:creationId xmlns:a16="http://schemas.microsoft.com/office/drawing/2014/main" id="{5108E8ED-F1C2-47D8-9438-2F29EC529E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7" name="Elipse 3726">
          <a:extLst>
            <a:ext uri="{FF2B5EF4-FFF2-40B4-BE49-F238E27FC236}">
              <a16:creationId xmlns:a16="http://schemas.microsoft.com/office/drawing/2014/main" id="{085C60AB-91B3-4CE3-AFB7-FB533F029C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8" name="Elipse 3727">
          <a:extLst>
            <a:ext uri="{FF2B5EF4-FFF2-40B4-BE49-F238E27FC236}">
              <a16:creationId xmlns:a16="http://schemas.microsoft.com/office/drawing/2014/main" id="{E4282743-E771-4F96-B712-42CB57E7FE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9" name="Elipse 3728">
          <a:extLst>
            <a:ext uri="{FF2B5EF4-FFF2-40B4-BE49-F238E27FC236}">
              <a16:creationId xmlns:a16="http://schemas.microsoft.com/office/drawing/2014/main" id="{EB47BB03-BADC-4EAC-8DF5-370A572735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0" name="Elipse 3729">
          <a:extLst>
            <a:ext uri="{FF2B5EF4-FFF2-40B4-BE49-F238E27FC236}">
              <a16:creationId xmlns:a16="http://schemas.microsoft.com/office/drawing/2014/main" id="{F8B49283-3361-41D6-98F8-0D15AE264A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1" name="Elipse 3730">
          <a:extLst>
            <a:ext uri="{FF2B5EF4-FFF2-40B4-BE49-F238E27FC236}">
              <a16:creationId xmlns:a16="http://schemas.microsoft.com/office/drawing/2014/main" id="{B21A429D-07B9-4F3B-85E5-23E57B261F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2" name="Elipse 3731">
          <a:extLst>
            <a:ext uri="{FF2B5EF4-FFF2-40B4-BE49-F238E27FC236}">
              <a16:creationId xmlns:a16="http://schemas.microsoft.com/office/drawing/2014/main" id="{B1C8722C-7BF2-4D21-8AC4-C87B2F9CD0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3" name="Elipse 3732">
          <a:extLst>
            <a:ext uri="{FF2B5EF4-FFF2-40B4-BE49-F238E27FC236}">
              <a16:creationId xmlns:a16="http://schemas.microsoft.com/office/drawing/2014/main" id="{0BD029FE-79D7-42D8-9AD0-5511F54D17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4" name="Elipse 3733">
          <a:extLst>
            <a:ext uri="{FF2B5EF4-FFF2-40B4-BE49-F238E27FC236}">
              <a16:creationId xmlns:a16="http://schemas.microsoft.com/office/drawing/2014/main" id="{78B0084C-00BB-473E-84D0-39CCF4CCEF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5" name="Elipse 3734">
          <a:extLst>
            <a:ext uri="{FF2B5EF4-FFF2-40B4-BE49-F238E27FC236}">
              <a16:creationId xmlns:a16="http://schemas.microsoft.com/office/drawing/2014/main" id="{87756EF1-7165-49F4-80D8-485798A843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6" name="Elipse 3735">
          <a:extLst>
            <a:ext uri="{FF2B5EF4-FFF2-40B4-BE49-F238E27FC236}">
              <a16:creationId xmlns:a16="http://schemas.microsoft.com/office/drawing/2014/main" id="{0A61109B-DA16-44D2-8429-BD71D50BF6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7" name="Elipse 3736">
          <a:extLst>
            <a:ext uri="{FF2B5EF4-FFF2-40B4-BE49-F238E27FC236}">
              <a16:creationId xmlns:a16="http://schemas.microsoft.com/office/drawing/2014/main" id="{E5343BDF-17D6-4C8E-9FF5-70FACE7A50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8" name="Elipse 3737">
          <a:extLst>
            <a:ext uri="{FF2B5EF4-FFF2-40B4-BE49-F238E27FC236}">
              <a16:creationId xmlns:a16="http://schemas.microsoft.com/office/drawing/2014/main" id="{A91097C2-6E36-4974-B12A-9583E35E35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9" name="Elipse 3738">
          <a:extLst>
            <a:ext uri="{FF2B5EF4-FFF2-40B4-BE49-F238E27FC236}">
              <a16:creationId xmlns:a16="http://schemas.microsoft.com/office/drawing/2014/main" id="{F309F35C-042D-4AA8-9CE7-6A58F1D073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0" name="Elipse 3739">
          <a:extLst>
            <a:ext uri="{FF2B5EF4-FFF2-40B4-BE49-F238E27FC236}">
              <a16:creationId xmlns:a16="http://schemas.microsoft.com/office/drawing/2014/main" id="{B15D298A-595A-4FA4-8FB4-57F91B3FA7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1" name="Elipse 3740">
          <a:extLst>
            <a:ext uri="{FF2B5EF4-FFF2-40B4-BE49-F238E27FC236}">
              <a16:creationId xmlns:a16="http://schemas.microsoft.com/office/drawing/2014/main" id="{78D1D7B6-1F2B-40AA-8C07-CEC8A39CF6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2" name="Elipse 3741">
          <a:extLst>
            <a:ext uri="{FF2B5EF4-FFF2-40B4-BE49-F238E27FC236}">
              <a16:creationId xmlns:a16="http://schemas.microsoft.com/office/drawing/2014/main" id="{D69B5781-7218-4611-8737-E72FA4D9B0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3" name="Elipse 3742">
          <a:extLst>
            <a:ext uri="{FF2B5EF4-FFF2-40B4-BE49-F238E27FC236}">
              <a16:creationId xmlns:a16="http://schemas.microsoft.com/office/drawing/2014/main" id="{A2664EFF-870F-4DE2-B5D4-9692D5A5B7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4" name="Elipse 3743">
          <a:extLst>
            <a:ext uri="{FF2B5EF4-FFF2-40B4-BE49-F238E27FC236}">
              <a16:creationId xmlns:a16="http://schemas.microsoft.com/office/drawing/2014/main" id="{1620AFE0-BC4F-462C-8EF3-77B80979EB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5" name="Elipse 3744">
          <a:extLst>
            <a:ext uri="{FF2B5EF4-FFF2-40B4-BE49-F238E27FC236}">
              <a16:creationId xmlns:a16="http://schemas.microsoft.com/office/drawing/2014/main" id="{5C8EE12E-15A4-49B1-A44C-A94637EC87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6" name="Elipse 3745">
          <a:extLst>
            <a:ext uri="{FF2B5EF4-FFF2-40B4-BE49-F238E27FC236}">
              <a16:creationId xmlns:a16="http://schemas.microsoft.com/office/drawing/2014/main" id="{F9341D2C-8664-4DD9-BDD8-7884E8C0D1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7" name="Elipse 3746">
          <a:extLst>
            <a:ext uri="{FF2B5EF4-FFF2-40B4-BE49-F238E27FC236}">
              <a16:creationId xmlns:a16="http://schemas.microsoft.com/office/drawing/2014/main" id="{FDE5ADC0-F78A-43BC-B3B4-0DF8F0E868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8" name="Elipse 3747">
          <a:extLst>
            <a:ext uri="{FF2B5EF4-FFF2-40B4-BE49-F238E27FC236}">
              <a16:creationId xmlns:a16="http://schemas.microsoft.com/office/drawing/2014/main" id="{D303B4EB-E09E-4925-90A0-4D4FCA7CBD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9" name="Elipse 3748">
          <a:extLst>
            <a:ext uri="{FF2B5EF4-FFF2-40B4-BE49-F238E27FC236}">
              <a16:creationId xmlns:a16="http://schemas.microsoft.com/office/drawing/2014/main" id="{57ABCDA4-BC11-4BA1-9E8D-64E5137F1E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0" name="Elipse 3749">
          <a:extLst>
            <a:ext uri="{FF2B5EF4-FFF2-40B4-BE49-F238E27FC236}">
              <a16:creationId xmlns:a16="http://schemas.microsoft.com/office/drawing/2014/main" id="{4EA72893-805D-435C-B9DB-25E85FCD54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1" name="Elipse 3750">
          <a:extLst>
            <a:ext uri="{FF2B5EF4-FFF2-40B4-BE49-F238E27FC236}">
              <a16:creationId xmlns:a16="http://schemas.microsoft.com/office/drawing/2014/main" id="{0FBBF983-B57A-477D-A470-7D60320A99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2" name="Elipse 3751">
          <a:extLst>
            <a:ext uri="{FF2B5EF4-FFF2-40B4-BE49-F238E27FC236}">
              <a16:creationId xmlns:a16="http://schemas.microsoft.com/office/drawing/2014/main" id="{CB98BE2C-53A7-44CC-9CA6-27ED2F74F5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3" name="Elipse 3752">
          <a:extLst>
            <a:ext uri="{FF2B5EF4-FFF2-40B4-BE49-F238E27FC236}">
              <a16:creationId xmlns:a16="http://schemas.microsoft.com/office/drawing/2014/main" id="{B377CB7B-8BB2-4512-AE35-F343DE047E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4" name="Elipse 3753">
          <a:extLst>
            <a:ext uri="{FF2B5EF4-FFF2-40B4-BE49-F238E27FC236}">
              <a16:creationId xmlns:a16="http://schemas.microsoft.com/office/drawing/2014/main" id="{1287D4B5-1E9C-4306-9D33-B999EF7FAF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5" name="Elipse 3754">
          <a:extLst>
            <a:ext uri="{FF2B5EF4-FFF2-40B4-BE49-F238E27FC236}">
              <a16:creationId xmlns:a16="http://schemas.microsoft.com/office/drawing/2014/main" id="{35E4A204-4699-4F0C-A520-3A46DA6A78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6" name="Elipse 3755">
          <a:extLst>
            <a:ext uri="{FF2B5EF4-FFF2-40B4-BE49-F238E27FC236}">
              <a16:creationId xmlns:a16="http://schemas.microsoft.com/office/drawing/2014/main" id="{D36C821E-31F2-4348-94BD-943DF63F3B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7" name="Elipse 3756">
          <a:extLst>
            <a:ext uri="{FF2B5EF4-FFF2-40B4-BE49-F238E27FC236}">
              <a16:creationId xmlns:a16="http://schemas.microsoft.com/office/drawing/2014/main" id="{BD835A74-CCD0-4A8D-AB1C-984E8FE057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8" name="Elipse 3757">
          <a:extLst>
            <a:ext uri="{FF2B5EF4-FFF2-40B4-BE49-F238E27FC236}">
              <a16:creationId xmlns:a16="http://schemas.microsoft.com/office/drawing/2014/main" id="{384D8FB1-0AC3-42B2-9651-97B3825D83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9" name="Elipse 3758">
          <a:extLst>
            <a:ext uri="{FF2B5EF4-FFF2-40B4-BE49-F238E27FC236}">
              <a16:creationId xmlns:a16="http://schemas.microsoft.com/office/drawing/2014/main" id="{40CA6B21-7394-4459-B1A2-3A865F40B8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0" name="Elipse 3759">
          <a:extLst>
            <a:ext uri="{FF2B5EF4-FFF2-40B4-BE49-F238E27FC236}">
              <a16:creationId xmlns:a16="http://schemas.microsoft.com/office/drawing/2014/main" id="{20B36046-754C-42F6-9C0E-C80B89F4D3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1" name="Elipse 3760">
          <a:extLst>
            <a:ext uri="{FF2B5EF4-FFF2-40B4-BE49-F238E27FC236}">
              <a16:creationId xmlns:a16="http://schemas.microsoft.com/office/drawing/2014/main" id="{2F117761-FCEE-4A5B-A634-54AF552971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2" name="Elipse 3761">
          <a:extLst>
            <a:ext uri="{FF2B5EF4-FFF2-40B4-BE49-F238E27FC236}">
              <a16:creationId xmlns:a16="http://schemas.microsoft.com/office/drawing/2014/main" id="{A26F59BD-5CA7-4F9A-AF7E-6652D43977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3" name="Elipse 3762">
          <a:extLst>
            <a:ext uri="{FF2B5EF4-FFF2-40B4-BE49-F238E27FC236}">
              <a16:creationId xmlns:a16="http://schemas.microsoft.com/office/drawing/2014/main" id="{C24D5F1E-8657-497E-99F5-C7A000D173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4" name="Elipse 3763">
          <a:extLst>
            <a:ext uri="{FF2B5EF4-FFF2-40B4-BE49-F238E27FC236}">
              <a16:creationId xmlns:a16="http://schemas.microsoft.com/office/drawing/2014/main" id="{8ABF0395-0C9C-43C4-ACA2-0D1AD05B1B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5" name="Elipse 3764">
          <a:extLst>
            <a:ext uri="{FF2B5EF4-FFF2-40B4-BE49-F238E27FC236}">
              <a16:creationId xmlns:a16="http://schemas.microsoft.com/office/drawing/2014/main" id="{BA00ED96-B46B-4783-AF47-F026BB553F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6" name="Elipse 3765">
          <a:extLst>
            <a:ext uri="{FF2B5EF4-FFF2-40B4-BE49-F238E27FC236}">
              <a16:creationId xmlns:a16="http://schemas.microsoft.com/office/drawing/2014/main" id="{4E360028-8A2D-4EF1-8B1B-034BED9402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7" name="Elipse 3766">
          <a:extLst>
            <a:ext uri="{FF2B5EF4-FFF2-40B4-BE49-F238E27FC236}">
              <a16:creationId xmlns:a16="http://schemas.microsoft.com/office/drawing/2014/main" id="{F2685316-159C-4BAA-9EED-EF45758129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8" name="Elipse 3767">
          <a:extLst>
            <a:ext uri="{FF2B5EF4-FFF2-40B4-BE49-F238E27FC236}">
              <a16:creationId xmlns:a16="http://schemas.microsoft.com/office/drawing/2014/main" id="{0A84991A-44CC-41F6-B537-D51B2F5F74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9" name="Elipse 3768">
          <a:extLst>
            <a:ext uri="{FF2B5EF4-FFF2-40B4-BE49-F238E27FC236}">
              <a16:creationId xmlns:a16="http://schemas.microsoft.com/office/drawing/2014/main" id="{D7F66F0E-84C4-45DE-8395-E265E47CEE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0" name="Elipse 3769">
          <a:extLst>
            <a:ext uri="{FF2B5EF4-FFF2-40B4-BE49-F238E27FC236}">
              <a16:creationId xmlns:a16="http://schemas.microsoft.com/office/drawing/2014/main" id="{DA9F4960-A894-4E6F-8C70-CEDDA8A0B0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1" name="Elipse 3770">
          <a:extLst>
            <a:ext uri="{FF2B5EF4-FFF2-40B4-BE49-F238E27FC236}">
              <a16:creationId xmlns:a16="http://schemas.microsoft.com/office/drawing/2014/main" id="{C1764FC5-2DD8-42CE-A932-09BC39F143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2" name="Elipse 3771">
          <a:extLst>
            <a:ext uri="{FF2B5EF4-FFF2-40B4-BE49-F238E27FC236}">
              <a16:creationId xmlns:a16="http://schemas.microsoft.com/office/drawing/2014/main" id="{7033DCE1-D7E7-4C62-8DEC-803F436BCD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3" name="Elipse 3772">
          <a:extLst>
            <a:ext uri="{FF2B5EF4-FFF2-40B4-BE49-F238E27FC236}">
              <a16:creationId xmlns:a16="http://schemas.microsoft.com/office/drawing/2014/main" id="{F77C192F-0AC1-4652-AA91-24992314E2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4" name="Elipse 3773">
          <a:extLst>
            <a:ext uri="{FF2B5EF4-FFF2-40B4-BE49-F238E27FC236}">
              <a16:creationId xmlns:a16="http://schemas.microsoft.com/office/drawing/2014/main" id="{467253F3-11E0-4133-ABE2-CC49A69DCB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5" name="Elipse 3774">
          <a:extLst>
            <a:ext uri="{FF2B5EF4-FFF2-40B4-BE49-F238E27FC236}">
              <a16:creationId xmlns:a16="http://schemas.microsoft.com/office/drawing/2014/main" id="{C4BC94C5-AC88-4D56-BA8A-FFF611619B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6" name="Elipse 3775">
          <a:extLst>
            <a:ext uri="{FF2B5EF4-FFF2-40B4-BE49-F238E27FC236}">
              <a16:creationId xmlns:a16="http://schemas.microsoft.com/office/drawing/2014/main" id="{A6F2EBC4-8D02-4725-BF39-940B3CFEEF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7" name="Elipse 3776">
          <a:extLst>
            <a:ext uri="{FF2B5EF4-FFF2-40B4-BE49-F238E27FC236}">
              <a16:creationId xmlns:a16="http://schemas.microsoft.com/office/drawing/2014/main" id="{D929D5B4-AACC-43FE-909C-AC077CDAE9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8" name="Elipse 3777">
          <a:extLst>
            <a:ext uri="{FF2B5EF4-FFF2-40B4-BE49-F238E27FC236}">
              <a16:creationId xmlns:a16="http://schemas.microsoft.com/office/drawing/2014/main" id="{E1FE477E-AFC5-464B-856E-8BA12D9391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9" name="Elipse 3778">
          <a:extLst>
            <a:ext uri="{FF2B5EF4-FFF2-40B4-BE49-F238E27FC236}">
              <a16:creationId xmlns:a16="http://schemas.microsoft.com/office/drawing/2014/main" id="{4548A915-903C-4A67-A3E0-27B9EFEB72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0" name="Elipse 3779">
          <a:extLst>
            <a:ext uri="{FF2B5EF4-FFF2-40B4-BE49-F238E27FC236}">
              <a16:creationId xmlns:a16="http://schemas.microsoft.com/office/drawing/2014/main" id="{F433C404-3794-49C5-ADB3-824EB80ADF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1" name="Elipse 3780">
          <a:extLst>
            <a:ext uri="{FF2B5EF4-FFF2-40B4-BE49-F238E27FC236}">
              <a16:creationId xmlns:a16="http://schemas.microsoft.com/office/drawing/2014/main" id="{93F17491-C98A-4784-9111-EDBDC70C4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2" name="Elipse 3781">
          <a:extLst>
            <a:ext uri="{FF2B5EF4-FFF2-40B4-BE49-F238E27FC236}">
              <a16:creationId xmlns:a16="http://schemas.microsoft.com/office/drawing/2014/main" id="{073F1F43-A7CD-48CC-AAD9-24A654657D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3" name="Elipse 3782">
          <a:extLst>
            <a:ext uri="{FF2B5EF4-FFF2-40B4-BE49-F238E27FC236}">
              <a16:creationId xmlns:a16="http://schemas.microsoft.com/office/drawing/2014/main" id="{13B0E4A6-20DF-4882-94E4-F3DC189A2A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4" name="Elipse 3783">
          <a:extLst>
            <a:ext uri="{FF2B5EF4-FFF2-40B4-BE49-F238E27FC236}">
              <a16:creationId xmlns:a16="http://schemas.microsoft.com/office/drawing/2014/main" id="{29BFB6BE-2904-46DA-AED0-326DBEF1DC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5" name="Elipse 3784">
          <a:extLst>
            <a:ext uri="{FF2B5EF4-FFF2-40B4-BE49-F238E27FC236}">
              <a16:creationId xmlns:a16="http://schemas.microsoft.com/office/drawing/2014/main" id="{16C67240-B226-46DB-877F-D762C2F0E1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6" name="Elipse 3785">
          <a:extLst>
            <a:ext uri="{FF2B5EF4-FFF2-40B4-BE49-F238E27FC236}">
              <a16:creationId xmlns:a16="http://schemas.microsoft.com/office/drawing/2014/main" id="{094B5ED8-8C9B-4D91-8DC3-0B70705B04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7" name="Elipse 3786">
          <a:extLst>
            <a:ext uri="{FF2B5EF4-FFF2-40B4-BE49-F238E27FC236}">
              <a16:creationId xmlns:a16="http://schemas.microsoft.com/office/drawing/2014/main" id="{FE1FBB73-D124-4B09-AAFF-D9DDF62563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8" name="Elipse 3787">
          <a:extLst>
            <a:ext uri="{FF2B5EF4-FFF2-40B4-BE49-F238E27FC236}">
              <a16:creationId xmlns:a16="http://schemas.microsoft.com/office/drawing/2014/main" id="{5AB17B76-4C08-419B-8B36-78DD1C6016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9" name="Elipse 3788">
          <a:extLst>
            <a:ext uri="{FF2B5EF4-FFF2-40B4-BE49-F238E27FC236}">
              <a16:creationId xmlns:a16="http://schemas.microsoft.com/office/drawing/2014/main" id="{F00FD430-64BF-4666-9B9E-A08621BE35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0" name="Elipse 3789">
          <a:extLst>
            <a:ext uri="{FF2B5EF4-FFF2-40B4-BE49-F238E27FC236}">
              <a16:creationId xmlns:a16="http://schemas.microsoft.com/office/drawing/2014/main" id="{5ABA862B-F47B-4C41-9E66-79E8D59895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1" name="Elipse 3790">
          <a:extLst>
            <a:ext uri="{FF2B5EF4-FFF2-40B4-BE49-F238E27FC236}">
              <a16:creationId xmlns:a16="http://schemas.microsoft.com/office/drawing/2014/main" id="{A55937D1-2E2F-4046-9523-4FF654EB02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2" name="Elipse 3791">
          <a:extLst>
            <a:ext uri="{FF2B5EF4-FFF2-40B4-BE49-F238E27FC236}">
              <a16:creationId xmlns:a16="http://schemas.microsoft.com/office/drawing/2014/main" id="{566BE2F7-33B2-46E5-9DBB-DE3A570284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3" name="Elipse 3792">
          <a:extLst>
            <a:ext uri="{FF2B5EF4-FFF2-40B4-BE49-F238E27FC236}">
              <a16:creationId xmlns:a16="http://schemas.microsoft.com/office/drawing/2014/main" id="{04B44A2B-41DB-41E8-997A-2CCBB86712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4" name="Elipse 3793">
          <a:extLst>
            <a:ext uri="{FF2B5EF4-FFF2-40B4-BE49-F238E27FC236}">
              <a16:creationId xmlns:a16="http://schemas.microsoft.com/office/drawing/2014/main" id="{7E586578-4724-4816-8AF9-C5A1E21016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5" name="Elipse 3794">
          <a:extLst>
            <a:ext uri="{FF2B5EF4-FFF2-40B4-BE49-F238E27FC236}">
              <a16:creationId xmlns:a16="http://schemas.microsoft.com/office/drawing/2014/main" id="{C6538150-A016-4E26-B105-392CC040A2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6" name="Elipse 3795">
          <a:extLst>
            <a:ext uri="{FF2B5EF4-FFF2-40B4-BE49-F238E27FC236}">
              <a16:creationId xmlns:a16="http://schemas.microsoft.com/office/drawing/2014/main" id="{11E9350C-F3C1-40E6-A61C-3CEE516ED7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7" name="Elipse 3796">
          <a:extLst>
            <a:ext uri="{FF2B5EF4-FFF2-40B4-BE49-F238E27FC236}">
              <a16:creationId xmlns:a16="http://schemas.microsoft.com/office/drawing/2014/main" id="{ADDFA112-02C7-45D6-87B1-B660378B98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8" name="Elipse 3797">
          <a:extLst>
            <a:ext uri="{FF2B5EF4-FFF2-40B4-BE49-F238E27FC236}">
              <a16:creationId xmlns:a16="http://schemas.microsoft.com/office/drawing/2014/main" id="{78FB3D98-C948-4D6F-9AA7-1DD6FB112C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9" name="Elipse 3798">
          <a:extLst>
            <a:ext uri="{FF2B5EF4-FFF2-40B4-BE49-F238E27FC236}">
              <a16:creationId xmlns:a16="http://schemas.microsoft.com/office/drawing/2014/main" id="{872D04DA-C206-49D9-B41B-DE99FE8D7E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0" name="Elipse 3799">
          <a:extLst>
            <a:ext uri="{FF2B5EF4-FFF2-40B4-BE49-F238E27FC236}">
              <a16:creationId xmlns:a16="http://schemas.microsoft.com/office/drawing/2014/main" id="{3E421C85-A175-47D8-BA94-FE2328525D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1" name="Elipse 3800">
          <a:extLst>
            <a:ext uri="{FF2B5EF4-FFF2-40B4-BE49-F238E27FC236}">
              <a16:creationId xmlns:a16="http://schemas.microsoft.com/office/drawing/2014/main" id="{660BA9E8-20F0-4B61-92FF-58DB3B1837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2" name="Elipse 3801">
          <a:extLst>
            <a:ext uri="{FF2B5EF4-FFF2-40B4-BE49-F238E27FC236}">
              <a16:creationId xmlns:a16="http://schemas.microsoft.com/office/drawing/2014/main" id="{16B0619D-4070-4DB2-8E06-0FC9E1DDA0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3" name="Elipse 3802">
          <a:extLst>
            <a:ext uri="{FF2B5EF4-FFF2-40B4-BE49-F238E27FC236}">
              <a16:creationId xmlns:a16="http://schemas.microsoft.com/office/drawing/2014/main" id="{989CD768-DB2F-4794-A2D0-F510173428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4" name="Elipse 3803">
          <a:extLst>
            <a:ext uri="{FF2B5EF4-FFF2-40B4-BE49-F238E27FC236}">
              <a16:creationId xmlns:a16="http://schemas.microsoft.com/office/drawing/2014/main" id="{C25C9283-6FA8-4E32-A088-17E287E14D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5" name="Elipse 3804">
          <a:extLst>
            <a:ext uri="{FF2B5EF4-FFF2-40B4-BE49-F238E27FC236}">
              <a16:creationId xmlns:a16="http://schemas.microsoft.com/office/drawing/2014/main" id="{9EA2FD15-13F0-47F4-A6FE-3EEB102AA9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6" name="Elipse 3805">
          <a:extLst>
            <a:ext uri="{FF2B5EF4-FFF2-40B4-BE49-F238E27FC236}">
              <a16:creationId xmlns:a16="http://schemas.microsoft.com/office/drawing/2014/main" id="{D8BB785B-FCD8-448D-A072-DF51322E3A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7" name="Elipse 3806">
          <a:extLst>
            <a:ext uri="{FF2B5EF4-FFF2-40B4-BE49-F238E27FC236}">
              <a16:creationId xmlns:a16="http://schemas.microsoft.com/office/drawing/2014/main" id="{212C0ACE-9922-4754-AD1C-E6F4384E8F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8" name="Elipse 3807">
          <a:extLst>
            <a:ext uri="{FF2B5EF4-FFF2-40B4-BE49-F238E27FC236}">
              <a16:creationId xmlns:a16="http://schemas.microsoft.com/office/drawing/2014/main" id="{BF7E1DF3-E62D-4DCE-B10F-6FFCABC22B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9" name="Elipse 3808">
          <a:extLst>
            <a:ext uri="{FF2B5EF4-FFF2-40B4-BE49-F238E27FC236}">
              <a16:creationId xmlns:a16="http://schemas.microsoft.com/office/drawing/2014/main" id="{74C6ECC9-DCE1-47E5-8E2E-3072425F88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0" name="Elipse 3809">
          <a:extLst>
            <a:ext uri="{FF2B5EF4-FFF2-40B4-BE49-F238E27FC236}">
              <a16:creationId xmlns:a16="http://schemas.microsoft.com/office/drawing/2014/main" id="{FC0D7B9B-CB2E-4F13-BC07-3C9C7CB6B3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1" name="Elipse 3810">
          <a:extLst>
            <a:ext uri="{FF2B5EF4-FFF2-40B4-BE49-F238E27FC236}">
              <a16:creationId xmlns:a16="http://schemas.microsoft.com/office/drawing/2014/main" id="{F2969E3E-9751-4B70-811E-5125C7C779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2" name="Elipse 3811">
          <a:extLst>
            <a:ext uri="{FF2B5EF4-FFF2-40B4-BE49-F238E27FC236}">
              <a16:creationId xmlns:a16="http://schemas.microsoft.com/office/drawing/2014/main" id="{D16AD828-D18B-41B5-85D9-583F20A291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3" name="Elipse 3812">
          <a:extLst>
            <a:ext uri="{FF2B5EF4-FFF2-40B4-BE49-F238E27FC236}">
              <a16:creationId xmlns:a16="http://schemas.microsoft.com/office/drawing/2014/main" id="{2DBA5F52-74A1-40EB-A505-40B5C57E7E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4" name="Elipse 3813">
          <a:extLst>
            <a:ext uri="{FF2B5EF4-FFF2-40B4-BE49-F238E27FC236}">
              <a16:creationId xmlns:a16="http://schemas.microsoft.com/office/drawing/2014/main" id="{7C7BD6BE-8BE4-4F4D-91CB-2B4334F990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5" name="Elipse 3814">
          <a:extLst>
            <a:ext uri="{FF2B5EF4-FFF2-40B4-BE49-F238E27FC236}">
              <a16:creationId xmlns:a16="http://schemas.microsoft.com/office/drawing/2014/main" id="{4C7716AC-F69C-4200-B99B-E5029B3503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6" name="Elipse 3815">
          <a:extLst>
            <a:ext uri="{FF2B5EF4-FFF2-40B4-BE49-F238E27FC236}">
              <a16:creationId xmlns:a16="http://schemas.microsoft.com/office/drawing/2014/main" id="{8595EEF2-8B88-4937-A222-8B38CBF2BC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7" name="Elipse 3816">
          <a:extLst>
            <a:ext uri="{FF2B5EF4-FFF2-40B4-BE49-F238E27FC236}">
              <a16:creationId xmlns:a16="http://schemas.microsoft.com/office/drawing/2014/main" id="{F06535E0-6B1C-4D43-A3D9-EA806B2162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8" name="Elipse 3817">
          <a:extLst>
            <a:ext uri="{FF2B5EF4-FFF2-40B4-BE49-F238E27FC236}">
              <a16:creationId xmlns:a16="http://schemas.microsoft.com/office/drawing/2014/main" id="{8ADB4EB0-42F7-48C8-873B-1956CB8FEF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9" name="Elipse 3818">
          <a:extLst>
            <a:ext uri="{FF2B5EF4-FFF2-40B4-BE49-F238E27FC236}">
              <a16:creationId xmlns:a16="http://schemas.microsoft.com/office/drawing/2014/main" id="{B2137CC7-5E83-4486-B9FB-7CDEE25A55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0" name="Elipse 3819">
          <a:extLst>
            <a:ext uri="{FF2B5EF4-FFF2-40B4-BE49-F238E27FC236}">
              <a16:creationId xmlns:a16="http://schemas.microsoft.com/office/drawing/2014/main" id="{15A36950-838B-4BF9-BADC-8178090B09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1" name="Elipse 3820">
          <a:extLst>
            <a:ext uri="{FF2B5EF4-FFF2-40B4-BE49-F238E27FC236}">
              <a16:creationId xmlns:a16="http://schemas.microsoft.com/office/drawing/2014/main" id="{FE79D5CF-E0B3-457B-A3EA-1F0C60C076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2" name="Elipse 3821">
          <a:extLst>
            <a:ext uri="{FF2B5EF4-FFF2-40B4-BE49-F238E27FC236}">
              <a16:creationId xmlns:a16="http://schemas.microsoft.com/office/drawing/2014/main" id="{557A14E1-4447-4C38-9054-9DCDB970FE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3" name="Elipse 3822">
          <a:extLst>
            <a:ext uri="{FF2B5EF4-FFF2-40B4-BE49-F238E27FC236}">
              <a16:creationId xmlns:a16="http://schemas.microsoft.com/office/drawing/2014/main" id="{5BFA8BA3-5BDA-4D99-8648-052CF8B813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4" name="Elipse 3823">
          <a:extLst>
            <a:ext uri="{FF2B5EF4-FFF2-40B4-BE49-F238E27FC236}">
              <a16:creationId xmlns:a16="http://schemas.microsoft.com/office/drawing/2014/main" id="{907F092F-53C8-49AA-B11C-80D66949F3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5" name="Elipse 3824">
          <a:extLst>
            <a:ext uri="{FF2B5EF4-FFF2-40B4-BE49-F238E27FC236}">
              <a16:creationId xmlns:a16="http://schemas.microsoft.com/office/drawing/2014/main" id="{0F62DBD7-042A-4C6D-ABA6-EF49FBC5AC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6" name="Elipse 3825">
          <a:extLst>
            <a:ext uri="{FF2B5EF4-FFF2-40B4-BE49-F238E27FC236}">
              <a16:creationId xmlns:a16="http://schemas.microsoft.com/office/drawing/2014/main" id="{6D448989-E73B-4430-946A-F0FBEEB229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7" name="Elipse 3826">
          <a:extLst>
            <a:ext uri="{FF2B5EF4-FFF2-40B4-BE49-F238E27FC236}">
              <a16:creationId xmlns:a16="http://schemas.microsoft.com/office/drawing/2014/main" id="{A484EA95-4721-461D-8E96-1BFE653AC1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8" name="Elipse 3827">
          <a:extLst>
            <a:ext uri="{FF2B5EF4-FFF2-40B4-BE49-F238E27FC236}">
              <a16:creationId xmlns:a16="http://schemas.microsoft.com/office/drawing/2014/main" id="{AA51DCD0-3A10-422C-B721-D7D6C779FC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9" name="Elipse 3828">
          <a:extLst>
            <a:ext uri="{FF2B5EF4-FFF2-40B4-BE49-F238E27FC236}">
              <a16:creationId xmlns:a16="http://schemas.microsoft.com/office/drawing/2014/main" id="{6191573A-E089-4851-AD87-E7D2216324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0" name="Elipse 3829">
          <a:extLst>
            <a:ext uri="{FF2B5EF4-FFF2-40B4-BE49-F238E27FC236}">
              <a16:creationId xmlns:a16="http://schemas.microsoft.com/office/drawing/2014/main" id="{33606CD5-E4E7-484D-83DA-D4A624E6C5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1" name="Elipse 3830">
          <a:extLst>
            <a:ext uri="{FF2B5EF4-FFF2-40B4-BE49-F238E27FC236}">
              <a16:creationId xmlns:a16="http://schemas.microsoft.com/office/drawing/2014/main" id="{1F2DC70B-8E63-4F6D-993F-5CB23F0B9C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2" name="Elipse 3831">
          <a:extLst>
            <a:ext uri="{FF2B5EF4-FFF2-40B4-BE49-F238E27FC236}">
              <a16:creationId xmlns:a16="http://schemas.microsoft.com/office/drawing/2014/main" id="{9E1A13D1-D1DE-49D9-9C9B-A41B84E7D3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3" name="Elipse 3832">
          <a:extLst>
            <a:ext uri="{FF2B5EF4-FFF2-40B4-BE49-F238E27FC236}">
              <a16:creationId xmlns:a16="http://schemas.microsoft.com/office/drawing/2014/main" id="{0C1C4802-D48A-4E17-9708-436BAFC967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4" name="Elipse 3833">
          <a:extLst>
            <a:ext uri="{FF2B5EF4-FFF2-40B4-BE49-F238E27FC236}">
              <a16:creationId xmlns:a16="http://schemas.microsoft.com/office/drawing/2014/main" id="{E4955E26-23D3-446B-AEA7-B7FDC89177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5" name="Elipse 3834">
          <a:extLst>
            <a:ext uri="{FF2B5EF4-FFF2-40B4-BE49-F238E27FC236}">
              <a16:creationId xmlns:a16="http://schemas.microsoft.com/office/drawing/2014/main" id="{6BA77DB0-216B-4037-98BA-F2D443AC3A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6" name="Elipse 3835">
          <a:extLst>
            <a:ext uri="{FF2B5EF4-FFF2-40B4-BE49-F238E27FC236}">
              <a16:creationId xmlns:a16="http://schemas.microsoft.com/office/drawing/2014/main" id="{4BD0E519-6040-431B-870C-EEBA2C6DED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7" name="Elipse 3836">
          <a:extLst>
            <a:ext uri="{FF2B5EF4-FFF2-40B4-BE49-F238E27FC236}">
              <a16:creationId xmlns:a16="http://schemas.microsoft.com/office/drawing/2014/main" id="{64989A5F-B2BE-4D86-B2F1-C3F213DF4E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8" name="Elipse 3837">
          <a:extLst>
            <a:ext uri="{FF2B5EF4-FFF2-40B4-BE49-F238E27FC236}">
              <a16:creationId xmlns:a16="http://schemas.microsoft.com/office/drawing/2014/main" id="{70962691-7EB7-47D5-916A-771D248FED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9" name="Elipse 3838">
          <a:extLst>
            <a:ext uri="{FF2B5EF4-FFF2-40B4-BE49-F238E27FC236}">
              <a16:creationId xmlns:a16="http://schemas.microsoft.com/office/drawing/2014/main" id="{65A5F5DC-EEAE-4E94-B5C1-757618D942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0" name="Elipse 3839">
          <a:extLst>
            <a:ext uri="{FF2B5EF4-FFF2-40B4-BE49-F238E27FC236}">
              <a16:creationId xmlns:a16="http://schemas.microsoft.com/office/drawing/2014/main" id="{2CE45AFD-7D95-4280-970D-25F4FEB4D0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1" name="Elipse 3840">
          <a:extLst>
            <a:ext uri="{FF2B5EF4-FFF2-40B4-BE49-F238E27FC236}">
              <a16:creationId xmlns:a16="http://schemas.microsoft.com/office/drawing/2014/main" id="{016D65A0-7CAD-4DEE-AA26-848D105B8C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2" name="Elipse 3841">
          <a:extLst>
            <a:ext uri="{FF2B5EF4-FFF2-40B4-BE49-F238E27FC236}">
              <a16:creationId xmlns:a16="http://schemas.microsoft.com/office/drawing/2014/main" id="{64D7E8A1-5294-41D6-8F29-29554FBB64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3" name="Elipse 3842">
          <a:extLst>
            <a:ext uri="{FF2B5EF4-FFF2-40B4-BE49-F238E27FC236}">
              <a16:creationId xmlns:a16="http://schemas.microsoft.com/office/drawing/2014/main" id="{95240380-D8C6-43B8-AA32-B0BF786421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4" name="Elipse 3843">
          <a:extLst>
            <a:ext uri="{FF2B5EF4-FFF2-40B4-BE49-F238E27FC236}">
              <a16:creationId xmlns:a16="http://schemas.microsoft.com/office/drawing/2014/main" id="{0D680DF0-C25C-40EA-9B6A-1780421849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5" name="Elipse 3844">
          <a:extLst>
            <a:ext uri="{FF2B5EF4-FFF2-40B4-BE49-F238E27FC236}">
              <a16:creationId xmlns:a16="http://schemas.microsoft.com/office/drawing/2014/main" id="{3442606E-7CCA-4BE6-9F62-DD3E0B9EEB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6" name="Elipse 3845">
          <a:extLst>
            <a:ext uri="{FF2B5EF4-FFF2-40B4-BE49-F238E27FC236}">
              <a16:creationId xmlns:a16="http://schemas.microsoft.com/office/drawing/2014/main" id="{491C1329-04E6-4C02-85B1-5928F2561A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7" name="Elipse 3846">
          <a:extLst>
            <a:ext uri="{FF2B5EF4-FFF2-40B4-BE49-F238E27FC236}">
              <a16:creationId xmlns:a16="http://schemas.microsoft.com/office/drawing/2014/main" id="{FC7E266C-AE4B-4818-9620-0EF1FC9D14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8" name="Elipse 3847">
          <a:extLst>
            <a:ext uri="{FF2B5EF4-FFF2-40B4-BE49-F238E27FC236}">
              <a16:creationId xmlns:a16="http://schemas.microsoft.com/office/drawing/2014/main" id="{AD39471E-AF6D-463D-BC97-1BAD1329C9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9" name="Elipse 3848">
          <a:extLst>
            <a:ext uri="{FF2B5EF4-FFF2-40B4-BE49-F238E27FC236}">
              <a16:creationId xmlns:a16="http://schemas.microsoft.com/office/drawing/2014/main" id="{9C415625-2FCC-44FC-BE74-47BF5B1F31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0" name="Elipse 3849">
          <a:extLst>
            <a:ext uri="{FF2B5EF4-FFF2-40B4-BE49-F238E27FC236}">
              <a16:creationId xmlns:a16="http://schemas.microsoft.com/office/drawing/2014/main" id="{9BE34EB2-836C-41F4-A2E5-4F10A5ED91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1" name="Elipse 3850">
          <a:extLst>
            <a:ext uri="{FF2B5EF4-FFF2-40B4-BE49-F238E27FC236}">
              <a16:creationId xmlns:a16="http://schemas.microsoft.com/office/drawing/2014/main" id="{CCCA1053-91FF-4FC3-974A-6DF4115340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2" name="Elipse 3851">
          <a:extLst>
            <a:ext uri="{FF2B5EF4-FFF2-40B4-BE49-F238E27FC236}">
              <a16:creationId xmlns:a16="http://schemas.microsoft.com/office/drawing/2014/main" id="{C7054492-E6AF-47FA-863B-E6F3A70777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3" name="Elipse 3852">
          <a:extLst>
            <a:ext uri="{FF2B5EF4-FFF2-40B4-BE49-F238E27FC236}">
              <a16:creationId xmlns:a16="http://schemas.microsoft.com/office/drawing/2014/main" id="{1A6953C5-2A71-442E-B107-BC19B24E21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4" name="Elipse 3853">
          <a:extLst>
            <a:ext uri="{FF2B5EF4-FFF2-40B4-BE49-F238E27FC236}">
              <a16:creationId xmlns:a16="http://schemas.microsoft.com/office/drawing/2014/main" id="{100C4DBD-19E8-446F-8BF5-967622F797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5" name="Elipse 3854">
          <a:extLst>
            <a:ext uri="{FF2B5EF4-FFF2-40B4-BE49-F238E27FC236}">
              <a16:creationId xmlns:a16="http://schemas.microsoft.com/office/drawing/2014/main" id="{3E3A96DD-5FC7-4BAB-83FB-F695D5FB7F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6" name="Elipse 3855">
          <a:extLst>
            <a:ext uri="{FF2B5EF4-FFF2-40B4-BE49-F238E27FC236}">
              <a16:creationId xmlns:a16="http://schemas.microsoft.com/office/drawing/2014/main" id="{385B8078-72CE-4BA9-BB62-6C348A5736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7" name="Elipse 3856">
          <a:extLst>
            <a:ext uri="{FF2B5EF4-FFF2-40B4-BE49-F238E27FC236}">
              <a16:creationId xmlns:a16="http://schemas.microsoft.com/office/drawing/2014/main" id="{B4B9E220-4971-4C70-9F40-3B98A13F0D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8" name="Elipse 3857">
          <a:extLst>
            <a:ext uri="{FF2B5EF4-FFF2-40B4-BE49-F238E27FC236}">
              <a16:creationId xmlns:a16="http://schemas.microsoft.com/office/drawing/2014/main" id="{33B4A754-C870-41F2-82AD-DEE2C85FBB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9" name="Elipse 3858">
          <a:extLst>
            <a:ext uri="{FF2B5EF4-FFF2-40B4-BE49-F238E27FC236}">
              <a16:creationId xmlns:a16="http://schemas.microsoft.com/office/drawing/2014/main" id="{F61DB578-29CA-4FF6-8B25-E40BFDFA61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0" name="Elipse 3859">
          <a:extLst>
            <a:ext uri="{FF2B5EF4-FFF2-40B4-BE49-F238E27FC236}">
              <a16:creationId xmlns:a16="http://schemas.microsoft.com/office/drawing/2014/main" id="{B13D0B51-A690-4664-AEDE-7080C58F13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1" name="Elipse 3860">
          <a:extLst>
            <a:ext uri="{FF2B5EF4-FFF2-40B4-BE49-F238E27FC236}">
              <a16:creationId xmlns:a16="http://schemas.microsoft.com/office/drawing/2014/main" id="{DF8D3A16-2420-4144-B8DD-59AA73A7B1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2" name="Elipse 3861">
          <a:extLst>
            <a:ext uri="{FF2B5EF4-FFF2-40B4-BE49-F238E27FC236}">
              <a16:creationId xmlns:a16="http://schemas.microsoft.com/office/drawing/2014/main" id="{CA2FF3F7-5D25-49F6-9DF1-46FAF434B1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3" name="Elipse 3862">
          <a:extLst>
            <a:ext uri="{FF2B5EF4-FFF2-40B4-BE49-F238E27FC236}">
              <a16:creationId xmlns:a16="http://schemas.microsoft.com/office/drawing/2014/main" id="{ABA052EF-09B1-40C5-A87D-9DC7D854B6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4" name="Elipse 3863">
          <a:extLst>
            <a:ext uri="{FF2B5EF4-FFF2-40B4-BE49-F238E27FC236}">
              <a16:creationId xmlns:a16="http://schemas.microsoft.com/office/drawing/2014/main" id="{CCF58588-3717-4238-AEF0-108195AD17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5" name="Elipse 3864">
          <a:extLst>
            <a:ext uri="{FF2B5EF4-FFF2-40B4-BE49-F238E27FC236}">
              <a16:creationId xmlns:a16="http://schemas.microsoft.com/office/drawing/2014/main" id="{468E0CCF-FEDE-4CA3-BD87-6E8D5F91DB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6" name="Elipse 3865">
          <a:extLst>
            <a:ext uri="{FF2B5EF4-FFF2-40B4-BE49-F238E27FC236}">
              <a16:creationId xmlns:a16="http://schemas.microsoft.com/office/drawing/2014/main" id="{4C8825A2-059A-462B-9AEB-6FF409A098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7" name="Elipse 3866">
          <a:extLst>
            <a:ext uri="{FF2B5EF4-FFF2-40B4-BE49-F238E27FC236}">
              <a16:creationId xmlns:a16="http://schemas.microsoft.com/office/drawing/2014/main" id="{57DADCC1-9812-4FD4-9CBF-758A022FEE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8" name="Elipse 3867">
          <a:extLst>
            <a:ext uri="{FF2B5EF4-FFF2-40B4-BE49-F238E27FC236}">
              <a16:creationId xmlns:a16="http://schemas.microsoft.com/office/drawing/2014/main" id="{7E4A23A1-C065-46FE-B5AA-CF955BC572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9" name="Elipse 3868">
          <a:extLst>
            <a:ext uri="{FF2B5EF4-FFF2-40B4-BE49-F238E27FC236}">
              <a16:creationId xmlns:a16="http://schemas.microsoft.com/office/drawing/2014/main" id="{69B65963-B7EB-491F-8D8C-3037CF06BB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0" name="Elipse 3869">
          <a:extLst>
            <a:ext uri="{FF2B5EF4-FFF2-40B4-BE49-F238E27FC236}">
              <a16:creationId xmlns:a16="http://schemas.microsoft.com/office/drawing/2014/main" id="{BD08A334-6AB7-4B45-B780-37C107F910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1" name="Elipse 3870">
          <a:extLst>
            <a:ext uri="{FF2B5EF4-FFF2-40B4-BE49-F238E27FC236}">
              <a16:creationId xmlns:a16="http://schemas.microsoft.com/office/drawing/2014/main" id="{BC2650C9-1D51-4724-832E-D6E12FE104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2" name="Elipse 3871">
          <a:extLst>
            <a:ext uri="{FF2B5EF4-FFF2-40B4-BE49-F238E27FC236}">
              <a16:creationId xmlns:a16="http://schemas.microsoft.com/office/drawing/2014/main" id="{6618E842-2598-4704-9085-ABD325D358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3" name="Elipse 3872">
          <a:extLst>
            <a:ext uri="{FF2B5EF4-FFF2-40B4-BE49-F238E27FC236}">
              <a16:creationId xmlns:a16="http://schemas.microsoft.com/office/drawing/2014/main" id="{EA56BA94-26A8-432B-927A-E3AB3DACEB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4" name="Elipse 3873">
          <a:extLst>
            <a:ext uri="{FF2B5EF4-FFF2-40B4-BE49-F238E27FC236}">
              <a16:creationId xmlns:a16="http://schemas.microsoft.com/office/drawing/2014/main" id="{2102DF20-939F-4C13-8B7C-2C80E748D6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5" name="Elipse 3874">
          <a:extLst>
            <a:ext uri="{FF2B5EF4-FFF2-40B4-BE49-F238E27FC236}">
              <a16:creationId xmlns:a16="http://schemas.microsoft.com/office/drawing/2014/main" id="{D5C27294-15FE-447A-A1BA-1F5AE11D57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6" name="Elipse 3875">
          <a:extLst>
            <a:ext uri="{FF2B5EF4-FFF2-40B4-BE49-F238E27FC236}">
              <a16:creationId xmlns:a16="http://schemas.microsoft.com/office/drawing/2014/main" id="{3042955F-F91F-44EF-9BD1-8C0C4419EC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7" name="Elipse 3876">
          <a:extLst>
            <a:ext uri="{FF2B5EF4-FFF2-40B4-BE49-F238E27FC236}">
              <a16:creationId xmlns:a16="http://schemas.microsoft.com/office/drawing/2014/main" id="{B1BEB003-D1D9-45E2-91A5-7EE21C9B19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8" name="Elipse 3877">
          <a:extLst>
            <a:ext uri="{FF2B5EF4-FFF2-40B4-BE49-F238E27FC236}">
              <a16:creationId xmlns:a16="http://schemas.microsoft.com/office/drawing/2014/main" id="{BE0BA94A-AA00-44BE-A1CF-2DC76A5370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9" name="Elipse 3878">
          <a:extLst>
            <a:ext uri="{FF2B5EF4-FFF2-40B4-BE49-F238E27FC236}">
              <a16:creationId xmlns:a16="http://schemas.microsoft.com/office/drawing/2014/main" id="{08E86654-A770-4248-9259-DBFC7564D8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0" name="Elipse 3879">
          <a:extLst>
            <a:ext uri="{FF2B5EF4-FFF2-40B4-BE49-F238E27FC236}">
              <a16:creationId xmlns:a16="http://schemas.microsoft.com/office/drawing/2014/main" id="{08FC56F1-3F8C-4E1D-BA67-AD4AFFEA4C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1" name="Elipse 3880">
          <a:extLst>
            <a:ext uri="{FF2B5EF4-FFF2-40B4-BE49-F238E27FC236}">
              <a16:creationId xmlns:a16="http://schemas.microsoft.com/office/drawing/2014/main" id="{66E72CA8-EA54-45E2-A325-020EDAFF24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2" name="Elipse 3881">
          <a:extLst>
            <a:ext uri="{FF2B5EF4-FFF2-40B4-BE49-F238E27FC236}">
              <a16:creationId xmlns:a16="http://schemas.microsoft.com/office/drawing/2014/main" id="{AB60F1FE-62AA-4B37-B20D-FFA75C485F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3" name="Elipse 3882">
          <a:extLst>
            <a:ext uri="{FF2B5EF4-FFF2-40B4-BE49-F238E27FC236}">
              <a16:creationId xmlns:a16="http://schemas.microsoft.com/office/drawing/2014/main" id="{A5C40D35-3724-4208-9FD3-7731A1F5B9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4" name="Elipse 3883">
          <a:extLst>
            <a:ext uri="{FF2B5EF4-FFF2-40B4-BE49-F238E27FC236}">
              <a16:creationId xmlns:a16="http://schemas.microsoft.com/office/drawing/2014/main" id="{75EE9D4F-3CEF-47BB-8997-FCB7F74484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5" name="Elipse 3884">
          <a:extLst>
            <a:ext uri="{FF2B5EF4-FFF2-40B4-BE49-F238E27FC236}">
              <a16:creationId xmlns:a16="http://schemas.microsoft.com/office/drawing/2014/main" id="{7FEDEB0D-7170-417A-8EAC-B770C3A91C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6" name="Elipse 3885">
          <a:extLst>
            <a:ext uri="{FF2B5EF4-FFF2-40B4-BE49-F238E27FC236}">
              <a16:creationId xmlns:a16="http://schemas.microsoft.com/office/drawing/2014/main" id="{AB745FEE-D185-4F99-B5A2-DF56D645B3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7" name="Elipse 3886">
          <a:extLst>
            <a:ext uri="{FF2B5EF4-FFF2-40B4-BE49-F238E27FC236}">
              <a16:creationId xmlns:a16="http://schemas.microsoft.com/office/drawing/2014/main" id="{0A8B0393-245F-4475-B7B8-C6E53A304D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8" name="Elipse 3887">
          <a:extLst>
            <a:ext uri="{FF2B5EF4-FFF2-40B4-BE49-F238E27FC236}">
              <a16:creationId xmlns:a16="http://schemas.microsoft.com/office/drawing/2014/main" id="{EF3E9610-1F0D-428F-BE50-1D1C8A1B56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9" name="Elipse 3888">
          <a:extLst>
            <a:ext uri="{FF2B5EF4-FFF2-40B4-BE49-F238E27FC236}">
              <a16:creationId xmlns:a16="http://schemas.microsoft.com/office/drawing/2014/main" id="{11004CF9-6CF4-43A8-81E8-ED676A8FB4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0" name="Elipse 3889">
          <a:extLst>
            <a:ext uri="{FF2B5EF4-FFF2-40B4-BE49-F238E27FC236}">
              <a16:creationId xmlns:a16="http://schemas.microsoft.com/office/drawing/2014/main" id="{6849CE6A-2C81-4E68-A961-C4C3BE386D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1" name="Elipse 3890">
          <a:extLst>
            <a:ext uri="{FF2B5EF4-FFF2-40B4-BE49-F238E27FC236}">
              <a16:creationId xmlns:a16="http://schemas.microsoft.com/office/drawing/2014/main" id="{26DF3EC4-3869-40CB-9D83-735CF7DC14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2" name="Elipse 3891">
          <a:extLst>
            <a:ext uri="{FF2B5EF4-FFF2-40B4-BE49-F238E27FC236}">
              <a16:creationId xmlns:a16="http://schemas.microsoft.com/office/drawing/2014/main" id="{3155C1C5-008E-4FE6-B4E1-AC89754CD0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3" name="Elipse 3892">
          <a:extLst>
            <a:ext uri="{FF2B5EF4-FFF2-40B4-BE49-F238E27FC236}">
              <a16:creationId xmlns:a16="http://schemas.microsoft.com/office/drawing/2014/main" id="{31A84F21-F281-4633-80FF-198F3DCE2C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4" name="Elipse 3893">
          <a:extLst>
            <a:ext uri="{FF2B5EF4-FFF2-40B4-BE49-F238E27FC236}">
              <a16:creationId xmlns:a16="http://schemas.microsoft.com/office/drawing/2014/main" id="{D9DE7922-5DB0-4650-AAFA-335F2B682B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5" name="Elipse 3894">
          <a:extLst>
            <a:ext uri="{FF2B5EF4-FFF2-40B4-BE49-F238E27FC236}">
              <a16:creationId xmlns:a16="http://schemas.microsoft.com/office/drawing/2014/main" id="{E6D6B76B-5985-48A8-A55E-054FA89921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6" name="Elipse 3895">
          <a:extLst>
            <a:ext uri="{FF2B5EF4-FFF2-40B4-BE49-F238E27FC236}">
              <a16:creationId xmlns:a16="http://schemas.microsoft.com/office/drawing/2014/main" id="{D554CE52-1513-43EE-8B46-9983C6F9CA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7" name="Elipse 3896">
          <a:extLst>
            <a:ext uri="{FF2B5EF4-FFF2-40B4-BE49-F238E27FC236}">
              <a16:creationId xmlns:a16="http://schemas.microsoft.com/office/drawing/2014/main" id="{9F4F150F-E9F4-4160-A54F-EF6A8024ED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8" name="Elipse 3897">
          <a:extLst>
            <a:ext uri="{FF2B5EF4-FFF2-40B4-BE49-F238E27FC236}">
              <a16:creationId xmlns:a16="http://schemas.microsoft.com/office/drawing/2014/main" id="{8F367206-8CA8-4D5E-B94E-F5E907CBAF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9" name="Elipse 3898">
          <a:extLst>
            <a:ext uri="{FF2B5EF4-FFF2-40B4-BE49-F238E27FC236}">
              <a16:creationId xmlns:a16="http://schemas.microsoft.com/office/drawing/2014/main" id="{A07BB3E3-8F9D-4FE7-8674-EB97E66FB9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0" name="Elipse 3899">
          <a:extLst>
            <a:ext uri="{FF2B5EF4-FFF2-40B4-BE49-F238E27FC236}">
              <a16:creationId xmlns:a16="http://schemas.microsoft.com/office/drawing/2014/main" id="{9F4D3A17-7195-45A2-BD96-F4AFBBB83B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1" name="Elipse 3900">
          <a:extLst>
            <a:ext uri="{FF2B5EF4-FFF2-40B4-BE49-F238E27FC236}">
              <a16:creationId xmlns:a16="http://schemas.microsoft.com/office/drawing/2014/main" id="{6B62682D-29A7-4FFB-96A6-A586585784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2" name="Elipse 3901">
          <a:extLst>
            <a:ext uri="{FF2B5EF4-FFF2-40B4-BE49-F238E27FC236}">
              <a16:creationId xmlns:a16="http://schemas.microsoft.com/office/drawing/2014/main" id="{308C0CC1-B2D5-4B34-A931-8DD2E4F8AB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3" name="Elipse 3902">
          <a:extLst>
            <a:ext uri="{FF2B5EF4-FFF2-40B4-BE49-F238E27FC236}">
              <a16:creationId xmlns:a16="http://schemas.microsoft.com/office/drawing/2014/main" id="{4282B95A-B68E-42C4-91A8-A593D26A09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4" name="Elipse 3903">
          <a:extLst>
            <a:ext uri="{FF2B5EF4-FFF2-40B4-BE49-F238E27FC236}">
              <a16:creationId xmlns:a16="http://schemas.microsoft.com/office/drawing/2014/main" id="{D8A54960-7626-40B2-B350-526E3FE490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5" name="Elipse 3904">
          <a:extLst>
            <a:ext uri="{FF2B5EF4-FFF2-40B4-BE49-F238E27FC236}">
              <a16:creationId xmlns:a16="http://schemas.microsoft.com/office/drawing/2014/main" id="{60E64A8A-1C7C-40E4-92E7-2F982433EC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6" name="Elipse 3905">
          <a:extLst>
            <a:ext uri="{FF2B5EF4-FFF2-40B4-BE49-F238E27FC236}">
              <a16:creationId xmlns:a16="http://schemas.microsoft.com/office/drawing/2014/main" id="{9008FCD5-175E-48DF-8844-56BDED0C00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7" name="Elipse 3906">
          <a:extLst>
            <a:ext uri="{FF2B5EF4-FFF2-40B4-BE49-F238E27FC236}">
              <a16:creationId xmlns:a16="http://schemas.microsoft.com/office/drawing/2014/main" id="{A9F73509-0B69-4FE6-A819-1717337C29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8" name="Elipse 3907">
          <a:extLst>
            <a:ext uri="{FF2B5EF4-FFF2-40B4-BE49-F238E27FC236}">
              <a16:creationId xmlns:a16="http://schemas.microsoft.com/office/drawing/2014/main" id="{623284D1-1AF4-48EC-909E-CAC3442194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9" name="Elipse 3908">
          <a:extLst>
            <a:ext uri="{FF2B5EF4-FFF2-40B4-BE49-F238E27FC236}">
              <a16:creationId xmlns:a16="http://schemas.microsoft.com/office/drawing/2014/main" id="{21ADAA29-D46A-4800-B7DA-E16FBF51B3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0" name="Elipse 3909">
          <a:extLst>
            <a:ext uri="{FF2B5EF4-FFF2-40B4-BE49-F238E27FC236}">
              <a16:creationId xmlns:a16="http://schemas.microsoft.com/office/drawing/2014/main" id="{2024B994-A5E8-4EA7-96D3-D4053594FF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1" name="Elipse 3910">
          <a:extLst>
            <a:ext uri="{FF2B5EF4-FFF2-40B4-BE49-F238E27FC236}">
              <a16:creationId xmlns:a16="http://schemas.microsoft.com/office/drawing/2014/main" id="{7C4FA4F7-0A06-4233-B08A-8ED97633C1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2" name="Elipse 3911">
          <a:extLst>
            <a:ext uri="{FF2B5EF4-FFF2-40B4-BE49-F238E27FC236}">
              <a16:creationId xmlns:a16="http://schemas.microsoft.com/office/drawing/2014/main" id="{74204C72-2B2F-4275-9FAF-A75D947C41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3" name="Elipse 3912">
          <a:extLst>
            <a:ext uri="{FF2B5EF4-FFF2-40B4-BE49-F238E27FC236}">
              <a16:creationId xmlns:a16="http://schemas.microsoft.com/office/drawing/2014/main" id="{0358C45E-E721-41AC-B806-313B17A7F4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4" name="Elipse 3913">
          <a:extLst>
            <a:ext uri="{FF2B5EF4-FFF2-40B4-BE49-F238E27FC236}">
              <a16:creationId xmlns:a16="http://schemas.microsoft.com/office/drawing/2014/main" id="{33E11FC8-816B-4966-9296-89E7A10C13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5" name="Elipse 3914">
          <a:extLst>
            <a:ext uri="{FF2B5EF4-FFF2-40B4-BE49-F238E27FC236}">
              <a16:creationId xmlns:a16="http://schemas.microsoft.com/office/drawing/2014/main" id="{2653DA6C-304C-4714-BAA0-C047CDF703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6" name="Elipse 3915">
          <a:extLst>
            <a:ext uri="{FF2B5EF4-FFF2-40B4-BE49-F238E27FC236}">
              <a16:creationId xmlns:a16="http://schemas.microsoft.com/office/drawing/2014/main" id="{ABE9AFAC-36C4-4B57-A710-C68ABF4B9F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7" name="Elipse 3916">
          <a:extLst>
            <a:ext uri="{FF2B5EF4-FFF2-40B4-BE49-F238E27FC236}">
              <a16:creationId xmlns:a16="http://schemas.microsoft.com/office/drawing/2014/main" id="{E03F3FF8-1B93-4083-9E6B-99D51E2DB4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8" name="Elipse 3917">
          <a:extLst>
            <a:ext uri="{FF2B5EF4-FFF2-40B4-BE49-F238E27FC236}">
              <a16:creationId xmlns:a16="http://schemas.microsoft.com/office/drawing/2014/main" id="{43987210-AE0A-4B66-809D-FF3445B708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9" name="Elipse 3918">
          <a:extLst>
            <a:ext uri="{FF2B5EF4-FFF2-40B4-BE49-F238E27FC236}">
              <a16:creationId xmlns:a16="http://schemas.microsoft.com/office/drawing/2014/main" id="{B861E3E3-1984-43CE-A323-F2B1AFAF34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0" name="Elipse 3919">
          <a:extLst>
            <a:ext uri="{FF2B5EF4-FFF2-40B4-BE49-F238E27FC236}">
              <a16:creationId xmlns:a16="http://schemas.microsoft.com/office/drawing/2014/main" id="{82D42949-1685-4D2A-A7BC-FBAC3001A8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1" name="Elipse 3920">
          <a:extLst>
            <a:ext uri="{FF2B5EF4-FFF2-40B4-BE49-F238E27FC236}">
              <a16:creationId xmlns:a16="http://schemas.microsoft.com/office/drawing/2014/main" id="{4F936798-6D3C-4BAD-9967-56E2278FF0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2" name="Elipse 3921">
          <a:extLst>
            <a:ext uri="{FF2B5EF4-FFF2-40B4-BE49-F238E27FC236}">
              <a16:creationId xmlns:a16="http://schemas.microsoft.com/office/drawing/2014/main" id="{1CE08122-5060-41F1-9215-E133D4D3AE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3" name="Elipse 3922">
          <a:extLst>
            <a:ext uri="{FF2B5EF4-FFF2-40B4-BE49-F238E27FC236}">
              <a16:creationId xmlns:a16="http://schemas.microsoft.com/office/drawing/2014/main" id="{C624D9EF-4247-4C0F-A7DD-89E049AFEF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4" name="Elipse 3923">
          <a:extLst>
            <a:ext uri="{FF2B5EF4-FFF2-40B4-BE49-F238E27FC236}">
              <a16:creationId xmlns:a16="http://schemas.microsoft.com/office/drawing/2014/main" id="{099A6096-5BB5-4C0C-B2A4-A516D43A8D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5" name="Elipse 3924">
          <a:extLst>
            <a:ext uri="{FF2B5EF4-FFF2-40B4-BE49-F238E27FC236}">
              <a16:creationId xmlns:a16="http://schemas.microsoft.com/office/drawing/2014/main" id="{9FB76627-1C46-490F-AF0E-8D18C6EAA2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6" name="Elipse 3925">
          <a:extLst>
            <a:ext uri="{FF2B5EF4-FFF2-40B4-BE49-F238E27FC236}">
              <a16:creationId xmlns:a16="http://schemas.microsoft.com/office/drawing/2014/main" id="{47795B20-8BAD-43F9-9ACC-75FF3B3D69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7" name="Elipse 3926">
          <a:extLst>
            <a:ext uri="{FF2B5EF4-FFF2-40B4-BE49-F238E27FC236}">
              <a16:creationId xmlns:a16="http://schemas.microsoft.com/office/drawing/2014/main" id="{4E0900D0-9E68-42B1-82A4-170AD7D46A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8" name="Elipse 3927">
          <a:extLst>
            <a:ext uri="{FF2B5EF4-FFF2-40B4-BE49-F238E27FC236}">
              <a16:creationId xmlns:a16="http://schemas.microsoft.com/office/drawing/2014/main" id="{A99ED266-DA2A-4306-9076-A335CEDFAF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9" name="Elipse 3928">
          <a:extLst>
            <a:ext uri="{FF2B5EF4-FFF2-40B4-BE49-F238E27FC236}">
              <a16:creationId xmlns:a16="http://schemas.microsoft.com/office/drawing/2014/main" id="{72C2D047-CB91-4285-812A-3CD0C82235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0" name="Elipse 3929">
          <a:extLst>
            <a:ext uri="{FF2B5EF4-FFF2-40B4-BE49-F238E27FC236}">
              <a16:creationId xmlns:a16="http://schemas.microsoft.com/office/drawing/2014/main" id="{3CDCAE28-F89C-4C54-AD70-69E3F46E4A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1" name="Elipse 3930">
          <a:extLst>
            <a:ext uri="{FF2B5EF4-FFF2-40B4-BE49-F238E27FC236}">
              <a16:creationId xmlns:a16="http://schemas.microsoft.com/office/drawing/2014/main" id="{6416405F-5452-460D-ACAE-A2425B15F8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2" name="Elipse 3931">
          <a:extLst>
            <a:ext uri="{FF2B5EF4-FFF2-40B4-BE49-F238E27FC236}">
              <a16:creationId xmlns:a16="http://schemas.microsoft.com/office/drawing/2014/main" id="{F823534E-E31C-457F-8C08-A70D623BF4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3" name="Elipse 3932">
          <a:extLst>
            <a:ext uri="{FF2B5EF4-FFF2-40B4-BE49-F238E27FC236}">
              <a16:creationId xmlns:a16="http://schemas.microsoft.com/office/drawing/2014/main" id="{0D9325BD-C58E-46F2-B29F-624D5FB9A0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4" name="Elipse 3933">
          <a:extLst>
            <a:ext uri="{FF2B5EF4-FFF2-40B4-BE49-F238E27FC236}">
              <a16:creationId xmlns:a16="http://schemas.microsoft.com/office/drawing/2014/main" id="{DE5945A9-B171-47B3-8D91-DB1A22437B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5" name="Elipse 3934">
          <a:extLst>
            <a:ext uri="{FF2B5EF4-FFF2-40B4-BE49-F238E27FC236}">
              <a16:creationId xmlns:a16="http://schemas.microsoft.com/office/drawing/2014/main" id="{AF630020-8090-4665-BCAD-DF23307AA8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6" name="Elipse 3935">
          <a:extLst>
            <a:ext uri="{FF2B5EF4-FFF2-40B4-BE49-F238E27FC236}">
              <a16:creationId xmlns:a16="http://schemas.microsoft.com/office/drawing/2014/main" id="{7918B4B8-FB9F-4E92-BB75-693A616790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7" name="Elipse 3936">
          <a:extLst>
            <a:ext uri="{FF2B5EF4-FFF2-40B4-BE49-F238E27FC236}">
              <a16:creationId xmlns:a16="http://schemas.microsoft.com/office/drawing/2014/main" id="{D9AACEE1-8FB9-431E-A3DF-F1E9F973BC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8" name="Elipse 3937">
          <a:extLst>
            <a:ext uri="{FF2B5EF4-FFF2-40B4-BE49-F238E27FC236}">
              <a16:creationId xmlns:a16="http://schemas.microsoft.com/office/drawing/2014/main" id="{25192512-27F1-44B1-95AC-F7962DBF7D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9" name="Elipse 3938">
          <a:extLst>
            <a:ext uri="{FF2B5EF4-FFF2-40B4-BE49-F238E27FC236}">
              <a16:creationId xmlns:a16="http://schemas.microsoft.com/office/drawing/2014/main" id="{36608C8C-FE17-4333-A1DF-0BF4090519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0" name="Elipse 3939">
          <a:extLst>
            <a:ext uri="{FF2B5EF4-FFF2-40B4-BE49-F238E27FC236}">
              <a16:creationId xmlns:a16="http://schemas.microsoft.com/office/drawing/2014/main" id="{50505616-083C-45E7-9A6B-FB5BAF267F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1" name="Elipse 3940">
          <a:extLst>
            <a:ext uri="{FF2B5EF4-FFF2-40B4-BE49-F238E27FC236}">
              <a16:creationId xmlns:a16="http://schemas.microsoft.com/office/drawing/2014/main" id="{2743F847-2460-42F6-B0AF-6FAEF94B7F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2" name="Elipse 3941">
          <a:extLst>
            <a:ext uri="{FF2B5EF4-FFF2-40B4-BE49-F238E27FC236}">
              <a16:creationId xmlns:a16="http://schemas.microsoft.com/office/drawing/2014/main" id="{848D7494-98D5-483D-B42C-E1DBF6F18B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3" name="Elipse 3942">
          <a:extLst>
            <a:ext uri="{FF2B5EF4-FFF2-40B4-BE49-F238E27FC236}">
              <a16:creationId xmlns:a16="http://schemas.microsoft.com/office/drawing/2014/main" id="{51355566-6468-4CA7-9995-523D14F42F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4" name="Elipse 3943">
          <a:extLst>
            <a:ext uri="{FF2B5EF4-FFF2-40B4-BE49-F238E27FC236}">
              <a16:creationId xmlns:a16="http://schemas.microsoft.com/office/drawing/2014/main" id="{43D47C6F-0573-4A06-B389-B0B5D1E471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5" name="Elipse 3944">
          <a:extLst>
            <a:ext uri="{FF2B5EF4-FFF2-40B4-BE49-F238E27FC236}">
              <a16:creationId xmlns:a16="http://schemas.microsoft.com/office/drawing/2014/main" id="{850DE570-E868-4DB2-96FE-EEB96B6671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6" name="Elipse 3945">
          <a:extLst>
            <a:ext uri="{FF2B5EF4-FFF2-40B4-BE49-F238E27FC236}">
              <a16:creationId xmlns:a16="http://schemas.microsoft.com/office/drawing/2014/main" id="{6844AFEB-378E-4CC0-BF88-3D93E604A7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7" name="Elipse 3946">
          <a:extLst>
            <a:ext uri="{FF2B5EF4-FFF2-40B4-BE49-F238E27FC236}">
              <a16:creationId xmlns:a16="http://schemas.microsoft.com/office/drawing/2014/main" id="{D59A2480-F16C-4C4B-8F42-C037515B04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8" name="Elipse 3947">
          <a:extLst>
            <a:ext uri="{FF2B5EF4-FFF2-40B4-BE49-F238E27FC236}">
              <a16:creationId xmlns:a16="http://schemas.microsoft.com/office/drawing/2014/main" id="{FF458ED3-452A-4A96-ADFC-840404A126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9" name="Elipse 3948">
          <a:extLst>
            <a:ext uri="{FF2B5EF4-FFF2-40B4-BE49-F238E27FC236}">
              <a16:creationId xmlns:a16="http://schemas.microsoft.com/office/drawing/2014/main" id="{B620C2A2-FDA2-4DD8-960C-12379D6477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0" name="Elipse 3949">
          <a:extLst>
            <a:ext uri="{FF2B5EF4-FFF2-40B4-BE49-F238E27FC236}">
              <a16:creationId xmlns:a16="http://schemas.microsoft.com/office/drawing/2014/main" id="{6DBB5543-032A-4E13-9AFD-5C3EEC219D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1" name="Elipse 3950">
          <a:extLst>
            <a:ext uri="{FF2B5EF4-FFF2-40B4-BE49-F238E27FC236}">
              <a16:creationId xmlns:a16="http://schemas.microsoft.com/office/drawing/2014/main" id="{A14C721C-3693-4AE7-B921-FF6A1959B4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2" name="Elipse 3951">
          <a:extLst>
            <a:ext uri="{FF2B5EF4-FFF2-40B4-BE49-F238E27FC236}">
              <a16:creationId xmlns:a16="http://schemas.microsoft.com/office/drawing/2014/main" id="{A28E04BC-BEB5-4C53-A69F-F4C6832F27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3" name="Elipse 3952">
          <a:extLst>
            <a:ext uri="{FF2B5EF4-FFF2-40B4-BE49-F238E27FC236}">
              <a16:creationId xmlns:a16="http://schemas.microsoft.com/office/drawing/2014/main" id="{CFC531FA-D215-4EB8-84BE-CCCB4C83C8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4" name="Elipse 3953">
          <a:extLst>
            <a:ext uri="{FF2B5EF4-FFF2-40B4-BE49-F238E27FC236}">
              <a16:creationId xmlns:a16="http://schemas.microsoft.com/office/drawing/2014/main" id="{29C89EDD-6615-4369-9CE7-F6F9FB46ED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5" name="Elipse 3954">
          <a:extLst>
            <a:ext uri="{FF2B5EF4-FFF2-40B4-BE49-F238E27FC236}">
              <a16:creationId xmlns:a16="http://schemas.microsoft.com/office/drawing/2014/main" id="{9B8C4399-8E12-48A2-8195-BB795833E1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6" name="Elipse 3955">
          <a:extLst>
            <a:ext uri="{FF2B5EF4-FFF2-40B4-BE49-F238E27FC236}">
              <a16:creationId xmlns:a16="http://schemas.microsoft.com/office/drawing/2014/main" id="{25310465-020C-4169-A48F-4B2568B014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7" name="Elipse 3956">
          <a:extLst>
            <a:ext uri="{FF2B5EF4-FFF2-40B4-BE49-F238E27FC236}">
              <a16:creationId xmlns:a16="http://schemas.microsoft.com/office/drawing/2014/main" id="{FDB080CA-1763-40F9-856F-9493FCCB83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8" name="Elipse 3957">
          <a:extLst>
            <a:ext uri="{FF2B5EF4-FFF2-40B4-BE49-F238E27FC236}">
              <a16:creationId xmlns:a16="http://schemas.microsoft.com/office/drawing/2014/main" id="{1F656CE8-F4B9-4D80-A5C1-603000FD79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9" name="Elipse 3958">
          <a:extLst>
            <a:ext uri="{FF2B5EF4-FFF2-40B4-BE49-F238E27FC236}">
              <a16:creationId xmlns:a16="http://schemas.microsoft.com/office/drawing/2014/main" id="{C3435DCC-593C-4F47-A751-9836392C4E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0" name="Elipse 3959">
          <a:extLst>
            <a:ext uri="{FF2B5EF4-FFF2-40B4-BE49-F238E27FC236}">
              <a16:creationId xmlns:a16="http://schemas.microsoft.com/office/drawing/2014/main" id="{523FA5EF-3512-4E68-AEB8-1F04A1FA4D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1" name="Elipse 3960">
          <a:extLst>
            <a:ext uri="{FF2B5EF4-FFF2-40B4-BE49-F238E27FC236}">
              <a16:creationId xmlns:a16="http://schemas.microsoft.com/office/drawing/2014/main" id="{DDF7C9BB-4318-4A03-A8EF-9F53D61073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2" name="Elipse 3961">
          <a:extLst>
            <a:ext uri="{FF2B5EF4-FFF2-40B4-BE49-F238E27FC236}">
              <a16:creationId xmlns:a16="http://schemas.microsoft.com/office/drawing/2014/main" id="{3FEBDE42-D7BA-44E0-BD41-A3E2362832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3" name="Elipse 3962">
          <a:extLst>
            <a:ext uri="{FF2B5EF4-FFF2-40B4-BE49-F238E27FC236}">
              <a16:creationId xmlns:a16="http://schemas.microsoft.com/office/drawing/2014/main" id="{D2E9C4B3-94B7-411D-A32C-D97F42787F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4" name="Elipse 3963">
          <a:extLst>
            <a:ext uri="{FF2B5EF4-FFF2-40B4-BE49-F238E27FC236}">
              <a16:creationId xmlns:a16="http://schemas.microsoft.com/office/drawing/2014/main" id="{6E9DC51C-A2AD-4F4E-AEA8-A3FF033468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5" name="Elipse 3964">
          <a:extLst>
            <a:ext uri="{FF2B5EF4-FFF2-40B4-BE49-F238E27FC236}">
              <a16:creationId xmlns:a16="http://schemas.microsoft.com/office/drawing/2014/main" id="{C9F910FF-A291-45B0-8FFA-F23ED4D48A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6" name="Elipse 3965">
          <a:extLst>
            <a:ext uri="{FF2B5EF4-FFF2-40B4-BE49-F238E27FC236}">
              <a16:creationId xmlns:a16="http://schemas.microsoft.com/office/drawing/2014/main" id="{1AE3C503-A8F6-4808-8DB1-86625205D1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7" name="Elipse 3966">
          <a:extLst>
            <a:ext uri="{FF2B5EF4-FFF2-40B4-BE49-F238E27FC236}">
              <a16:creationId xmlns:a16="http://schemas.microsoft.com/office/drawing/2014/main" id="{D4088590-0577-416C-914E-75E362E69A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8" name="Elipse 3967">
          <a:extLst>
            <a:ext uri="{FF2B5EF4-FFF2-40B4-BE49-F238E27FC236}">
              <a16:creationId xmlns:a16="http://schemas.microsoft.com/office/drawing/2014/main" id="{3654CB4F-D23E-49BD-89D4-4756B49D24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9" name="Elipse 3968">
          <a:extLst>
            <a:ext uri="{FF2B5EF4-FFF2-40B4-BE49-F238E27FC236}">
              <a16:creationId xmlns:a16="http://schemas.microsoft.com/office/drawing/2014/main" id="{48F9DC48-52CD-4CEF-8DB7-E5BD93C32F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0" name="Elipse 3969">
          <a:extLst>
            <a:ext uri="{FF2B5EF4-FFF2-40B4-BE49-F238E27FC236}">
              <a16:creationId xmlns:a16="http://schemas.microsoft.com/office/drawing/2014/main" id="{6461713D-44FC-4B0C-8805-C024869044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1" name="Elipse 3970">
          <a:extLst>
            <a:ext uri="{FF2B5EF4-FFF2-40B4-BE49-F238E27FC236}">
              <a16:creationId xmlns:a16="http://schemas.microsoft.com/office/drawing/2014/main" id="{2E3DBC6B-839F-4FC4-97CF-47BBC7F13D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2" name="Elipse 3971">
          <a:extLst>
            <a:ext uri="{FF2B5EF4-FFF2-40B4-BE49-F238E27FC236}">
              <a16:creationId xmlns:a16="http://schemas.microsoft.com/office/drawing/2014/main" id="{41998657-9FF6-4EC9-AC0C-D87A298AC9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3" name="Elipse 3972">
          <a:extLst>
            <a:ext uri="{FF2B5EF4-FFF2-40B4-BE49-F238E27FC236}">
              <a16:creationId xmlns:a16="http://schemas.microsoft.com/office/drawing/2014/main" id="{FD028DEC-D0E7-4583-B411-1281CEE252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4" name="Elipse 3973">
          <a:extLst>
            <a:ext uri="{FF2B5EF4-FFF2-40B4-BE49-F238E27FC236}">
              <a16:creationId xmlns:a16="http://schemas.microsoft.com/office/drawing/2014/main" id="{4F8D89E3-A2C5-44B0-B6A0-B11A087180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5" name="Elipse 3974">
          <a:extLst>
            <a:ext uri="{FF2B5EF4-FFF2-40B4-BE49-F238E27FC236}">
              <a16:creationId xmlns:a16="http://schemas.microsoft.com/office/drawing/2014/main" id="{78AB66A8-5442-4ED8-8544-5940DDD9DA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6" name="Elipse 3975">
          <a:extLst>
            <a:ext uri="{FF2B5EF4-FFF2-40B4-BE49-F238E27FC236}">
              <a16:creationId xmlns:a16="http://schemas.microsoft.com/office/drawing/2014/main" id="{BD7D2725-47F7-4178-8F13-15DEF905BC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7" name="Elipse 3976">
          <a:extLst>
            <a:ext uri="{FF2B5EF4-FFF2-40B4-BE49-F238E27FC236}">
              <a16:creationId xmlns:a16="http://schemas.microsoft.com/office/drawing/2014/main" id="{13F9D497-B042-4439-B9F2-C6A92CF9F6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8" name="Elipse 3977">
          <a:extLst>
            <a:ext uri="{FF2B5EF4-FFF2-40B4-BE49-F238E27FC236}">
              <a16:creationId xmlns:a16="http://schemas.microsoft.com/office/drawing/2014/main" id="{35C28C67-D4DD-40E3-B60E-75BE3F2705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9" name="Elipse 3978">
          <a:extLst>
            <a:ext uri="{FF2B5EF4-FFF2-40B4-BE49-F238E27FC236}">
              <a16:creationId xmlns:a16="http://schemas.microsoft.com/office/drawing/2014/main" id="{6026E597-16DD-4049-AB3D-8C63B9298D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0" name="Elipse 3979">
          <a:extLst>
            <a:ext uri="{FF2B5EF4-FFF2-40B4-BE49-F238E27FC236}">
              <a16:creationId xmlns:a16="http://schemas.microsoft.com/office/drawing/2014/main" id="{FC6810E1-FEA8-494F-8B44-C24E2705F8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1" name="Elipse 3980">
          <a:extLst>
            <a:ext uri="{FF2B5EF4-FFF2-40B4-BE49-F238E27FC236}">
              <a16:creationId xmlns:a16="http://schemas.microsoft.com/office/drawing/2014/main" id="{5642D60E-3E29-4F39-98B4-69F5DA3994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2" name="Elipse 3981">
          <a:extLst>
            <a:ext uri="{FF2B5EF4-FFF2-40B4-BE49-F238E27FC236}">
              <a16:creationId xmlns:a16="http://schemas.microsoft.com/office/drawing/2014/main" id="{28876745-BBF5-48E5-B348-83D4CF4AF8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3" name="Elipse 3982">
          <a:extLst>
            <a:ext uri="{FF2B5EF4-FFF2-40B4-BE49-F238E27FC236}">
              <a16:creationId xmlns:a16="http://schemas.microsoft.com/office/drawing/2014/main" id="{0CC5AC76-BF5D-467B-BDB6-BF3A5AA53E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4" name="Elipse 3983">
          <a:extLst>
            <a:ext uri="{FF2B5EF4-FFF2-40B4-BE49-F238E27FC236}">
              <a16:creationId xmlns:a16="http://schemas.microsoft.com/office/drawing/2014/main" id="{8020C13C-2D05-4106-A2EE-6435D6FC5A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5" name="Elipse 3984">
          <a:extLst>
            <a:ext uri="{FF2B5EF4-FFF2-40B4-BE49-F238E27FC236}">
              <a16:creationId xmlns:a16="http://schemas.microsoft.com/office/drawing/2014/main" id="{0895577F-35CA-42A9-A1C4-8455E8E6BF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6" name="Elipse 3985">
          <a:extLst>
            <a:ext uri="{FF2B5EF4-FFF2-40B4-BE49-F238E27FC236}">
              <a16:creationId xmlns:a16="http://schemas.microsoft.com/office/drawing/2014/main" id="{BE6EA740-8450-4FFF-BB14-A846617608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7" name="Elipse 3986">
          <a:extLst>
            <a:ext uri="{FF2B5EF4-FFF2-40B4-BE49-F238E27FC236}">
              <a16:creationId xmlns:a16="http://schemas.microsoft.com/office/drawing/2014/main" id="{26ACF477-86B0-4449-A600-E2E192F362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8" name="Elipse 3987">
          <a:extLst>
            <a:ext uri="{FF2B5EF4-FFF2-40B4-BE49-F238E27FC236}">
              <a16:creationId xmlns:a16="http://schemas.microsoft.com/office/drawing/2014/main" id="{5511028A-216E-44B3-94C6-5FCD4EE476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9" name="Elipse 3988">
          <a:extLst>
            <a:ext uri="{FF2B5EF4-FFF2-40B4-BE49-F238E27FC236}">
              <a16:creationId xmlns:a16="http://schemas.microsoft.com/office/drawing/2014/main" id="{C1770BC2-AE9D-414A-AD2A-BCA75967CE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0" name="Elipse 3989">
          <a:extLst>
            <a:ext uri="{FF2B5EF4-FFF2-40B4-BE49-F238E27FC236}">
              <a16:creationId xmlns:a16="http://schemas.microsoft.com/office/drawing/2014/main" id="{9D798F64-7DBC-4B17-ADAB-421B25958F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1" name="Elipse 3990">
          <a:extLst>
            <a:ext uri="{FF2B5EF4-FFF2-40B4-BE49-F238E27FC236}">
              <a16:creationId xmlns:a16="http://schemas.microsoft.com/office/drawing/2014/main" id="{DB55C56B-3301-4942-B0A4-9563D5D18F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2" name="Elipse 3991">
          <a:extLst>
            <a:ext uri="{FF2B5EF4-FFF2-40B4-BE49-F238E27FC236}">
              <a16:creationId xmlns:a16="http://schemas.microsoft.com/office/drawing/2014/main" id="{D1C25181-B45E-4FC9-90D0-C0BE989D25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3" name="Elipse 3992">
          <a:extLst>
            <a:ext uri="{FF2B5EF4-FFF2-40B4-BE49-F238E27FC236}">
              <a16:creationId xmlns:a16="http://schemas.microsoft.com/office/drawing/2014/main" id="{213B0228-0676-4408-AA8C-71FFAD20C5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4" name="Elipse 3993">
          <a:extLst>
            <a:ext uri="{FF2B5EF4-FFF2-40B4-BE49-F238E27FC236}">
              <a16:creationId xmlns:a16="http://schemas.microsoft.com/office/drawing/2014/main" id="{3B6AEF86-BD5B-4068-BBB8-2F78E8C3B4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5" name="Elipse 3994">
          <a:extLst>
            <a:ext uri="{FF2B5EF4-FFF2-40B4-BE49-F238E27FC236}">
              <a16:creationId xmlns:a16="http://schemas.microsoft.com/office/drawing/2014/main" id="{764B33D0-9E8F-47FB-B0A2-F7E9E09137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6" name="Elipse 3995">
          <a:extLst>
            <a:ext uri="{FF2B5EF4-FFF2-40B4-BE49-F238E27FC236}">
              <a16:creationId xmlns:a16="http://schemas.microsoft.com/office/drawing/2014/main" id="{60ABB238-875C-4D8D-B215-7F23911314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7" name="Elipse 3996">
          <a:extLst>
            <a:ext uri="{FF2B5EF4-FFF2-40B4-BE49-F238E27FC236}">
              <a16:creationId xmlns:a16="http://schemas.microsoft.com/office/drawing/2014/main" id="{DCA9CB1A-C71B-4750-AA36-4DBE36F22C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8" name="Elipse 3997">
          <a:extLst>
            <a:ext uri="{FF2B5EF4-FFF2-40B4-BE49-F238E27FC236}">
              <a16:creationId xmlns:a16="http://schemas.microsoft.com/office/drawing/2014/main" id="{B0B81009-4B81-4128-B347-C52656467E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9" name="Elipse 3998">
          <a:extLst>
            <a:ext uri="{FF2B5EF4-FFF2-40B4-BE49-F238E27FC236}">
              <a16:creationId xmlns:a16="http://schemas.microsoft.com/office/drawing/2014/main" id="{3B01C88C-3D42-445A-BFA9-BECFF71949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0" name="Elipse 3999">
          <a:extLst>
            <a:ext uri="{FF2B5EF4-FFF2-40B4-BE49-F238E27FC236}">
              <a16:creationId xmlns:a16="http://schemas.microsoft.com/office/drawing/2014/main" id="{2F12835E-2E0C-4745-90DF-C76D591FD2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1" name="Elipse 4000">
          <a:extLst>
            <a:ext uri="{FF2B5EF4-FFF2-40B4-BE49-F238E27FC236}">
              <a16:creationId xmlns:a16="http://schemas.microsoft.com/office/drawing/2014/main" id="{2C626709-91BD-46A2-9DB9-7A73E13B7A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2" name="Elipse 4001">
          <a:extLst>
            <a:ext uri="{FF2B5EF4-FFF2-40B4-BE49-F238E27FC236}">
              <a16:creationId xmlns:a16="http://schemas.microsoft.com/office/drawing/2014/main" id="{16D78285-5F0E-44DE-A75D-D1C67B0C0A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3" name="Elipse 4002">
          <a:extLst>
            <a:ext uri="{FF2B5EF4-FFF2-40B4-BE49-F238E27FC236}">
              <a16:creationId xmlns:a16="http://schemas.microsoft.com/office/drawing/2014/main" id="{4D650680-BC93-4B66-B8B9-3869EFD455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4" name="Elipse 4003">
          <a:extLst>
            <a:ext uri="{FF2B5EF4-FFF2-40B4-BE49-F238E27FC236}">
              <a16:creationId xmlns:a16="http://schemas.microsoft.com/office/drawing/2014/main" id="{B4ED7621-D5BD-4420-84B3-17EE781492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5" name="Elipse 4004">
          <a:extLst>
            <a:ext uri="{FF2B5EF4-FFF2-40B4-BE49-F238E27FC236}">
              <a16:creationId xmlns:a16="http://schemas.microsoft.com/office/drawing/2014/main" id="{3505FA5D-B5D1-402E-AA2F-48E9C5C2FA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6" name="Elipse 4005">
          <a:extLst>
            <a:ext uri="{FF2B5EF4-FFF2-40B4-BE49-F238E27FC236}">
              <a16:creationId xmlns:a16="http://schemas.microsoft.com/office/drawing/2014/main" id="{6AB2C3D6-5D87-4CC3-9E7B-185F1E3086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7" name="Elipse 4006">
          <a:extLst>
            <a:ext uri="{FF2B5EF4-FFF2-40B4-BE49-F238E27FC236}">
              <a16:creationId xmlns:a16="http://schemas.microsoft.com/office/drawing/2014/main" id="{48733B29-9AF4-44E1-A2E3-03D734663D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8" name="Elipse 4007">
          <a:extLst>
            <a:ext uri="{FF2B5EF4-FFF2-40B4-BE49-F238E27FC236}">
              <a16:creationId xmlns:a16="http://schemas.microsoft.com/office/drawing/2014/main" id="{796C4674-2648-47C9-9B51-4234A8FA94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9" name="Elipse 4008">
          <a:extLst>
            <a:ext uri="{FF2B5EF4-FFF2-40B4-BE49-F238E27FC236}">
              <a16:creationId xmlns:a16="http://schemas.microsoft.com/office/drawing/2014/main" id="{836C41A0-EC0B-4346-8BF3-7C90F1B6F6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0" name="Elipse 4009">
          <a:extLst>
            <a:ext uri="{FF2B5EF4-FFF2-40B4-BE49-F238E27FC236}">
              <a16:creationId xmlns:a16="http://schemas.microsoft.com/office/drawing/2014/main" id="{7AEA14A1-8B15-4709-914D-688149306D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1" name="Elipse 4010">
          <a:extLst>
            <a:ext uri="{FF2B5EF4-FFF2-40B4-BE49-F238E27FC236}">
              <a16:creationId xmlns:a16="http://schemas.microsoft.com/office/drawing/2014/main" id="{1BB28F1E-DB2C-4368-BEB1-00BEE74B2B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2" name="Elipse 4011">
          <a:extLst>
            <a:ext uri="{FF2B5EF4-FFF2-40B4-BE49-F238E27FC236}">
              <a16:creationId xmlns:a16="http://schemas.microsoft.com/office/drawing/2014/main" id="{1A7D7F20-CAF0-426C-833E-C632D49CB3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3" name="Elipse 4012">
          <a:extLst>
            <a:ext uri="{FF2B5EF4-FFF2-40B4-BE49-F238E27FC236}">
              <a16:creationId xmlns:a16="http://schemas.microsoft.com/office/drawing/2014/main" id="{375461E2-603B-4BE3-9176-9D9B9010B5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4" name="Elipse 4013">
          <a:extLst>
            <a:ext uri="{FF2B5EF4-FFF2-40B4-BE49-F238E27FC236}">
              <a16:creationId xmlns:a16="http://schemas.microsoft.com/office/drawing/2014/main" id="{D0A0E537-1F7A-4EE3-929B-B3B83280DF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5" name="Elipse 4014">
          <a:extLst>
            <a:ext uri="{FF2B5EF4-FFF2-40B4-BE49-F238E27FC236}">
              <a16:creationId xmlns:a16="http://schemas.microsoft.com/office/drawing/2014/main" id="{F0190177-CECE-4090-8C23-1B851A8474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6" name="Elipse 4015">
          <a:extLst>
            <a:ext uri="{FF2B5EF4-FFF2-40B4-BE49-F238E27FC236}">
              <a16:creationId xmlns:a16="http://schemas.microsoft.com/office/drawing/2014/main" id="{79AA1C66-7816-40C1-814C-DEFF73524C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7" name="Elipse 4016">
          <a:extLst>
            <a:ext uri="{FF2B5EF4-FFF2-40B4-BE49-F238E27FC236}">
              <a16:creationId xmlns:a16="http://schemas.microsoft.com/office/drawing/2014/main" id="{09C7C80F-F485-4FA8-98C4-2A9DAD8639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8" name="Elipse 4017">
          <a:extLst>
            <a:ext uri="{FF2B5EF4-FFF2-40B4-BE49-F238E27FC236}">
              <a16:creationId xmlns:a16="http://schemas.microsoft.com/office/drawing/2014/main" id="{06B2B7C7-1837-438E-B546-83179BBA45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9" name="Elipse 4018">
          <a:extLst>
            <a:ext uri="{FF2B5EF4-FFF2-40B4-BE49-F238E27FC236}">
              <a16:creationId xmlns:a16="http://schemas.microsoft.com/office/drawing/2014/main" id="{D2D3D067-CC6E-4846-BDAE-CBEE35E20B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0" name="Elipse 4019">
          <a:extLst>
            <a:ext uri="{FF2B5EF4-FFF2-40B4-BE49-F238E27FC236}">
              <a16:creationId xmlns:a16="http://schemas.microsoft.com/office/drawing/2014/main" id="{1426EDAE-F0C0-4F25-8531-E55561685A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1" name="Elipse 4020">
          <a:extLst>
            <a:ext uri="{FF2B5EF4-FFF2-40B4-BE49-F238E27FC236}">
              <a16:creationId xmlns:a16="http://schemas.microsoft.com/office/drawing/2014/main" id="{88D3092C-7255-4580-A0F9-4CD79E47BD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2" name="Elipse 4021">
          <a:extLst>
            <a:ext uri="{FF2B5EF4-FFF2-40B4-BE49-F238E27FC236}">
              <a16:creationId xmlns:a16="http://schemas.microsoft.com/office/drawing/2014/main" id="{C8F70C3A-5832-4D1F-A375-6568F9BD1C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3" name="Elipse 4022">
          <a:extLst>
            <a:ext uri="{FF2B5EF4-FFF2-40B4-BE49-F238E27FC236}">
              <a16:creationId xmlns:a16="http://schemas.microsoft.com/office/drawing/2014/main" id="{9A7A7DB3-4EF9-4540-83AB-B9EEBFCDA7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4" name="Elipse 4023">
          <a:extLst>
            <a:ext uri="{FF2B5EF4-FFF2-40B4-BE49-F238E27FC236}">
              <a16:creationId xmlns:a16="http://schemas.microsoft.com/office/drawing/2014/main" id="{0C054BEF-7F57-40D4-9321-7112FBAF40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5" name="Elipse 4024">
          <a:extLst>
            <a:ext uri="{FF2B5EF4-FFF2-40B4-BE49-F238E27FC236}">
              <a16:creationId xmlns:a16="http://schemas.microsoft.com/office/drawing/2014/main" id="{39996C00-8FE8-4609-8BD6-C2F5A927F3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6" name="Elipse 4025">
          <a:extLst>
            <a:ext uri="{FF2B5EF4-FFF2-40B4-BE49-F238E27FC236}">
              <a16:creationId xmlns:a16="http://schemas.microsoft.com/office/drawing/2014/main" id="{F457FADD-A474-48EB-8F9B-BFCFF1B011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7" name="Elipse 4026">
          <a:extLst>
            <a:ext uri="{FF2B5EF4-FFF2-40B4-BE49-F238E27FC236}">
              <a16:creationId xmlns:a16="http://schemas.microsoft.com/office/drawing/2014/main" id="{4340C5EB-91E9-40D1-A128-10E7DD972E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8" name="Elipse 4027">
          <a:extLst>
            <a:ext uri="{FF2B5EF4-FFF2-40B4-BE49-F238E27FC236}">
              <a16:creationId xmlns:a16="http://schemas.microsoft.com/office/drawing/2014/main" id="{7026B333-6584-4221-AB46-B96265C4AB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9" name="Elipse 4028">
          <a:extLst>
            <a:ext uri="{FF2B5EF4-FFF2-40B4-BE49-F238E27FC236}">
              <a16:creationId xmlns:a16="http://schemas.microsoft.com/office/drawing/2014/main" id="{366FED79-8D86-4B01-9C33-726E8D7178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0" name="Elipse 4029">
          <a:extLst>
            <a:ext uri="{FF2B5EF4-FFF2-40B4-BE49-F238E27FC236}">
              <a16:creationId xmlns:a16="http://schemas.microsoft.com/office/drawing/2014/main" id="{BC2D8EB7-B2E9-41B9-A7E0-CC92F9BF3D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1" name="Elipse 4030">
          <a:extLst>
            <a:ext uri="{FF2B5EF4-FFF2-40B4-BE49-F238E27FC236}">
              <a16:creationId xmlns:a16="http://schemas.microsoft.com/office/drawing/2014/main" id="{4D42F8CF-0208-413D-BD58-2FFE96905F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2" name="Elipse 4031">
          <a:extLst>
            <a:ext uri="{FF2B5EF4-FFF2-40B4-BE49-F238E27FC236}">
              <a16:creationId xmlns:a16="http://schemas.microsoft.com/office/drawing/2014/main" id="{7571D15D-AA84-41D5-B33E-03EC8D134D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3" name="Elipse 4032">
          <a:extLst>
            <a:ext uri="{FF2B5EF4-FFF2-40B4-BE49-F238E27FC236}">
              <a16:creationId xmlns:a16="http://schemas.microsoft.com/office/drawing/2014/main" id="{AAEB7AD9-CB51-4025-8C62-CCBA1B70BB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4" name="Elipse 4033">
          <a:extLst>
            <a:ext uri="{FF2B5EF4-FFF2-40B4-BE49-F238E27FC236}">
              <a16:creationId xmlns:a16="http://schemas.microsoft.com/office/drawing/2014/main" id="{53CDC5E2-DF7A-4E38-B728-1DA4CA37AF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5" name="Elipse 4034">
          <a:extLst>
            <a:ext uri="{FF2B5EF4-FFF2-40B4-BE49-F238E27FC236}">
              <a16:creationId xmlns:a16="http://schemas.microsoft.com/office/drawing/2014/main" id="{E7FF8BA2-A61D-4AF5-B2DA-B04C6A3EAA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6" name="Elipse 4035">
          <a:extLst>
            <a:ext uri="{FF2B5EF4-FFF2-40B4-BE49-F238E27FC236}">
              <a16:creationId xmlns:a16="http://schemas.microsoft.com/office/drawing/2014/main" id="{000205A9-90B5-4266-A3DE-209832FA11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7" name="Elipse 4036">
          <a:extLst>
            <a:ext uri="{FF2B5EF4-FFF2-40B4-BE49-F238E27FC236}">
              <a16:creationId xmlns:a16="http://schemas.microsoft.com/office/drawing/2014/main" id="{3305883F-5F0C-4DFE-94F1-28D5B5233B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8" name="Elipse 4037">
          <a:extLst>
            <a:ext uri="{FF2B5EF4-FFF2-40B4-BE49-F238E27FC236}">
              <a16:creationId xmlns:a16="http://schemas.microsoft.com/office/drawing/2014/main" id="{62704057-BE36-47D1-97AA-F279E39582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9" name="Elipse 4038">
          <a:extLst>
            <a:ext uri="{FF2B5EF4-FFF2-40B4-BE49-F238E27FC236}">
              <a16:creationId xmlns:a16="http://schemas.microsoft.com/office/drawing/2014/main" id="{BE34E0C8-FF31-4F8C-AD32-E76621D0EC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0" name="Elipse 4039">
          <a:extLst>
            <a:ext uri="{FF2B5EF4-FFF2-40B4-BE49-F238E27FC236}">
              <a16:creationId xmlns:a16="http://schemas.microsoft.com/office/drawing/2014/main" id="{2FD02D23-44F2-4EB4-A244-DDFBA1D53B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1" name="Elipse 4040">
          <a:extLst>
            <a:ext uri="{FF2B5EF4-FFF2-40B4-BE49-F238E27FC236}">
              <a16:creationId xmlns:a16="http://schemas.microsoft.com/office/drawing/2014/main" id="{F6387803-3237-444F-99B6-15DD8C8F03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2" name="Elipse 4041">
          <a:extLst>
            <a:ext uri="{FF2B5EF4-FFF2-40B4-BE49-F238E27FC236}">
              <a16:creationId xmlns:a16="http://schemas.microsoft.com/office/drawing/2014/main" id="{0315BB45-0F3E-40F6-9029-AC9C89571C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3" name="Elipse 4042">
          <a:extLst>
            <a:ext uri="{FF2B5EF4-FFF2-40B4-BE49-F238E27FC236}">
              <a16:creationId xmlns:a16="http://schemas.microsoft.com/office/drawing/2014/main" id="{AA336074-B0F9-4032-9F8A-1574ACACE1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4" name="Elipse 4043">
          <a:extLst>
            <a:ext uri="{FF2B5EF4-FFF2-40B4-BE49-F238E27FC236}">
              <a16:creationId xmlns:a16="http://schemas.microsoft.com/office/drawing/2014/main" id="{FF7CC166-2455-4D3C-A782-EF2325E377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5" name="Elipse 4044">
          <a:extLst>
            <a:ext uri="{FF2B5EF4-FFF2-40B4-BE49-F238E27FC236}">
              <a16:creationId xmlns:a16="http://schemas.microsoft.com/office/drawing/2014/main" id="{ADE117CE-0B44-41EF-B5DF-ACADD21E67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6" name="Elipse 4045">
          <a:extLst>
            <a:ext uri="{FF2B5EF4-FFF2-40B4-BE49-F238E27FC236}">
              <a16:creationId xmlns:a16="http://schemas.microsoft.com/office/drawing/2014/main" id="{42EBC0CB-D250-4144-B777-3FE47AEAED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7" name="Elipse 4046">
          <a:extLst>
            <a:ext uri="{FF2B5EF4-FFF2-40B4-BE49-F238E27FC236}">
              <a16:creationId xmlns:a16="http://schemas.microsoft.com/office/drawing/2014/main" id="{4B67AD44-163A-4785-A76F-D0206544C6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8" name="Elipse 4047">
          <a:extLst>
            <a:ext uri="{FF2B5EF4-FFF2-40B4-BE49-F238E27FC236}">
              <a16:creationId xmlns:a16="http://schemas.microsoft.com/office/drawing/2014/main" id="{7B539DFE-585F-4747-851E-D4E8807BC4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9" name="Elipse 4048">
          <a:extLst>
            <a:ext uri="{FF2B5EF4-FFF2-40B4-BE49-F238E27FC236}">
              <a16:creationId xmlns:a16="http://schemas.microsoft.com/office/drawing/2014/main" id="{69868354-12A6-4D76-B0C9-9067C06274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0" name="Elipse 4049">
          <a:extLst>
            <a:ext uri="{FF2B5EF4-FFF2-40B4-BE49-F238E27FC236}">
              <a16:creationId xmlns:a16="http://schemas.microsoft.com/office/drawing/2014/main" id="{2CBA5F34-859E-4834-91CD-AEB47419C2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1" name="Elipse 4050">
          <a:extLst>
            <a:ext uri="{FF2B5EF4-FFF2-40B4-BE49-F238E27FC236}">
              <a16:creationId xmlns:a16="http://schemas.microsoft.com/office/drawing/2014/main" id="{11D15EA6-4804-4CDA-97E2-380DB99D8B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2" name="Elipse 4051">
          <a:extLst>
            <a:ext uri="{FF2B5EF4-FFF2-40B4-BE49-F238E27FC236}">
              <a16:creationId xmlns:a16="http://schemas.microsoft.com/office/drawing/2014/main" id="{EC5C8633-D7FB-436D-AB72-32BB93DDF8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3" name="Elipse 4052">
          <a:extLst>
            <a:ext uri="{FF2B5EF4-FFF2-40B4-BE49-F238E27FC236}">
              <a16:creationId xmlns:a16="http://schemas.microsoft.com/office/drawing/2014/main" id="{F5746E77-98FD-4FE5-90FD-EC5B527952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4" name="Elipse 4053">
          <a:extLst>
            <a:ext uri="{FF2B5EF4-FFF2-40B4-BE49-F238E27FC236}">
              <a16:creationId xmlns:a16="http://schemas.microsoft.com/office/drawing/2014/main" id="{E5437656-667F-4AA4-B71E-525CF24127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5" name="Elipse 4054">
          <a:extLst>
            <a:ext uri="{FF2B5EF4-FFF2-40B4-BE49-F238E27FC236}">
              <a16:creationId xmlns:a16="http://schemas.microsoft.com/office/drawing/2014/main" id="{FC05373F-15F6-4650-A2BF-BB2249DE4E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6" name="Elipse 4055">
          <a:extLst>
            <a:ext uri="{FF2B5EF4-FFF2-40B4-BE49-F238E27FC236}">
              <a16:creationId xmlns:a16="http://schemas.microsoft.com/office/drawing/2014/main" id="{C2B2E56E-271A-45B9-ACF2-915A81F77E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7" name="Elipse 4056">
          <a:extLst>
            <a:ext uri="{FF2B5EF4-FFF2-40B4-BE49-F238E27FC236}">
              <a16:creationId xmlns:a16="http://schemas.microsoft.com/office/drawing/2014/main" id="{86026A26-14D0-42EB-8D93-FD1240D727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8" name="Elipse 4057">
          <a:extLst>
            <a:ext uri="{FF2B5EF4-FFF2-40B4-BE49-F238E27FC236}">
              <a16:creationId xmlns:a16="http://schemas.microsoft.com/office/drawing/2014/main" id="{42535533-B96D-4A56-9B11-D0FB07E1D7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9" name="Elipse 4058">
          <a:extLst>
            <a:ext uri="{FF2B5EF4-FFF2-40B4-BE49-F238E27FC236}">
              <a16:creationId xmlns:a16="http://schemas.microsoft.com/office/drawing/2014/main" id="{06DE3F8F-732B-494D-9541-AAF1BAA2DD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0" name="Elipse 4059">
          <a:extLst>
            <a:ext uri="{FF2B5EF4-FFF2-40B4-BE49-F238E27FC236}">
              <a16:creationId xmlns:a16="http://schemas.microsoft.com/office/drawing/2014/main" id="{964BF8EE-EDF4-48E2-A694-1C3BBDD09B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1" name="Elipse 4060">
          <a:extLst>
            <a:ext uri="{FF2B5EF4-FFF2-40B4-BE49-F238E27FC236}">
              <a16:creationId xmlns:a16="http://schemas.microsoft.com/office/drawing/2014/main" id="{DBE4AB7B-74E9-4C59-97BB-6FE9349193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2" name="Elipse 4061">
          <a:extLst>
            <a:ext uri="{FF2B5EF4-FFF2-40B4-BE49-F238E27FC236}">
              <a16:creationId xmlns:a16="http://schemas.microsoft.com/office/drawing/2014/main" id="{4652A3F1-8795-438F-9389-ACB5E8B11E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3" name="Elipse 4062">
          <a:extLst>
            <a:ext uri="{FF2B5EF4-FFF2-40B4-BE49-F238E27FC236}">
              <a16:creationId xmlns:a16="http://schemas.microsoft.com/office/drawing/2014/main" id="{4C8782B0-E8E0-4778-AF85-674D70A881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4" name="Elipse 4063">
          <a:extLst>
            <a:ext uri="{FF2B5EF4-FFF2-40B4-BE49-F238E27FC236}">
              <a16:creationId xmlns:a16="http://schemas.microsoft.com/office/drawing/2014/main" id="{6CB552A9-1759-4F0F-9769-1288F1F402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5" name="Elipse 4064">
          <a:extLst>
            <a:ext uri="{FF2B5EF4-FFF2-40B4-BE49-F238E27FC236}">
              <a16:creationId xmlns:a16="http://schemas.microsoft.com/office/drawing/2014/main" id="{00F594A7-0C73-4BC8-8F65-2DCF869869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6" name="Elipse 4065">
          <a:extLst>
            <a:ext uri="{FF2B5EF4-FFF2-40B4-BE49-F238E27FC236}">
              <a16:creationId xmlns:a16="http://schemas.microsoft.com/office/drawing/2014/main" id="{529A9B96-4A55-452C-AB16-92B9CC5737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7" name="Elipse 4066">
          <a:extLst>
            <a:ext uri="{FF2B5EF4-FFF2-40B4-BE49-F238E27FC236}">
              <a16:creationId xmlns:a16="http://schemas.microsoft.com/office/drawing/2014/main" id="{64CD59F1-9948-49CF-BD3D-F701D66276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8" name="Elipse 4067">
          <a:extLst>
            <a:ext uri="{FF2B5EF4-FFF2-40B4-BE49-F238E27FC236}">
              <a16:creationId xmlns:a16="http://schemas.microsoft.com/office/drawing/2014/main" id="{7F4D4F32-8A7B-48F7-B6E0-CEE03B0042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9" name="Elipse 4068">
          <a:extLst>
            <a:ext uri="{FF2B5EF4-FFF2-40B4-BE49-F238E27FC236}">
              <a16:creationId xmlns:a16="http://schemas.microsoft.com/office/drawing/2014/main" id="{C4E51928-CAB6-4A20-81AD-53B66D089F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0" name="Elipse 4069">
          <a:extLst>
            <a:ext uri="{FF2B5EF4-FFF2-40B4-BE49-F238E27FC236}">
              <a16:creationId xmlns:a16="http://schemas.microsoft.com/office/drawing/2014/main" id="{74EBD3CB-B451-4B81-B4D6-E550E87F81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1" name="Elipse 4070">
          <a:extLst>
            <a:ext uri="{FF2B5EF4-FFF2-40B4-BE49-F238E27FC236}">
              <a16:creationId xmlns:a16="http://schemas.microsoft.com/office/drawing/2014/main" id="{3B64754E-E3D5-4806-8839-3DC2EA1E39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2" name="Elipse 4071">
          <a:extLst>
            <a:ext uri="{FF2B5EF4-FFF2-40B4-BE49-F238E27FC236}">
              <a16:creationId xmlns:a16="http://schemas.microsoft.com/office/drawing/2014/main" id="{7CD06998-1718-4895-B67C-D19F181AC0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3" name="Elipse 4072">
          <a:extLst>
            <a:ext uri="{FF2B5EF4-FFF2-40B4-BE49-F238E27FC236}">
              <a16:creationId xmlns:a16="http://schemas.microsoft.com/office/drawing/2014/main" id="{F5094DBC-93A0-4FD7-A638-9D9520194B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4" name="Elipse 4073">
          <a:extLst>
            <a:ext uri="{FF2B5EF4-FFF2-40B4-BE49-F238E27FC236}">
              <a16:creationId xmlns:a16="http://schemas.microsoft.com/office/drawing/2014/main" id="{EC51F5A5-AFAC-4ECA-B424-7E39ED7CA1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5" name="Elipse 4074">
          <a:extLst>
            <a:ext uri="{FF2B5EF4-FFF2-40B4-BE49-F238E27FC236}">
              <a16:creationId xmlns:a16="http://schemas.microsoft.com/office/drawing/2014/main" id="{8E0F90A3-7170-497D-A14F-D1C3D91A73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6" name="Elipse 4075">
          <a:extLst>
            <a:ext uri="{FF2B5EF4-FFF2-40B4-BE49-F238E27FC236}">
              <a16:creationId xmlns:a16="http://schemas.microsoft.com/office/drawing/2014/main" id="{154ADBDA-0EDF-4CA1-8C43-22B2E15163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7" name="Elipse 4076">
          <a:extLst>
            <a:ext uri="{FF2B5EF4-FFF2-40B4-BE49-F238E27FC236}">
              <a16:creationId xmlns:a16="http://schemas.microsoft.com/office/drawing/2014/main" id="{8C580584-4B3C-46A9-9390-E10B8BAF74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8" name="Elipse 4077">
          <a:extLst>
            <a:ext uri="{FF2B5EF4-FFF2-40B4-BE49-F238E27FC236}">
              <a16:creationId xmlns:a16="http://schemas.microsoft.com/office/drawing/2014/main" id="{D741815F-95F2-4FC8-80D9-3F69200DE2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9" name="Elipse 4078">
          <a:extLst>
            <a:ext uri="{FF2B5EF4-FFF2-40B4-BE49-F238E27FC236}">
              <a16:creationId xmlns:a16="http://schemas.microsoft.com/office/drawing/2014/main" id="{1573A2FF-EEE4-468C-810B-B107C87230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0" name="Elipse 4079">
          <a:extLst>
            <a:ext uri="{FF2B5EF4-FFF2-40B4-BE49-F238E27FC236}">
              <a16:creationId xmlns:a16="http://schemas.microsoft.com/office/drawing/2014/main" id="{8D3E4888-48C8-4D4E-8F98-73AB5D6450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1" name="Elipse 4080">
          <a:extLst>
            <a:ext uri="{FF2B5EF4-FFF2-40B4-BE49-F238E27FC236}">
              <a16:creationId xmlns:a16="http://schemas.microsoft.com/office/drawing/2014/main" id="{44D18260-22CB-4400-A34F-F7A20E5323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2" name="Elipse 4081">
          <a:extLst>
            <a:ext uri="{FF2B5EF4-FFF2-40B4-BE49-F238E27FC236}">
              <a16:creationId xmlns:a16="http://schemas.microsoft.com/office/drawing/2014/main" id="{A6B4FBE2-EB70-44B1-8D9E-9F4A2AD076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3" name="Elipse 4082">
          <a:extLst>
            <a:ext uri="{FF2B5EF4-FFF2-40B4-BE49-F238E27FC236}">
              <a16:creationId xmlns:a16="http://schemas.microsoft.com/office/drawing/2014/main" id="{9DB9CAF6-C2D5-47B7-A540-7C1DBAF414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4" name="Elipse 4083">
          <a:extLst>
            <a:ext uri="{FF2B5EF4-FFF2-40B4-BE49-F238E27FC236}">
              <a16:creationId xmlns:a16="http://schemas.microsoft.com/office/drawing/2014/main" id="{B871E3F2-9B89-4A90-88D5-78A8971A09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5" name="Elipse 4084">
          <a:extLst>
            <a:ext uri="{FF2B5EF4-FFF2-40B4-BE49-F238E27FC236}">
              <a16:creationId xmlns:a16="http://schemas.microsoft.com/office/drawing/2014/main" id="{27E4ABDC-0F32-4259-A64D-6DF6A28E6E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6" name="Elipse 4085">
          <a:extLst>
            <a:ext uri="{FF2B5EF4-FFF2-40B4-BE49-F238E27FC236}">
              <a16:creationId xmlns:a16="http://schemas.microsoft.com/office/drawing/2014/main" id="{87826B72-EBB3-4795-9A02-51DBD6642A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7" name="Elipse 4086">
          <a:extLst>
            <a:ext uri="{FF2B5EF4-FFF2-40B4-BE49-F238E27FC236}">
              <a16:creationId xmlns:a16="http://schemas.microsoft.com/office/drawing/2014/main" id="{05A03A32-5896-4F94-BB5A-B3D9E0C0A8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8" name="Elipse 4087">
          <a:extLst>
            <a:ext uri="{FF2B5EF4-FFF2-40B4-BE49-F238E27FC236}">
              <a16:creationId xmlns:a16="http://schemas.microsoft.com/office/drawing/2014/main" id="{09FEEA58-B709-4399-BF29-010CAC9C8A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9" name="Elipse 4088">
          <a:extLst>
            <a:ext uri="{FF2B5EF4-FFF2-40B4-BE49-F238E27FC236}">
              <a16:creationId xmlns:a16="http://schemas.microsoft.com/office/drawing/2014/main" id="{FD00B55C-F877-472A-9A61-9E61D70EC7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0" name="Elipse 4089">
          <a:extLst>
            <a:ext uri="{FF2B5EF4-FFF2-40B4-BE49-F238E27FC236}">
              <a16:creationId xmlns:a16="http://schemas.microsoft.com/office/drawing/2014/main" id="{C40E5A3D-49BF-4D2A-8DC8-AC29FD099E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1" name="Elipse 4090">
          <a:extLst>
            <a:ext uri="{FF2B5EF4-FFF2-40B4-BE49-F238E27FC236}">
              <a16:creationId xmlns:a16="http://schemas.microsoft.com/office/drawing/2014/main" id="{CAD64005-B0C5-476D-BA87-7C68B1EC2C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2" name="Elipse 4091">
          <a:extLst>
            <a:ext uri="{FF2B5EF4-FFF2-40B4-BE49-F238E27FC236}">
              <a16:creationId xmlns:a16="http://schemas.microsoft.com/office/drawing/2014/main" id="{6A1ED662-82B8-4C57-90AA-18C5FDB01C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3" name="Elipse 4092">
          <a:extLst>
            <a:ext uri="{FF2B5EF4-FFF2-40B4-BE49-F238E27FC236}">
              <a16:creationId xmlns:a16="http://schemas.microsoft.com/office/drawing/2014/main" id="{D15BBFE0-87C5-4F9D-BB48-5130BA22E1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4" name="Elipse 4093">
          <a:extLst>
            <a:ext uri="{FF2B5EF4-FFF2-40B4-BE49-F238E27FC236}">
              <a16:creationId xmlns:a16="http://schemas.microsoft.com/office/drawing/2014/main" id="{8ACAC35B-B1F4-49BE-9964-7EF04DA4A1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5" name="Elipse 4094">
          <a:extLst>
            <a:ext uri="{FF2B5EF4-FFF2-40B4-BE49-F238E27FC236}">
              <a16:creationId xmlns:a16="http://schemas.microsoft.com/office/drawing/2014/main" id="{801EFF81-4320-4F1D-900B-7D710D1E13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6" name="Elipse 4095">
          <a:extLst>
            <a:ext uri="{FF2B5EF4-FFF2-40B4-BE49-F238E27FC236}">
              <a16:creationId xmlns:a16="http://schemas.microsoft.com/office/drawing/2014/main" id="{0CB3470B-E93C-47F6-8468-D66D562145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7" name="Elipse 4096">
          <a:extLst>
            <a:ext uri="{FF2B5EF4-FFF2-40B4-BE49-F238E27FC236}">
              <a16:creationId xmlns:a16="http://schemas.microsoft.com/office/drawing/2014/main" id="{A777BEE9-D652-419F-A4E3-A8DA822A77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8" name="Elipse 4097">
          <a:extLst>
            <a:ext uri="{FF2B5EF4-FFF2-40B4-BE49-F238E27FC236}">
              <a16:creationId xmlns:a16="http://schemas.microsoft.com/office/drawing/2014/main" id="{BCAF2F94-701D-489E-87AF-FF909E155D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9" name="Elipse 4098">
          <a:extLst>
            <a:ext uri="{FF2B5EF4-FFF2-40B4-BE49-F238E27FC236}">
              <a16:creationId xmlns:a16="http://schemas.microsoft.com/office/drawing/2014/main" id="{C82A35E7-C748-42B1-8776-88E4B5A7F3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0" name="Elipse 4099">
          <a:extLst>
            <a:ext uri="{FF2B5EF4-FFF2-40B4-BE49-F238E27FC236}">
              <a16:creationId xmlns:a16="http://schemas.microsoft.com/office/drawing/2014/main" id="{92F41BF3-308C-4785-BF79-AC564FBAFC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1" name="Elipse 4100">
          <a:extLst>
            <a:ext uri="{FF2B5EF4-FFF2-40B4-BE49-F238E27FC236}">
              <a16:creationId xmlns:a16="http://schemas.microsoft.com/office/drawing/2014/main" id="{184FC8A3-C421-4E49-9D93-79B65BFA1F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2" name="Elipse 4101">
          <a:extLst>
            <a:ext uri="{FF2B5EF4-FFF2-40B4-BE49-F238E27FC236}">
              <a16:creationId xmlns:a16="http://schemas.microsoft.com/office/drawing/2014/main" id="{E074C957-A564-4287-B873-0D09321197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3" name="Elipse 4102">
          <a:extLst>
            <a:ext uri="{FF2B5EF4-FFF2-40B4-BE49-F238E27FC236}">
              <a16:creationId xmlns:a16="http://schemas.microsoft.com/office/drawing/2014/main" id="{A67CC5C2-C921-4FF8-9058-1B5C4BE2E0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4" name="Elipse 4103">
          <a:extLst>
            <a:ext uri="{FF2B5EF4-FFF2-40B4-BE49-F238E27FC236}">
              <a16:creationId xmlns:a16="http://schemas.microsoft.com/office/drawing/2014/main" id="{BCF0CA3B-462B-4061-A008-171C8D256F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5" name="Elipse 4104">
          <a:extLst>
            <a:ext uri="{FF2B5EF4-FFF2-40B4-BE49-F238E27FC236}">
              <a16:creationId xmlns:a16="http://schemas.microsoft.com/office/drawing/2014/main" id="{A8AC5346-7E06-4156-91B9-815A4BA402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6" name="Elipse 4105">
          <a:extLst>
            <a:ext uri="{FF2B5EF4-FFF2-40B4-BE49-F238E27FC236}">
              <a16:creationId xmlns:a16="http://schemas.microsoft.com/office/drawing/2014/main" id="{E747AFBF-0AB8-4C0A-BD1F-2E0A3A1B94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7" name="Elipse 4106">
          <a:extLst>
            <a:ext uri="{FF2B5EF4-FFF2-40B4-BE49-F238E27FC236}">
              <a16:creationId xmlns:a16="http://schemas.microsoft.com/office/drawing/2014/main" id="{449FCA7F-A4CC-4260-BDBC-BA0874635E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8" name="Elipse 4107">
          <a:extLst>
            <a:ext uri="{FF2B5EF4-FFF2-40B4-BE49-F238E27FC236}">
              <a16:creationId xmlns:a16="http://schemas.microsoft.com/office/drawing/2014/main" id="{520EC552-AB50-45A8-ADB7-82BAE8F385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9" name="Elipse 4108">
          <a:extLst>
            <a:ext uri="{FF2B5EF4-FFF2-40B4-BE49-F238E27FC236}">
              <a16:creationId xmlns:a16="http://schemas.microsoft.com/office/drawing/2014/main" id="{00880792-2C5B-499B-BAA4-B414E8FDF1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0" name="Elipse 4109">
          <a:extLst>
            <a:ext uri="{FF2B5EF4-FFF2-40B4-BE49-F238E27FC236}">
              <a16:creationId xmlns:a16="http://schemas.microsoft.com/office/drawing/2014/main" id="{3CF34196-C465-4D29-BF65-4FB899AC81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1" name="Elipse 4110">
          <a:extLst>
            <a:ext uri="{FF2B5EF4-FFF2-40B4-BE49-F238E27FC236}">
              <a16:creationId xmlns:a16="http://schemas.microsoft.com/office/drawing/2014/main" id="{36097DDC-2951-486E-AD88-1738AA86D6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2" name="Elipse 4111">
          <a:extLst>
            <a:ext uri="{FF2B5EF4-FFF2-40B4-BE49-F238E27FC236}">
              <a16:creationId xmlns:a16="http://schemas.microsoft.com/office/drawing/2014/main" id="{6BF2A363-EE29-456E-BB5D-53D7B4CD13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3" name="Elipse 4112">
          <a:extLst>
            <a:ext uri="{FF2B5EF4-FFF2-40B4-BE49-F238E27FC236}">
              <a16:creationId xmlns:a16="http://schemas.microsoft.com/office/drawing/2014/main" id="{A34F8CD8-2526-4404-B3B9-CED73AD3BF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4" name="Elipse 4113">
          <a:extLst>
            <a:ext uri="{FF2B5EF4-FFF2-40B4-BE49-F238E27FC236}">
              <a16:creationId xmlns:a16="http://schemas.microsoft.com/office/drawing/2014/main" id="{97A59AA8-38D2-4D76-A752-ED21C964FA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5" name="Elipse 4114">
          <a:extLst>
            <a:ext uri="{FF2B5EF4-FFF2-40B4-BE49-F238E27FC236}">
              <a16:creationId xmlns:a16="http://schemas.microsoft.com/office/drawing/2014/main" id="{08EB20FE-0CFF-4857-B0B8-63FD1B7E5F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6" name="Elipse 4115">
          <a:extLst>
            <a:ext uri="{FF2B5EF4-FFF2-40B4-BE49-F238E27FC236}">
              <a16:creationId xmlns:a16="http://schemas.microsoft.com/office/drawing/2014/main" id="{5300B926-EEB4-461B-AE20-0815715B6C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7" name="Elipse 4116">
          <a:extLst>
            <a:ext uri="{FF2B5EF4-FFF2-40B4-BE49-F238E27FC236}">
              <a16:creationId xmlns:a16="http://schemas.microsoft.com/office/drawing/2014/main" id="{FA23A398-859B-498C-9FC3-3B49EAC2B3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8" name="Elipse 4117">
          <a:extLst>
            <a:ext uri="{FF2B5EF4-FFF2-40B4-BE49-F238E27FC236}">
              <a16:creationId xmlns:a16="http://schemas.microsoft.com/office/drawing/2014/main" id="{D8F295AD-D7A7-4448-BB2A-7A33E07439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9" name="Elipse 4118">
          <a:extLst>
            <a:ext uri="{FF2B5EF4-FFF2-40B4-BE49-F238E27FC236}">
              <a16:creationId xmlns:a16="http://schemas.microsoft.com/office/drawing/2014/main" id="{5B4834E6-DBE8-42AE-8A05-1006A761C3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0" name="Elipse 4119">
          <a:extLst>
            <a:ext uri="{FF2B5EF4-FFF2-40B4-BE49-F238E27FC236}">
              <a16:creationId xmlns:a16="http://schemas.microsoft.com/office/drawing/2014/main" id="{0B925699-E0B1-4F7F-8462-5B27DEA5ED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1" name="Elipse 4120">
          <a:extLst>
            <a:ext uri="{FF2B5EF4-FFF2-40B4-BE49-F238E27FC236}">
              <a16:creationId xmlns:a16="http://schemas.microsoft.com/office/drawing/2014/main" id="{DD209F49-8E10-446A-B61D-18CF74E10C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2" name="Elipse 4121">
          <a:extLst>
            <a:ext uri="{FF2B5EF4-FFF2-40B4-BE49-F238E27FC236}">
              <a16:creationId xmlns:a16="http://schemas.microsoft.com/office/drawing/2014/main" id="{B7A2FA36-043C-4713-AAB2-0957039D4D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3" name="Elipse 4122">
          <a:extLst>
            <a:ext uri="{FF2B5EF4-FFF2-40B4-BE49-F238E27FC236}">
              <a16:creationId xmlns:a16="http://schemas.microsoft.com/office/drawing/2014/main" id="{EE827461-1E86-4829-8737-5F7E6F5757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4" name="Elipse 4123">
          <a:extLst>
            <a:ext uri="{FF2B5EF4-FFF2-40B4-BE49-F238E27FC236}">
              <a16:creationId xmlns:a16="http://schemas.microsoft.com/office/drawing/2014/main" id="{A9D18938-821A-464C-B462-0767063538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5" name="Elipse 4124">
          <a:extLst>
            <a:ext uri="{FF2B5EF4-FFF2-40B4-BE49-F238E27FC236}">
              <a16:creationId xmlns:a16="http://schemas.microsoft.com/office/drawing/2014/main" id="{53DA8A99-5B9F-4BE3-AF9E-899C27037E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6" name="Elipse 4125">
          <a:extLst>
            <a:ext uri="{FF2B5EF4-FFF2-40B4-BE49-F238E27FC236}">
              <a16:creationId xmlns:a16="http://schemas.microsoft.com/office/drawing/2014/main" id="{F6FACB21-E8F6-46C2-B022-883476AE05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7" name="Elipse 4126">
          <a:extLst>
            <a:ext uri="{FF2B5EF4-FFF2-40B4-BE49-F238E27FC236}">
              <a16:creationId xmlns:a16="http://schemas.microsoft.com/office/drawing/2014/main" id="{C8106FB1-8FFC-498D-9ABA-FC44F8DA51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8" name="Elipse 4127">
          <a:extLst>
            <a:ext uri="{FF2B5EF4-FFF2-40B4-BE49-F238E27FC236}">
              <a16:creationId xmlns:a16="http://schemas.microsoft.com/office/drawing/2014/main" id="{876392C6-D6C4-4909-B222-52A3768D51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9" name="Elipse 4128">
          <a:extLst>
            <a:ext uri="{FF2B5EF4-FFF2-40B4-BE49-F238E27FC236}">
              <a16:creationId xmlns:a16="http://schemas.microsoft.com/office/drawing/2014/main" id="{403C1DE9-1288-46F4-80E4-A5DECCF79A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0" name="Elipse 4129">
          <a:extLst>
            <a:ext uri="{FF2B5EF4-FFF2-40B4-BE49-F238E27FC236}">
              <a16:creationId xmlns:a16="http://schemas.microsoft.com/office/drawing/2014/main" id="{B2B7E891-057E-4070-9DE5-3999436959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1" name="Elipse 4130">
          <a:extLst>
            <a:ext uri="{FF2B5EF4-FFF2-40B4-BE49-F238E27FC236}">
              <a16:creationId xmlns:a16="http://schemas.microsoft.com/office/drawing/2014/main" id="{8C986890-87ED-430B-AD95-C0E6A8A025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2" name="Elipse 4131">
          <a:extLst>
            <a:ext uri="{FF2B5EF4-FFF2-40B4-BE49-F238E27FC236}">
              <a16:creationId xmlns:a16="http://schemas.microsoft.com/office/drawing/2014/main" id="{835DC367-2FAB-45B4-9A78-C84EFD707B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3" name="Elipse 4132">
          <a:extLst>
            <a:ext uri="{FF2B5EF4-FFF2-40B4-BE49-F238E27FC236}">
              <a16:creationId xmlns:a16="http://schemas.microsoft.com/office/drawing/2014/main" id="{1139B4ED-CF5C-4626-B56F-840086F9ED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4" name="Elipse 4133">
          <a:extLst>
            <a:ext uri="{FF2B5EF4-FFF2-40B4-BE49-F238E27FC236}">
              <a16:creationId xmlns:a16="http://schemas.microsoft.com/office/drawing/2014/main" id="{63DDE203-647F-430A-9A3F-6F1DA2C1B6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5" name="Elipse 4134">
          <a:extLst>
            <a:ext uri="{FF2B5EF4-FFF2-40B4-BE49-F238E27FC236}">
              <a16:creationId xmlns:a16="http://schemas.microsoft.com/office/drawing/2014/main" id="{B16A5C47-69FE-48FF-A79D-7A27A1EB8F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6" name="Elipse 4135">
          <a:extLst>
            <a:ext uri="{FF2B5EF4-FFF2-40B4-BE49-F238E27FC236}">
              <a16:creationId xmlns:a16="http://schemas.microsoft.com/office/drawing/2014/main" id="{BC6AF86E-57E7-44EA-B07C-9364CA6319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7" name="Elipse 4136">
          <a:extLst>
            <a:ext uri="{FF2B5EF4-FFF2-40B4-BE49-F238E27FC236}">
              <a16:creationId xmlns:a16="http://schemas.microsoft.com/office/drawing/2014/main" id="{46C67669-FE6E-4107-93C6-3D6655F18F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8" name="Elipse 4137">
          <a:extLst>
            <a:ext uri="{FF2B5EF4-FFF2-40B4-BE49-F238E27FC236}">
              <a16:creationId xmlns:a16="http://schemas.microsoft.com/office/drawing/2014/main" id="{B9E308CA-468C-4E67-8718-EC34BDDDCE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9" name="Elipse 4138">
          <a:extLst>
            <a:ext uri="{FF2B5EF4-FFF2-40B4-BE49-F238E27FC236}">
              <a16:creationId xmlns:a16="http://schemas.microsoft.com/office/drawing/2014/main" id="{A51B7147-3E50-462F-B9F5-728976DEC7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0" name="Elipse 4139">
          <a:extLst>
            <a:ext uri="{FF2B5EF4-FFF2-40B4-BE49-F238E27FC236}">
              <a16:creationId xmlns:a16="http://schemas.microsoft.com/office/drawing/2014/main" id="{E9BB5254-B464-480E-B7CE-630AA75214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1" name="Elipse 4140">
          <a:extLst>
            <a:ext uri="{FF2B5EF4-FFF2-40B4-BE49-F238E27FC236}">
              <a16:creationId xmlns:a16="http://schemas.microsoft.com/office/drawing/2014/main" id="{4978825D-6D59-47D0-B6D9-D0951071BD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2" name="Elipse 4141">
          <a:extLst>
            <a:ext uri="{FF2B5EF4-FFF2-40B4-BE49-F238E27FC236}">
              <a16:creationId xmlns:a16="http://schemas.microsoft.com/office/drawing/2014/main" id="{7E25B54E-CC1A-4A2A-B136-5F5ED72A7C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3" name="Elipse 4142">
          <a:extLst>
            <a:ext uri="{FF2B5EF4-FFF2-40B4-BE49-F238E27FC236}">
              <a16:creationId xmlns:a16="http://schemas.microsoft.com/office/drawing/2014/main" id="{E270E5BE-D568-4657-9ED1-CD72756199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4" name="Elipse 4143">
          <a:extLst>
            <a:ext uri="{FF2B5EF4-FFF2-40B4-BE49-F238E27FC236}">
              <a16:creationId xmlns:a16="http://schemas.microsoft.com/office/drawing/2014/main" id="{88D6662D-8682-450C-B239-AC11E98751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5" name="Elipse 4144">
          <a:extLst>
            <a:ext uri="{FF2B5EF4-FFF2-40B4-BE49-F238E27FC236}">
              <a16:creationId xmlns:a16="http://schemas.microsoft.com/office/drawing/2014/main" id="{1E03865B-4C62-41D1-90FA-AF5635171A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6" name="Elipse 4145">
          <a:extLst>
            <a:ext uri="{FF2B5EF4-FFF2-40B4-BE49-F238E27FC236}">
              <a16:creationId xmlns:a16="http://schemas.microsoft.com/office/drawing/2014/main" id="{6C8FFF09-270C-49DE-9511-B466E776DB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7" name="Elipse 4146">
          <a:extLst>
            <a:ext uri="{FF2B5EF4-FFF2-40B4-BE49-F238E27FC236}">
              <a16:creationId xmlns:a16="http://schemas.microsoft.com/office/drawing/2014/main" id="{F2B22728-B9C4-4B38-8864-A9A6D4C0B9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8" name="Elipse 4147">
          <a:extLst>
            <a:ext uri="{FF2B5EF4-FFF2-40B4-BE49-F238E27FC236}">
              <a16:creationId xmlns:a16="http://schemas.microsoft.com/office/drawing/2014/main" id="{5C875B4F-E769-4EB1-8827-DCAF970219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9" name="Elipse 4148">
          <a:extLst>
            <a:ext uri="{FF2B5EF4-FFF2-40B4-BE49-F238E27FC236}">
              <a16:creationId xmlns:a16="http://schemas.microsoft.com/office/drawing/2014/main" id="{0D05C051-8702-4763-8900-52C74788DF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0" name="Elipse 4149">
          <a:extLst>
            <a:ext uri="{FF2B5EF4-FFF2-40B4-BE49-F238E27FC236}">
              <a16:creationId xmlns:a16="http://schemas.microsoft.com/office/drawing/2014/main" id="{8A81A5C6-B565-4A76-AFE4-305FFB6F0F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1" name="Elipse 4150">
          <a:extLst>
            <a:ext uri="{FF2B5EF4-FFF2-40B4-BE49-F238E27FC236}">
              <a16:creationId xmlns:a16="http://schemas.microsoft.com/office/drawing/2014/main" id="{B6A88B40-7E6E-4977-BCA0-FCF4ED507C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2" name="Elipse 4151">
          <a:extLst>
            <a:ext uri="{FF2B5EF4-FFF2-40B4-BE49-F238E27FC236}">
              <a16:creationId xmlns:a16="http://schemas.microsoft.com/office/drawing/2014/main" id="{CBF5DABA-67E3-4DF7-AB7F-B57EB58E79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3" name="Elipse 4152">
          <a:extLst>
            <a:ext uri="{FF2B5EF4-FFF2-40B4-BE49-F238E27FC236}">
              <a16:creationId xmlns:a16="http://schemas.microsoft.com/office/drawing/2014/main" id="{55BDC5EE-6E45-4FC7-AB24-77BBD407DA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4" name="Elipse 4153">
          <a:extLst>
            <a:ext uri="{FF2B5EF4-FFF2-40B4-BE49-F238E27FC236}">
              <a16:creationId xmlns:a16="http://schemas.microsoft.com/office/drawing/2014/main" id="{61EB3DE8-EF2D-468A-8594-09540950BA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5" name="Elipse 4154">
          <a:extLst>
            <a:ext uri="{FF2B5EF4-FFF2-40B4-BE49-F238E27FC236}">
              <a16:creationId xmlns:a16="http://schemas.microsoft.com/office/drawing/2014/main" id="{071D6B56-63FC-4402-8E8F-EA2B59E119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6" name="Elipse 4155">
          <a:extLst>
            <a:ext uri="{FF2B5EF4-FFF2-40B4-BE49-F238E27FC236}">
              <a16:creationId xmlns:a16="http://schemas.microsoft.com/office/drawing/2014/main" id="{112E5725-35F9-48C7-ACC4-4A0A5D6CA1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7" name="Elipse 4156">
          <a:extLst>
            <a:ext uri="{FF2B5EF4-FFF2-40B4-BE49-F238E27FC236}">
              <a16:creationId xmlns:a16="http://schemas.microsoft.com/office/drawing/2014/main" id="{9FDB5465-8C5C-4E9A-96A0-0E8C8A3064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8" name="Elipse 4157">
          <a:extLst>
            <a:ext uri="{FF2B5EF4-FFF2-40B4-BE49-F238E27FC236}">
              <a16:creationId xmlns:a16="http://schemas.microsoft.com/office/drawing/2014/main" id="{B4C0979F-C327-4C44-B30E-4B116E5029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9" name="Elipse 4158">
          <a:extLst>
            <a:ext uri="{FF2B5EF4-FFF2-40B4-BE49-F238E27FC236}">
              <a16:creationId xmlns:a16="http://schemas.microsoft.com/office/drawing/2014/main" id="{433481CA-9649-4892-9ED5-CC9F3B5B59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0" name="Elipse 4159">
          <a:extLst>
            <a:ext uri="{FF2B5EF4-FFF2-40B4-BE49-F238E27FC236}">
              <a16:creationId xmlns:a16="http://schemas.microsoft.com/office/drawing/2014/main" id="{B0A2B54F-84E2-446E-9449-B7C0E15FBD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1" name="Elipse 4160">
          <a:extLst>
            <a:ext uri="{FF2B5EF4-FFF2-40B4-BE49-F238E27FC236}">
              <a16:creationId xmlns:a16="http://schemas.microsoft.com/office/drawing/2014/main" id="{10DBB548-A38F-4315-ADF9-0C0B6D8916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2" name="Elipse 4161">
          <a:extLst>
            <a:ext uri="{FF2B5EF4-FFF2-40B4-BE49-F238E27FC236}">
              <a16:creationId xmlns:a16="http://schemas.microsoft.com/office/drawing/2014/main" id="{A440488F-5EA8-476A-949C-BCFCDA36BB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3" name="Elipse 4162">
          <a:extLst>
            <a:ext uri="{FF2B5EF4-FFF2-40B4-BE49-F238E27FC236}">
              <a16:creationId xmlns:a16="http://schemas.microsoft.com/office/drawing/2014/main" id="{EB026AC6-B0AA-4C84-922D-88F95FA4CE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4" name="Elipse 4163">
          <a:extLst>
            <a:ext uri="{FF2B5EF4-FFF2-40B4-BE49-F238E27FC236}">
              <a16:creationId xmlns:a16="http://schemas.microsoft.com/office/drawing/2014/main" id="{227F91E2-EF04-4CC7-8CAF-6C94130D0C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5" name="Elipse 4164">
          <a:extLst>
            <a:ext uri="{FF2B5EF4-FFF2-40B4-BE49-F238E27FC236}">
              <a16:creationId xmlns:a16="http://schemas.microsoft.com/office/drawing/2014/main" id="{581562B4-DA42-45E6-ABC2-3B0CA926D7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6" name="Elipse 4165">
          <a:extLst>
            <a:ext uri="{FF2B5EF4-FFF2-40B4-BE49-F238E27FC236}">
              <a16:creationId xmlns:a16="http://schemas.microsoft.com/office/drawing/2014/main" id="{10C14909-0B99-4B53-8319-74D2049D4A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7" name="Elipse 4166">
          <a:extLst>
            <a:ext uri="{FF2B5EF4-FFF2-40B4-BE49-F238E27FC236}">
              <a16:creationId xmlns:a16="http://schemas.microsoft.com/office/drawing/2014/main" id="{E494DEB6-50D5-4DAB-A069-DBCC1CADED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8" name="Elipse 4167">
          <a:extLst>
            <a:ext uri="{FF2B5EF4-FFF2-40B4-BE49-F238E27FC236}">
              <a16:creationId xmlns:a16="http://schemas.microsoft.com/office/drawing/2014/main" id="{508521F3-41C0-4C97-8752-CB50B7B8D0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9" name="Elipse 4168">
          <a:extLst>
            <a:ext uri="{FF2B5EF4-FFF2-40B4-BE49-F238E27FC236}">
              <a16:creationId xmlns:a16="http://schemas.microsoft.com/office/drawing/2014/main" id="{53464548-FB61-4F3A-9100-EF0CD8569E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0" name="Elipse 4169">
          <a:extLst>
            <a:ext uri="{FF2B5EF4-FFF2-40B4-BE49-F238E27FC236}">
              <a16:creationId xmlns:a16="http://schemas.microsoft.com/office/drawing/2014/main" id="{372C0F75-FB8A-4CFB-B782-C66F41F1B4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1" name="Elipse 4170">
          <a:extLst>
            <a:ext uri="{FF2B5EF4-FFF2-40B4-BE49-F238E27FC236}">
              <a16:creationId xmlns:a16="http://schemas.microsoft.com/office/drawing/2014/main" id="{DABEA163-BA97-4394-B8D6-1C7E371BB3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2" name="Elipse 4171">
          <a:extLst>
            <a:ext uri="{FF2B5EF4-FFF2-40B4-BE49-F238E27FC236}">
              <a16:creationId xmlns:a16="http://schemas.microsoft.com/office/drawing/2014/main" id="{D9F034BC-F409-47F3-883E-719290990C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3" name="Elipse 4172">
          <a:extLst>
            <a:ext uri="{FF2B5EF4-FFF2-40B4-BE49-F238E27FC236}">
              <a16:creationId xmlns:a16="http://schemas.microsoft.com/office/drawing/2014/main" id="{B34CF193-42D4-4916-ACA8-9024C3F110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4" name="Elipse 4173">
          <a:extLst>
            <a:ext uri="{FF2B5EF4-FFF2-40B4-BE49-F238E27FC236}">
              <a16:creationId xmlns:a16="http://schemas.microsoft.com/office/drawing/2014/main" id="{D8896445-A3B2-4589-9C4F-DB14CE319A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5" name="Elipse 4174">
          <a:extLst>
            <a:ext uri="{FF2B5EF4-FFF2-40B4-BE49-F238E27FC236}">
              <a16:creationId xmlns:a16="http://schemas.microsoft.com/office/drawing/2014/main" id="{E38C8E00-BA44-4CEF-8653-55231C95CB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6" name="Elipse 4175">
          <a:extLst>
            <a:ext uri="{FF2B5EF4-FFF2-40B4-BE49-F238E27FC236}">
              <a16:creationId xmlns:a16="http://schemas.microsoft.com/office/drawing/2014/main" id="{102AC69A-B611-4AFC-8B2F-C3D53935BD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7" name="Elipse 4176">
          <a:extLst>
            <a:ext uri="{FF2B5EF4-FFF2-40B4-BE49-F238E27FC236}">
              <a16:creationId xmlns:a16="http://schemas.microsoft.com/office/drawing/2014/main" id="{F76185BD-85C5-47C1-930E-23B5B005D4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8" name="Elipse 4177">
          <a:extLst>
            <a:ext uri="{FF2B5EF4-FFF2-40B4-BE49-F238E27FC236}">
              <a16:creationId xmlns:a16="http://schemas.microsoft.com/office/drawing/2014/main" id="{FDB8E12C-4FCA-4A83-AA80-57E131E5D3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9" name="Elipse 4178">
          <a:extLst>
            <a:ext uri="{FF2B5EF4-FFF2-40B4-BE49-F238E27FC236}">
              <a16:creationId xmlns:a16="http://schemas.microsoft.com/office/drawing/2014/main" id="{27B72FDC-AAF6-41AE-A3A9-9806D63A47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0" name="Elipse 4179">
          <a:extLst>
            <a:ext uri="{FF2B5EF4-FFF2-40B4-BE49-F238E27FC236}">
              <a16:creationId xmlns:a16="http://schemas.microsoft.com/office/drawing/2014/main" id="{58E9627E-4997-46AE-8678-C93B332F5C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1" name="Elipse 4180">
          <a:extLst>
            <a:ext uri="{FF2B5EF4-FFF2-40B4-BE49-F238E27FC236}">
              <a16:creationId xmlns:a16="http://schemas.microsoft.com/office/drawing/2014/main" id="{342A781D-F8F7-4DBE-BF9F-ACFFD6B2D1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2" name="Elipse 4181">
          <a:extLst>
            <a:ext uri="{FF2B5EF4-FFF2-40B4-BE49-F238E27FC236}">
              <a16:creationId xmlns:a16="http://schemas.microsoft.com/office/drawing/2014/main" id="{361E5622-13C6-450D-B2E6-65956C0443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3" name="Elipse 4182">
          <a:extLst>
            <a:ext uri="{FF2B5EF4-FFF2-40B4-BE49-F238E27FC236}">
              <a16:creationId xmlns:a16="http://schemas.microsoft.com/office/drawing/2014/main" id="{A7AFC10E-9AB1-4C94-BF80-3ACB396FFE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4" name="Elipse 4183">
          <a:extLst>
            <a:ext uri="{FF2B5EF4-FFF2-40B4-BE49-F238E27FC236}">
              <a16:creationId xmlns:a16="http://schemas.microsoft.com/office/drawing/2014/main" id="{D2F4A5B2-72C1-4216-8F73-8619B969B0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5" name="Elipse 4184">
          <a:extLst>
            <a:ext uri="{FF2B5EF4-FFF2-40B4-BE49-F238E27FC236}">
              <a16:creationId xmlns:a16="http://schemas.microsoft.com/office/drawing/2014/main" id="{E5AEE163-9C14-410B-A938-A9B65A8D5D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6" name="Elipse 4185">
          <a:extLst>
            <a:ext uri="{FF2B5EF4-FFF2-40B4-BE49-F238E27FC236}">
              <a16:creationId xmlns:a16="http://schemas.microsoft.com/office/drawing/2014/main" id="{1D42663B-E906-45AF-954E-E33337A55D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7" name="Elipse 4186">
          <a:extLst>
            <a:ext uri="{FF2B5EF4-FFF2-40B4-BE49-F238E27FC236}">
              <a16:creationId xmlns:a16="http://schemas.microsoft.com/office/drawing/2014/main" id="{D38E3BD3-473C-47AF-9ADF-476EC27A1B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8" name="Elipse 4187">
          <a:extLst>
            <a:ext uri="{FF2B5EF4-FFF2-40B4-BE49-F238E27FC236}">
              <a16:creationId xmlns:a16="http://schemas.microsoft.com/office/drawing/2014/main" id="{3C3B37CB-869E-4C91-B153-97016549EE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9" name="Elipse 4188">
          <a:extLst>
            <a:ext uri="{FF2B5EF4-FFF2-40B4-BE49-F238E27FC236}">
              <a16:creationId xmlns:a16="http://schemas.microsoft.com/office/drawing/2014/main" id="{22EA829D-311C-4605-9818-98C6AD4187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0" name="Elipse 4189">
          <a:extLst>
            <a:ext uri="{FF2B5EF4-FFF2-40B4-BE49-F238E27FC236}">
              <a16:creationId xmlns:a16="http://schemas.microsoft.com/office/drawing/2014/main" id="{D50AE168-A150-435C-9763-FFC21AD5F9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1" name="Elipse 4190">
          <a:extLst>
            <a:ext uri="{FF2B5EF4-FFF2-40B4-BE49-F238E27FC236}">
              <a16:creationId xmlns:a16="http://schemas.microsoft.com/office/drawing/2014/main" id="{822AAB96-4C71-4474-B1CA-E3805D3B6B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2" name="Elipse 4191">
          <a:extLst>
            <a:ext uri="{FF2B5EF4-FFF2-40B4-BE49-F238E27FC236}">
              <a16:creationId xmlns:a16="http://schemas.microsoft.com/office/drawing/2014/main" id="{F2A25829-D2A9-4E39-B44B-04940E50BB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3" name="Elipse 4192">
          <a:extLst>
            <a:ext uri="{FF2B5EF4-FFF2-40B4-BE49-F238E27FC236}">
              <a16:creationId xmlns:a16="http://schemas.microsoft.com/office/drawing/2014/main" id="{4F1EEFB3-226B-4A3C-A320-C7034A7DAB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4" name="Elipse 4193">
          <a:extLst>
            <a:ext uri="{FF2B5EF4-FFF2-40B4-BE49-F238E27FC236}">
              <a16:creationId xmlns:a16="http://schemas.microsoft.com/office/drawing/2014/main" id="{1A938502-6388-4B9E-9697-8908DEAEF5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5" name="Elipse 4194">
          <a:extLst>
            <a:ext uri="{FF2B5EF4-FFF2-40B4-BE49-F238E27FC236}">
              <a16:creationId xmlns:a16="http://schemas.microsoft.com/office/drawing/2014/main" id="{03C46001-B35B-4C7D-B4E0-BE328601AD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6" name="Elipse 4195">
          <a:extLst>
            <a:ext uri="{FF2B5EF4-FFF2-40B4-BE49-F238E27FC236}">
              <a16:creationId xmlns:a16="http://schemas.microsoft.com/office/drawing/2014/main" id="{23971231-5822-4FFE-A185-15819951D7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7" name="Elipse 4196">
          <a:extLst>
            <a:ext uri="{FF2B5EF4-FFF2-40B4-BE49-F238E27FC236}">
              <a16:creationId xmlns:a16="http://schemas.microsoft.com/office/drawing/2014/main" id="{FA1FF825-0319-44B1-A93E-A8318996A4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8" name="Elipse 4197">
          <a:extLst>
            <a:ext uri="{FF2B5EF4-FFF2-40B4-BE49-F238E27FC236}">
              <a16:creationId xmlns:a16="http://schemas.microsoft.com/office/drawing/2014/main" id="{7D7EFDF9-77C3-46C4-B8CC-3C8EAB8431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9" name="Elipse 4198">
          <a:extLst>
            <a:ext uri="{FF2B5EF4-FFF2-40B4-BE49-F238E27FC236}">
              <a16:creationId xmlns:a16="http://schemas.microsoft.com/office/drawing/2014/main" id="{C4A33F0E-1F9E-42F8-A11E-4445ECC465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0" name="Elipse 4199">
          <a:extLst>
            <a:ext uri="{FF2B5EF4-FFF2-40B4-BE49-F238E27FC236}">
              <a16:creationId xmlns:a16="http://schemas.microsoft.com/office/drawing/2014/main" id="{59E0F7F7-8173-42E4-8132-995E01FF79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1" name="Elipse 4200">
          <a:extLst>
            <a:ext uri="{FF2B5EF4-FFF2-40B4-BE49-F238E27FC236}">
              <a16:creationId xmlns:a16="http://schemas.microsoft.com/office/drawing/2014/main" id="{5AB326C2-33B3-4B6C-B29D-09372FC5E5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2" name="Elipse 4201">
          <a:extLst>
            <a:ext uri="{FF2B5EF4-FFF2-40B4-BE49-F238E27FC236}">
              <a16:creationId xmlns:a16="http://schemas.microsoft.com/office/drawing/2014/main" id="{48E5C700-7627-4C55-B56E-CF1EB5CBBD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3" name="Elipse 4202">
          <a:extLst>
            <a:ext uri="{FF2B5EF4-FFF2-40B4-BE49-F238E27FC236}">
              <a16:creationId xmlns:a16="http://schemas.microsoft.com/office/drawing/2014/main" id="{3BDD1D05-25D5-4AA6-81D5-A7FAE14BEE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4" name="Elipse 4203">
          <a:extLst>
            <a:ext uri="{FF2B5EF4-FFF2-40B4-BE49-F238E27FC236}">
              <a16:creationId xmlns:a16="http://schemas.microsoft.com/office/drawing/2014/main" id="{1AA9065E-EF4E-4558-83DD-E1103CBAAB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5" name="Elipse 4204">
          <a:extLst>
            <a:ext uri="{FF2B5EF4-FFF2-40B4-BE49-F238E27FC236}">
              <a16:creationId xmlns:a16="http://schemas.microsoft.com/office/drawing/2014/main" id="{099A6A35-97FB-4BC5-AC87-E307B2FACC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6" name="Elipse 4205">
          <a:extLst>
            <a:ext uri="{FF2B5EF4-FFF2-40B4-BE49-F238E27FC236}">
              <a16:creationId xmlns:a16="http://schemas.microsoft.com/office/drawing/2014/main" id="{882C96EA-7BA0-4DD0-94C1-206F0749A1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7" name="Elipse 4206">
          <a:extLst>
            <a:ext uri="{FF2B5EF4-FFF2-40B4-BE49-F238E27FC236}">
              <a16:creationId xmlns:a16="http://schemas.microsoft.com/office/drawing/2014/main" id="{EE772945-6182-4A4F-A768-32AE8A8992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8" name="Elipse 4207">
          <a:extLst>
            <a:ext uri="{FF2B5EF4-FFF2-40B4-BE49-F238E27FC236}">
              <a16:creationId xmlns:a16="http://schemas.microsoft.com/office/drawing/2014/main" id="{7504E91E-F96A-441F-82FC-A114D7C58B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9" name="Elipse 4208">
          <a:extLst>
            <a:ext uri="{FF2B5EF4-FFF2-40B4-BE49-F238E27FC236}">
              <a16:creationId xmlns:a16="http://schemas.microsoft.com/office/drawing/2014/main" id="{66411E32-C747-439F-A27F-26A0E1E229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0" name="Elipse 4209">
          <a:extLst>
            <a:ext uri="{FF2B5EF4-FFF2-40B4-BE49-F238E27FC236}">
              <a16:creationId xmlns:a16="http://schemas.microsoft.com/office/drawing/2014/main" id="{760F6B53-F768-4CEE-AFF4-10009CB22F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1" name="Elipse 4210">
          <a:extLst>
            <a:ext uri="{FF2B5EF4-FFF2-40B4-BE49-F238E27FC236}">
              <a16:creationId xmlns:a16="http://schemas.microsoft.com/office/drawing/2014/main" id="{C4ED3943-FA86-45EB-A946-C279A2E695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2" name="Elipse 4211">
          <a:extLst>
            <a:ext uri="{FF2B5EF4-FFF2-40B4-BE49-F238E27FC236}">
              <a16:creationId xmlns:a16="http://schemas.microsoft.com/office/drawing/2014/main" id="{F8B89BA4-74AA-4879-8C50-57B24DFB00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3" name="Elipse 4212">
          <a:extLst>
            <a:ext uri="{FF2B5EF4-FFF2-40B4-BE49-F238E27FC236}">
              <a16:creationId xmlns:a16="http://schemas.microsoft.com/office/drawing/2014/main" id="{40E64FCE-C9E8-4DC9-96F5-D8D96C8D84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4" name="Elipse 4213">
          <a:extLst>
            <a:ext uri="{FF2B5EF4-FFF2-40B4-BE49-F238E27FC236}">
              <a16:creationId xmlns:a16="http://schemas.microsoft.com/office/drawing/2014/main" id="{2085D5F4-5B9B-427A-ACE0-91B4E8E1B5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5" name="Elipse 4214">
          <a:extLst>
            <a:ext uri="{FF2B5EF4-FFF2-40B4-BE49-F238E27FC236}">
              <a16:creationId xmlns:a16="http://schemas.microsoft.com/office/drawing/2014/main" id="{065001E2-810F-46E7-BA09-47815D28B0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6" name="Elipse 4215">
          <a:extLst>
            <a:ext uri="{FF2B5EF4-FFF2-40B4-BE49-F238E27FC236}">
              <a16:creationId xmlns:a16="http://schemas.microsoft.com/office/drawing/2014/main" id="{C485D7AE-76C7-43CE-BFF7-325E011927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7" name="Elipse 4216">
          <a:extLst>
            <a:ext uri="{FF2B5EF4-FFF2-40B4-BE49-F238E27FC236}">
              <a16:creationId xmlns:a16="http://schemas.microsoft.com/office/drawing/2014/main" id="{F9EF0F8F-851B-4148-98F4-D0AAF85F83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8" name="Elipse 4217">
          <a:extLst>
            <a:ext uri="{FF2B5EF4-FFF2-40B4-BE49-F238E27FC236}">
              <a16:creationId xmlns:a16="http://schemas.microsoft.com/office/drawing/2014/main" id="{24C9ACA5-A4F2-46C4-A0A5-BEA004DA4E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9" name="Elipse 4218">
          <a:extLst>
            <a:ext uri="{FF2B5EF4-FFF2-40B4-BE49-F238E27FC236}">
              <a16:creationId xmlns:a16="http://schemas.microsoft.com/office/drawing/2014/main" id="{0600618A-AF93-460B-9399-6EE84F5570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0" name="Elipse 4219">
          <a:extLst>
            <a:ext uri="{FF2B5EF4-FFF2-40B4-BE49-F238E27FC236}">
              <a16:creationId xmlns:a16="http://schemas.microsoft.com/office/drawing/2014/main" id="{CA5EE2C4-DE81-41F7-98CE-76E5090020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1" name="Elipse 4220">
          <a:extLst>
            <a:ext uri="{FF2B5EF4-FFF2-40B4-BE49-F238E27FC236}">
              <a16:creationId xmlns:a16="http://schemas.microsoft.com/office/drawing/2014/main" id="{9C0DDEE6-E7B7-4A61-BD06-939CE27424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2" name="Elipse 4221">
          <a:extLst>
            <a:ext uri="{FF2B5EF4-FFF2-40B4-BE49-F238E27FC236}">
              <a16:creationId xmlns:a16="http://schemas.microsoft.com/office/drawing/2014/main" id="{1DEF54D5-D425-462F-8EFC-592F707494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3" name="Elipse 4222">
          <a:extLst>
            <a:ext uri="{FF2B5EF4-FFF2-40B4-BE49-F238E27FC236}">
              <a16:creationId xmlns:a16="http://schemas.microsoft.com/office/drawing/2014/main" id="{F1A997C4-4983-4991-B2F3-0E0EBE1814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4" name="Elipse 4223">
          <a:extLst>
            <a:ext uri="{FF2B5EF4-FFF2-40B4-BE49-F238E27FC236}">
              <a16:creationId xmlns:a16="http://schemas.microsoft.com/office/drawing/2014/main" id="{3AD0DDE7-35F9-4452-A3D0-395407F2A8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5" name="Elipse 4224">
          <a:extLst>
            <a:ext uri="{FF2B5EF4-FFF2-40B4-BE49-F238E27FC236}">
              <a16:creationId xmlns:a16="http://schemas.microsoft.com/office/drawing/2014/main" id="{97D7C061-D207-4DF9-BD1B-E50B9833FF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6" name="Elipse 4225">
          <a:extLst>
            <a:ext uri="{FF2B5EF4-FFF2-40B4-BE49-F238E27FC236}">
              <a16:creationId xmlns:a16="http://schemas.microsoft.com/office/drawing/2014/main" id="{6D51D85C-FF43-4C27-96D5-7713003975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7" name="Elipse 4226">
          <a:extLst>
            <a:ext uri="{FF2B5EF4-FFF2-40B4-BE49-F238E27FC236}">
              <a16:creationId xmlns:a16="http://schemas.microsoft.com/office/drawing/2014/main" id="{FA73CFAD-142C-4585-9E63-A65F339DFF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8" name="Elipse 4227">
          <a:extLst>
            <a:ext uri="{FF2B5EF4-FFF2-40B4-BE49-F238E27FC236}">
              <a16:creationId xmlns:a16="http://schemas.microsoft.com/office/drawing/2014/main" id="{75AC27E1-52BF-4F1E-8B51-90EB78E089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9" name="Elipse 4228">
          <a:extLst>
            <a:ext uri="{FF2B5EF4-FFF2-40B4-BE49-F238E27FC236}">
              <a16:creationId xmlns:a16="http://schemas.microsoft.com/office/drawing/2014/main" id="{FBF90142-D4EA-4DD2-A3C5-3B701C4030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0" name="Elipse 4229">
          <a:extLst>
            <a:ext uri="{FF2B5EF4-FFF2-40B4-BE49-F238E27FC236}">
              <a16:creationId xmlns:a16="http://schemas.microsoft.com/office/drawing/2014/main" id="{6A8DBBA2-1504-4150-807A-2D81A37ED2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1" name="Elipse 4230">
          <a:extLst>
            <a:ext uri="{FF2B5EF4-FFF2-40B4-BE49-F238E27FC236}">
              <a16:creationId xmlns:a16="http://schemas.microsoft.com/office/drawing/2014/main" id="{FA55C285-D4CB-4631-A250-B3030F4844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2" name="Elipse 4231">
          <a:extLst>
            <a:ext uri="{FF2B5EF4-FFF2-40B4-BE49-F238E27FC236}">
              <a16:creationId xmlns:a16="http://schemas.microsoft.com/office/drawing/2014/main" id="{DAF7B6FD-0A7D-4EA4-BA13-8079DADCBE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3" name="Elipse 4232">
          <a:extLst>
            <a:ext uri="{FF2B5EF4-FFF2-40B4-BE49-F238E27FC236}">
              <a16:creationId xmlns:a16="http://schemas.microsoft.com/office/drawing/2014/main" id="{34867196-2BB5-4A87-B1A8-6BBCA42278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4" name="Elipse 4233">
          <a:extLst>
            <a:ext uri="{FF2B5EF4-FFF2-40B4-BE49-F238E27FC236}">
              <a16:creationId xmlns:a16="http://schemas.microsoft.com/office/drawing/2014/main" id="{FD287A83-B48B-4014-B70B-A9B2E75F42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5" name="Elipse 4234">
          <a:extLst>
            <a:ext uri="{FF2B5EF4-FFF2-40B4-BE49-F238E27FC236}">
              <a16:creationId xmlns:a16="http://schemas.microsoft.com/office/drawing/2014/main" id="{5B230607-AC16-437E-9CB5-64A758BEE7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6" name="Elipse 4235">
          <a:extLst>
            <a:ext uri="{FF2B5EF4-FFF2-40B4-BE49-F238E27FC236}">
              <a16:creationId xmlns:a16="http://schemas.microsoft.com/office/drawing/2014/main" id="{899B1E0B-2BD2-4CCB-A5B0-DDCE4025E7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7" name="Elipse 4236">
          <a:extLst>
            <a:ext uri="{FF2B5EF4-FFF2-40B4-BE49-F238E27FC236}">
              <a16:creationId xmlns:a16="http://schemas.microsoft.com/office/drawing/2014/main" id="{C447E444-52F2-4B1B-9E8A-A41ED75E56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8" name="Elipse 4237">
          <a:extLst>
            <a:ext uri="{FF2B5EF4-FFF2-40B4-BE49-F238E27FC236}">
              <a16:creationId xmlns:a16="http://schemas.microsoft.com/office/drawing/2014/main" id="{68947302-BF94-4B95-B284-E1EE0F0A4A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9" name="Elipse 4238">
          <a:extLst>
            <a:ext uri="{FF2B5EF4-FFF2-40B4-BE49-F238E27FC236}">
              <a16:creationId xmlns:a16="http://schemas.microsoft.com/office/drawing/2014/main" id="{26E904CD-88BB-4A3F-A9FE-B3FA07E1D6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0" name="Elipse 4239">
          <a:extLst>
            <a:ext uri="{FF2B5EF4-FFF2-40B4-BE49-F238E27FC236}">
              <a16:creationId xmlns:a16="http://schemas.microsoft.com/office/drawing/2014/main" id="{C29F42E4-A2F5-4AA3-85DB-700373C1CD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1" name="Elipse 4240">
          <a:extLst>
            <a:ext uri="{FF2B5EF4-FFF2-40B4-BE49-F238E27FC236}">
              <a16:creationId xmlns:a16="http://schemas.microsoft.com/office/drawing/2014/main" id="{A2B99A8D-E70C-4034-970A-1770D28586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2" name="Elipse 4241">
          <a:extLst>
            <a:ext uri="{FF2B5EF4-FFF2-40B4-BE49-F238E27FC236}">
              <a16:creationId xmlns:a16="http://schemas.microsoft.com/office/drawing/2014/main" id="{7AE16758-7C85-4C79-B85C-7AFBB781AA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3" name="Elipse 4242">
          <a:extLst>
            <a:ext uri="{FF2B5EF4-FFF2-40B4-BE49-F238E27FC236}">
              <a16:creationId xmlns:a16="http://schemas.microsoft.com/office/drawing/2014/main" id="{369B74BA-D39A-40EE-8877-70246D614B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4" name="Elipse 4243">
          <a:extLst>
            <a:ext uri="{FF2B5EF4-FFF2-40B4-BE49-F238E27FC236}">
              <a16:creationId xmlns:a16="http://schemas.microsoft.com/office/drawing/2014/main" id="{B8FC0717-F144-4828-85A1-64F18D12B4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5" name="Elipse 4244">
          <a:extLst>
            <a:ext uri="{FF2B5EF4-FFF2-40B4-BE49-F238E27FC236}">
              <a16:creationId xmlns:a16="http://schemas.microsoft.com/office/drawing/2014/main" id="{BB38FFA2-0080-49B3-AF96-83CC852F1F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6" name="Elipse 4245">
          <a:extLst>
            <a:ext uri="{FF2B5EF4-FFF2-40B4-BE49-F238E27FC236}">
              <a16:creationId xmlns:a16="http://schemas.microsoft.com/office/drawing/2014/main" id="{E99A829E-0C1B-449C-B432-CD4A7B7ABE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7" name="Elipse 4246">
          <a:extLst>
            <a:ext uri="{FF2B5EF4-FFF2-40B4-BE49-F238E27FC236}">
              <a16:creationId xmlns:a16="http://schemas.microsoft.com/office/drawing/2014/main" id="{C6ACB003-FA11-42C6-9271-2AB39499D4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8" name="Elipse 4247">
          <a:extLst>
            <a:ext uri="{FF2B5EF4-FFF2-40B4-BE49-F238E27FC236}">
              <a16:creationId xmlns:a16="http://schemas.microsoft.com/office/drawing/2014/main" id="{AB3FE10E-060E-4893-B6C5-03FC481443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9" name="Elipse 4248">
          <a:extLst>
            <a:ext uri="{FF2B5EF4-FFF2-40B4-BE49-F238E27FC236}">
              <a16:creationId xmlns:a16="http://schemas.microsoft.com/office/drawing/2014/main" id="{2AC97255-76AB-46F7-9D07-725A272893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0" name="Elipse 4249">
          <a:extLst>
            <a:ext uri="{FF2B5EF4-FFF2-40B4-BE49-F238E27FC236}">
              <a16:creationId xmlns:a16="http://schemas.microsoft.com/office/drawing/2014/main" id="{CD8EE5D4-3927-445E-9D43-DF45D6BFDD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1" name="Elipse 4250">
          <a:extLst>
            <a:ext uri="{FF2B5EF4-FFF2-40B4-BE49-F238E27FC236}">
              <a16:creationId xmlns:a16="http://schemas.microsoft.com/office/drawing/2014/main" id="{397C7102-7DC2-4B0A-98D4-80FDBA4361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2" name="Elipse 4251">
          <a:extLst>
            <a:ext uri="{FF2B5EF4-FFF2-40B4-BE49-F238E27FC236}">
              <a16:creationId xmlns:a16="http://schemas.microsoft.com/office/drawing/2014/main" id="{B31682DE-2D83-4DF0-BC05-53DAAC5A7B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3" name="Elipse 4252">
          <a:extLst>
            <a:ext uri="{FF2B5EF4-FFF2-40B4-BE49-F238E27FC236}">
              <a16:creationId xmlns:a16="http://schemas.microsoft.com/office/drawing/2014/main" id="{1BAAA3B6-9443-4E5F-B261-880646DB9E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4" name="Elipse 4253">
          <a:extLst>
            <a:ext uri="{FF2B5EF4-FFF2-40B4-BE49-F238E27FC236}">
              <a16:creationId xmlns:a16="http://schemas.microsoft.com/office/drawing/2014/main" id="{096F3768-16E2-4819-8701-B963C431FE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5" name="Elipse 4254">
          <a:extLst>
            <a:ext uri="{FF2B5EF4-FFF2-40B4-BE49-F238E27FC236}">
              <a16:creationId xmlns:a16="http://schemas.microsoft.com/office/drawing/2014/main" id="{92AB2814-CC2E-4190-87AD-7FFC731452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6" name="Elipse 4255">
          <a:extLst>
            <a:ext uri="{FF2B5EF4-FFF2-40B4-BE49-F238E27FC236}">
              <a16:creationId xmlns:a16="http://schemas.microsoft.com/office/drawing/2014/main" id="{421BBEE7-1756-43E7-A3A6-B7CB9C625C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7" name="Elipse 4256">
          <a:extLst>
            <a:ext uri="{FF2B5EF4-FFF2-40B4-BE49-F238E27FC236}">
              <a16:creationId xmlns:a16="http://schemas.microsoft.com/office/drawing/2014/main" id="{188CAD4C-261E-474B-B062-485DABE96F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8" name="Elipse 4257">
          <a:extLst>
            <a:ext uri="{FF2B5EF4-FFF2-40B4-BE49-F238E27FC236}">
              <a16:creationId xmlns:a16="http://schemas.microsoft.com/office/drawing/2014/main" id="{25CA56A0-C05D-4BEF-87A4-D83819FA4D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9" name="Elipse 4258">
          <a:extLst>
            <a:ext uri="{FF2B5EF4-FFF2-40B4-BE49-F238E27FC236}">
              <a16:creationId xmlns:a16="http://schemas.microsoft.com/office/drawing/2014/main" id="{02DFB9CA-FD0B-4712-9D81-E155D484C6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0" name="Elipse 4259">
          <a:extLst>
            <a:ext uri="{FF2B5EF4-FFF2-40B4-BE49-F238E27FC236}">
              <a16:creationId xmlns:a16="http://schemas.microsoft.com/office/drawing/2014/main" id="{FA234CB7-FAEA-4D09-8506-13ACD796B4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1" name="Elipse 4260">
          <a:extLst>
            <a:ext uri="{FF2B5EF4-FFF2-40B4-BE49-F238E27FC236}">
              <a16:creationId xmlns:a16="http://schemas.microsoft.com/office/drawing/2014/main" id="{72B7B475-81EC-4253-B381-153A4EFB0E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2" name="Elipse 4261">
          <a:extLst>
            <a:ext uri="{FF2B5EF4-FFF2-40B4-BE49-F238E27FC236}">
              <a16:creationId xmlns:a16="http://schemas.microsoft.com/office/drawing/2014/main" id="{090A1917-4DE5-407A-90F7-32E156E270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3" name="Elipse 4262">
          <a:extLst>
            <a:ext uri="{FF2B5EF4-FFF2-40B4-BE49-F238E27FC236}">
              <a16:creationId xmlns:a16="http://schemas.microsoft.com/office/drawing/2014/main" id="{63A51D1D-DFBA-46B3-AF78-683114CDBA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4" name="Elipse 4263">
          <a:extLst>
            <a:ext uri="{FF2B5EF4-FFF2-40B4-BE49-F238E27FC236}">
              <a16:creationId xmlns:a16="http://schemas.microsoft.com/office/drawing/2014/main" id="{5CD9E35F-D2ED-4A30-8332-FFC233A33C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5" name="Elipse 4264">
          <a:extLst>
            <a:ext uri="{FF2B5EF4-FFF2-40B4-BE49-F238E27FC236}">
              <a16:creationId xmlns:a16="http://schemas.microsoft.com/office/drawing/2014/main" id="{79184DA0-86B2-43E4-9FF0-462CCADD4D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6" name="Elipse 4265">
          <a:extLst>
            <a:ext uri="{FF2B5EF4-FFF2-40B4-BE49-F238E27FC236}">
              <a16:creationId xmlns:a16="http://schemas.microsoft.com/office/drawing/2014/main" id="{5D46CDBB-1DCD-4FBA-8D95-AE48C0EE51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7" name="Elipse 4266">
          <a:extLst>
            <a:ext uri="{FF2B5EF4-FFF2-40B4-BE49-F238E27FC236}">
              <a16:creationId xmlns:a16="http://schemas.microsoft.com/office/drawing/2014/main" id="{EA5F8D5A-9D85-4FE9-9AE8-7645BC03F8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8" name="Elipse 4267">
          <a:extLst>
            <a:ext uri="{FF2B5EF4-FFF2-40B4-BE49-F238E27FC236}">
              <a16:creationId xmlns:a16="http://schemas.microsoft.com/office/drawing/2014/main" id="{D7588209-5C74-4B97-9C94-C9E77EE315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9" name="Elipse 4268">
          <a:extLst>
            <a:ext uri="{FF2B5EF4-FFF2-40B4-BE49-F238E27FC236}">
              <a16:creationId xmlns:a16="http://schemas.microsoft.com/office/drawing/2014/main" id="{2D4E881C-42FE-4E1D-B283-666C574B0A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0" name="Elipse 4269">
          <a:extLst>
            <a:ext uri="{FF2B5EF4-FFF2-40B4-BE49-F238E27FC236}">
              <a16:creationId xmlns:a16="http://schemas.microsoft.com/office/drawing/2014/main" id="{05E001CC-78C7-45F7-BC89-3BFCDE4AAB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1" name="Elipse 4270">
          <a:extLst>
            <a:ext uri="{FF2B5EF4-FFF2-40B4-BE49-F238E27FC236}">
              <a16:creationId xmlns:a16="http://schemas.microsoft.com/office/drawing/2014/main" id="{34501450-2A9C-4D33-9D06-42E57A15CE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2" name="Elipse 4271">
          <a:extLst>
            <a:ext uri="{FF2B5EF4-FFF2-40B4-BE49-F238E27FC236}">
              <a16:creationId xmlns:a16="http://schemas.microsoft.com/office/drawing/2014/main" id="{F197F89C-EFB4-41A0-9BAC-4E8BBD6291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3" name="Elipse 4272">
          <a:extLst>
            <a:ext uri="{FF2B5EF4-FFF2-40B4-BE49-F238E27FC236}">
              <a16:creationId xmlns:a16="http://schemas.microsoft.com/office/drawing/2014/main" id="{BF752974-0CD9-40C5-B4F4-79A5560D13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4" name="Elipse 4273">
          <a:extLst>
            <a:ext uri="{FF2B5EF4-FFF2-40B4-BE49-F238E27FC236}">
              <a16:creationId xmlns:a16="http://schemas.microsoft.com/office/drawing/2014/main" id="{B795AF90-1697-4C91-8123-D9CDD435A7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5" name="Elipse 4274">
          <a:extLst>
            <a:ext uri="{FF2B5EF4-FFF2-40B4-BE49-F238E27FC236}">
              <a16:creationId xmlns:a16="http://schemas.microsoft.com/office/drawing/2014/main" id="{4F2A81C1-D6D5-41B9-8333-355D85CAC4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6" name="Elipse 4275">
          <a:extLst>
            <a:ext uri="{FF2B5EF4-FFF2-40B4-BE49-F238E27FC236}">
              <a16:creationId xmlns:a16="http://schemas.microsoft.com/office/drawing/2014/main" id="{F36BEA85-1051-4197-9475-C4399668EA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7" name="Elipse 4276">
          <a:extLst>
            <a:ext uri="{FF2B5EF4-FFF2-40B4-BE49-F238E27FC236}">
              <a16:creationId xmlns:a16="http://schemas.microsoft.com/office/drawing/2014/main" id="{37B152FD-55A9-437C-90BA-FB6C53C778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8" name="Elipse 4277">
          <a:extLst>
            <a:ext uri="{FF2B5EF4-FFF2-40B4-BE49-F238E27FC236}">
              <a16:creationId xmlns:a16="http://schemas.microsoft.com/office/drawing/2014/main" id="{34C163F3-C8AE-41CE-A099-37F4DAD5F5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9" name="Elipse 4278">
          <a:extLst>
            <a:ext uri="{FF2B5EF4-FFF2-40B4-BE49-F238E27FC236}">
              <a16:creationId xmlns:a16="http://schemas.microsoft.com/office/drawing/2014/main" id="{FD634451-FE99-4F38-96B9-7EEB557D6C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0" name="Elipse 4279">
          <a:extLst>
            <a:ext uri="{FF2B5EF4-FFF2-40B4-BE49-F238E27FC236}">
              <a16:creationId xmlns:a16="http://schemas.microsoft.com/office/drawing/2014/main" id="{639E138B-0472-4578-B5AC-86CF9FDDA4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1" name="Elipse 4280">
          <a:extLst>
            <a:ext uri="{FF2B5EF4-FFF2-40B4-BE49-F238E27FC236}">
              <a16:creationId xmlns:a16="http://schemas.microsoft.com/office/drawing/2014/main" id="{4A409495-F120-4AB7-B95C-513E4028B4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2" name="Elipse 4281">
          <a:extLst>
            <a:ext uri="{FF2B5EF4-FFF2-40B4-BE49-F238E27FC236}">
              <a16:creationId xmlns:a16="http://schemas.microsoft.com/office/drawing/2014/main" id="{6200CC12-AE1E-4EA0-8F14-678AF2D235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3" name="Elipse 4282">
          <a:extLst>
            <a:ext uri="{FF2B5EF4-FFF2-40B4-BE49-F238E27FC236}">
              <a16:creationId xmlns:a16="http://schemas.microsoft.com/office/drawing/2014/main" id="{B4B4BB35-528B-46F7-84C4-1B1B39093F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4" name="Elipse 4283">
          <a:extLst>
            <a:ext uri="{FF2B5EF4-FFF2-40B4-BE49-F238E27FC236}">
              <a16:creationId xmlns:a16="http://schemas.microsoft.com/office/drawing/2014/main" id="{BC36AD30-78D6-4A16-8069-BF442630DF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5" name="Elipse 4284">
          <a:extLst>
            <a:ext uri="{FF2B5EF4-FFF2-40B4-BE49-F238E27FC236}">
              <a16:creationId xmlns:a16="http://schemas.microsoft.com/office/drawing/2014/main" id="{702D90B3-4AE7-4C84-AF09-9D7F0DCF43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6" name="Elipse 4285">
          <a:extLst>
            <a:ext uri="{FF2B5EF4-FFF2-40B4-BE49-F238E27FC236}">
              <a16:creationId xmlns:a16="http://schemas.microsoft.com/office/drawing/2014/main" id="{28E3C501-FAF9-4A14-B2D7-57F0D7CC64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7" name="Elipse 4286">
          <a:extLst>
            <a:ext uri="{FF2B5EF4-FFF2-40B4-BE49-F238E27FC236}">
              <a16:creationId xmlns:a16="http://schemas.microsoft.com/office/drawing/2014/main" id="{4D746FF9-8D13-403A-9B97-341EA3C9A8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8" name="Elipse 4287">
          <a:extLst>
            <a:ext uri="{FF2B5EF4-FFF2-40B4-BE49-F238E27FC236}">
              <a16:creationId xmlns:a16="http://schemas.microsoft.com/office/drawing/2014/main" id="{64708E71-B0D8-40A6-987E-2EAE5D7F94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9" name="Elipse 4288">
          <a:extLst>
            <a:ext uri="{FF2B5EF4-FFF2-40B4-BE49-F238E27FC236}">
              <a16:creationId xmlns:a16="http://schemas.microsoft.com/office/drawing/2014/main" id="{FCBF8B22-48BB-4996-B67C-6C32B8D3FA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0" name="Elipse 4289">
          <a:extLst>
            <a:ext uri="{FF2B5EF4-FFF2-40B4-BE49-F238E27FC236}">
              <a16:creationId xmlns:a16="http://schemas.microsoft.com/office/drawing/2014/main" id="{9E24A721-C0B5-47AB-A8FA-3463D56D61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1" name="Elipse 4290">
          <a:extLst>
            <a:ext uri="{FF2B5EF4-FFF2-40B4-BE49-F238E27FC236}">
              <a16:creationId xmlns:a16="http://schemas.microsoft.com/office/drawing/2014/main" id="{EC642EDB-2681-44BD-B731-6A2D055EE3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2" name="Elipse 4291">
          <a:extLst>
            <a:ext uri="{FF2B5EF4-FFF2-40B4-BE49-F238E27FC236}">
              <a16:creationId xmlns:a16="http://schemas.microsoft.com/office/drawing/2014/main" id="{9C38B8CC-B657-4C60-A407-C339584BC2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3" name="Elipse 4292">
          <a:extLst>
            <a:ext uri="{FF2B5EF4-FFF2-40B4-BE49-F238E27FC236}">
              <a16:creationId xmlns:a16="http://schemas.microsoft.com/office/drawing/2014/main" id="{328474D9-B793-42D5-976E-1FCA1FD41A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4" name="Elipse 4293">
          <a:extLst>
            <a:ext uri="{FF2B5EF4-FFF2-40B4-BE49-F238E27FC236}">
              <a16:creationId xmlns:a16="http://schemas.microsoft.com/office/drawing/2014/main" id="{C4DB36D8-EE2A-4568-96BC-930B4925BE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5" name="Elipse 4294">
          <a:extLst>
            <a:ext uri="{FF2B5EF4-FFF2-40B4-BE49-F238E27FC236}">
              <a16:creationId xmlns:a16="http://schemas.microsoft.com/office/drawing/2014/main" id="{661F4C1F-C7A1-4717-AEBB-28E7A2D197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6" name="Elipse 4295">
          <a:extLst>
            <a:ext uri="{FF2B5EF4-FFF2-40B4-BE49-F238E27FC236}">
              <a16:creationId xmlns:a16="http://schemas.microsoft.com/office/drawing/2014/main" id="{653BC23B-554E-4742-843A-4C0BCBFACA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7" name="Elipse 4296">
          <a:extLst>
            <a:ext uri="{FF2B5EF4-FFF2-40B4-BE49-F238E27FC236}">
              <a16:creationId xmlns:a16="http://schemas.microsoft.com/office/drawing/2014/main" id="{9BCC6BD2-FE46-440B-BEB8-1009D4C5EB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8" name="Elipse 4297">
          <a:extLst>
            <a:ext uri="{FF2B5EF4-FFF2-40B4-BE49-F238E27FC236}">
              <a16:creationId xmlns:a16="http://schemas.microsoft.com/office/drawing/2014/main" id="{674554D7-4E39-4883-B1B1-23B59C43BF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9" name="Elipse 4298">
          <a:extLst>
            <a:ext uri="{FF2B5EF4-FFF2-40B4-BE49-F238E27FC236}">
              <a16:creationId xmlns:a16="http://schemas.microsoft.com/office/drawing/2014/main" id="{0A3A813E-5BA3-42B9-BC6D-CF857D7D00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0" name="Elipse 4299">
          <a:extLst>
            <a:ext uri="{FF2B5EF4-FFF2-40B4-BE49-F238E27FC236}">
              <a16:creationId xmlns:a16="http://schemas.microsoft.com/office/drawing/2014/main" id="{4A435A5C-A5A6-40C9-9894-C400109628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1" name="Elipse 4300">
          <a:extLst>
            <a:ext uri="{FF2B5EF4-FFF2-40B4-BE49-F238E27FC236}">
              <a16:creationId xmlns:a16="http://schemas.microsoft.com/office/drawing/2014/main" id="{3C7A739F-0ED7-4A8A-A0B4-37DDE568D7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2" name="Elipse 4301">
          <a:extLst>
            <a:ext uri="{FF2B5EF4-FFF2-40B4-BE49-F238E27FC236}">
              <a16:creationId xmlns:a16="http://schemas.microsoft.com/office/drawing/2014/main" id="{B9A21824-582B-451C-A1D1-530D4022DE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3" name="Elipse 4302">
          <a:extLst>
            <a:ext uri="{FF2B5EF4-FFF2-40B4-BE49-F238E27FC236}">
              <a16:creationId xmlns:a16="http://schemas.microsoft.com/office/drawing/2014/main" id="{674B5A97-5224-4EA0-844D-F46EA1C256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4" name="Elipse 4303">
          <a:extLst>
            <a:ext uri="{FF2B5EF4-FFF2-40B4-BE49-F238E27FC236}">
              <a16:creationId xmlns:a16="http://schemas.microsoft.com/office/drawing/2014/main" id="{AE1148F8-EAD8-4930-AA16-EF4C159559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5" name="Elipse 4304">
          <a:extLst>
            <a:ext uri="{FF2B5EF4-FFF2-40B4-BE49-F238E27FC236}">
              <a16:creationId xmlns:a16="http://schemas.microsoft.com/office/drawing/2014/main" id="{FFE1B195-88A3-401B-AE99-D0D78CE3B7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6" name="Elipse 4305">
          <a:extLst>
            <a:ext uri="{FF2B5EF4-FFF2-40B4-BE49-F238E27FC236}">
              <a16:creationId xmlns:a16="http://schemas.microsoft.com/office/drawing/2014/main" id="{2F445B83-14AE-4FC7-854C-8C4E176A09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7" name="Elipse 4306">
          <a:extLst>
            <a:ext uri="{FF2B5EF4-FFF2-40B4-BE49-F238E27FC236}">
              <a16:creationId xmlns:a16="http://schemas.microsoft.com/office/drawing/2014/main" id="{8558717F-8440-49CF-8F8E-5423FD1577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8" name="Elipse 4307">
          <a:extLst>
            <a:ext uri="{FF2B5EF4-FFF2-40B4-BE49-F238E27FC236}">
              <a16:creationId xmlns:a16="http://schemas.microsoft.com/office/drawing/2014/main" id="{5FA4A8AD-C35F-4889-AF68-8056206E44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9" name="Elipse 4308">
          <a:extLst>
            <a:ext uri="{FF2B5EF4-FFF2-40B4-BE49-F238E27FC236}">
              <a16:creationId xmlns:a16="http://schemas.microsoft.com/office/drawing/2014/main" id="{5D41D7E8-9448-4967-927B-21B2E74FC6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0" name="Elipse 4309">
          <a:extLst>
            <a:ext uri="{FF2B5EF4-FFF2-40B4-BE49-F238E27FC236}">
              <a16:creationId xmlns:a16="http://schemas.microsoft.com/office/drawing/2014/main" id="{A4B110EE-8ADD-45FD-9D3F-138A499E91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1" name="Elipse 4310">
          <a:extLst>
            <a:ext uri="{FF2B5EF4-FFF2-40B4-BE49-F238E27FC236}">
              <a16:creationId xmlns:a16="http://schemas.microsoft.com/office/drawing/2014/main" id="{6E3DCFF7-65E2-45AA-A15B-A381337304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2" name="Elipse 4311">
          <a:extLst>
            <a:ext uri="{FF2B5EF4-FFF2-40B4-BE49-F238E27FC236}">
              <a16:creationId xmlns:a16="http://schemas.microsoft.com/office/drawing/2014/main" id="{C0C20F26-363A-4823-A518-81F29519B6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3" name="Elipse 4312">
          <a:extLst>
            <a:ext uri="{FF2B5EF4-FFF2-40B4-BE49-F238E27FC236}">
              <a16:creationId xmlns:a16="http://schemas.microsoft.com/office/drawing/2014/main" id="{4843BB08-FAF7-43CD-972C-AB2D65E2D8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4" name="Elipse 4313">
          <a:extLst>
            <a:ext uri="{FF2B5EF4-FFF2-40B4-BE49-F238E27FC236}">
              <a16:creationId xmlns:a16="http://schemas.microsoft.com/office/drawing/2014/main" id="{F6107757-F8B5-4FB7-AD13-4E05BCFD67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5" name="Elipse 4314">
          <a:extLst>
            <a:ext uri="{FF2B5EF4-FFF2-40B4-BE49-F238E27FC236}">
              <a16:creationId xmlns:a16="http://schemas.microsoft.com/office/drawing/2014/main" id="{6ADFA6BF-ED98-469B-9D9B-E1833A2B93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6" name="Elipse 4315">
          <a:extLst>
            <a:ext uri="{FF2B5EF4-FFF2-40B4-BE49-F238E27FC236}">
              <a16:creationId xmlns:a16="http://schemas.microsoft.com/office/drawing/2014/main" id="{C811281E-F98F-4F32-AABA-D1BA15910C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7" name="Elipse 4316">
          <a:extLst>
            <a:ext uri="{FF2B5EF4-FFF2-40B4-BE49-F238E27FC236}">
              <a16:creationId xmlns:a16="http://schemas.microsoft.com/office/drawing/2014/main" id="{478F21A4-6AF1-4B97-BA45-4B24DAC1BB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8" name="Elipse 4317">
          <a:extLst>
            <a:ext uri="{FF2B5EF4-FFF2-40B4-BE49-F238E27FC236}">
              <a16:creationId xmlns:a16="http://schemas.microsoft.com/office/drawing/2014/main" id="{8BAE82C9-B94F-4FBA-A7D2-5B7D5DE08D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9" name="Elipse 4318">
          <a:extLst>
            <a:ext uri="{FF2B5EF4-FFF2-40B4-BE49-F238E27FC236}">
              <a16:creationId xmlns:a16="http://schemas.microsoft.com/office/drawing/2014/main" id="{C0995B25-F773-45B3-8DBB-12B627593F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0" name="Elipse 4319">
          <a:extLst>
            <a:ext uri="{FF2B5EF4-FFF2-40B4-BE49-F238E27FC236}">
              <a16:creationId xmlns:a16="http://schemas.microsoft.com/office/drawing/2014/main" id="{4B2B6742-A07E-47DD-ABEB-5E2B80736B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1" name="Elipse 4320">
          <a:extLst>
            <a:ext uri="{FF2B5EF4-FFF2-40B4-BE49-F238E27FC236}">
              <a16:creationId xmlns:a16="http://schemas.microsoft.com/office/drawing/2014/main" id="{DEAD9E95-5CD3-47C3-951F-CB4B144DB8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2" name="Elipse 4321">
          <a:extLst>
            <a:ext uri="{FF2B5EF4-FFF2-40B4-BE49-F238E27FC236}">
              <a16:creationId xmlns:a16="http://schemas.microsoft.com/office/drawing/2014/main" id="{77377506-2442-4500-9A8B-D4A0748C5A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3" name="Elipse 4322">
          <a:extLst>
            <a:ext uri="{FF2B5EF4-FFF2-40B4-BE49-F238E27FC236}">
              <a16:creationId xmlns:a16="http://schemas.microsoft.com/office/drawing/2014/main" id="{877AB331-8C82-4BC5-9AC3-92CFD3C183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4" name="Elipse 4323">
          <a:extLst>
            <a:ext uri="{FF2B5EF4-FFF2-40B4-BE49-F238E27FC236}">
              <a16:creationId xmlns:a16="http://schemas.microsoft.com/office/drawing/2014/main" id="{CD9D5D46-F829-496E-8038-595DD95096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5" name="Elipse 4324">
          <a:extLst>
            <a:ext uri="{FF2B5EF4-FFF2-40B4-BE49-F238E27FC236}">
              <a16:creationId xmlns:a16="http://schemas.microsoft.com/office/drawing/2014/main" id="{F60B83B7-28C0-436F-AC83-6C26E54E6C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6" name="Elipse 4325">
          <a:extLst>
            <a:ext uri="{FF2B5EF4-FFF2-40B4-BE49-F238E27FC236}">
              <a16:creationId xmlns:a16="http://schemas.microsoft.com/office/drawing/2014/main" id="{37103B42-627D-4990-9AF4-14DFD19F85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7" name="Elipse 4326">
          <a:extLst>
            <a:ext uri="{FF2B5EF4-FFF2-40B4-BE49-F238E27FC236}">
              <a16:creationId xmlns:a16="http://schemas.microsoft.com/office/drawing/2014/main" id="{14BA5DD8-E1C6-4DC0-8E49-F7E7D96EED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8" name="Elipse 4327">
          <a:extLst>
            <a:ext uri="{FF2B5EF4-FFF2-40B4-BE49-F238E27FC236}">
              <a16:creationId xmlns:a16="http://schemas.microsoft.com/office/drawing/2014/main" id="{914AB732-A2F6-496C-BEDB-90A3B9BBF0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9" name="Elipse 4328">
          <a:extLst>
            <a:ext uri="{FF2B5EF4-FFF2-40B4-BE49-F238E27FC236}">
              <a16:creationId xmlns:a16="http://schemas.microsoft.com/office/drawing/2014/main" id="{A69572F9-B9FF-4A64-8B93-2D86CFB42F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0" name="Elipse 4329">
          <a:extLst>
            <a:ext uri="{FF2B5EF4-FFF2-40B4-BE49-F238E27FC236}">
              <a16:creationId xmlns:a16="http://schemas.microsoft.com/office/drawing/2014/main" id="{72054E8E-152B-4765-B1D6-D809266434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1" name="Elipse 4330">
          <a:extLst>
            <a:ext uri="{FF2B5EF4-FFF2-40B4-BE49-F238E27FC236}">
              <a16:creationId xmlns:a16="http://schemas.microsoft.com/office/drawing/2014/main" id="{690CD23F-21C2-4360-8962-AE77A0DA21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2" name="Elipse 4331">
          <a:extLst>
            <a:ext uri="{FF2B5EF4-FFF2-40B4-BE49-F238E27FC236}">
              <a16:creationId xmlns:a16="http://schemas.microsoft.com/office/drawing/2014/main" id="{77EAA204-A4BB-4482-8483-F25D787D13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3" name="Elipse 4332">
          <a:extLst>
            <a:ext uri="{FF2B5EF4-FFF2-40B4-BE49-F238E27FC236}">
              <a16:creationId xmlns:a16="http://schemas.microsoft.com/office/drawing/2014/main" id="{8D951BBA-E275-4F55-8BBB-471E70D3B6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4" name="Elipse 4333">
          <a:extLst>
            <a:ext uri="{FF2B5EF4-FFF2-40B4-BE49-F238E27FC236}">
              <a16:creationId xmlns:a16="http://schemas.microsoft.com/office/drawing/2014/main" id="{83A0B1D8-BFD0-45AD-AA5B-69B573A4E7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5" name="Elipse 4334">
          <a:extLst>
            <a:ext uri="{FF2B5EF4-FFF2-40B4-BE49-F238E27FC236}">
              <a16:creationId xmlns:a16="http://schemas.microsoft.com/office/drawing/2014/main" id="{3881AAB9-A4F5-41A2-A6ED-CAACFF087B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6" name="Elipse 4335">
          <a:extLst>
            <a:ext uri="{FF2B5EF4-FFF2-40B4-BE49-F238E27FC236}">
              <a16:creationId xmlns:a16="http://schemas.microsoft.com/office/drawing/2014/main" id="{4598166A-D3C5-4001-936D-CB9F83ACC9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7" name="Elipse 4336">
          <a:extLst>
            <a:ext uri="{FF2B5EF4-FFF2-40B4-BE49-F238E27FC236}">
              <a16:creationId xmlns:a16="http://schemas.microsoft.com/office/drawing/2014/main" id="{12F822A0-F79F-4237-8B75-DCA377FB13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8" name="Elipse 4337">
          <a:extLst>
            <a:ext uri="{FF2B5EF4-FFF2-40B4-BE49-F238E27FC236}">
              <a16:creationId xmlns:a16="http://schemas.microsoft.com/office/drawing/2014/main" id="{29E99270-616B-4F3D-9D15-EEACAF289C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9" name="Elipse 4338">
          <a:extLst>
            <a:ext uri="{FF2B5EF4-FFF2-40B4-BE49-F238E27FC236}">
              <a16:creationId xmlns:a16="http://schemas.microsoft.com/office/drawing/2014/main" id="{6DFCB041-9D4B-40A0-BA84-01DBF2789A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0" name="Elipse 4339">
          <a:extLst>
            <a:ext uri="{FF2B5EF4-FFF2-40B4-BE49-F238E27FC236}">
              <a16:creationId xmlns:a16="http://schemas.microsoft.com/office/drawing/2014/main" id="{06B9193B-D60D-4C26-912B-416BBCCEE2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1" name="Elipse 4340">
          <a:extLst>
            <a:ext uri="{FF2B5EF4-FFF2-40B4-BE49-F238E27FC236}">
              <a16:creationId xmlns:a16="http://schemas.microsoft.com/office/drawing/2014/main" id="{AC835157-92B0-4427-89EF-E31597D2EF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2" name="Elipse 4341">
          <a:extLst>
            <a:ext uri="{FF2B5EF4-FFF2-40B4-BE49-F238E27FC236}">
              <a16:creationId xmlns:a16="http://schemas.microsoft.com/office/drawing/2014/main" id="{6806A81C-1617-4AD2-ADCF-B8D71296F1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3" name="Elipse 4342">
          <a:extLst>
            <a:ext uri="{FF2B5EF4-FFF2-40B4-BE49-F238E27FC236}">
              <a16:creationId xmlns:a16="http://schemas.microsoft.com/office/drawing/2014/main" id="{EE54F1BF-D8CA-4CBA-9D96-7140478BA5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4" name="Elipse 4343">
          <a:extLst>
            <a:ext uri="{FF2B5EF4-FFF2-40B4-BE49-F238E27FC236}">
              <a16:creationId xmlns:a16="http://schemas.microsoft.com/office/drawing/2014/main" id="{6D230EF9-8750-4B46-BD5B-CCF8708E8F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5" name="Elipse 4344">
          <a:extLst>
            <a:ext uri="{FF2B5EF4-FFF2-40B4-BE49-F238E27FC236}">
              <a16:creationId xmlns:a16="http://schemas.microsoft.com/office/drawing/2014/main" id="{3B501534-CC91-4287-8CDE-3D94545619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6" name="Elipse 4345">
          <a:extLst>
            <a:ext uri="{FF2B5EF4-FFF2-40B4-BE49-F238E27FC236}">
              <a16:creationId xmlns:a16="http://schemas.microsoft.com/office/drawing/2014/main" id="{91402158-CD5B-4A92-AC08-7BEFE56972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7" name="Elipse 4346">
          <a:extLst>
            <a:ext uri="{FF2B5EF4-FFF2-40B4-BE49-F238E27FC236}">
              <a16:creationId xmlns:a16="http://schemas.microsoft.com/office/drawing/2014/main" id="{05E8508C-3B64-4C4B-9418-4FB11F999E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8" name="Elipse 4347">
          <a:extLst>
            <a:ext uri="{FF2B5EF4-FFF2-40B4-BE49-F238E27FC236}">
              <a16:creationId xmlns:a16="http://schemas.microsoft.com/office/drawing/2014/main" id="{7CC03AB7-34D8-4B83-9D21-66CEF23BF2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9" name="Elipse 4348">
          <a:extLst>
            <a:ext uri="{FF2B5EF4-FFF2-40B4-BE49-F238E27FC236}">
              <a16:creationId xmlns:a16="http://schemas.microsoft.com/office/drawing/2014/main" id="{2C203AE4-392D-4975-9C9E-CD2C3F1FE2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0" name="Elipse 4349">
          <a:extLst>
            <a:ext uri="{FF2B5EF4-FFF2-40B4-BE49-F238E27FC236}">
              <a16:creationId xmlns:a16="http://schemas.microsoft.com/office/drawing/2014/main" id="{8FE6AA0B-2240-48A3-A6A1-D0D4C06F90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1" name="Elipse 4350">
          <a:extLst>
            <a:ext uri="{FF2B5EF4-FFF2-40B4-BE49-F238E27FC236}">
              <a16:creationId xmlns:a16="http://schemas.microsoft.com/office/drawing/2014/main" id="{60275B90-F6BC-4648-AA4C-A10A0537DA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2" name="Elipse 4351">
          <a:extLst>
            <a:ext uri="{FF2B5EF4-FFF2-40B4-BE49-F238E27FC236}">
              <a16:creationId xmlns:a16="http://schemas.microsoft.com/office/drawing/2014/main" id="{A4360384-29F0-4D1D-9AEF-1D4EFD3676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3" name="Elipse 4352">
          <a:extLst>
            <a:ext uri="{FF2B5EF4-FFF2-40B4-BE49-F238E27FC236}">
              <a16:creationId xmlns:a16="http://schemas.microsoft.com/office/drawing/2014/main" id="{B76EDEE8-5E5F-4EE2-ABDE-4EC2081C57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4" name="Elipse 4353">
          <a:extLst>
            <a:ext uri="{FF2B5EF4-FFF2-40B4-BE49-F238E27FC236}">
              <a16:creationId xmlns:a16="http://schemas.microsoft.com/office/drawing/2014/main" id="{857321FD-BF69-47DF-84AE-C9BED43350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5" name="Elipse 4354">
          <a:extLst>
            <a:ext uri="{FF2B5EF4-FFF2-40B4-BE49-F238E27FC236}">
              <a16:creationId xmlns:a16="http://schemas.microsoft.com/office/drawing/2014/main" id="{F2A28307-0896-4920-AA63-B77F8A6EDB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6" name="Elipse 4355">
          <a:extLst>
            <a:ext uri="{FF2B5EF4-FFF2-40B4-BE49-F238E27FC236}">
              <a16:creationId xmlns:a16="http://schemas.microsoft.com/office/drawing/2014/main" id="{60531945-FC84-4B08-84CD-1EA7487ACF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7" name="Elipse 4356">
          <a:extLst>
            <a:ext uri="{FF2B5EF4-FFF2-40B4-BE49-F238E27FC236}">
              <a16:creationId xmlns:a16="http://schemas.microsoft.com/office/drawing/2014/main" id="{1DA307A0-29BF-44C2-BE44-E042D60E81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8" name="Elipse 4357">
          <a:extLst>
            <a:ext uri="{FF2B5EF4-FFF2-40B4-BE49-F238E27FC236}">
              <a16:creationId xmlns:a16="http://schemas.microsoft.com/office/drawing/2014/main" id="{461230CE-EB7A-44C5-A4D8-966C9A0242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9" name="Elipse 4358">
          <a:extLst>
            <a:ext uri="{FF2B5EF4-FFF2-40B4-BE49-F238E27FC236}">
              <a16:creationId xmlns:a16="http://schemas.microsoft.com/office/drawing/2014/main" id="{A62390CD-0985-4007-A6D5-A8894E926E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0" name="Elipse 4359">
          <a:extLst>
            <a:ext uri="{FF2B5EF4-FFF2-40B4-BE49-F238E27FC236}">
              <a16:creationId xmlns:a16="http://schemas.microsoft.com/office/drawing/2014/main" id="{05AC7356-9395-4FC2-831D-BFAF43EAE1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1" name="Elipse 4360">
          <a:extLst>
            <a:ext uri="{FF2B5EF4-FFF2-40B4-BE49-F238E27FC236}">
              <a16:creationId xmlns:a16="http://schemas.microsoft.com/office/drawing/2014/main" id="{2721BF3F-6C88-4C05-95B4-A2558AD98A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2" name="Elipse 4361">
          <a:extLst>
            <a:ext uri="{FF2B5EF4-FFF2-40B4-BE49-F238E27FC236}">
              <a16:creationId xmlns:a16="http://schemas.microsoft.com/office/drawing/2014/main" id="{441447FD-5FBB-45A0-AA67-96D0E4BC8A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3" name="Elipse 4362">
          <a:extLst>
            <a:ext uri="{FF2B5EF4-FFF2-40B4-BE49-F238E27FC236}">
              <a16:creationId xmlns:a16="http://schemas.microsoft.com/office/drawing/2014/main" id="{DA0F3A7A-5D2E-48DE-9D7B-FCF2C0D42F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4" name="Elipse 4363">
          <a:extLst>
            <a:ext uri="{FF2B5EF4-FFF2-40B4-BE49-F238E27FC236}">
              <a16:creationId xmlns:a16="http://schemas.microsoft.com/office/drawing/2014/main" id="{8EAF9F65-6E50-44D9-A0A8-602FC9C1AE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5" name="Elipse 4364">
          <a:extLst>
            <a:ext uri="{FF2B5EF4-FFF2-40B4-BE49-F238E27FC236}">
              <a16:creationId xmlns:a16="http://schemas.microsoft.com/office/drawing/2014/main" id="{2C2E688F-528F-4336-9EAC-6661D3AD51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6" name="Elipse 4365">
          <a:extLst>
            <a:ext uri="{FF2B5EF4-FFF2-40B4-BE49-F238E27FC236}">
              <a16:creationId xmlns:a16="http://schemas.microsoft.com/office/drawing/2014/main" id="{E9927F6F-8181-40B0-95C1-5B90989C5F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7" name="Elipse 4366">
          <a:extLst>
            <a:ext uri="{FF2B5EF4-FFF2-40B4-BE49-F238E27FC236}">
              <a16:creationId xmlns:a16="http://schemas.microsoft.com/office/drawing/2014/main" id="{EA22AD9F-C55C-404C-935B-CFF6078413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8" name="Elipse 4367">
          <a:extLst>
            <a:ext uri="{FF2B5EF4-FFF2-40B4-BE49-F238E27FC236}">
              <a16:creationId xmlns:a16="http://schemas.microsoft.com/office/drawing/2014/main" id="{D3A94625-9565-4D9C-9595-EA1EDFAACA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9" name="Elipse 4368">
          <a:extLst>
            <a:ext uri="{FF2B5EF4-FFF2-40B4-BE49-F238E27FC236}">
              <a16:creationId xmlns:a16="http://schemas.microsoft.com/office/drawing/2014/main" id="{A271A14D-7BC6-40D5-8558-0DE7ACEC95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0" name="Elipse 4369">
          <a:extLst>
            <a:ext uri="{FF2B5EF4-FFF2-40B4-BE49-F238E27FC236}">
              <a16:creationId xmlns:a16="http://schemas.microsoft.com/office/drawing/2014/main" id="{94EA98C0-9FD7-4D4C-97C1-90C0D53EA2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1" name="Elipse 4370">
          <a:extLst>
            <a:ext uri="{FF2B5EF4-FFF2-40B4-BE49-F238E27FC236}">
              <a16:creationId xmlns:a16="http://schemas.microsoft.com/office/drawing/2014/main" id="{EC30655D-1F31-4061-BA17-1371B926B8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2" name="Elipse 4371">
          <a:extLst>
            <a:ext uri="{FF2B5EF4-FFF2-40B4-BE49-F238E27FC236}">
              <a16:creationId xmlns:a16="http://schemas.microsoft.com/office/drawing/2014/main" id="{35EE9CC3-9895-4EDC-B54B-AD915FC24B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3" name="Elipse 4372">
          <a:extLst>
            <a:ext uri="{FF2B5EF4-FFF2-40B4-BE49-F238E27FC236}">
              <a16:creationId xmlns:a16="http://schemas.microsoft.com/office/drawing/2014/main" id="{7261FA9C-138B-45F9-B9F7-DDE38FE43C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4" name="Elipse 4373">
          <a:extLst>
            <a:ext uri="{FF2B5EF4-FFF2-40B4-BE49-F238E27FC236}">
              <a16:creationId xmlns:a16="http://schemas.microsoft.com/office/drawing/2014/main" id="{452DCF7C-7466-4A11-AE65-22D4A2B14D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5" name="Elipse 4374">
          <a:extLst>
            <a:ext uri="{FF2B5EF4-FFF2-40B4-BE49-F238E27FC236}">
              <a16:creationId xmlns:a16="http://schemas.microsoft.com/office/drawing/2014/main" id="{E1B0A3A1-7E6B-4C12-B44A-ABB5C97D69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6" name="Elipse 4375">
          <a:extLst>
            <a:ext uri="{FF2B5EF4-FFF2-40B4-BE49-F238E27FC236}">
              <a16:creationId xmlns:a16="http://schemas.microsoft.com/office/drawing/2014/main" id="{7016E027-E9F0-4E9A-8EB9-3060CCC076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7" name="Elipse 4376">
          <a:extLst>
            <a:ext uri="{FF2B5EF4-FFF2-40B4-BE49-F238E27FC236}">
              <a16:creationId xmlns:a16="http://schemas.microsoft.com/office/drawing/2014/main" id="{8D71DFF2-0CCA-4706-B688-D95D1B8AAE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8" name="Elipse 4377">
          <a:extLst>
            <a:ext uri="{FF2B5EF4-FFF2-40B4-BE49-F238E27FC236}">
              <a16:creationId xmlns:a16="http://schemas.microsoft.com/office/drawing/2014/main" id="{9FA8483B-B75D-4A66-9313-932CFFF1C7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9" name="Elipse 4378">
          <a:extLst>
            <a:ext uri="{FF2B5EF4-FFF2-40B4-BE49-F238E27FC236}">
              <a16:creationId xmlns:a16="http://schemas.microsoft.com/office/drawing/2014/main" id="{2C3906A8-76A9-4256-AD94-DF38B61DBF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0" name="Elipse 4379">
          <a:extLst>
            <a:ext uri="{FF2B5EF4-FFF2-40B4-BE49-F238E27FC236}">
              <a16:creationId xmlns:a16="http://schemas.microsoft.com/office/drawing/2014/main" id="{37084C33-E1F2-4AF6-A93F-EA4849B9F5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1" name="Elipse 4380">
          <a:extLst>
            <a:ext uri="{FF2B5EF4-FFF2-40B4-BE49-F238E27FC236}">
              <a16:creationId xmlns:a16="http://schemas.microsoft.com/office/drawing/2014/main" id="{7B05B3CC-B6E7-4C2F-A46F-A8EC10997D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2" name="Elipse 4381">
          <a:extLst>
            <a:ext uri="{FF2B5EF4-FFF2-40B4-BE49-F238E27FC236}">
              <a16:creationId xmlns:a16="http://schemas.microsoft.com/office/drawing/2014/main" id="{B1E1A08D-7D49-4726-9281-CAA0C10010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3" name="Elipse 4382">
          <a:extLst>
            <a:ext uri="{FF2B5EF4-FFF2-40B4-BE49-F238E27FC236}">
              <a16:creationId xmlns:a16="http://schemas.microsoft.com/office/drawing/2014/main" id="{E4426A39-6762-41E5-ADA2-2E7FF36081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4" name="Elipse 4383">
          <a:extLst>
            <a:ext uri="{FF2B5EF4-FFF2-40B4-BE49-F238E27FC236}">
              <a16:creationId xmlns:a16="http://schemas.microsoft.com/office/drawing/2014/main" id="{BC1AAFE8-BDB0-4A29-A0DF-70AF020755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5" name="Elipse 4384">
          <a:extLst>
            <a:ext uri="{FF2B5EF4-FFF2-40B4-BE49-F238E27FC236}">
              <a16:creationId xmlns:a16="http://schemas.microsoft.com/office/drawing/2014/main" id="{D54E83B6-AB9D-4074-95CE-4C63F6324D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6" name="Elipse 4385">
          <a:extLst>
            <a:ext uri="{FF2B5EF4-FFF2-40B4-BE49-F238E27FC236}">
              <a16:creationId xmlns:a16="http://schemas.microsoft.com/office/drawing/2014/main" id="{196FA995-094A-4BD6-92FE-BC4CC9CADA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7" name="Elipse 4386">
          <a:extLst>
            <a:ext uri="{FF2B5EF4-FFF2-40B4-BE49-F238E27FC236}">
              <a16:creationId xmlns:a16="http://schemas.microsoft.com/office/drawing/2014/main" id="{3AD8772F-4030-4C8D-8F1E-BC96D85F2F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8" name="Elipse 4387">
          <a:extLst>
            <a:ext uri="{FF2B5EF4-FFF2-40B4-BE49-F238E27FC236}">
              <a16:creationId xmlns:a16="http://schemas.microsoft.com/office/drawing/2014/main" id="{3FDE4FE2-B731-4437-85AE-50CE24210C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9" name="Elipse 4388">
          <a:extLst>
            <a:ext uri="{FF2B5EF4-FFF2-40B4-BE49-F238E27FC236}">
              <a16:creationId xmlns:a16="http://schemas.microsoft.com/office/drawing/2014/main" id="{00AB63EC-376C-471C-889C-64A2A8A1B1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0" name="Elipse 4389">
          <a:extLst>
            <a:ext uri="{FF2B5EF4-FFF2-40B4-BE49-F238E27FC236}">
              <a16:creationId xmlns:a16="http://schemas.microsoft.com/office/drawing/2014/main" id="{266DBB73-0143-4365-8CE1-8280591E45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1" name="Elipse 4390">
          <a:extLst>
            <a:ext uri="{FF2B5EF4-FFF2-40B4-BE49-F238E27FC236}">
              <a16:creationId xmlns:a16="http://schemas.microsoft.com/office/drawing/2014/main" id="{A49903BF-2EFF-47BD-98AA-B2923B126E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2" name="Elipse 4391">
          <a:extLst>
            <a:ext uri="{FF2B5EF4-FFF2-40B4-BE49-F238E27FC236}">
              <a16:creationId xmlns:a16="http://schemas.microsoft.com/office/drawing/2014/main" id="{305D354C-F1C6-4148-A7BB-DDF45E78BA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3" name="Elipse 4392">
          <a:extLst>
            <a:ext uri="{FF2B5EF4-FFF2-40B4-BE49-F238E27FC236}">
              <a16:creationId xmlns:a16="http://schemas.microsoft.com/office/drawing/2014/main" id="{F65FBC44-2429-451D-9112-CB3D514D6C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4" name="Elipse 4393">
          <a:extLst>
            <a:ext uri="{FF2B5EF4-FFF2-40B4-BE49-F238E27FC236}">
              <a16:creationId xmlns:a16="http://schemas.microsoft.com/office/drawing/2014/main" id="{06BF0618-ED79-4194-8A26-6AE782DE48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5" name="Elipse 4394">
          <a:extLst>
            <a:ext uri="{FF2B5EF4-FFF2-40B4-BE49-F238E27FC236}">
              <a16:creationId xmlns:a16="http://schemas.microsoft.com/office/drawing/2014/main" id="{5B5FFAA9-3DB3-4F09-BA65-89F5A63A72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6" name="Elipse 4395">
          <a:extLst>
            <a:ext uri="{FF2B5EF4-FFF2-40B4-BE49-F238E27FC236}">
              <a16:creationId xmlns:a16="http://schemas.microsoft.com/office/drawing/2014/main" id="{D640468B-2266-4CF3-B185-A9ED8B2FBC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7" name="Elipse 4396">
          <a:extLst>
            <a:ext uri="{FF2B5EF4-FFF2-40B4-BE49-F238E27FC236}">
              <a16:creationId xmlns:a16="http://schemas.microsoft.com/office/drawing/2014/main" id="{E2359261-9B5B-4BD4-87B5-BB46F9B3F3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8" name="Elipse 4397">
          <a:extLst>
            <a:ext uri="{FF2B5EF4-FFF2-40B4-BE49-F238E27FC236}">
              <a16:creationId xmlns:a16="http://schemas.microsoft.com/office/drawing/2014/main" id="{419E19AB-4C80-4DE6-AD49-AD48B748D7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9" name="Elipse 4398">
          <a:extLst>
            <a:ext uri="{FF2B5EF4-FFF2-40B4-BE49-F238E27FC236}">
              <a16:creationId xmlns:a16="http://schemas.microsoft.com/office/drawing/2014/main" id="{7BD907D2-4C5E-4EC4-A455-AFE65E0518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0" name="Elipse 4399">
          <a:extLst>
            <a:ext uri="{FF2B5EF4-FFF2-40B4-BE49-F238E27FC236}">
              <a16:creationId xmlns:a16="http://schemas.microsoft.com/office/drawing/2014/main" id="{0E352509-6FD4-4EDB-8C6B-142F13991C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1" name="Elipse 4400">
          <a:extLst>
            <a:ext uri="{FF2B5EF4-FFF2-40B4-BE49-F238E27FC236}">
              <a16:creationId xmlns:a16="http://schemas.microsoft.com/office/drawing/2014/main" id="{CB372AC1-A738-4E24-9BF4-E743B786A2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2" name="Elipse 4401">
          <a:extLst>
            <a:ext uri="{FF2B5EF4-FFF2-40B4-BE49-F238E27FC236}">
              <a16:creationId xmlns:a16="http://schemas.microsoft.com/office/drawing/2014/main" id="{C58C12FB-D906-4D63-A6E5-C00C3AD02C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3" name="Elipse 4402">
          <a:extLst>
            <a:ext uri="{FF2B5EF4-FFF2-40B4-BE49-F238E27FC236}">
              <a16:creationId xmlns:a16="http://schemas.microsoft.com/office/drawing/2014/main" id="{5BC81DD3-D2C0-49A9-8416-B7E55688E6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4" name="Elipse 4403">
          <a:extLst>
            <a:ext uri="{FF2B5EF4-FFF2-40B4-BE49-F238E27FC236}">
              <a16:creationId xmlns:a16="http://schemas.microsoft.com/office/drawing/2014/main" id="{881C6C38-0EC6-4E90-9EEA-5E9B745508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5" name="Elipse 4404">
          <a:extLst>
            <a:ext uri="{FF2B5EF4-FFF2-40B4-BE49-F238E27FC236}">
              <a16:creationId xmlns:a16="http://schemas.microsoft.com/office/drawing/2014/main" id="{03C07D9D-971F-4566-A23D-26415E9CB1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6" name="Elipse 4405">
          <a:extLst>
            <a:ext uri="{FF2B5EF4-FFF2-40B4-BE49-F238E27FC236}">
              <a16:creationId xmlns:a16="http://schemas.microsoft.com/office/drawing/2014/main" id="{4BE8A7E1-BE5F-4368-8335-148013197E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7" name="Elipse 4406">
          <a:extLst>
            <a:ext uri="{FF2B5EF4-FFF2-40B4-BE49-F238E27FC236}">
              <a16:creationId xmlns:a16="http://schemas.microsoft.com/office/drawing/2014/main" id="{EF447530-6363-4145-BB1A-624972D9BB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8" name="Elipse 4407">
          <a:extLst>
            <a:ext uri="{FF2B5EF4-FFF2-40B4-BE49-F238E27FC236}">
              <a16:creationId xmlns:a16="http://schemas.microsoft.com/office/drawing/2014/main" id="{071059FA-613E-4B7D-A228-04CB3DB246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9" name="Elipse 4408">
          <a:extLst>
            <a:ext uri="{FF2B5EF4-FFF2-40B4-BE49-F238E27FC236}">
              <a16:creationId xmlns:a16="http://schemas.microsoft.com/office/drawing/2014/main" id="{D91C9FE3-7BE3-43BF-8892-5B06385B1D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0" name="Elipse 4409">
          <a:extLst>
            <a:ext uri="{FF2B5EF4-FFF2-40B4-BE49-F238E27FC236}">
              <a16:creationId xmlns:a16="http://schemas.microsoft.com/office/drawing/2014/main" id="{64363962-1C59-431D-BD7F-7625155A40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1" name="Elipse 4410">
          <a:extLst>
            <a:ext uri="{FF2B5EF4-FFF2-40B4-BE49-F238E27FC236}">
              <a16:creationId xmlns:a16="http://schemas.microsoft.com/office/drawing/2014/main" id="{DAAFEC2A-D72F-4721-BFF7-5D23C06758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2" name="Elipse 4411">
          <a:extLst>
            <a:ext uri="{FF2B5EF4-FFF2-40B4-BE49-F238E27FC236}">
              <a16:creationId xmlns:a16="http://schemas.microsoft.com/office/drawing/2014/main" id="{223038A8-6A40-4550-BF1B-C7D17E0CC8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3" name="Elipse 4412">
          <a:extLst>
            <a:ext uri="{FF2B5EF4-FFF2-40B4-BE49-F238E27FC236}">
              <a16:creationId xmlns:a16="http://schemas.microsoft.com/office/drawing/2014/main" id="{81FA0FC0-B4A7-4EFB-9BA4-5036F3AE1C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4" name="Elipse 4413">
          <a:extLst>
            <a:ext uri="{FF2B5EF4-FFF2-40B4-BE49-F238E27FC236}">
              <a16:creationId xmlns:a16="http://schemas.microsoft.com/office/drawing/2014/main" id="{BC84E995-D952-4A93-B610-934AB8475F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5" name="Elipse 4414">
          <a:extLst>
            <a:ext uri="{FF2B5EF4-FFF2-40B4-BE49-F238E27FC236}">
              <a16:creationId xmlns:a16="http://schemas.microsoft.com/office/drawing/2014/main" id="{23C72602-BA4C-45F4-9848-74598260C2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6" name="Elipse 4415">
          <a:extLst>
            <a:ext uri="{FF2B5EF4-FFF2-40B4-BE49-F238E27FC236}">
              <a16:creationId xmlns:a16="http://schemas.microsoft.com/office/drawing/2014/main" id="{F5083CE8-A04A-416B-A792-ADBB7518E2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7" name="Elipse 4416">
          <a:extLst>
            <a:ext uri="{FF2B5EF4-FFF2-40B4-BE49-F238E27FC236}">
              <a16:creationId xmlns:a16="http://schemas.microsoft.com/office/drawing/2014/main" id="{FA610457-0001-4E7C-9B8B-5091C2A727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8" name="Elipse 4417">
          <a:extLst>
            <a:ext uri="{FF2B5EF4-FFF2-40B4-BE49-F238E27FC236}">
              <a16:creationId xmlns:a16="http://schemas.microsoft.com/office/drawing/2014/main" id="{54272607-ED56-4512-82AD-C1E8A89A98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9" name="Elipse 4418">
          <a:extLst>
            <a:ext uri="{FF2B5EF4-FFF2-40B4-BE49-F238E27FC236}">
              <a16:creationId xmlns:a16="http://schemas.microsoft.com/office/drawing/2014/main" id="{DB594E8A-B537-4A1E-BC8F-B17C740DAA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0" name="Elipse 4419">
          <a:extLst>
            <a:ext uri="{FF2B5EF4-FFF2-40B4-BE49-F238E27FC236}">
              <a16:creationId xmlns:a16="http://schemas.microsoft.com/office/drawing/2014/main" id="{639184E3-0F79-4EDA-A0EF-96571933A3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1" name="Elipse 4420">
          <a:extLst>
            <a:ext uri="{FF2B5EF4-FFF2-40B4-BE49-F238E27FC236}">
              <a16:creationId xmlns:a16="http://schemas.microsoft.com/office/drawing/2014/main" id="{B37F2282-970C-4A92-AE7F-921764ED5B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2" name="Elipse 4421">
          <a:extLst>
            <a:ext uri="{FF2B5EF4-FFF2-40B4-BE49-F238E27FC236}">
              <a16:creationId xmlns:a16="http://schemas.microsoft.com/office/drawing/2014/main" id="{C21F80F1-17D1-40C6-9F6F-618A7F36AC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3" name="Elipse 4422">
          <a:extLst>
            <a:ext uri="{FF2B5EF4-FFF2-40B4-BE49-F238E27FC236}">
              <a16:creationId xmlns:a16="http://schemas.microsoft.com/office/drawing/2014/main" id="{D9B8662A-FFB1-484F-A2B6-49726AA70C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4" name="Elipse 4423">
          <a:extLst>
            <a:ext uri="{FF2B5EF4-FFF2-40B4-BE49-F238E27FC236}">
              <a16:creationId xmlns:a16="http://schemas.microsoft.com/office/drawing/2014/main" id="{FE407B9D-B680-4680-9A6E-F2DFB63FD9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5" name="Elipse 4424">
          <a:extLst>
            <a:ext uri="{FF2B5EF4-FFF2-40B4-BE49-F238E27FC236}">
              <a16:creationId xmlns:a16="http://schemas.microsoft.com/office/drawing/2014/main" id="{DBBDD4C9-4815-41F3-A4BA-57C68934F0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6" name="Elipse 4425">
          <a:extLst>
            <a:ext uri="{FF2B5EF4-FFF2-40B4-BE49-F238E27FC236}">
              <a16:creationId xmlns:a16="http://schemas.microsoft.com/office/drawing/2014/main" id="{C4EC63C8-0494-4387-B401-906B1076AA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7" name="Elipse 4426">
          <a:extLst>
            <a:ext uri="{FF2B5EF4-FFF2-40B4-BE49-F238E27FC236}">
              <a16:creationId xmlns:a16="http://schemas.microsoft.com/office/drawing/2014/main" id="{FCC3A5EB-28BA-4D66-AEDF-B14766D677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8" name="Elipse 4427">
          <a:extLst>
            <a:ext uri="{FF2B5EF4-FFF2-40B4-BE49-F238E27FC236}">
              <a16:creationId xmlns:a16="http://schemas.microsoft.com/office/drawing/2014/main" id="{16C5A2ED-0589-4425-AE76-A2E9BDE03A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9" name="Elipse 4428">
          <a:extLst>
            <a:ext uri="{FF2B5EF4-FFF2-40B4-BE49-F238E27FC236}">
              <a16:creationId xmlns:a16="http://schemas.microsoft.com/office/drawing/2014/main" id="{2858540F-A37B-42F7-BDC8-2229D427B5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0" name="Elipse 4429">
          <a:extLst>
            <a:ext uri="{FF2B5EF4-FFF2-40B4-BE49-F238E27FC236}">
              <a16:creationId xmlns:a16="http://schemas.microsoft.com/office/drawing/2014/main" id="{09E7C668-1075-4581-BCA2-83DD148B1C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1" name="Elipse 4430">
          <a:extLst>
            <a:ext uri="{FF2B5EF4-FFF2-40B4-BE49-F238E27FC236}">
              <a16:creationId xmlns:a16="http://schemas.microsoft.com/office/drawing/2014/main" id="{FE3FE1A5-F36F-4C0A-938A-5E7F9BD0D9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2" name="Elipse 4431">
          <a:extLst>
            <a:ext uri="{FF2B5EF4-FFF2-40B4-BE49-F238E27FC236}">
              <a16:creationId xmlns:a16="http://schemas.microsoft.com/office/drawing/2014/main" id="{24492872-5386-4E9A-B635-9CA62415FE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3" name="Elipse 4432">
          <a:extLst>
            <a:ext uri="{FF2B5EF4-FFF2-40B4-BE49-F238E27FC236}">
              <a16:creationId xmlns:a16="http://schemas.microsoft.com/office/drawing/2014/main" id="{8D73ABBA-9B52-4C51-ABEB-2819357C8F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4" name="Elipse 4433">
          <a:extLst>
            <a:ext uri="{FF2B5EF4-FFF2-40B4-BE49-F238E27FC236}">
              <a16:creationId xmlns:a16="http://schemas.microsoft.com/office/drawing/2014/main" id="{4CAD1F42-A659-4B0C-A4F8-F316570202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5" name="Elipse 4434">
          <a:extLst>
            <a:ext uri="{FF2B5EF4-FFF2-40B4-BE49-F238E27FC236}">
              <a16:creationId xmlns:a16="http://schemas.microsoft.com/office/drawing/2014/main" id="{50C6BEDD-D874-429A-A9D3-523D2717EB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6" name="Elipse 4435">
          <a:extLst>
            <a:ext uri="{FF2B5EF4-FFF2-40B4-BE49-F238E27FC236}">
              <a16:creationId xmlns:a16="http://schemas.microsoft.com/office/drawing/2014/main" id="{B0E39865-3F5E-43B9-9D28-935ADEDF32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7" name="Elipse 4436">
          <a:extLst>
            <a:ext uri="{FF2B5EF4-FFF2-40B4-BE49-F238E27FC236}">
              <a16:creationId xmlns:a16="http://schemas.microsoft.com/office/drawing/2014/main" id="{F11C6D6B-F46B-418B-A0F6-C80670DC5E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8" name="Elipse 4437">
          <a:extLst>
            <a:ext uri="{FF2B5EF4-FFF2-40B4-BE49-F238E27FC236}">
              <a16:creationId xmlns:a16="http://schemas.microsoft.com/office/drawing/2014/main" id="{CB786324-2939-4162-A664-832DD978D2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9" name="Elipse 4438">
          <a:extLst>
            <a:ext uri="{FF2B5EF4-FFF2-40B4-BE49-F238E27FC236}">
              <a16:creationId xmlns:a16="http://schemas.microsoft.com/office/drawing/2014/main" id="{76FB4B85-3EC9-491D-8112-089FF1E612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0" name="Elipse 4439">
          <a:extLst>
            <a:ext uri="{FF2B5EF4-FFF2-40B4-BE49-F238E27FC236}">
              <a16:creationId xmlns:a16="http://schemas.microsoft.com/office/drawing/2014/main" id="{D283D7F7-BE60-411B-8128-C50D1C2D2F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1" name="Elipse 4440">
          <a:extLst>
            <a:ext uri="{FF2B5EF4-FFF2-40B4-BE49-F238E27FC236}">
              <a16:creationId xmlns:a16="http://schemas.microsoft.com/office/drawing/2014/main" id="{A6ECC3B9-FCA1-488A-9A57-C61B443A14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2" name="Elipse 4441">
          <a:extLst>
            <a:ext uri="{FF2B5EF4-FFF2-40B4-BE49-F238E27FC236}">
              <a16:creationId xmlns:a16="http://schemas.microsoft.com/office/drawing/2014/main" id="{903616A4-99AE-4455-BD03-60E8B1AFB8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3" name="Elipse 4442">
          <a:extLst>
            <a:ext uri="{FF2B5EF4-FFF2-40B4-BE49-F238E27FC236}">
              <a16:creationId xmlns:a16="http://schemas.microsoft.com/office/drawing/2014/main" id="{3FEF3958-034F-4840-9A28-C8EB5201C6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4" name="Elipse 4443">
          <a:extLst>
            <a:ext uri="{FF2B5EF4-FFF2-40B4-BE49-F238E27FC236}">
              <a16:creationId xmlns:a16="http://schemas.microsoft.com/office/drawing/2014/main" id="{4EDEB1B0-D604-43A9-8DEB-108460332C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5" name="Elipse 4444">
          <a:extLst>
            <a:ext uri="{FF2B5EF4-FFF2-40B4-BE49-F238E27FC236}">
              <a16:creationId xmlns:a16="http://schemas.microsoft.com/office/drawing/2014/main" id="{7B22B5C5-CA6D-4E39-BBA5-9DDB9361C6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6" name="Elipse 4445">
          <a:extLst>
            <a:ext uri="{FF2B5EF4-FFF2-40B4-BE49-F238E27FC236}">
              <a16:creationId xmlns:a16="http://schemas.microsoft.com/office/drawing/2014/main" id="{0423254B-795F-41CE-B77F-2F69AA276E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7" name="Elipse 4446">
          <a:extLst>
            <a:ext uri="{FF2B5EF4-FFF2-40B4-BE49-F238E27FC236}">
              <a16:creationId xmlns:a16="http://schemas.microsoft.com/office/drawing/2014/main" id="{7B2521E8-A5AB-4DA7-8148-16F31EBF18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8" name="Elipse 4447">
          <a:extLst>
            <a:ext uri="{FF2B5EF4-FFF2-40B4-BE49-F238E27FC236}">
              <a16:creationId xmlns:a16="http://schemas.microsoft.com/office/drawing/2014/main" id="{53FFEE27-D896-4051-96D9-3F2CF4B5D5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9" name="Elipse 4448">
          <a:extLst>
            <a:ext uri="{FF2B5EF4-FFF2-40B4-BE49-F238E27FC236}">
              <a16:creationId xmlns:a16="http://schemas.microsoft.com/office/drawing/2014/main" id="{FB6A3D2D-BFFE-430B-B985-175F061171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0" name="Elipse 4449">
          <a:extLst>
            <a:ext uri="{FF2B5EF4-FFF2-40B4-BE49-F238E27FC236}">
              <a16:creationId xmlns:a16="http://schemas.microsoft.com/office/drawing/2014/main" id="{884DDF88-8D88-4990-9829-D756BE52D2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1" name="Elipse 4450">
          <a:extLst>
            <a:ext uri="{FF2B5EF4-FFF2-40B4-BE49-F238E27FC236}">
              <a16:creationId xmlns:a16="http://schemas.microsoft.com/office/drawing/2014/main" id="{9485937F-35F6-47D9-B7AB-CCC56749E0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2" name="Elipse 4451">
          <a:extLst>
            <a:ext uri="{FF2B5EF4-FFF2-40B4-BE49-F238E27FC236}">
              <a16:creationId xmlns:a16="http://schemas.microsoft.com/office/drawing/2014/main" id="{EFCF5C03-D3F5-49E5-861E-8CE2F479A7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3" name="Elipse 4452">
          <a:extLst>
            <a:ext uri="{FF2B5EF4-FFF2-40B4-BE49-F238E27FC236}">
              <a16:creationId xmlns:a16="http://schemas.microsoft.com/office/drawing/2014/main" id="{740C9892-FCE8-4064-9C86-A0413D1442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4" name="Elipse 4453">
          <a:extLst>
            <a:ext uri="{FF2B5EF4-FFF2-40B4-BE49-F238E27FC236}">
              <a16:creationId xmlns:a16="http://schemas.microsoft.com/office/drawing/2014/main" id="{6042A217-981F-4900-A19A-D04F436EA5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5" name="Elipse 4454">
          <a:extLst>
            <a:ext uri="{FF2B5EF4-FFF2-40B4-BE49-F238E27FC236}">
              <a16:creationId xmlns:a16="http://schemas.microsoft.com/office/drawing/2014/main" id="{B1179FC6-5C50-4712-8061-05FA95B74D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6" name="Elipse 4455">
          <a:extLst>
            <a:ext uri="{FF2B5EF4-FFF2-40B4-BE49-F238E27FC236}">
              <a16:creationId xmlns:a16="http://schemas.microsoft.com/office/drawing/2014/main" id="{7F09C685-652F-4A5C-8F47-385347006B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7" name="Elipse 4456">
          <a:extLst>
            <a:ext uri="{FF2B5EF4-FFF2-40B4-BE49-F238E27FC236}">
              <a16:creationId xmlns:a16="http://schemas.microsoft.com/office/drawing/2014/main" id="{61675A24-ABDA-4645-86BE-C49D102C00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8" name="Elipse 4457">
          <a:extLst>
            <a:ext uri="{FF2B5EF4-FFF2-40B4-BE49-F238E27FC236}">
              <a16:creationId xmlns:a16="http://schemas.microsoft.com/office/drawing/2014/main" id="{EDC6DF57-6E04-4B50-B653-D0CAD755F5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9" name="Elipse 4458">
          <a:extLst>
            <a:ext uri="{FF2B5EF4-FFF2-40B4-BE49-F238E27FC236}">
              <a16:creationId xmlns:a16="http://schemas.microsoft.com/office/drawing/2014/main" id="{3E559933-3355-4538-8309-8D3AB5700E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0" name="Elipse 4459">
          <a:extLst>
            <a:ext uri="{FF2B5EF4-FFF2-40B4-BE49-F238E27FC236}">
              <a16:creationId xmlns:a16="http://schemas.microsoft.com/office/drawing/2014/main" id="{42E45CB7-571F-4964-A49F-0D0FC511B9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1" name="Elipse 4460">
          <a:extLst>
            <a:ext uri="{FF2B5EF4-FFF2-40B4-BE49-F238E27FC236}">
              <a16:creationId xmlns:a16="http://schemas.microsoft.com/office/drawing/2014/main" id="{1A3E3D03-D5A4-47D5-A0D2-B29D42B51C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2" name="Elipse 4461">
          <a:extLst>
            <a:ext uri="{FF2B5EF4-FFF2-40B4-BE49-F238E27FC236}">
              <a16:creationId xmlns:a16="http://schemas.microsoft.com/office/drawing/2014/main" id="{3864C604-9171-426A-9DF8-9A0731DAE0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3" name="Elipse 4462">
          <a:extLst>
            <a:ext uri="{FF2B5EF4-FFF2-40B4-BE49-F238E27FC236}">
              <a16:creationId xmlns:a16="http://schemas.microsoft.com/office/drawing/2014/main" id="{BAE81D60-0670-4327-B21E-23CE73412D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4" name="Elipse 4463">
          <a:extLst>
            <a:ext uri="{FF2B5EF4-FFF2-40B4-BE49-F238E27FC236}">
              <a16:creationId xmlns:a16="http://schemas.microsoft.com/office/drawing/2014/main" id="{DF6A5739-2FA7-4818-9269-79514715A3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5" name="Elipse 4464">
          <a:extLst>
            <a:ext uri="{FF2B5EF4-FFF2-40B4-BE49-F238E27FC236}">
              <a16:creationId xmlns:a16="http://schemas.microsoft.com/office/drawing/2014/main" id="{6859A581-3B3C-4678-BFA6-60F1F79523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6" name="Elipse 4465">
          <a:extLst>
            <a:ext uri="{FF2B5EF4-FFF2-40B4-BE49-F238E27FC236}">
              <a16:creationId xmlns:a16="http://schemas.microsoft.com/office/drawing/2014/main" id="{47B8F0AC-CD07-4629-AA0D-C3A2DC48D9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7" name="Elipse 4466">
          <a:extLst>
            <a:ext uri="{FF2B5EF4-FFF2-40B4-BE49-F238E27FC236}">
              <a16:creationId xmlns:a16="http://schemas.microsoft.com/office/drawing/2014/main" id="{A6F56C5E-DE2F-4C72-847C-C04A2AEF8F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8" name="Elipse 4467">
          <a:extLst>
            <a:ext uri="{FF2B5EF4-FFF2-40B4-BE49-F238E27FC236}">
              <a16:creationId xmlns:a16="http://schemas.microsoft.com/office/drawing/2014/main" id="{08F52B9C-C758-4AE4-84B9-00DC02D4DD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9" name="Elipse 4468">
          <a:extLst>
            <a:ext uri="{FF2B5EF4-FFF2-40B4-BE49-F238E27FC236}">
              <a16:creationId xmlns:a16="http://schemas.microsoft.com/office/drawing/2014/main" id="{F2F9B335-FDD5-4606-96C2-8260D3B0BC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0" name="Elipse 4469">
          <a:extLst>
            <a:ext uri="{FF2B5EF4-FFF2-40B4-BE49-F238E27FC236}">
              <a16:creationId xmlns:a16="http://schemas.microsoft.com/office/drawing/2014/main" id="{D03D926C-EF06-4289-B88D-6DF6591D25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1" name="Elipse 4470">
          <a:extLst>
            <a:ext uri="{FF2B5EF4-FFF2-40B4-BE49-F238E27FC236}">
              <a16:creationId xmlns:a16="http://schemas.microsoft.com/office/drawing/2014/main" id="{929CD9E0-A9FB-4421-A842-27D4F84FC7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2" name="Elipse 4471">
          <a:extLst>
            <a:ext uri="{FF2B5EF4-FFF2-40B4-BE49-F238E27FC236}">
              <a16:creationId xmlns:a16="http://schemas.microsoft.com/office/drawing/2014/main" id="{36D41126-2DB8-401E-B4DB-C4800452A3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3" name="Elipse 4472">
          <a:extLst>
            <a:ext uri="{FF2B5EF4-FFF2-40B4-BE49-F238E27FC236}">
              <a16:creationId xmlns:a16="http://schemas.microsoft.com/office/drawing/2014/main" id="{88127FB2-ACBA-443E-B220-BF3A3FC6D9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4" name="Elipse 4473">
          <a:extLst>
            <a:ext uri="{FF2B5EF4-FFF2-40B4-BE49-F238E27FC236}">
              <a16:creationId xmlns:a16="http://schemas.microsoft.com/office/drawing/2014/main" id="{B40503FC-71A6-4DF9-98EA-C9A17369A6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5" name="Elipse 4474">
          <a:extLst>
            <a:ext uri="{FF2B5EF4-FFF2-40B4-BE49-F238E27FC236}">
              <a16:creationId xmlns:a16="http://schemas.microsoft.com/office/drawing/2014/main" id="{567819B8-13FD-47C2-BB45-5EDDD39AFE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6" name="Elipse 4475">
          <a:extLst>
            <a:ext uri="{FF2B5EF4-FFF2-40B4-BE49-F238E27FC236}">
              <a16:creationId xmlns:a16="http://schemas.microsoft.com/office/drawing/2014/main" id="{D5932939-FEF2-4999-89C0-8A55B6CA0A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7" name="Elipse 4476">
          <a:extLst>
            <a:ext uri="{FF2B5EF4-FFF2-40B4-BE49-F238E27FC236}">
              <a16:creationId xmlns:a16="http://schemas.microsoft.com/office/drawing/2014/main" id="{46D020E2-6B1C-4239-B3C6-F558981662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8" name="Elipse 4477">
          <a:extLst>
            <a:ext uri="{FF2B5EF4-FFF2-40B4-BE49-F238E27FC236}">
              <a16:creationId xmlns:a16="http://schemas.microsoft.com/office/drawing/2014/main" id="{3E8859CF-53BB-4337-A0C3-7C036540BA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9" name="Elipse 4478">
          <a:extLst>
            <a:ext uri="{FF2B5EF4-FFF2-40B4-BE49-F238E27FC236}">
              <a16:creationId xmlns:a16="http://schemas.microsoft.com/office/drawing/2014/main" id="{F1FC5DF2-F60A-446C-89B2-38F1196D09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0" name="Elipse 4479">
          <a:extLst>
            <a:ext uri="{FF2B5EF4-FFF2-40B4-BE49-F238E27FC236}">
              <a16:creationId xmlns:a16="http://schemas.microsoft.com/office/drawing/2014/main" id="{A6FE8F81-1D03-497B-B174-73A84B83AE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1" name="Elipse 4480">
          <a:extLst>
            <a:ext uri="{FF2B5EF4-FFF2-40B4-BE49-F238E27FC236}">
              <a16:creationId xmlns:a16="http://schemas.microsoft.com/office/drawing/2014/main" id="{61E8559B-D7BA-4465-A7D5-F78C52E859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2" name="Elipse 4481">
          <a:extLst>
            <a:ext uri="{FF2B5EF4-FFF2-40B4-BE49-F238E27FC236}">
              <a16:creationId xmlns:a16="http://schemas.microsoft.com/office/drawing/2014/main" id="{6D36A7D1-FC1D-484E-8E9F-CC51BCDEA0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3" name="Elipse 4482">
          <a:extLst>
            <a:ext uri="{FF2B5EF4-FFF2-40B4-BE49-F238E27FC236}">
              <a16:creationId xmlns:a16="http://schemas.microsoft.com/office/drawing/2014/main" id="{B952EE08-FE01-4A9C-B982-B75AAC3244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4" name="Elipse 4483">
          <a:extLst>
            <a:ext uri="{FF2B5EF4-FFF2-40B4-BE49-F238E27FC236}">
              <a16:creationId xmlns:a16="http://schemas.microsoft.com/office/drawing/2014/main" id="{28C23F1D-AEA0-4049-87E0-156554284B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5" name="Elipse 4484">
          <a:extLst>
            <a:ext uri="{FF2B5EF4-FFF2-40B4-BE49-F238E27FC236}">
              <a16:creationId xmlns:a16="http://schemas.microsoft.com/office/drawing/2014/main" id="{003543C1-1BD7-4394-9698-8ECD46BFCE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6" name="Elipse 4485">
          <a:extLst>
            <a:ext uri="{FF2B5EF4-FFF2-40B4-BE49-F238E27FC236}">
              <a16:creationId xmlns:a16="http://schemas.microsoft.com/office/drawing/2014/main" id="{7974754D-F4A7-4203-9053-048BDECE10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7" name="Elipse 4486">
          <a:extLst>
            <a:ext uri="{FF2B5EF4-FFF2-40B4-BE49-F238E27FC236}">
              <a16:creationId xmlns:a16="http://schemas.microsoft.com/office/drawing/2014/main" id="{E612D514-E19F-42F7-9B77-D7AE1E9F5A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8" name="Elipse 4487">
          <a:extLst>
            <a:ext uri="{FF2B5EF4-FFF2-40B4-BE49-F238E27FC236}">
              <a16:creationId xmlns:a16="http://schemas.microsoft.com/office/drawing/2014/main" id="{6611EC08-93CE-44C8-9688-9F96850807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9" name="Elipse 4488">
          <a:extLst>
            <a:ext uri="{FF2B5EF4-FFF2-40B4-BE49-F238E27FC236}">
              <a16:creationId xmlns:a16="http://schemas.microsoft.com/office/drawing/2014/main" id="{86C86280-564C-4528-BA59-CD54CCA9E4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0" name="Elipse 4489">
          <a:extLst>
            <a:ext uri="{FF2B5EF4-FFF2-40B4-BE49-F238E27FC236}">
              <a16:creationId xmlns:a16="http://schemas.microsoft.com/office/drawing/2014/main" id="{0F3CA658-A6FB-4ED2-8117-E6802D6499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1" name="Elipse 4490">
          <a:extLst>
            <a:ext uri="{FF2B5EF4-FFF2-40B4-BE49-F238E27FC236}">
              <a16:creationId xmlns:a16="http://schemas.microsoft.com/office/drawing/2014/main" id="{269403B9-5E0D-497E-8B45-5E2095B863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2" name="Elipse 4491">
          <a:extLst>
            <a:ext uri="{FF2B5EF4-FFF2-40B4-BE49-F238E27FC236}">
              <a16:creationId xmlns:a16="http://schemas.microsoft.com/office/drawing/2014/main" id="{4D6A0A1E-C0FE-4322-8C3A-6DFF48CEE1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3" name="Elipse 4492">
          <a:extLst>
            <a:ext uri="{FF2B5EF4-FFF2-40B4-BE49-F238E27FC236}">
              <a16:creationId xmlns:a16="http://schemas.microsoft.com/office/drawing/2014/main" id="{9C405D2B-AAF5-4F41-BCEA-4662BA0DB6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4" name="Elipse 4493">
          <a:extLst>
            <a:ext uri="{FF2B5EF4-FFF2-40B4-BE49-F238E27FC236}">
              <a16:creationId xmlns:a16="http://schemas.microsoft.com/office/drawing/2014/main" id="{C60C1081-A08D-4E72-AF77-E4B30BC23D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5" name="Elipse 4494">
          <a:extLst>
            <a:ext uri="{FF2B5EF4-FFF2-40B4-BE49-F238E27FC236}">
              <a16:creationId xmlns:a16="http://schemas.microsoft.com/office/drawing/2014/main" id="{429F5042-C696-4E8B-B11B-D3B6F6316D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6" name="Elipse 4495">
          <a:extLst>
            <a:ext uri="{FF2B5EF4-FFF2-40B4-BE49-F238E27FC236}">
              <a16:creationId xmlns:a16="http://schemas.microsoft.com/office/drawing/2014/main" id="{7D778F99-D68D-44BB-B156-B3AF6CD060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7" name="Elipse 4496">
          <a:extLst>
            <a:ext uri="{FF2B5EF4-FFF2-40B4-BE49-F238E27FC236}">
              <a16:creationId xmlns:a16="http://schemas.microsoft.com/office/drawing/2014/main" id="{CD1822E9-167D-4E26-9704-F297A889C0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8" name="Elipse 4497">
          <a:extLst>
            <a:ext uri="{FF2B5EF4-FFF2-40B4-BE49-F238E27FC236}">
              <a16:creationId xmlns:a16="http://schemas.microsoft.com/office/drawing/2014/main" id="{50A04867-3B39-4CAF-A48C-56C52135EC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9" name="Elipse 4498">
          <a:extLst>
            <a:ext uri="{FF2B5EF4-FFF2-40B4-BE49-F238E27FC236}">
              <a16:creationId xmlns:a16="http://schemas.microsoft.com/office/drawing/2014/main" id="{D7C09EF5-242F-4A43-A2E6-7A5BA61703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0" name="Elipse 4499">
          <a:extLst>
            <a:ext uri="{FF2B5EF4-FFF2-40B4-BE49-F238E27FC236}">
              <a16:creationId xmlns:a16="http://schemas.microsoft.com/office/drawing/2014/main" id="{63F1E916-B842-4BCB-97B1-4574D9E1CF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1" name="Elipse 4500">
          <a:extLst>
            <a:ext uri="{FF2B5EF4-FFF2-40B4-BE49-F238E27FC236}">
              <a16:creationId xmlns:a16="http://schemas.microsoft.com/office/drawing/2014/main" id="{76664C3D-7A7B-4413-AD49-6C92404C09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2" name="Elipse 4501">
          <a:extLst>
            <a:ext uri="{FF2B5EF4-FFF2-40B4-BE49-F238E27FC236}">
              <a16:creationId xmlns:a16="http://schemas.microsoft.com/office/drawing/2014/main" id="{0288ECF0-9FF3-49E7-9A6D-55BABE34B6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3" name="Elipse 4502">
          <a:extLst>
            <a:ext uri="{FF2B5EF4-FFF2-40B4-BE49-F238E27FC236}">
              <a16:creationId xmlns:a16="http://schemas.microsoft.com/office/drawing/2014/main" id="{CEB40A18-70D1-4F73-89D1-4321D6C334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4" name="Elipse 4503">
          <a:extLst>
            <a:ext uri="{FF2B5EF4-FFF2-40B4-BE49-F238E27FC236}">
              <a16:creationId xmlns:a16="http://schemas.microsoft.com/office/drawing/2014/main" id="{48F0A9AF-A70C-4F94-BD04-38F1775DC9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5" name="Elipse 4504">
          <a:extLst>
            <a:ext uri="{FF2B5EF4-FFF2-40B4-BE49-F238E27FC236}">
              <a16:creationId xmlns:a16="http://schemas.microsoft.com/office/drawing/2014/main" id="{52B21D0F-9B38-4670-AA46-77ABEC3C07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6" name="Elipse 4505">
          <a:extLst>
            <a:ext uri="{FF2B5EF4-FFF2-40B4-BE49-F238E27FC236}">
              <a16:creationId xmlns:a16="http://schemas.microsoft.com/office/drawing/2014/main" id="{8FE07C2B-0C67-427A-983E-F6BFE95F41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7" name="Elipse 4506">
          <a:extLst>
            <a:ext uri="{FF2B5EF4-FFF2-40B4-BE49-F238E27FC236}">
              <a16:creationId xmlns:a16="http://schemas.microsoft.com/office/drawing/2014/main" id="{F01E16EF-4B1A-47B4-96C7-9EADDFA450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8" name="Elipse 4507">
          <a:extLst>
            <a:ext uri="{FF2B5EF4-FFF2-40B4-BE49-F238E27FC236}">
              <a16:creationId xmlns:a16="http://schemas.microsoft.com/office/drawing/2014/main" id="{4C648BE9-ADD0-4C83-9DC7-866B7ECD4F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9" name="Elipse 4508">
          <a:extLst>
            <a:ext uri="{FF2B5EF4-FFF2-40B4-BE49-F238E27FC236}">
              <a16:creationId xmlns:a16="http://schemas.microsoft.com/office/drawing/2014/main" id="{2B12545C-BA73-4743-8693-D9B9DC7511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0" name="Elipse 4509">
          <a:extLst>
            <a:ext uri="{FF2B5EF4-FFF2-40B4-BE49-F238E27FC236}">
              <a16:creationId xmlns:a16="http://schemas.microsoft.com/office/drawing/2014/main" id="{8950D21C-E2E8-412F-B175-90A459C5AD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1" name="Elipse 4510">
          <a:extLst>
            <a:ext uri="{FF2B5EF4-FFF2-40B4-BE49-F238E27FC236}">
              <a16:creationId xmlns:a16="http://schemas.microsoft.com/office/drawing/2014/main" id="{A8F445AB-EE24-4C64-AA8B-B6FBFFCC1F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2" name="Elipse 4511">
          <a:extLst>
            <a:ext uri="{FF2B5EF4-FFF2-40B4-BE49-F238E27FC236}">
              <a16:creationId xmlns:a16="http://schemas.microsoft.com/office/drawing/2014/main" id="{CD1B6FE7-850B-44E1-8E0C-74E90553DB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3" name="Elipse 4512">
          <a:extLst>
            <a:ext uri="{FF2B5EF4-FFF2-40B4-BE49-F238E27FC236}">
              <a16:creationId xmlns:a16="http://schemas.microsoft.com/office/drawing/2014/main" id="{4113AC96-E988-4FAA-8578-C06E792183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4" name="Elipse 4513">
          <a:extLst>
            <a:ext uri="{FF2B5EF4-FFF2-40B4-BE49-F238E27FC236}">
              <a16:creationId xmlns:a16="http://schemas.microsoft.com/office/drawing/2014/main" id="{731DEEA9-103D-4B85-96B7-12EC3F1132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5" name="Elipse 4514">
          <a:extLst>
            <a:ext uri="{FF2B5EF4-FFF2-40B4-BE49-F238E27FC236}">
              <a16:creationId xmlns:a16="http://schemas.microsoft.com/office/drawing/2014/main" id="{5F807C15-2991-41A9-AD61-E2629DD37A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6" name="Elipse 4515">
          <a:extLst>
            <a:ext uri="{FF2B5EF4-FFF2-40B4-BE49-F238E27FC236}">
              <a16:creationId xmlns:a16="http://schemas.microsoft.com/office/drawing/2014/main" id="{1B949BC7-C992-45DA-9ACA-6F6D5F5DEE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7" name="Elipse 4516">
          <a:extLst>
            <a:ext uri="{FF2B5EF4-FFF2-40B4-BE49-F238E27FC236}">
              <a16:creationId xmlns:a16="http://schemas.microsoft.com/office/drawing/2014/main" id="{38C40841-4C76-46D7-A846-A464C383F6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8" name="Elipse 4517">
          <a:extLst>
            <a:ext uri="{FF2B5EF4-FFF2-40B4-BE49-F238E27FC236}">
              <a16:creationId xmlns:a16="http://schemas.microsoft.com/office/drawing/2014/main" id="{AADD6B7B-4BE9-48FE-945C-894AEDFC14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9" name="Elipse 4518">
          <a:extLst>
            <a:ext uri="{FF2B5EF4-FFF2-40B4-BE49-F238E27FC236}">
              <a16:creationId xmlns:a16="http://schemas.microsoft.com/office/drawing/2014/main" id="{D5A86F63-AF18-467D-A06D-585BDA9FB5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0" name="Elipse 4519">
          <a:extLst>
            <a:ext uri="{FF2B5EF4-FFF2-40B4-BE49-F238E27FC236}">
              <a16:creationId xmlns:a16="http://schemas.microsoft.com/office/drawing/2014/main" id="{0C810689-1A5A-4690-9C99-A60F225CB6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1" name="Elipse 4520">
          <a:extLst>
            <a:ext uri="{FF2B5EF4-FFF2-40B4-BE49-F238E27FC236}">
              <a16:creationId xmlns:a16="http://schemas.microsoft.com/office/drawing/2014/main" id="{D03555D2-03B6-475F-974E-9E425EF72D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2" name="Elipse 4521">
          <a:extLst>
            <a:ext uri="{FF2B5EF4-FFF2-40B4-BE49-F238E27FC236}">
              <a16:creationId xmlns:a16="http://schemas.microsoft.com/office/drawing/2014/main" id="{578C24E9-0842-41E9-B4C7-853BCD22D5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3" name="Elipse 4522">
          <a:extLst>
            <a:ext uri="{FF2B5EF4-FFF2-40B4-BE49-F238E27FC236}">
              <a16:creationId xmlns:a16="http://schemas.microsoft.com/office/drawing/2014/main" id="{A3D22E62-8958-499F-9716-E16A3B201B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4" name="Elipse 4523">
          <a:extLst>
            <a:ext uri="{FF2B5EF4-FFF2-40B4-BE49-F238E27FC236}">
              <a16:creationId xmlns:a16="http://schemas.microsoft.com/office/drawing/2014/main" id="{7D855281-92DF-41D1-A198-94FA6A5799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5" name="Elipse 4524">
          <a:extLst>
            <a:ext uri="{FF2B5EF4-FFF2-40B4-BE49-F238E27FC236}">
              <a16:creationId xmlns:a16="http://schemas.microsoft.com/office/drawing/2014/main" id="{43E84962-D79D-450E-B803-A03FA148B6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6" name="Elipse 4525">
          <a:extLst>
            <a:ext uri="{FF2B5EF4-FFF2-40B4-BE49-F238E27FC236}">
              <a16:creationId xmlns:a16="http://schemas.microsoft.com/office/drawing/2014/main" id="{431CBED7-15E9-45DC-9D96-D252880D40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7" name="Elipse 4526">
          <a:extLst>
            <a:ext uri="{FF2B5EF4-FFF2-40B4-BE49-F238E27FC236}">
              <a16:creationId xmlns:a16="http://schemas.microsoft.com/office/drawing/2014/main" id="{5CCBD9FC-B208-4057-B09A-592479BE99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8" name="Elipse 4527">
          <a:extLst>
            <a:ext uri="{FF2B5EF4-FFF2-40B4-BE49-F238E27FC236}">
              <a16:creationId xmlns:a16="http://schemas.microsoft.com/office/drawing/2014/main" id="{EAD0BA08-B01B-4651-B2AB-67856A5D12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9" name="Elipse 4528">
          <a:extLst>
            <a:ext uri="{FF2B5EF4-FFF2-40B4-BE49-F238E27FC236}">
              <a16:creationId xmlns:a16="http://schemas.microsoft.com/office/drawing/2014/main" id="{DE98A19B-2FDB-4BA7-8716-FA0E3D27CC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0" name="Elipse 4529">
          <a:extLst>
            <a:ext uri="{FF2B5EF4-FFF2-40B4-BE49-F238E27FC236}">
              <a16:creationId xmlns:a16="http://schemas.microsoft.com/office/drawing/2014/main" id="{D1A18F87-1F7F-4470-9CCC-A04BAB60BA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1" name="Elipse 4530">
          <a:extLst>
            <a:ext uri="{FF2B5EF4-FFF2-40B4-BE49-F238E27FC236}">
              <a16:creationId xmlns:a16="http://schemas.microsoft.com/office/drawing/2014/main" id="{0B194BF3-7115-401E-82BA-E75057849B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2" name="Elipse 4531">
          <a:extLst>
            <a:ext uri="{FF2B5EF4-FFF2-40B4-BE49-F238E27FC236}">
              <a16:creationId xmlns:a16="http://schemas.microsoft.com/office/drawing/2014/main" id="{32D6E982-2A78-479D-A5B7-090349EADF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3" name="Elipse 4532">
          <a:extLst>
            <a:ext uri="{FF2B5EF4-FFF2-40B4-BE49-F238E27FC236}">
              <a16:creationId xmlns:a16="http://schemas.microsoft.com/office/drawing/2014/main" id="{6220B3D0-40C2-4DE7-9C16-0DDAD868E4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4" name="Elipse 4533">
          <a:extLst>
            <a:ext uri="{FF2B5EF4-FFF2-40B4-BE49-F238E27FC236}">
              <a16:creationId xmlns:a16="http://schemas.microsoft.com/office/drawing/2014/main" id="{68091C12-D4C6-4505-830A-0E67510A52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5" name="Elipse 4534">
          <a:extLst>
            <a:ext uri="{FF2B5EF4-FFF2-40B4-BE49-F238E27FC236}">
              <a16:creationId xmlns:a16="http://schemas.microsoft.com/office/drawing/2014/main" id="{84FA61EA-0B73-4EC5-A279-B3A690A240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6" name="Elipse 4535">
          <a:extLst>
            <a:ext uri="{FF2B5EF4-FFF2-40B4-BE49-F238E27FC236}">
              <a16:creationId xmlns:a16="http://schemas.microsoft.com/office/drawing/2014/main" id="{42B26E86-BDFB-4D46-842C-E424C591B8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7" name="Elipse 4536">
          <a:extLst>
            <a:ext uri="{FF2B5EF4-FFF2-40B4-BE49-F238E27FC236}">
              <a16:creationId xmlns:a16="http://schemas.microsoft.com/office/drawing/2014/main" id="{99DD64E1-0BFE-49C7-B36D-EEB4291756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8" name="Elipse 4537">
          <a:extLst>
            <a:ext uri="{FF2B5EF4-FFF2-40B4-BE49-F238E27FC236}">
              <a16:creationId xmlns:a16="http://schemas.microsoft.com/office/drawing/2014/main" id="{27E7BE7B-770D-44CA-B8B0-D5F2DF2AA3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9" name="Elipse 4538">
          <a:extLst>
            <a:ext uri="{FF2B5EF4-FFF2-40B4-BE49-F238E27FC236}">
              <a16:creationId xmlns:a16="http://schemas.microsoft.com/office/drawing/2014/main" id="{7322990F-61C0-4B47-B862-1204EB4F46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0" name="Elipse 4539">
          <a:extLst>
            <a:ext uri="{FF2B5EF4-FFF2-40B4-BE49-F238E27FC236}">
              <a16:creationId xmlns:a16="http://schemas.microsoft.com/office/drawing/2014/main" id="{7755CBC9-D473-48F1-A7A9-994E02C38B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1" name="Elipse 4540">
          <a:extLst>
            <a:ext uri="{FF2B5EF4-FFF2-40B4-BE49-F238E27FC236}">
              <a16:creationId xmlns:a16="http://schemas.microsoft.com/office/drawing/2014/main" id="{CFF23B7F-8FFC-4A14-9BFA-80A41AB5E3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2" name="Elipse 4541">
          <a:extLst>
            <a:ext uri="{FF2B5EF4-FFF2-40B4-BE49-F238E27FC236}">
              <a16:creationId xmlns:a16="http://schemas.microsoft.com/office/drawing/2014/main" id="{6671755B-9955-4C9F-9E0E-F5128DBBB0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3" name="Elipse 4542">
          <a:extLst>
            <a:ext uri="{FF2B5EF4-FFF2-40B4-BE49-F238E27FC236}">
              <a16:creationId xmlns:a16="http://schemas.microsoft.com/office/drawing/2014/main" id="{76D991AC-20D3-4034-8D3D-3FF0AD3F06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4" name="Elipse 4543">
          <a:extLst>
            <a:ext uri="{FF2B5EF4-FFF2-40B4-BE49-F238E27FC236}">
              <a16:creationId xmlns:a16="http://schemas.microsoft.com/office/drawing/2014/main" id="{E5A02068-AB2E-4BF7-A7DA-4E94EE74A7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5" name="Elipse 4544">
          <a:extLst>
            <a:ext uri="{FF2B5EF4-FFF2-40B4-BE49-F238E27FC236}">
              <a16:creationId xmlns:a16="http://schemas.microsoft.com/office/drawing/2014/main" id="{6663EE70-1637-4D9A-A881-0559230ABA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6" name="Elipse 4545">
          <a:extLst>
            <a:ext uri="{FF2B5EF4-FFF2-40B4-BE49-F238E27FC236}">
              <a16:creationId xmlns:a16="http://schemas.microsoft.com/office/drawing/2014/main" id="{92F0CBDB-DBEE-4AA1-9AC5-0EB527A070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7" name="Elipse 4546">
          <a:extLst>
            <a:ext uri="{FF2B5EF4-FFF2-40B4-BE49-F238E27FC236}">
              <a16:creationId xmlns:a16="http://schemas.microsoft.com/office/drawing/2014/main" id="{B0E33718-FDD1-4CDF-9808-F9D0080E6C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8" name="Elipse 4547">
          <a:extLst>
            <a:ext uri="{FF2B5EF4-FFF2-40B4-BE49-F238E27FC236}">
              <a16:creationId xmlns:a16="http://schemas.microsoft.com/office/drawing/2014/main" id="{69EB319A-73FF-40A5-9B6E-7C559126E1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9" name="Elipse 4548">
          <a:extLst>
            <a:ext uri="{FF2B5EF4-FFF2-40B4-BE49-F238E27FC236}">
              <a16:creationId xmlns:a16="http://schemas.microsoft.com/office/drawing/2014/main" id="{5BBA3308-DCB8-40F8-BA75-78118B64CA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0" name="Elipse 4549">
          <a:extLst>
            <a:ext uri="{FF2B5EF4-FFF2-40B4-BE49-F238E27FC236}">
              <a16:creationId xmlns:a16="http://schemas.microsoft.com/office/drawing/2014/main" id="{684F0B62-4795-42A1-AD4E-CB2EAF5A94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1" name="Elipse 4550">
          <a:extLst>
            <a:ext uri="{FF2B5EF4-FFF2-40B4-BE49-F238E27FC236}">
              <a16:creationId xmlns:a16="http://schemas.microsoft.com/office/drawing/2014/main" id="{89865133-98AC-4CD9-BF47-891228F961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2" name="Elipse 4551">
          <a:extLst>
            <a:ext uri="{FF2B5EF4-FFF2-40B4-BE49-F238E27FC236}">
              <a16:creationId xmlns:a16="http://schemas.microsoft.com/office/drawing/2014/main" id="{3914C65B-7215-46B3-BAC8-1AB5029E3E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3" name="Elipse 4552">
          <a:extLst>
            <a:ext uri="{FF2B5EF4-FFF2-40B4-BE49-F238E27FC236}">
              <a16:creationId xmlns:a16="http://schemas.microsoft.com/office/drawing/2014/main" id="{505B63DC-A490-4708-A61C-716BB63CA7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4" name="Elipse 4553">
          <a:extLst>
            <a:ext uri="{FF2B5EF4-FFF2-40B4-BE49-F238E27FC236}">
              <a16:creationId xmlns:a16="http://schemas.microsoft.com/office/drawing/2014/main" id="{46D6E131-6FDF-4DFA-AE62-6CBD1A9E33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5" name="Elipse 4554">
          <a:extLst>
            <a:ext uri="{FF2B5EF4-FFF2-40B4-BE49-F238E27FC236}">
              <a16:creationId xmlns:a16="http://schemas.microsoft.com/office/drawing/2014/main" id="{11D70F5D-7751-461C-BA28-924D1FF4C7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6" name="Elipse 4555">
          <a:extLst>
            <a:ext uri="{FF2B5EF4-FFF2-40B4-BE49-F238E27FC236}">
              <a16:creationId xmlns:a16="http://schemas.microsoft.com/office/drawing/2014/main" id="{705D338A-6618-45B6-8E23-D851E8ABAD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7" name="Elipse 4556">
          <a:extLst>
            <a:ext uri="{FF2B5EF4-FFF2-40B4-BE49-F238E27FC236}">
              <a16:creationId xmlns:a16="http://schemas.microsoft.com/office/drawing/2014/main" id="{C84FE559-AE8F-41AE-9A78-52D5B5F04C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8" name="Elipse 4557">
          <a:extLst>
            <a:ext uri="{FF2B5EF4-FFF2-40B4-BE49-F238E27FC236}">
              <a16:creationId xmlns:a16="http://schemas.microsoft.com/office/drawing/2014/main" id="{9D20C387-A1FD-4BBE-A123-45D359244F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9" name="Elipse 4558">
          <a:extLst>
            <a:ext uri="{FF2B5EF4-FFF2-40B4-BE49-F238E27FC236}">
              <a16:creationId xmlns:a16="http://schemas.microsoft.com/office/drawing/2014/main" id="{4C86B627-B4B8-4704-B7DA-5D21B9ABE2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0" name="Elipse 4559">
          <a:extLst>
            <a:ext uri="{FF2B5EF4-FFF2-40B4-BE49-F238E27FC236}">
              <a16:creationId xmlns:a16="http://schemas.microsoft.com/office/drawing/2014/main" id="{3AD2CDA1-B831-4817-91D4-FF2DD8D2DA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1" name="Elipse 4560">
          <a:extLst>
            <a:ext uri="{FF2B5EF4-FFF2-40B4-BE49-F238E27FC236}">
              <a16:creationId xmlns:a16="http://schemas.microsoft.com/office/drawing/2014/main" id="{2727B78C-684C-4083-B748-A4AFC5642C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2" name="Elipse 4561">
          <a:extLst>
            <a:ext uri="{FF2B5EF4-FFF2-40B4-BE49-F238E27FC236}">
              <a16:creationId xmlns:a16="http://schemas.microsoft.com/office/drawing/2014/main" id="{2008AA25-BCCE-4583-9691-FCF54AA83D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3" name="Elipse 4562">
          <a:extLst>
            <a:ext uri="{FF2B5EF4-FFF2-40B4-BE49-F238E27FC236}">
              <a16:creationId xmlns:a16="http://schemas.microsoft.com/office/drawing/2014/main" id="{E83605CF-B198-460E-8193-E163081CCF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4" name="Elipse 4563">
          <a:extLst>
            <a:ext uri="{FF2B5EF4-FFF2-40B4-BE49-F238E27FC236}">
              <a16:creationId xmlns:a16="http://schemas.microsoft.com/office/drawing/2014/main" id="{5B0989D8-EEA0-406B-A1BD-2F772B3AA1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5" name="Elipse 4564">
          <a:extLst>
            <a:ext uri="{FF2B5EF4-FFF2-40B4-BE49-F238E27FC236}">
              <a16:creationId xmlns:a16="http://schemas.microsoft.com/office/drawing/2014/main" id="{FEA9D1DB-085C-482C-9833-4660BFC1F4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6" name="Elipse 4565">
          <a:extLst>
            <a:ext uri="{FF2B5EF4-FFF2-40B4-BE49-F238E27FC236}">
              <a16:creationId xmlns:a16="http://schemas.microsoft.com/office/drawing/2014/main" id="{3625D98C-D6DC-47C0-9342-34960422D6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7" name="Elipse 4566">
          <a:extLst>
            <a:ext uri="{FF2B5EF4-FFF2-40B4-BE49-F238E27FC236}">
              <a16:creationId xmlns:a16="http://schemas.microsoft.com/office/drawing/2014/main" id="{9C3B3DAD-ADD6-49F7-B2AA-3603E05256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8" name="Elipse 4567">
          <a:extLst>
            <a:ext uri="{FF2B5EF4-FFF2-40B4-BE49-F238E27FC236}">
              <a16:creationId xmlns:a16="http://schemas.microsoft.com/office/drawing/2014/main" id="{9815AFC0-95EC-42B8-A195-BEB40BC8BB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9" name="Elipse 4568">
          <a:extLst>
            <a:ext uri="{FF2B5EF4-FFF2-40B4-BE49-F238E27FC236}">
              <a16:creationId xmlns:a16="http://schemas.microsoft.com/office/drawing/2014/main" id="{B27E29BF-6146-4B61-9845-91FA1812D5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0" name="Elipse 4569">
          <a:extLst>
            <a:ext uri="{FF2B5EF4-FFF2-40B4-BE49-F238E27FC236}">
              <a16:creationId xmlns:a16="http://schemas.microsoft.com/office/drawing/2014/main" id="{8C9B0631-1A28-4B22-A4A4-4038321418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1" name="Elipse 4570">
          <a:extLst>
            <a:ext uri="{FF2B5EF4-FFF2-40B4-BE49-F238E27FC236}">
              <a16:creationId xmlns:a16="http://schemas.microsoft.com/office/drawing/2014/main" id="{4065E4C8-72BD-47FD-9009-3108F329A7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2" name="Elipse 4571">
          <a:extLst>
            <a:ext uri="{FF2B5EF4-FFF2-40B4-BE49-F238E27FC236}">
              <a16:creationId xmlns:a16="http://schemas.microsoft.com/office/drawing/2014/main" id="{BD993B85-0674-4E7C-AB72-7B62CB6ECC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3" name="Elipse 4572">
          <a:extLst>
            <a:ext uri="{FF2B5EF4-FFF2-40B4-BE49-F238E27FC236}">
              <a16:creationId xmlns:a16="http://schemas.microsoft.com/office/drawing/2014/main" id="{8C081C1E-4C11-467F-AA3A-B3194E86F2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4" name="Elipse 4573">
          <a:extLst>
            <a:ext uri="{FF2B5EF4-FFF2-40B4-BE49-F238E27FC236}">
              <a16:creationId xmlns:a16="http://schemas.microsoft.com/office/drawing/2014/main" id="{31E22FB7-2A38-4098-9127-D4A50144F8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5" name="Elipse 4574">
          <a:extLst>
            <a:ext uri="{FF2B5EF4-FFF2-40B4-BE49-F238E27FC236}">
              <a16:creationId xmlns:a16="http://schemas.microsoft.com/office/drawing/2014/main" id="{F201E4F3-4091-4F11-AACC-D4A5C3F852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6" name="Elipse 4575">
          <a:extLst>
            <a:ext uri="{FF2B5EF4-FFF2-40B4-BE49-F238E27FC236}">
              <a16:creationId xmlns:a16="http://schemas.microsoft.com/office/drawing/2014/main" id="{0177E0CE-2FDF-4D5A-938B-BAB271567E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7" name="Elipse 4576">
          <a:extLst>
            <a:ext uri="{FF2B5EF4-FFF2-40B4-BE49-F238E27FC236}">
              <a16:creationId xmlns:a16="http://schemas.microsoft.com/office/drawing/2014/main" id="{7BF9EB0C-473E-4F94-9F83-C01FFD657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8" name="Elipse 4577">
          <a:extLst>
            <a:ext uri="{FF2B5EF4-FFF2-40B4-BE49-F238E27FC236}">
              <a16:creationId xmlns:a16="http://schemas.microsoft.com/office/drawing/2014/main" id="{714CB6A6-29EA-489C-AD6C-7BC0F68CAA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9" name="Elipse 4578">
          <a:extLst>
            <a:ext uri="{FF2B5EF4-FFF2-40B4-BE49-F238E27FC236}">
              <a16:creationId xmlns:a16="http://schemas.microsoft.com/office/drawing/2014/main" id="{F950A3B4-9423-4E38-BD61-D8C845AA64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0" name="Elipse 4579">
          <a:extLst>
            <a:ext uri="{FF2B5EF4-FFF2-40B4-BE49-F238E27FC236}">
              <a16:creationId xmlns:a16="http://schemas.microsoft.com/office/drawing/2014/main" id="{F97A99A6-3160-4213-AD94-86538387A2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1" name="Elipse 4580">
          <a:extLst>
            <a:ext uri="{FF2B5EF4-FFF2-40B4-BE49-F238E27FC236}">
              <a16:creationId xmlns:a16="http://schemas.microsoft.com/office/drawing/2014/main" id="{C22E48F9-3D9D-4E89-B986-FEFCBC77F7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2" name="Elipse 4581">
          <a:extLst>
            <a:ext uri="{FF2B5EF4-FFF2-40B4-BE49-F238E27FC236}">
              <a16:creationId xmlns:a16="http://schemas.microsoft.com/office/drawing/2014/main" id="{23837832-CCB1-41B9-BE38-738D8B8926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3" name="Elipse 4582">
          <a:extLst>
            <a:ext uri="{FF2B5EF4-FFF2-40B4-BE49-F238E27FC236}">
              <a16:creationId xmlns:a16="http://schemas.microsoft.com/office/drawing/2014/main" id="{801F7B1A-0CB5-4122-8896-D992B6A164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4" name="Elipse 4583">
          <a:extLst>
            <a:ext uri="{FF2B5EF4-FFF2-40B4-BE49-F238E27FC236}">
              <a16:creationId xmlns:a16="http://schemas.microsoft.com/office/drawing/2014/main" id="{62D3EA4B-BE6D-4AA1-9AA0-59FA2B1420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5" name="Elipse 4584">
          <a:extLst>
            <a:ext uri="{FF2B5EF4-FFF2-40B4-BE49-F238E27FC236}">
              <a16:creationId xmlns:a16="http://schemas.microsoft.com/office/drawing/2014/main" id="{2315E870-56CD-45EE-A854-CA2CA7FC81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6" name="Elipse 4585">
          <a:extLst>
            <a:ext uri="{FF2B5EF4-FFF2-40B4-BE49-F238E27FC236}">
              <a16:creationId xmlns:a16="http://schemas.microsoft.com/office/drawing/2014/main" id="{B259C0D6-4A41-45A7-9523-8860642FBE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7" name="Elipse 4586">
          <a:extLst>
            <a:ext uri="{FF2B5EF4-FFF2-40B4-BE49-F238E27FC236}">
              <a16:creationId xmlns:a16="http://schemas.microsoft.com/office/drawing/2014/main" id="{FBD3012C-80BD-47DF-A0B6-71B4E8C19B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8" name="Elipse 4587">
          <a:extLst>
            <a:ext uri="{FF2B5EF4-FFF2-40B4-BE49-F238E27FC236}">
              <a16:creationId xmlns:a16="http://schemas.microsoft.com/office/drawing/2014/main" id="{75A2C48E-41D0-4CCC-9481-B9B2690656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9" name="Elipse 4588">
          <a:extLst>
            <a:ext uri="{FF2B5EF4-FFF2-40B4-BE49-F238E27FC236}">
              <a16:creationId xmlns:a16="http://schemas.microsoft.com/office/drawing/2014/main" id="{7FD5D601-C97F-4614-B28F-831E18280E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0" name="Elipse 4589">
          <a:extLst>
            <a:ext uri="{FF2B5EF4-FFF2-40B4-BE49-F238E27FC236}">
              <a16:creationId xmlns:a16="http://schemas.microsoft.com/office/drawing/2014/main" id="{86810F99-12FB-48CC-AB1A-1D3FF9B5E2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1" name="Elipse 4590">
          <a:extLst>
            <a:ext uri="{FF2B5EF4-FFF2-40B4-BE49-F238E27FC236}">
              <a16:creationId xmlns:a16="http://schemas.microsoft.com/office/drawing/2014/main" id="{89D208A4-9E5A-486C-A486-B47AF523CC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2" name="Elipse 4591">
          <a:extLst>
            <a:ext uri="{FF2B5EF4-FFF2-40B4-BE49-F238E27FC236}">
              <a16:creationId xmlns:a16="http://schemas.microsoft.com/office/drawing/2014/main" id="{0C7FB1A9-3A08-411B-BA1C-9F33606AD7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3" name="Elipse 4592">
          <a:extLst>
            <a:ext uri="{FF2B5EF4-FFF2-40B4-BE49-F238E27FC236}">
              <a16:creationId xmlns:a16="http://schemas.microsoft.com/office/drawing/2014/main" id="{B71F165D-2272-4BAD-94A2-F0802EC73B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4" name="Elipse 4593">
          <a:extLst>
            <a:ext uri="{FF2B5EF4-FFF2-40B4-BE49-F238E27FC236}">
              <a16:creationId xmlns:a16="http://schemas.microsoft.com/office/drawing/2014/main" id="{B432CA99-E361-466A-8C23-5B2FDB017D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5" name="Elipse 4594">
          <a:extLst>
            <a:ext uri="{FF2B5EF4-FFF2-40B4-BE49-F238E27FC236}">
              <a16:creationId xmlns:a16="http://schemas.microsoft.com/office/drawing/2014/main" id="{27F01F32-91B2-4F5C-BAFF-070862AA91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6" name="Elipse 4595">
          <a:extLst>
            <a:ext uri="{FF2B5EF4-FFF2-40B4-BE49-F238E27FC236}">
              <a16:creationId xmlns:a16="http://schemas.microsoft.com/office/drawing/2014/main" id="{DE659BF5-1536-492D-8D44-CEC59E3587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7" name="Elipse 4596">
          <a:extLst>
            <a:ext uri="{FF2B5EF4-FFF2-40B4-BE49-F238E27FC236}">
              <a16:creationId xmlns:a16="http://schemas.microsoft.com/office/drawing/2014/main" id="{9FE46EE7-A7ED-463C-A178-CE770F2335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8" name="Elipse 4597">
          <a:extLst>
            <a:ext uri="{FF2B5EF4-FFF2-40B4-BE49-F238E27FC236}">
              <a16:creationId xmlns:a16="http://schemas.microsoft.com/office/drawing/2014/main" id="{FB673423-EF17-4993-A4E3-010CB87DC3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9" name="Elipse 4598">
          <a:extLst>
            <a:ext uri="{FF2B5EF4-FFF2-40B4-BE49-F238E27FC236}">
              <a16:creationId xmlns:a16="http://schemas.microsoft.com/office/drawing/2014/main" id="{78249D37-2B5E-4C40-AFF5-60A60BB8B5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0" name="Elipse 4599">
          <a:extLst>
            <a:ext uri="{FF2B5EF4-FFF2-40B4-BE49-F238E27FC236}">
              <a16:creationId xmlns:a16="http://schemas.microsoft.com/office/drawing/2014/main" id="{72F2E2D1-CD44-43D7-81EF-63651D42AF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1" name="Elipse 4600">
          <a:extLst>
            <a:ext uri="{FF2B5EF4-FFF2-40B4-BE49-F238E27FC236}">
              <a16:creationId xmlns:a16="http://schemas.microsoft.com/office/drawing/2014/main" id="{D7D000F3-85D2-4213-A58D-2CB0F49A48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2" name="Elipse 4601">
          <a:extLst>
            <a:ext uri="{FF2B5EF4-FFF2-40B4-BE49-F238E27FC236}">
              <a16:creationId xmlns:a16="http://schemas.microsoft.com/office/drawing/2014/main" id="{7C8194A8-668A-4689-8CF8-FCE1A8027C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3" name="Elipse 4602">
          <a:extLst>
            <a:ext uri="{FF2B5EF4-FFF2-40B4-BE49-F238E27FC236}">
              <a16:creationId xmlns:a16="http://schemas.microsoft.com/office/drawing/2014/main" id="{C0717115-51AC-4391-9313-C7E3D18121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4" name="Elipse 4603">
          <a:extLst>
            <a:ext uri="{FF2B5EF4-FFF2-40B4-BE49-F238E27FC236}">
              <a16:creationId xmlns:a16="http://schemas.microsoft.com/office/drawing/2014/main" id="{1961E989-C040-4169-9791-4BD6D5DF19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5" name="Elipse 4604">
          <a:extLst>
            <a:ext uri="{FF2B5EF4-FFF2-40B4-BE49-F238E27FC236}">
              <a16:creationId xmlns:a16="http://schemas.microsoft.com/office/drawing/2014/main" id="{6B4796A9-70FE-4EBA-BB29-08CB3CCA86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6" name="Elipse 4605">
          <a:extLst>
            <a:ext uri="{FF2B5EF4-FFF2-40B4-BE49-F238E27FC236}">
              <a16:creationId xmlns:a16="http://schemas.microsoft.com/office/drawing/2014/main" id="{EEEEFEEA-6FA3-4079-9062-6823B5E913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7" name="Elipse 4606">
          <a:extLst>
            <a:ext uri="{FF2B5EF4-FFF2-40B4-BE49-F238E27FC236}">
              <a16:creationId xmlns:a16="http://schemas.microsoft.com/office/drawing/2014/main" id="{E5D4DAD8-EBE1-469B-AF36-7DC7CDACD2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8" name="Elipse 4607">
          <a:extLst>
            <a:ext uri="{FF2B5EF4-FFF2-40B4-BE49-F238E27FC236}">
              <a16:creationId xmlns:a16="http://schemas.microsoft.com/office/drawing/2014/main" id="{5A0F5E46-1BD9-4E30-B151-B0615886A4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9" name="Elipse 4608">
          <a:extLst>
            <a:ext uri="{FF2B5EF4-FFF2-40B4-BE49-F238E27FC236}">
              <a16:creationId xmlns:a16="http://schemas.microsoft.com/office/drawing/2014/main" id="{872D39A4-C050-4FEE-8E07-5067C1C84B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0" name="Elipse 4609">
          <a:extLst>
            <a:ext uri="{FF2B5EF4-FFF2-40B4-BE49-F238E27FC236}">
              <a16:creationId xmlns:a16="http://schemas.microsoft.com/office/drawing/2014/main" id="{BBF68833-5326-460B-86A9-7966422954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1" name="Elipse 4610">
          <a:extLst>
            <a:ext uri="{FF2B5EF4-FFF2-40B4-BE49-F238E27FC236}">
              <a16:creationId xmlns:a16="http://schemas.microsoft.com/office/drawing/2014/main" id="{C5593D07-5B40-4FAE-8265-E2DCA77E3E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2" name="Elipse 4611">
          <a:extLst>
            <a:ext uri="{FF2B5EF4-FFF2-40B4-BE49-F238E27FC236}">
              <a16:creationId xmlns:a16="http://schemas.microsoft.com/office/drawing/2014/main" id="{7850763E-8569-432B-AAC8-2260B05501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3" name="Elipse 4612">
          <a:extLst>
            <a:ext uri="{FF2B5EF4-FFF2-40B4-BE49-F238E27FC236}">
              <a16:creationId xmlns:a16="http://schemas.microsoft.com/office/drawing/2014/main" id="{60BDEE76-60A7-42EB-AE05-386AFE0489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4" name="Elipse 4613">
          <a:extLst>
            <a:ext uri="{FF2B5EF4-FFF2-40B4-BE49-F238E27FC236}">
              <a16:creationId xmlns:a16="http://schemas.microsoft.com/office/drawing/2014/main" id="{AEBB042C-E2BA-476A-AE16-D2F5DADAF6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5" name="Elipse 4614">
          <a:extLst>
            <a:ext uri="{FF2B5EF4-FFF2-40B4-BE49-F238E27FC236}">
              <a16:creationId xmlns:a16="http://schemas.microsoft.com/office/drawing/2014/main" id="{C145DC10-562E-4471-97F9-44CB751270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6" name="Elipse 4615">
          <a:extLst>
            <a:ext uri="{FF2B5EF4-FFF2-40B4-BE49-F238E27FC236}">
              <a16:creationId xmlns:a16="http://schemas.microsoft.com/office/drawing/2014/main" id="{43205A96-6BB4-4DE1-B3DB-82799179CB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7" name="Elipse 4616">
          <a:extLst>
            <a:ext uri="{FF2B5EF4-FFF2-40B4-BE49-F238E27FC236}">
              <a16:creationId xmlns:a16="http://schemas.microsoft.com/office/drawing/2014/main" id="{381788E7-E30B-4054-A5E3-CEDC551424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8" name="Elipse 4617">
          <a:extLst>
            <a:ext uri="{FF2B5EF4-FFF2-40B4-BE49-F238E27FC236}">
              <a16:creationId xmlns:a16="http://schemas.microsoft.com/office/drawing/2014/main" id="{FAEAE2C7-D9B7-42F6-8825-A375CE9CDC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9" name="Elipse 4618">
          <a:extLst>
            <a:ext uri="{FF2B5EF4-FFF2-40B4-BE49-F238E27FC236}">
              <a16:creationId xmlns:a16="http://schemas.microsoft.com/office/drawing/2014/main" id="{1DF206EF-AB59-4CCC-88AE-485BDD6963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0" name="Elipse 4619">
          <a:extLst>
            <a:ext uri="{FF2B5EF4-FFF2-40B4-BE49-F238E27FC236}">
              <a16:creationId xmlns:a16="http://schemas.microsoft.com/office/drawing/2014/main" id="{2E4BFDFA-8623-44C3-A739-101F0105EC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1" name="Elipse 4620">
          <a:extLst>
            <a:ext uri="{FF2B5EF4-FFF2-40B4-BE49-F238E27FC236}">
              <a16:creationId xmlns:a16="http://schemas.microsoft.com/office/drawing/2014/main" id="{48BC23F4-807F-4C06-A41D-DA3ECDC24D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2" name="Elipse 4621">
          <a:extLst>
            <a:ext uri="{FF2B5EF4-FFF2-40B4-BE49-F238E27FC236}">
              <a16:creationId xmlns:a16="http://schemas.microsoft.com/office/drawing/2014/main" id="{C8328BB7-BE22-4B6D-9A2E-FFBAF98D99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3" name="Elipse 4622">
          <a:extLst>
            <a:ext uri="{FF2B5EF4-FFF2-40B4-BE49-F238E27FC236}">
              <a16:creationId xmlns:a16="http://schemas.microsoft.com/office/drawing/2014/main" id="{2ACF8EEE-B33C-4DAA-903D-1BEADE37E6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4" name="Elipse 4623">
          <a:extLst>
            <a:ext uri="{FF2B5EF4-FFF2-40B4-BE49-F238E27FC236}">
              <a16:creationId xmlns:a16="http://schemas.microsoft.com/office/drawing/2014/main" id="{2FC46A18-DD85-47F3-BF23-2FD14A67A5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5" name="Elipse 4624">
          <a:extLst>
            <a:ext uri="{FF2B5EF4-FFF2-40B4-BE49-F238E27FC236}">
              <a16:creationId xmlns:a16="http://schemas.microsoft.com/office/drawing/2014/main" id="{54D76557-9BFE-4DCD-ADBF-2401257EA9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6" name="Elipse 4625">
          <a:extLst>
            <a:ext uri="{FF2B5EF4-FFF2-40B4-BE49-F238E27FC236}">
              <a16:creationId xmlns:a16="http://schemas.microsoft.com/office/drawing/2014/main" id="{7D11534C-AD1C-4AC4-B365-7E5B62B403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7" name="Elipse 4626">
          <a:extLst>
            <a:ext uri="{FF2B5EF4-FFF2-40B4-BE49-F238E27FC236}">
              <a16:creationId xmlns:a16="http://schemas.microsoft.com/office/drawing/2014/main" id="{3024ECD4-0448-4E5D-9485-46BC36D9CB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8" name="Elipse 4627">
          <a:extLst>
            <a:ext uri="{FF2B5EF4-FFF2-40B4-BE49-F238E27FC236}">
              <a16:creationId xmlns:a16="http://schemas.microsoft.com/office/drawing/2014/main" id="{82DD8AB4-A0CE-4801-983C-57C00ACE36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9" name="Elipse 4628">
          <a:extLst>
            <a:ext uri="{FF2B5EF4-FFF2-40B4-BE49-F238E27FC236}">
              <a16:creationId xmlns:a16="http://schemas.microsoft.com/office/drawing/2014/main" id="{046CD941-B8A3-44B6-AFB8-115C64DCB8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0" name="Elipse 4629">
          <a:extLst>
            <a:ext uri="{FF2B5EF4-FFF2-40B4-BE49-F238E27FC236}">
              <a16:creationId xmlns:a16="http://schemas.microsoft.com/office/drawing/2014/main" id="{05D9CB41-8256-497E-A254-992107FBF8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1" name="Elipse 4630">
          <a:extLst>
            <a:ext uri="{FF2B5EF4-FFF2-40B4-BE49-F238E27FC236}">
              <a16:creationId xmlns:a16="http://schemas.microsoft.com/office/drawing/2014/main" id="{5DE36075-E0DD-4C45-AD0C-F9BCE92DDA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2" name="Elipse 4631">
          <a:extLst>
            <a:ext uri="{FF2B5EF4-FFF2-40B4-BE49-F238E27FC236}">
              <a16:creationId xmlns:a16="http://schemas.microsoft.com/office/drawing/2014/main" id="{995B6895-78B7-45BE-B0B6-254A465D23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3" name="Elipse 4632">
          <a:extLst>
            <a:ext uri="{FF2B5EF4-FFF2-40B4-BE49-F238E27FC236}">
              <a16:creationId xmlns:a16="http://schemas.microsoft.com/office/drawing/2014/main" id="{EF0E67B7-9DDA-4D77-9957-56CBE65F5C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4" name="Elipse 4633">
          <a:extLst>
            <a:ext uri="{FF2B5EF4-FFF2-40B4-BE49-F238E27FC236}">
              <a16:creationId xmlns:a16="http://schemas.microsoft.com/office/drawing/2014/main" id="{0FBE936F-8340-491F-849A-AC32A7BA0F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5" name="Elipse 4634">
          <a:extLst>
            <a:ext uri="{FF2B5EF4-FFF2-40B4-BE49-F238E27FC236}">
              <a16:creationId xmlns:a16="http://schemas.microsoft.com/office/drawing/2014/main" id="{5E12AE31-9785-4E57-8917-A19271C8A8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6" name="Elipse 4635">
          <a:extLst>
            <a:ext uri="{FF2B5EF4-FFF2-40B4-BE49-F238E27FC236}">
              <a16:creationId xmlns:a16="http://schemas.microsoft.com/office/drawing/2014/main" id="{7113787D-CC29-436F-B6EB-1A5FF1D4DB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7" name="Elipse 4636">
          <a:extLst>
            <a:ext uri="{FF2B5EF4-FFF2-40B4-BE49-F238E27FC236}">
              <a16:creationId xmlns:a16="http://schemas.microsoft.com/office/drawing/2014/main" id="{76D6670B-9C7B-4F3E-82C0-3C4E8F1D9D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8" name="Elipse 4637">
          <a:extLst>
            <a:ext uri="{FF2B5EF4-FFF2-40B4-BE49-F238E27FC236}">
              <a16:creationId xmlns:a16="http://schemas.microsoft.com/office/drawing/2014/main" id="{959634C1-2581-49B8-BF90-5F01A99DE2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9" name="Elipse 4638">
          <a:extLst>
            <a:ext uri="{FF2B5EF4-FFF2-40B4-BE49-F238E27FC236}">
              <a16:creationId xmlns:a16="http://schemas.microsoft.com/office/drawing/2014/main" id="{A29658E5-0B65-4089-8829-B63A3727A3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0" name="Elipse 4639">
          <a:extLst>
            <a:ext uri="{FF2B5EF4-FFF2-40B4-BE49-F238E27FC236}">
              <a16:creationId xmlns:a16="http://schemas.microsoft.com/office/drawing/2014/main" id="{F7BAFF47-2786-4ABC-9EF0-F3DEF1BB97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1" name="Elipse 4640">
          <a:extLst>
            <a:ext uri="{FF2B5EF4-FFF2-40B4-BE49-F238E27FC236}">
              <a16:creationId xmlns:a16="http://schemas.microsoft.com/office/drawing/2014/main" id="{15759432-D8C3-4451-A7EE-AB86ED56B2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2" name="Elipse 4641">
          <a:extLst>
            <a:ext uri="{FF2B5EF4-FFF2-40B4-BE49-F238E27FC236}">
              <a16:creationId xmlns:a16="http://schemas.microsoft.com/office/drawing/2014/main" id="{9C05EA2E-A6D4-4FF6-B69A-1E6D364F47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3" name="Elipse 4642">
          <a:extLst>
            <a:ext uri="{FF2B5EF4-FFF2-40B4-BE49-F238E27FC236}">
              <a16:creationId xmlns:a16="http://schemas.microsoft.com/office/drawing/2014/main" id="{85055050-FF40-49AA-8E55-1A5A167F89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4" name="Elipse 4643">
          <a:extLst>
            <a:ext uri="{FF2B5EF4-FFF2-40B4-BE49-F238E27FC236}">
              <a16:creationId xmlns:a16="http://schemas.microsoft.com/office/drawing/2014/main" id="{7FCEE9CD-E49E-48E3-A78B-C0133CC270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5" name="Elipse 4644">
          <a:extLst>
            <a:ext uri="{FF2B5EF4-FFF2-40B4-BE49-F238E27FC236}">
              <a16:creationId xmlns:a16="http://schemas.microsoft.com/office/drawing/2014/main" id="{16C8ADDA-62AF-458C-ACB7-37F2A30414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6" name="Elipse 4645">
          <a:extLst>
            <a:ext uri="{FF2B5EF4-FFF2-40B4-BE49-F238E27FC236}">
              <a16:creationId xmlns:a16="http://schemas.microsoft.com/office/drawing/2014/main" id="{41DAA597-2974-4498-B15C-1890B3802A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7" name="Elipse 4646">
          <a:extLst>
            <a:ext uri="{FF2B5EF4-FFF2-40B4-BE49-F238E27FC236}">
              <a16:creationId xmlns:a16="http://schemas.microsoft.com/office/drawing/2014/main" id="{D52E2CC2-68B6-4EAC-BC1F-BB40BFDFB7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8" name="Elipse 4647">
          <a:extLst>
            <a:ext uri="{FF2B5EF4-FFF2-40B4-BE49-F238E27FC236}">
              <a16:creationId xmlns:a16="http://schemas.microsoft.com/office/drawing/2014/main" id="{08BDDBFF-4E08-4E5C-A71E-4E763B2E2C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9" name="Elipse 4648">
          <a:extLst>
            <a:ext uri="{FF2B5EF4-FFF2-40B4-BE49-F238E27FC236}">
              <a16:creationId xmlns:a16="http://schemas.microsoft.com/office/drawing/2014/main" id="{EBBB8AB2-8DF7-4EBB-B2B5-A575489EFB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0" name="Elipse 4649">
          <a:extLst>
            <a:ext uri="{FF2B5EF4-FFF2-40B4-BE49-F238E27FC236}">
              <a16:creationId xmlns:a16="http://schemas.microsoft.com/office/drawing/2014/main" id="{CA8F76C7-2941-4F80-A466-8721CE6C78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1" name="Elipse 4650">
          <a:extLst>
            <a:ext uri="{FF2B5EF4-FFF2-40B4-BE49-F238E27FC236}">
              <a16:creationId xmlns:a16="http://schemas.microsoft.com/office/drawing/2014/main" id="{002794EB-4A7F-4B3F-B74C-F7496C62D3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2" name="Elipse 4651">
          <a:extLst>
            <a:ext uri="{FF2B5EF4-FFF2-40B4-BE49-F238E27FC236}">
              <a16:creationId xmlns:a16="http://schemas.microsoft.com/office/drawing/2014/main" id="{C109B246-F2D2-49D4-B1A9-ADE1D68DB9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3" name="Elipse 4652">
          <a:extLst>
            <a:ext uri="{FF2B5EF4-FFF2-40B4-BE49-F238E27FC236}">
              <a16:creationId xmlns:a16="http://schemas.microsoft.com/office/drawing/2014/main" id="{7A2C9C0F-FF05-4778-82A4-CAACC20983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4" name="Elipse 4653">
          <a:extLst>
            <a:ext uri="{FF2B5EF4-FFF2-40B4-BE49-F238E27FC236}">
              <a16:creationId xmlns:a16="http://schemas.microsoft.com/office/drawing/2014/main" id="{EDB4CF2B-2554-4A6E-B1AC-A7FE157367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5" name="Elipse 4654">
          <a:extLst>
            <a:ext uri="{FF2B5EF4-FFF2-40B4-BE49-F238E27FC236}">
              <a16:creationId xmlns:a16="http://schemas.microsoft.com/office/drawing/2014/main" id="{C612108B-9ECA-4514-A6B0-438DEC9AA1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6" name="Elipse 4655">
          <a:extLst>
            <a:ext uri="{FF2B5EF4-FFF2-40B4-BE49-F238E27FC236}">
              <a16:creationId xmlns:a16="http://schemas.microsoft.com/office/drawing/2014/main" id="{970F70D4-3D76-40E1-BABE-76E216741B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7" name="Elipse 4656">
          <a:extLst>
            <a:ext uri="{FF2B5EF4-FFF2-40B4-BE49-F238E27FC236}">
              <a16:creationId xmlns:a16="http://schemas.microsoft.com/office/drawing/2014/main" id="{FD70EBB9-CEEE-49CA-84E1-0B83DA55B3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8" name="Elipse 4657">
          <a:extLst>
            <a:ext uri="{FF2B5EF4-FFF2-40B4-BE49-F238E27FC236}">
              <a16:creationId xmlns:a16="http://schemas.microsoft.com/office/drawing/2014/main" id="{D6951026-C849-4D90-A2CF-1ED6CBC37C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9" name="Elipse 4658">
          <a:extLst>
            <a:ext uri="{FF2B5EF4-FFF2-40B4-BE49-F238E27FC236}">
              <a16:creationId xmlns:a16="http://schemas.microsoft.com/office/drawing/2014/main" id="{C7EFA860-DFEF-4C40-9392-0362C53423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0" name="Elipse 4659">
          <a:extLst>
            <a:ext uri="{FF2B5EF4-FFF2-40B4-BE49-F238E27FC236}">
              <a16:creationId xmlns:a16="http://schemas.microsoft.com/office/drawing/2014/main" id="{D3DFE3FD-03FC-4763-9AFA-E8EF205D2C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1" name="Elipse 4660">
          <a:extLst>
            <a:ext uri="{FF2B5EF4-FFF2-40B4-BE49-F238E27FC236}">
              <a16:creationId xmlns:a16="http://schemas.microsoft.com/office/drawing/2014/main" id="{A7DAFBE9-29A5-4D4E-BAAF-9963A2903D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2" name="Elipse 4661">
          <a:extLst>
            <a:ext uri="{FF2B5EF4-FFF2-40B4-BE49-F238E27FC236}">
              <a16:creationId xmlns:a16="http://schemas.microsoft.com/office/drawing/2014/main" id="{AF7F27DC-FF4C-4F9A-AC4F-1337BFE96E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3" name="Elipse 4662">
          <a:extLst>
            <a:ext uri="{FF2B5EF4-FFF2-40B4-BE49-F238E27FC236}">
              <a16:creationId xmlns:a16="http://schemas.microsoft.com/office/drawing/2014/main" id="{E2A5E139-F8C2-429F-9EA1-F95AF28C60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4" name="Elipse 4663">
          <a:extLst>
            <a:ext uri="{FF2B5EF4-FFF2-40B4-BE49-F238E27FC236}">
              <a16:creationId xmlns:a16="http://schemas.microsoft.com/office/drawing/2014/main" id="{DE3A8C93-2DB8-474E-A762-022ADA93AA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5" name="Elipse 4664">
          <a:extLst>
            <a:ext uri="{FF2B5EF4-FFF2-40B4-BE49-F238E27FC236}">
              <a16:creationId xmlns:a16="http://schemas.microsoft.com/office/drawing/2014/main" id="{2EE66F49-5664-4484-AA20-559B676742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6" name="Elipse 4665">
          <a:extLst>
            <a:ext uri="{FF2B5EF4-FFF2-40B4-BE49-F238E27FC236}">
              <a16:creationId xmlns:a16="http://schemas.microsoft.com/office/drawing/2014/main" id="{A1526AA6-9E2C-4DEF-90F7-33DB6115F2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7" name="Elipse 4666">
          <a:extLst>
            <a:ext uri="{FF2B5EF4-FFF2-40B4-BE49-F238E27FC236}">
              <a16:creationId xmlns:a16="http://schemas.microsoft.com/office/drawing/2014/main" id="{7783B1AC-FD04-4CCB-9820-BCAE5EEB5C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8" name="Elipse 4667">
          <a:extLst>
            <a:ext uri="{FF2B5EF4-FFF2-40B4-BE49-F238E27FC236}">
              <a16:creationId xmlns:a16="http://schemas.microsoft.com/office/drawing/2014/main" id="{8052A09A-C264-4CC3-8ABB-D5AEB5371E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9" name="Elipse 4668">
          <a:extLst>
            <a:ext uri="{FF2B5EF4-FFF2-40B4-BE49-F238E27FC236}">
              <a16:creationId xmlns:a16="http://schemas.microsoft.com/office/drawing/2014/main" id="{903E5DDA-E073-44B5-8E6E-C0642A9583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0" name="Elipse 4669">
          <a:extLst>
            <a:ext uri="{FF2B5EF4-FFF2-40B4-BE49-F238E27FC236}">
              <a16:creationId xmlns:a16="http://schemas.microsoft.com/office/drawing/2014/main" id="{22333EBF-4178-4C78-B95C-462C3AF3F9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1" name="Elipse 4670">
          <a:extLst>
            <a:ext uri="{FF2B5EF4-FFF2-40B4-BE49-F238E27FC236}">
              <a16:creationId xmlns:a16="http://schemas.microsoft.com/office/drawing/2014/main" id="{59B39EE6-C205-483B-8238-DCE208910D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2" name="Elipse 4671">
          <a:extLst>
            <a:ext uri="{FF2B5EF4-FFF2-40B4-BE49-F238E27FC236}">
              <a16:creationId xmlns:a16="http://schemas.microsoft.com/office/drawing/2014/main" id="{02B5B308-E1AD-4D3C-B729-F59719FDF2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3" name="Elipse 4672">
          <a:extLst>
            <a:ext uri="{FF2B5EF4-FFF2-40B4-BE49-F238E27FC236}">
              <a16:creationId xmlns:a16="http://schemas.microsoft.com/office/drawing/2014/main" id="{D933F752-322C-42FB-B5FC-A1F4969CFA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4" name="Elipse 4673">
          <a:extLst>
            <a:ext uri="{FF2B5EF4-FFF2-40B4-BE49-F238E27FC236}">
              <a16:creationId xmlns:a16="http://schemas.microsoft.com/office/drawing/2014/main" id="{C1698932-33B8-435E-82E0-385C71503F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5" name="Elipse 4674">
          <a:extLst>
            <a:ext uri="{FF2B5EF4-FFF2-40B4-BE49-F238E27FC236}">
              <a16:creationId xmlns:a16="http://schemas.microsoft.com/office/drawing/2014/main" id="{6FB25EE4-05F6-456C-BB19-93177A6ECA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6" name="Elipse 4675">
          <a:extLst>
            <a:ext uri="{FF2B5EF4-FFF2-40B4-BE49-F238E27FC236}">
              <a16:creationId xmlns:a16="http://schemas.microsoft.com/office/drawing/2014/main" id="{13B5F824-9121-4198-8791-66C4414B18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7" name="Elipse 4676">
          <a:extLst>
            <a:ext uri="{FF2B5EF4-FFF2-40B4-BE49-F238E27FC236}">
              <a16:creationId xmlns:a16="http://schemas.microsoft.com/office/drawing/2014/main" id="{114C94D5-4B3E-4B5C-8C3C-37490AAC70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8" name="Elipse 4677">
          <a:extLst>
            <a:ext uri="{FF2B5EF4-FFF2-40B4-BE49-F238E27FC236}">
              <a16:creationId xmlns:a16="http://schemas.microsoft.com/office/drawing/2014/main" id="{877E7120-FDC8-44FA-9175-63E0F4D709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9" name="Elipse 4678">
          <a:extLst>
            <a:ext uri="{FF2B5EF4-FFF2-40B4-BE49-F238E27FC236}">
              <a16:creationId xmlns:a16="http://schemas.microsoft.com/office/drawing/2014/main" id="{A7F1B1C6-8371-4C33-8E87-EAF05372E1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0" name="Elipse 4679">
          <a:extLst>
            <a:ext uri="{FF2B5EF4-FFF2-40B4-BE49-F238E27FC236}">
              <a16:creationId xmlns:a16="http://schemas.microsoft.com/office/drawing/2014/main" id="{74819295-C87C-4603-8901-0470758795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1" name="Elipse 4680">
          <a:extLst>
            <a:ext uri="{FF2B5EF4-FFF2-40B4-BE49-F238E27FC236}">
              <a16:creationId xmlns:a16="http://schemas.microsoft.com/office/drawing/2014/main" id="{FC8836D9-CDBE-411D-ABA0-A5F9B9D990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2" name="Elipse 4681">
          <a:extLst>
            <a:ext uri="{FF2B5EF4-FFF2-40B4-BE49-F238E27FC236}">
              <a16:creationId xmlns:a16="http://schemas.microsoft.com/office/drawing/2014/main" id="{C5ADC903-2E5C-4459-9CA4-71B8589917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3" name="Elipse 4682">
          <a:extLst>
            <a:ext uri="{FF2B5EF4-FFF2-40B4-BE49-F238E27FC236}">
              <a16:creationId xmlns:a16="http://schemas.microsoft.com/office/drawing/2014/main" id="{A992A2AD-5512-4828-B456-6491BF7307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4" name="Elipse 4683">
          <a:extLst>
            <a:ext uri="{FF2B5EF4-FFF2-40B4-BE49-F238E27FC236}">
              <a16:creationId xmlns:a16="http://schemas.microsoft.com/office/drawing/2014/main" id="{A234F1FD-2AFC-4FB1-BFF8-127255A11B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5" name="Elipse 4684">
          <a:extLst>
            <a:ext uri="{FF2B5EF4-FFF2-40B4-BE49-F238E27FC236}">
              <a16:creationId xmlns:a16="http://schemas.microsoft.com/office/drawing/2014/main" id="{F7F181D1-C259-4D1A-958F-44018B4744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6" name="Elipse 4685">
          <a:extLst>
            <a:ext uri="{FF2B5EF4-FFF2-40B4-BE49-F238E27FC236}">
              <a16:creationId xmlns:a16="http://schemas.microsoft.com/office/drawing/2014/main" id="{C0D33468-D123-498F-883E-DB71493830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7" name="Elipse 4686">
          <a:extLst>
            <a:ext uri="{FF2B5EF4-FFF2-40B4-BE49-F238E27FC236}">
              <a16:creationId xmlns:a16="http://schemas.microsoft.com/office/drawing/2014/main" id="{D33D130C-10F2-4DB9-A1A0-73A5EEBDE4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8" name="Elipse 4687">
          <a:extLst>
            <a:ext uri="{FF2B5EF4-FFF2-40B4-BE49-F238E27FC236}">
              <a16:creationId xmlns:a16="http://schemas.microsoft.com/office/drawing/2014/main" id="{178FAF53-5296-48BA-ABE5-C672895D72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9" name="Elipse 4688">
          <a:extLst>
            <a:ext uri="{FF2B5EF4-FFF2-40B4-BE49-F238E27FC236}">
              <a16:creationId xmlns:a16="http://schemas.microsoft.com/office/drawing/2014/main" id="{3B1BFECC-0FBE-429B-A9A8-A7417BD793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0" name="Elipse 4689">
          <a:extLst>
            <a:ext uri="{FF2B5EF4-FFF2-40B4-BE49-F238E27FC236}">
              <a16:creationId xmlns:a16="http://schemas.microsoft.com/office/drawing/2014/main" id="{8B24FDD6-B8D1-4CE5-A5FB-662F81C5B8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1" name="Elipse 4690">
          <a:extLst>
            <a:ext uri="{FF2B5EF4-FFF2-40B4-BE49-F238E27FC236}">
              <a16:creationId xmlns:a16="http://schemas.microsoft.com/office/drawing/2014/main" id="{1314796F-2BAA-4729-895C-981C01615D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2" name="Elipse 4691">
          <a:extLst>
            <a:ext uri="{FF2B5EF4-FFF2-40B4-BE49-F238E27FC236}">
              <a16:creationId xmlns:a16="http://schemas.microsoft.com/office/drawing/2014/main" id="{B0DBBE47-29E6-4A39-9881-DD04939AD9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3" name="Elipse 4692">
          <a:extLst>
            <a:ext uri="{FF2B5EF4-FFF2-40B4-BE49-F238E27FC236}">
              <a16:creationId xmlns:a16="http://schemas.microsoft.com/office/drawing/2014/main" id="{BDFC0089-0E81-4489-91B1-1A574BBDF2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4" name="Elipse 4693">
          <a:extLst>
            <a:ext uri="{FF2B5EF4-FFF2-40B4-BE49-F238E27FC236}">
              <a16:creationId xmlns:a16="http://schemas.microsoft.com/office/drawing/2014/main" id="{B3ACA9F3-9471-4415-960D-429163FB87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5" name="Elipse 4694">
          <a:extLst>
            <a:ext uri="{FF2B5EF4-FFF2-40B4-BE49-F238E27FC236}">
              <a16:creationId xmlns:a16="http://schemas.microsoft.com/office/drawing/2014/main" id="{C3208F92-051E-4EAB-B252-1233510470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6" name="Elipse 4695">
          <a:extLst>
            <a:ext uri="{FF2B5EF4-FFF2-40B4-BE49-F238E27FC236}">
              <a16:creationId xmlns:a16="http://schemas.microsoft.com/office/drawing/2014/main" id="{EE0F4FE1-C46D-45A6-84B8-FB7D029CE1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7" name="Elipse 4696">
          <a:extLst>
            <a:ext uri="{FF2B5EF4-FFF2-40B4-BE49-F238E27FC236}">
              <a16:creationId xmlns:a16="http://schemas.microsoft.com/office/drawing/2014/main" id="{649F5107-5B22-46AD-86DA-4472CDAA31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8" name="Elipse 4697">
          <a:extLst>
            <a:ext uri="{FF2B5EF4-FFF2-40B4-BE49-F238E27FC236}">
              <a16:creationId xmlns:a16="http://schemas.microsoft.com/office/drawing/2014/main" id="{8EA5EBE5-228B-4BC7-94BB-BBD848A1D9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9" name="Elipse 4698">
          <a:extLst>
            <a:ext uri="{FF2B5EF4-FFF2-40B4-BE49-F238E27FC236}">
              <a16:creationId xmlns:a16="http://schemas.microsoft.com/office/drawing/2014/main" id="{77970162-CC9A-4E2E-AE9F-61BC7F7B91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0" name="Elipse 4699">
          <a:extLst>
            <a:ext uri="{FF2B5EF4-FFF2-40B4-BE49-F238E27FC236}">
              <a16:creationId xmlns:a16="http://schemas.microsoft.com/office/drawing/2014/main" id="{15AD4646-643C-463B-960C-8167E36EC3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1" name="Elipse 4700">
          <a:extLst>
            <a:ext uri="{FF2B5EF4-FFF2-40B4-BE49-F238E27FC236}">
              <a16:creationId xmlns:a16="http://schemas.microsoft.com/office/drawing/2014/main" id="{1E7B5F8B-7F7A-4802-BAFC-FB83C53734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2" name="Elipse 4701">
          <a:extLst>
            <a:ext uri="{FF2B5EF4-FFF2-40B4-BE49-F238E27FC236}">
              <a16:creationId xmlns:a16="http://schemas.microsoft.com/office/drawing/2014/main" id="{655BBDA5-4151-4A11-8D5E-A767AF991C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3" name="Elipse 4702">
          <a:extLst>
            <a:ext uri="{FF2B5EF4-FFF2-40B4-BE49-F238E27FC236}">
              <a16:creationId xmlns:a16="http://schemas.microsoft.com/office/drawing/2014/main" id="{A78D42A4-26C5-439C-9DEE-BFD70C0FD1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4" name="Elipse 4703">
          <a:extLst>
            <a:ext uri="{FF2B5EF4-FFF2-40B4-BE49-F238E27FC236}">
              <a16:creationId xmlns:a16="http://schemas.microsoft.com/office/drawing/2014/main" id="{B4A6AE9D-B381-4012-9E96-BE234DB383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5" name="Elipse 4704">
          <a:extLst>
            <a:ext uri="{FF2B5EF4-FFF2-40B4-BE49-F238E27FC236}">
              <a16:creationId xmlns:a16="http://schemas.microsoft.com/office/drawing/2014/main" id="{83C72C57-E3FC-4574-856F-69705D969B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6" name="Elipse 4705">
          <a:extLst>
            <a:ext uri="{FF2B5EF4-FFF2-40B4-BE49-F238E27FC236}">
              <a16:creationId xmlns:a16="http://schemas.microsoft.com/office/drawing/2014/main" id="{FF0EDA42-B81E-40F1-A45C-CA66CBD914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7" name="Elipse 4706">
          <a:extLst>
            <a:ext uri="{FF2B5EF4-FFF2-40B4-BE49-F238E27FC236}">
              <a16:creationId xmlns:a16="http://schemas.microsoft.com/office/drawing/2014/main" id="{F3908092-553A-4A57-A541-CA82DAC443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8" name="Elipse 4707">
          <a:extLst>
            <a:ext uri="{FF2B5EF4-FFF2-40B4-BE49-F238E27FC236}">
              <a16:creationId xmlns:a16="http://schemas.microsoft.com/office/drawing/2014/main" id="{BD9CED04-2550-4DDF-BC3D-56862EE002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9" name="Elipse 4708">
          <a:extLst>
            <a:ext uri="{FF2B5EF4-FFF2-40B4-BE49-F238E27FC236}">
              <a16:creationId xmlns:a16="http://schemas.microsoft.com/office/drawing/2014/main" id="{C8DC7C43-CB41-47B2-A3B2-76780724C5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0" name="Elipse 4709">
          <a:extLst>
            <a:ext uri="{FF2B5EF4-FFF2-40B4-BE49-F238E27FC236}">
              <a16:creationId xmlns:a16="http://schemas.microsoft.com/office/drawing/2014/main" id="{D93360B3-EC2D-4D77-A4FE-0B24BD92A6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1" name="Elipse 4710">
          <a:extLst>
            <a:ext uri="{FF2B5EF4-FFF2-40B4-BE49-F238E27FC236}">
              <a16:creationId xmlns:a16="http://schemas.microsoft.com/office/drawing/2014/main" id="{3DF3A63B-4B1C-49DE-BBEB-877315411B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2" name="Elipse 4711">
          <a:extLst>
            <a:ext uri="{FF2B5EF4-FFF2-40B4-BE49-F238E27FC236}">
              <a16:creationId xmlns:a16="http://schemas.microsoft.com/office/drawing/2014/main" id="{F9928784-7045-49A9-91B8-6777657F11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3" name="Elipse 4712">
          <a:extLst>
            <a:ext uri="{FF2B5EF4-FFF2-40B4-BE49-F238E27FC236}">
              <a16:creationId xmlns:a16="http://schemas.microsoft.com/office/drawing/2014/main" id="{515FBE52-4E75-44D5-B9C6-C03B83BB5E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4" name="Elipse 4713">
          <a:extLst>
            <a:ext uri="{FF2B5EF4-FFF2-40B4-BE49-F238E27FC236}">
              <a16:creationId xmlns:a16="http://schemas.microsoft.com/office/drawing/2014/main" id="{FC321B04-8959-4C23-B4FD-2655F2FE96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5" name="Elipse 4714">
          <a:extLst>
            <a:ext uri="{FF2B5EF4-FFF2-40B4-BE49-F238E27FC236}">
              <a16:creationId xmlns:a16="http://schemas.microsoft.com/office/drawing/2014/main" id="{DCBAB44F-2055-449D-9BB0-9AEF7FD5EB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6" name="Elipse 4715">
          <a:extLst>
            <a:ext uri="{FF2B5EF4-FFF2-40B4-BE49-F238E27FC236}">
              <a16:creationId xmlns:a16="http://schemas.microsoft.com/office/drawing/2014/main" id="{351F69CC-436D-464A-9FCF-F432900CC5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7" name="Elipse 4716">
          <a:extLst>
            <a:ext uri="{FF2B5EF4-FFF2-40B4-BE49-F238E27FC236}">
              <a16:creationId xmlns:a16="http://schemas.microsoft.com/office/drawing/2014/main" id="{D115DEFD-9DA4-49BF-8452-F4CAABB28C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8" name="Elipse 4717">
          <a:extLst>
            <a:ext uri="{FF2B5EF4-FFF2-40B4-BE49-F238E27FC236}">
              <a16:creationId xmlns:a16="http://schemas.microsoft.com/office/drawing/2014/main" id="{98C3B049-11A6-4EA0-AA24-27DB461614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9" name="Elipse 4718">
          <a:extLst>
            <a:ext uri="{FF2B5EF4-FFF2-40B4-BE49-F238E27FC236}">
              <a16:creationId xmlns:a16="http://schemas.microsoft.com/office/drawing/2014/main" id="{6B5E4023-FA9A-49CB-B317-DD4FC85CB2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0" name="Elipse 4719">
          <a:extLst>
            <a:ext uri="{FF2B5EF4-FFF2-40B4-BE49-F238E27FC236}">
              <a16:creationId xmlns:a16="http://schemas.microsoft.com/office/drawing/2014/main" id="{37943FB1-3F5F-4920-B6F2-CA8AD983BD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1" name="Elipse 4720">
          <a:extLst>
            <a:ext uri="{FF2B5EF4-FFF2-40B4-BE49-F238E27FC236}">
              <a16:creationId xmlns:a16="http://schemas.microsoft.com/office/drawing/2014/main" id="{56689AD7-439D-4856-823B-B854F91A46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2" name="Elipse 4721">
          <a:extLst>
            <a:ext uri="{FF2B5EF4-FFF2-40B4-BE49-F238E27FC236}">
              <a16:creationId xmlns:a16="http://schemas.microsoft.com/office/drawing/2014/main" id="{3F7F3F68-2EA8-432E-8EBA-5DFF09869D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3" name="Elipse 4722">
          <a:extLst>
            <a:ext uri="{FF2B5EF4-FFF2-40B4-BE49-F238E27FC236}">
              <a16:creationId xmlns:a16="http://schemas.microsoft.com/office/drawing/2014/main" id="{E8291940-4C70-40C5-BF15-B4F2056EA2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4" name="Elipse 4723">
          <a:extLst>
            <a:ext uri="{FF2B5EF4-FFF2-40B4-BE49-F238E27FC236}">
              <a16:creationId xmlns:a16="http://schemas.microsoft.com/office/drawing/2014/main" id="{ED8AE1D4-05D0-47B4-A110-33A1FF5F21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5" name="Elipse 4724">
          <a:extLst>
            <a:ext uri="{FF2B5EF4-FFF2-40B4-BE49-F238E27FC236}">
              <a16:creationId xmlns:a16="http://schemas.microsoft.com/office/drawing/2014/main" id="{6A136A00-92E3-4966-BA52-567590B5A0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6" name="Elipse 4725">
          <a:extLst>
            <a:ext uri="{FF2B5EF4-FFF2-40B4-BE49-F238E27FC236}">
              <a16:creationId xmlns:a16="http://schemas.microsoft.com/office/drawing/2014/main" id="{29A6A585-2D46-46F4-AA11-816814C297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7" name="Elipse 4726">
          <a:extLst>
            <a:ext uri="{FF2B5EF4-FFF2-40B4-BE49-F238E27FC236}">
              <a16:creationId xmlns:a16="http://schemas.microsoft.com/office/drawing/2014/main" id="{E8610312-1C11-407E-B662-E006162EAD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8" name="Elipse 4727">
          <a:extLst>
            <a:ext uri="{FF2B5EF4-FFF2-40B4-BE49-F238E27FC236}">
              <a16:creationId xmlns:a16="http://schemas.microsoft.com/office/drawing/2014/main" id="{A7E47F20-2EA5-439F-B773-EA7270CC06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9" name="Elipse 4728">
          <a:extLst>
            <a:ext uri="{FF2B5EF4-FFF2-40B4-BE49-F238E27FC236}">
              <a16:creationId xmlns:a16="http://schemas.microsoft.com/office/drawing/2014/main" id="{D74A3F9E-52B2-4F0F-B074-217CC644AA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0" name="Elipse 4729">
          <a:extLst>
            <a:ext uri="{FF2B5EF4-FFF2-40B4-BE49-F238E27FC236}">
              <a16:creationId xmlns:a16="http://schemas.microsoft.com/office/drawing/2014/main" id="{986F2B7D-BEC5-4C2B-AE1C-AD4D370AF5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1" name="Elipse 4730">
          <a:extLst>
            <a:ext uri="{FF2B5EF4-FFF2-40B4-BE49-F238E27FC236}">
              <a16:creationId xmlns:a16="http://schemas.microsoft.com/office/drawing/2014/main" id="{06CD6193-0901-4FC1-95FE-24DEBE2900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2" name="Elipse 4731">
          <a:extLst>
            <a:ext uri="{FF2B5EF4-FFF2-40B4-BE49-F238E27FC236}">
              <a16:creationId xmlns:a16="http://schemas.microsoft.com/office/drawing/2014/main" id="{AA5952B3-B1F9-433C-A267-9ECD371542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3" name="Elipse 4732">
          <a:extLst>
            <a:ext uri="{FF2B5EF4-FFF2-40B4-BE49-F238E27FC236}">
              <a16:creationId xmlns:a16="http://schemas.microsoft.com/office/drawing/2014/main" id="{90778320-696D-4D3C-B657-C4FC6A8DF2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4" name="Elipse 4733">
          <a:extLst>
            <a:ext uri="{FF2B5EF4-FFF2-40B4-BE49-F238E27FC236}">
              <a16:creationId xmlns:a16="http://schemas.microsoft.com/office/drawing/2014/main" id="{B7A656EB-529B-4844-9C87-2B6F9F4EF9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5" name="Elipse 4734">
          <a:extLst>
            <a:ext uri="{FF2B5EF4-FFF2-40B4-BE49-F238E27FC236}">
              <a16:creationId xmlns:a16="http://schemas.microsoft.com/office/drawing/2014/main" id="{84237F1D-77C0-4487-B798-38F8883BC6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6" name="Elipse 4735">
          <a:extLst>
            <a:ext uri="{FF2B5EF4-FFF2-40B4-BE49-F238E27FC236}">
              <a16:creationId xmlns:a16="http://schemas.microsoft.com/office/drawing/2014/main" id="{B83FF718-75C8-4195-B8C9-B4A12CE4D7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7" name="Elipse 4736">
          <a:extLst>
            <a:ext uri="{FF2B5EF4-FFF2-40B4-BE49-F238E27FC236}">
              <a16:creationId xmlns:a16="http://schemas.microsoft.com/office/drawing/2014/main" id="{7025407E-AF1E-4524-9F86-C0F4344731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8" name="Elipse 4737">
          <a:extLst>
            <a:ext uri="{FF2B5EF4-FFF2-40B4-BE49-F238E27FC236}">
              <a16:creationId xmlns:a16="http://schemas.microsoft.com/office/drawing/2014/main" id="{F4D489E1-9C48-47F3-BA7A-4E87BADCEF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9" name="Elipse 4738">
          <a:extLst>
            <a:ext uri="{FF2B5EF4-FFF2-40B4-BE49-F238E27FC236}">
              <a16:creationId xmlns:a16="http://schemas.microsoft.com/office/drawing/2014/main" id="{C438D0AD-7F12-4C97-BDCA-8BA74D75A5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0" name="Elipse 4739">
          <a:extLst>
            <a:ext uri="{FF2B5EF4-FFF2-40B4-BE49-F238E27FC236}">
              <a16:creationId xmlns:a16="http://schemas.microsoft.com/office/drawing/2014/main" id="{94F0FFA6-BA9E-475B-93B0-557CA8E5CC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1" name="Elipse 4740">
          <a:extLst>
            <a:ext uri="{FF2B5EF4-FFF2-40B4-BE49-F238E27FC236}">
              <a16:creationId xmlns:a16="http://schemas.microsoft.com/office/drawing/2014/main" id="{2FC71338-353A-4DCF-A514-E37F0FCAB9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2" name="Elipse 4741">
          <a:extLst>
            <a:ext uri="{FF2B5EF4-FFF2-40B4-BE49-F238E27FC236}">
              <a16:creationId xmlns:a16="http://schemas.microsoft.com/office/drawing/2014/main" id="{421A50B3-B57C-42C4-B2AB-DC22F9EF08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3" name="Elipse 4742">
          <a:extLst>
            <a:ext uri="{FF2B5EF4-FFF2-40B4-BE49-F238E27FC236}">
              <a16:creationId xmlns:a16="http://schemas.microsoft.com/office/drawing/2014/main" id="{5A1EA332-9973-4A19-9B0C-7B290CBB11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4" name="Elipse 4743">
          <a:extLst>
            <a:ext uri="{FF2B5EF4-FFF2-40B4-BE49-F238E27FC236}">
              <a16:creationId xmlns:a16="http://schemas.microsoft.com/office/drawing/2014/main" id="{3707A843-DE70-4C72-9DC7-CEA3D6B8BC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5" name="Elipse 4744">
          <a:extLst>
            <a:ext uri="{FF2B5EF4-FFF2-40B4-BE49-F238E27FC236}">
              <a16:creationId xmlns:a16="http://schemas.microsoft.com/office/drawing/2014/main" id="{3E596D7C-C26F-4C22-B843-19EC30B509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6" name="Elipse 4745">
          <a:extLst>
            <a:ext uri="{FF2B5EF4-FFF2-40B4-BE49-F238E27FC236}">
              <a16:creationId xmlns:a16="http://schemas.microsoft.com/office/drawing/2014/main" id="{403D6C59-A41C-4A14-93C8-60713D78AE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7" name="Elipse 4746">
          <a:extLst>
            <a:ext uri="{FF2B5EF4-FFF2-40B4-BE49-F238E27FC236}">
              <a16:creationId xmlns:a16="http://schemas.microsoft.com/office/drawing/2014/main" id="{ABD8C724-8D20-4487-A5C5-F28187A829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8" name="Elipse 4747">
          <a:extLst>
            <a:ext uri="{FF2B5EF4-FFF2-40B4-BE49-F238E27FC236}">
              <a16:creationId xmlns:a16="http://schemas.microsoft.com/office/drawing/2014/main" id="{7F2A9AB1-539A-4569-AD00-F5B708B16C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9" name="Elipse 4748">
          <a:extLst>
            <a:ext uri="{FF2B5EF4-FFF2-40B4-BE49-F238E27FC236}">
              <a16:creationId xmlns:a16="http://schemas.microsoft.com/office/drawing/2014/main" id="{7CA566CA-55C5-42AA-9BE0-C45689EF87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0" name="Elipse 4749">
          <a:extLst>
            <a:ext uri="{FF2B5EF4-FFF2-40B4-BE49-F238E27FC236}">
              <a16:creationId xmlns:a16="http://schemas.microsoft.com/office/drawing/2014/main" id="{F3A5C6B4-CF12-4F19-864E-328186FAE3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1" name="Elipse 4750">
          <a:extLst>
            <a:ext uri="{FF2B5EF4-FFF2-40B4-BE49-F238E27FC236}">
              <a16:creationId xmlns:a16="http://schemas.microsoft.com/office/drawing/2014/main" id="{7DF43A3C-1D3F-4EC5-8DDA-AD204C115C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2" name="Elipse 4751">
          <a:extLst>
            <a:ext uri="{FF2B5EF4-FFF2-40B4-BE49-F238E27FC236}">
              <a16:creationId xmlns:a16="http://schemas.microsoft.com/office/drawing/2014/main" id="{CDB6942A-0C1D-47B9-862B-C58DA92BCF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3" name="Elipse 4752">
          <a:extLst>
            <a:ext uri="{FF2B5EF4-FFF2-40B4-BE49-F238E27FC236}">
              <a16:creationId xmlns:a16="http://schemas.microsoft.com/office/drawing/2014/main" id="{AB8E5774-D826-41E2-9C34-A31C09C8C1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4" name="Elipse 4753">
          <a:extLst>
            <a:ext uri="{FF2B5EF4-FFF2-40B4-BE49-F238E27FC236}">
              <a16:creationId xmlns:a16="http://schemas.microsoft.com/office/drawing/2014/main" id="{9F5AE39E-1295-4F31-AF33-B70545CCE9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5" name="Elipse 4754">
          <a:extLst>
            <a:ext uri="{FF2B5EF4-FFF2-40B4-BE49-F238E27FC236}">
              <a16:creationId xmlns:a16="http://schemas.microsoft.com/office/drawing/2014/main" id="{F557DC7A-4033-4FB8-BDC6-D20B37D46C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6" name="Elipse 4755">
          <a:extLst>
            <a:ext uri="{FF2B5EF4-FFF2-40B4-BE49-F238E27FC236}">
              <a16:creationId xmlns:a16="http://schemas.microsoft.com/office/drawing/2014/main" id="{7D171E48-7838-4B4A-81DA-BAF791553D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7" name="Elipse 4756">
          <a:extLst>
            <a:ext uri="{FF2B5EF4-FFF2-40B4-BE49-F238E27FC236}">
              <a16:creationId xmlns:a16="http://schemas.microsoft.com/office/drawing/2014/main" id="{E2AF32CF-0F22-4676-905A-3ACD8B98D7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8" name="Elipse 4757">
          <a:extLst>
            <a:ext uri="{FF2B5EF4-FFF2-40B4-BE49-F238E27FC236}">
              <a16:creationId xmlns:a16="http://schemas.microsoft.com/office/drawing/2014/main" id="{7DB77172-F758-4139-9A29-0975A722B5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9" name="Elipse 4758">
          <a:extLst>
            <a:ext uri="{FF2B5EF4-FFF2-40B4-BE49-F238E27FC236}">
              <a16:creationId xmlns:a16="http://schemas.microsoft.com/office/drawing/2014/main" id="{E3594342-BE94-4679-BB26-0D13CF7F59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0" name="Elipse 4759">
          <a:extLst>
            <a:ext uri="{FF2B5EF4-FFF2-40B4-BE49-F238E27FC236}">
              <a16:creationId xmlns:a16="http://schemas.microsoft.com/office/drawing/2014/main" id="{D725315B-59D8-4A98-A596-5937DAC7A4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1" name="Elipse 4760">
          <a:extLst>
            <a:ext uri="{FF2B5EF4-FFF2-40B4-BE49-F238E27FC236}">
              <a16:creationId xmlns:a16="http://schemas.microsoft.com/office/drawing/2014/main" id="{086AB202-0BFA-45D3-A26A-D14939D258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2" name="Elipse 4761">
          <a:extLst>
            <a:ext uri="{FF2B5EF4-FFF2-40B4-BE49-F238E27FC236}">
              <a16:creationId xmlns:a16="http://schemas.microsoft.com/office/drawing/2014/main" id="{9AA556E2-1F61-4CE7-8D9B-53F7399FB5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3" name="Elipse 4762">
          <a:extLst>
            <a:ext uri="{FF2B5EF4-FFF2-40B4-BE49-F238E27FC236}">
              <a16:creationId xmlns:a16="http://schemas.microsoft.com/office/drawing/2014/main" id="{896C3916-AA0C-4BCD-A2BC-1BFB5FDDDF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4" name="Elipse 4763">
          <a:extLst>
            <a:ext uri="{FF2B5EF4-FFF2-40B4-BE49-F238E27FC236}">
              <a16:creationId xmlns:a16="http://schemas.microsoft.com/office/drawing/2014/main" id="{3C9E473B-0899-4BF6-A937-A397D4C1FB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5" name="Elipse 4764">
          <a:extLst>
            <a:ext uri="{FF2B5EF4-FFF2-40B4-BE49-F238E27FC236}">
              <a16:creationId xmlns:a16="http://schemas.microsoft.com/office/drawing/2014/main" id="{4658D233-FDE7-41BC-85E0-75A7A78D85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6" name="Elipse 4765">
          <a:extLst>
            <a:ext uri="{FF2B5EF4-FFF2-40B4-BE49-F238E27FC236}">
              <a16:creationId xmlns:a16="http://schemas.microsoft.com/office/drawing/2014/main" id="{3369869B-E4E4-4482-A106-57E763A3B5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7" name="Elipse 4766">
          <a:extLst>
            <a:ext uri="{FF2B5EF4-FFF2-40B4-BE49-F238E27FC236}">
              <a16:creationId xmlns:a16="http://schemas.microsoft.com/office/drawing/2014/main" id="{014AADA4-41EC-4C76-873E-AB70DD01E0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8" name="Elipse 4767">
          <a:extLst>
            <a:ext uri="{FF2B5EF4-FFF2-40B4-BE49-F238E27FC236}">
              <a16:creationId xmlns:a16="http://schemas.microsoft.com/office/drawing/2014/main" id="{72430A60-4C70-421C-A1AD-53E79FF563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9" name="Elipse 4768">
          <a:extLst>
            <a:ext uri="{FF2B5EF4-FFF2-40B4-BE49-F238E27FC236}">
              <a16:creationId xmlns:a16="http://schemas.microsoft.com/office/drawing/2014/main" id="{D8EC92AB-F75D-4835-965D-B5DDE520B7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0" name="Elipse 4769">
          <a:extLst>
            <a:ext uri="{FF2B5EF4-FFF2-40B4-BE49-F238E27FC236}">
              <a16:creationId xmlns:a16="http://schemas.microsoft.com/office/drawing/2014/main" id="{B9FED779-8D7B-4A30-9774-878D793BF2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1" name="Elipse 4770">
          <a:extLst>
            <a:ext uri="{FF2B5EF4-FFF2-40B4-BE49-F238E27FC236}">
              <a16:creationId xmlns:a16="http://schemas.microsoft.com/office/drawing/2014/main" id="{9FC351CE-4534-4D3E-BAF6-0E0FB3A8AE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2" name="Elipse 4771">
          <a:extLst>
            <a:ext uri="{FF2B5EF4-FFF2-40B4-BE49-F238E27FC236}">
              <a16:creationId xmlns:a16="http://schemas.microsoft.com/office/drawing/2014/main" id="{34F916CC-DE8E-493C-BFCD-64B3F3CEAA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3" name="Elipse 4772">
          <a:extLst>
            <a:ext uri="{FF2B5EF4-FFF2-40B4-BE49-F238E27FC236}">
              <a16:creationId xmlns:a16="http://schemas.microsoft.com/office/drawing/2014/main" id="{00CCF5A8-F7D9-4F67-B9F3-009EE93099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4" name="Elipse 4773">
          <a:extLst>
            <a:ext uri="{FF2B5EF4-FFF2-40B4-BE49-F238E27FC236}">
              <a16:creationId xmlns:a16="http://schemas.microsoft.com/office/drawing/2014/main" id="{DF48A3A9-2FD7-4808-A617-A1A17FC96F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5" name="Elipse 4774">
          <a:extLst>
            <a:ext uri="{FF2B5EF4-FFF2-40B4-BE49-F238E27FC236}">
              <a16:creationId xmlns:a16="http://schemas.microsoft.com/office/drawing/2014/main" id="{AD4DE672-8F54-45F3-8518-4B8519B04E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6" name="Elipse 4775">
          <a:extLst>
            <a:ext uri="{FF2B5EF4-FFF2-40B4-BE49-F238E27FC236}">
              <a16:creationId xmlns:a16="http://schemas.microsoft.com/office/drawing/2014/main" id="{A2F5D7A5-0550-476A-ABA5-BD3C1327D8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7" name="Elipse 4776">
          <a:extLst>
            <a:ext uri="{FF2B5EF4-FFF2-40B4-BE49-F238E27FC236}">
              <a16:creationId xmlns:a16="http://schemas.microsoft.com/office/drawing/2014/main" id="{3E5FCA7F-3F22-4D56-94EB-E78546DBA6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8" name="Elipse 4777">
          <a:extLst>
            <a:ext uri="{FF2B5EF4-FFF2-40B4-BE49-F238E27FC236}">
              <a16:creationId xmlns:a16="http://schemas.microsoft.com/office/drawing/2014/main" id="{1EBA82DA-7515-433F-987D-A0B2343AAA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9" name="Elipse 4778">
          <a:extLst>
            <a:ext uri="{FF2B5EF4-FFF2-40B4-BE49-F238E27FC236}">
              <a16:creationId xmlns:a16="http://schemas.microsoft.com/office/drawing/2014/main" id="{4C6AB884-4007-4C2D-A8EA-0B51C546B9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0" name="Elipse 4779">
          <a:extLst>
            <a:ext uri="{FF2B5EF4-FFF2-40B4-BE49-F238E27FC236}">
              <a16:creationId xmlns:a16="http://schemas.microsoft.com/office/drawing/2014/main" id="{450F0E1D-CACE-497A-BEFB-82D24CF0E9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1" name="Elipse 4780">
          <a:extLst>
            <a:ext uri="{FF2B5EF4-FFF2-40B4-BE49-F238E27FC236}">
              <a16:creationId xmlns:a16="http://schemas.microsoft.com/office/drawing/2014/main" id="{06CFB6EA-40AA-4E09-8F73-E97FDA4A90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2" name="Elipse 4781">
          <a:extLst>
            <a:ext uri="{FF2B5EF4-FFF2-40B4-BE49-F238E27FC236}">
              <a16:creationId xmlns:a16="http://schemas.microsoft.com/office/drawing/2014/main" id="{DCDE7FF6-72A7-4F4F-B7FF-2C0D82EE86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3" name="Elipse 4782">
          <a:extLst>
            <a:ext uri="{FF2B5EF4-FFF2-40B4-BE49-F238E27FC236}">
              <a16:creationId xmlns:a16="http://schemas.microsoft.com/office/drawing/2014/main" id="{03C642D1-C062-4B4F-953B-7A2ED11282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4" name="Elipse 4783">
          <a:extLst>
            <a:ext uri="{FF2B5EF4-FFF2-40B4-BE49-F238E27FC236}">
              <a16:creationId xmlns:a16="http://schemas.microsoft.com/office/drawing/2014/main" id="{D39636C7-D934-4751-91A9-4A1F501EE3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5" name="Elipse 4784">
          <a:extLst>
            <a:ext uri="{FF2B5EF4-FFF2-40B4-BE49-F238E27FC236}">
              <a16:creationId xmlns:a16="http://schemas.microsoft.com/office/drawing/2014/main" id="{D5DFD84B-1915-4C71-8513-BFE5144510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6" name="Elipse 4785">
          <a:extLst>
            <a:ext uri="{FF2B5EF4-FFF2-40B4-BE49-F238E27FC236}">
              <a16:creationId xmlns:a16="http://schemas.microsoft.com/office/drawing/2014/main" id="{F1A467FB-EE11-416D-959F-ECC9AA4D73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7" name="Elipse 4786">
          <a:extLst>
            <a:ext uri="{FF2B5EF4-FFF2-40B4-BE49-F238E27FC236}">
              <a16:creationId xmlns:a16="http://schemas.microsoft.com/office/drawing/2014/main" id="{5E8561C9-F702-42B8-8E81-FE504A9342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8" name="Elipse 4787">
          <a:extLst>
            <a:ext uri="{FF2B5EF4-FFF2-40B4-BE49-F238E27FC236}">
              <a16:creationId xmlns:a16="http://schemas.microsoft.com/office/drawing/2014/main" id="{1AA6664F-18F5-4C1E-BDA5-DE0CFF24F0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9" name="Elipse 4788">
          <a:extLst>
            <a:ext uri="{FF2B5EF4-FFF2-40B4-BE49-F238E27FC236}">
              <a16:creationId xmlns:a16="http://schemas.microsoft.com/office/drawing/2014/main" id="{EEA07814-F8E2-4D3B-AC7B-8CC9C4CF4B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0" name="Elipse 4789">
          <a:extLst>
            <a:ext uri="{FF2B5EF4-FFF2-40B4-BE49-F238E27FC236}">
              <a16:creationId xmlns:a16="http://schemas.microsoft.com/office/drawing/2014/main" id="{E631013A-F29A-4073-A79B-964EA20159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1" name="Elipse 4790">
          <a:extLst>
            <a:ext uri="{FF2B5EF4-FFF2-40B4-BE49-F238E27FC236}">
              <a16:creationId xmlns:a16="http://schemas.microsoft.com/office/drawing/2014/main" id="{AFF67CD8-4420-4D1B-A2ED-D0031D5BFF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2" name="Elipse 4791">
          <a:extLst>
            <a:ext uri="{FF2B5EF4-FFF2-40B4-BE49-F238E27FC236}">
              <a16:creationId xmlns:a16="http://schemas.microsoft.com/office/drawing/2014/main" id="{FBE2E89F-3805-4F2F-A5A7-BF708513F1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3" name="Elipse 4792">
          <a:extLst>
            <a:ext uri="{FF2B5EF4-FFF2-40B4-BE49-F238E27FC236}">
              <a16:creationId xmlns:a16="http://schemas.microsoft.com/office/drawing/2014/main" id="{FAB09E65-2BC8-4698-8547-686C37CC53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4" name="Elipse 4793">
          <a:extLst>
            <a:ext uri="{FF2B5EF4-FFF2-40B4-BE49-F238E27FC236}">
              <a16:creationId xmlns:a16="http://schemas.microsoft.com/office/drawing/2014/main" id="{B57D960C-468A-4F96-9AAB-49A1855CBB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5" name="Elipse 4794">
          <a:extLst>
            <a:ext uri="{FF2B5EF4-FFF2-40B4-BE49-F238E27FC236}">
              <a16:creationId xmlns:a16="http://schemas.microsoft.com/office/drawing/2014/main" id="{5044B78F-DCD5-4639-A24A-31179B2F0A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6" name="Elipse 4795">
          <a:extLst>
            <a:ext uri="{FF2B5EF4-FFF2-40B4-BE49-F238E27FC236}">
              <a16:creationId xmlns:a16="http://schemas.microsoft.com/office/drawing/2014/main" id="{3575ACB1-2F1F-46CB-9811-64323EA87C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7" name="Elipse 4796">
          <a:extLst>
            <a:ext uri="{FF2B5EF4-FFF2-40B4-BE49-F238E27FC236}">
              <a16:creationId xmlns:a16="http://schemas.microsoft.com/office/drawing/2014/main" id="{EC92612C-B09D-4760-AADB-8E25D8A7B5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8" name="Elipse 4797">
          <a:extLst>
            <a:ext uri="{FF2B5EF4-FFF2-40B4-BE49-F238E27FC236}">
              <a16:creationId xmlns:a16="http://schemas.microsoft.com/office/drawing/2014/main" id="{A6C664FF-3E05-4786-A0D0-E3E41D6E4A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9" name="Elipse 4798">
          <a:extLst>
            <a:ext uri="{FF2B5EF4-FFF2-40B4-BE49-F238E27FC236}">
              <a16:creationId xmlns:a16="http://schemas.microsoft.com/office/drawing/2014/main" id="{80E0C1A3-8945-42EA-B0AB-800783B05C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0" name="Elipse 4799">
          <a:extLst>
            <a:ext uri="{FF2B5EF4-FFF2-40B4-BE49-F238E27FC236}">
              <a16:creationId xmlns:a16="http://schemas.microsoft.com/office/drawing/2014/main" id="{B4AAD9EA-9DD9-4C49-90A3-8AC6C01E12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1" name="Elipse 4800">
          <a:extLst>
            <a:ext uri="{FF2B5EF4-FFF2-40B4-BE49-F238E27FC236}">
              <a16:creationId xmlns:a16="http://schemas.microsoft.com/office/drawing/2014/main" id="{AFF6E29B-67FF-430E-87BC-7535EF9D27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2" name="Elipse 4801">
          <a:extLst>
            <a:ext uri="{FF2B5EF4-FFF2-40B4-BE49-F238E27FC236}">
              <a16:creationId xmlns:a16="http://schemas.microsoft.com/office/drawing/2014/main" id="{5A421EF4-4806-4CF8-8149-AF7F873C93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3" name="Elipse 4802">
          <a:extLst>
            <a:ext uri="{FF2B5EF4-FFF2-40B4-BE49-F238E27FC236}">
              <a16:creationId xmlns:a16="http://schemas.microsoft.com/office/drawing/2014/main" id="{0038E3E1-CE43-4872-B0A0-D3428136D2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4" name="Elipse 4803">
          <a:extLst>
            <a:ext uri="{FF2B5EF4-FFF2-40B4-BE49-F238E27FC236}">
              <a16:creationId xmlns:a16="http://schemas.microsoft.com/office/drawing/2014/main" id="{79409B94-C3CB-43FB-9789-B9616B2E9B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5" name="Elipse 4804">
          <a:extLst>
            <a:ext uri="{FF2B5EF4-FFF2-40B4-BE49-F238E27FC236}">
              <a16:creationId xmlns:a16="http://schemas.microsoft.com/office/drawing/2014/main" id="{BB7961D3-B4CF-426D-B1F5-F454256181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6" name="Elipse 4805">
          <a:extLst>
            <a:ext uri="{FF2B5EF4-FFF2-40B4-BE49-F238E27FC236}">
              <a16:creationId xmlns:a16="http://schemas.microsoft.com/office/drawing/2014/main" id="{E3E0C413-DC1F-4AB1-897E-4CEF7A8ED2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7" name="Elipse 4806">
          <a:extLst>
            <a:ext uri="{FF2B5EF4-FFF2-40B4-BE49-F238E27FC236}">
              <a16:creationId xmlns:a16="http://schemas.microsoft.com/office/drawing/2014/main" id="{DFC8406F-A059-4B1A-936E-5D6A283025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8" name="Elipse 4807">
          <a:extLst>
            <a:ext uri="{FF2B5EF4-FFF2-40B4-BE49-F238E27FC236}">
              <a16:creationId xmlns:a16="http://schemas.microsoft.com/office/drawing/2014/main" id="{84683037-18C2-40C3-BFBE-63EC1E4365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9" name="Elipse 4808">
          <a:extLst>
            <a:ext uri="{FF2B5EF4-FFF2-40B4-BE49-F238E27FC236}">
              <a16:creationId xmlns:a16="http://schemas.microsoft.com/office/drawing/2014/main" id="{CF12768E-1042-44A8-9F0C-A22C70C37A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0" name="Elipse 4809">
          <a:extLst>
            <a:ext uri="{FF2B5EF4-FFF2-40B4-BE49-F238E27FC236}">
              <a16:creationId xmlns:a16="http://schemas.microsoft.com/office/drawing/2014/main" id="{BD2EEEF1-C4D0-4A03-BE00-BABB133EBF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1" name="Elipse 4810">
          <a:extLst>
            <a:ext uri="{FF2B5EF4-FFF2-40B4-BE49-F238E27FC236}">
              <a16:creationId xmlns:a16="http://schemas.microsoft.com/office/drawing/2014/main" id="{2CBE411F-49CE-4772-A2A9-E032DE2C1A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2" name="Elipse 4811">
          <a:extLst>
            <a:ext uri="{FF2B5EF4-FFF2-40B4-BE49-F238E27FC236}">
              <a16:creationId xmlns:a16="http://schemas.microsoft.com/office/drawing/2014/main" id="{D1B44FB7-559D-4691-BAD3-0CCF315B20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3" name="Elipse 4812">
          <a:extLst>
            <a:ext uri="{FF2B5EF4-FFF2-40B4-BE49-F238E27FC236}">
              <a16:creationId xmlns:a16="http://schemas.microsoft.com/office/drawing/2014/main" id="{C833F63D-51CB-4F5F-9F25-4C61CC44BF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4" name="Elipse 4813">
          <a:extLst>
            <a:ext uri="{FF2B5EF4-FFF2-40B4-BE49-F238E27FC236}">
              <a16:creationId xmlns:a16="http://schemas.microsoft.com/office/drawing/2014/main" id="{1F1220B6-9663-420C-8DC8-2B1E5C94A0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5" name="Elipse 4814">
          <a:extLst>
            <a:ext uri="{FF2B5EF4-FFF2-40B4-BE49-F238E27FC236}">
              <a16:creationId xmlns:a16="http://schemas.microsoft.com/office/drawing/2014/main" id="{4A472814-E491-495C-BEE4-EB23EE31F1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6" name="Elipse 4815">
          <a:extLst>
            <a:ext uri="{FF2B5EF4-FFF2-40B4-BE49-F238E27FC236}">
              <a16:creationId xmlns:a16="http://schemas.microsoft.com/office/drawing/2014/main" id="{28C02FAB-D099-4E11-B1CB-B0D70E525A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7" name="Elipse 4816">
          <a:extLst>
            <a:ext uri="{FF2B5EF4-FFF2-40B4-BE49-F238E27FC236}">
              <a16:creationId xmlns:a16="http://schemas.microsoft.com/office/drawing/2014/main" id="{0919C9A3-0454-4680-A73C-707EF42BAF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8" name="Elipse 4817">
          <a:extLst>
            <a:ext uri="{FF2B5EF4-FFF2-40B4-BE49-F238E27FC236}">
              <a16:creationId xmlns:a16="http://schemas.microsoft.com/office/drawing/2014/main" id="{06467A3A-A23A-43ED-A1EB-B34B111565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9" name="Elipse 4818">
          <a:extLst>
            <a:ext uri="{FF2B5EF4-FFF2-40B4-BE49-F238E27FC236}">
              <a16:creationId xmlns:a16="http://schemas.microsoft.com/office/drawing/2014/main" id="{673F3CE0-3D39-4F0B-A406-FCC4DD59A7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0" name="Elipse 4819">
          <a:extLst>
            <a:ext uri="{FF2B5EF4-FFF2-40B4-BE49-F238E27FC236}">
              <a16:creationId xmlns:a16="http://schemas.microsoft.com/office/drawing/2014/main" id="{C49EBEC6-9ADF-4FA3-B377-F5A2D6E665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1" name="Elipse 4820">
          <a:extLst>
            <a:ext uri="{FF2B5EF4-FFF2-40B4-BE49-F238E27FC236}">
              <a16:creationId xmlns:a16="http://schemas.microsoft.com/office/drawing/2014/main" id="{93C0CA4D-D620-49B0-84D4-8D5E29A415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2" name="Elipse 4821">
          <a:extLst>
            <a:ext uri="{FF2B5EF4-FFF2-40B4-BE49-F238E27FC236}">
              <a16:creationId xmlns:a16="http://schemas.microsoft.com/office/drawing/2014/main" id="{8C7CB332-33AC-4A29-BABB-E546A2867A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3" name="Elipse 4822">
          <a:extLst>
            <a:ext uri="{FF2B5EF4-FFF2-40B4-BE49-F238E27FC236}">
              <a16:creationId xmlns:a16="http://schemas.microsoft.com/office/drawing/2014/main" id="{58DF592A-F368-492E-983C-9E4BAD4B4A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4" name="Elipse 4823">
          <a:extLst>
            <a:ext uri="{FF2B5EF4-FFF2-40B4-BE49-F238E27FC236}">
              <a16:creationId xmlns:a16="http://schemas.microsoft.com/office/drawing/2014/main" id="{3CE8B840-4E3F-4377-BC90-4019FA4AB1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5" name="Elipse 4824">
          <a:extLst>
            <a:ext uri="{FF2B5EF4-FFF2-40B4-BE49-F238E27FC236}">
              <a16:creationId xmlns:a16="http://schemas.microsoft.com/office/drawing/2014/main" id="{D25728A0-3563-41ED-B8F1-F4D926C2DA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6" name="Elipse 4825">
          <a:extLst>
            <a:ext uri="{FF2B5EF4-FFF2-40B4-BE49-F238E27FC236}">
              <a16:creationId xmlns:a16="http://schemas.microsoft.com/office/drawing/2014/main" id="{090763AE-DDE3-484F-BF62-5214FA362A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7" name="Elipse 4826">
          <a:extLst>
            <a:ext uri="{FF2B5EF4-FFF2-40B4-BE49-F238E27FC236}">
              <a16:creationId xmlns:a16="http://schemas.microsoft.com/office/drawing/2014/main" id="{089EC103-2AFF-48D1-953E-ECA3E9F0AF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8" name="Elipse 4827">
          <a:extLst>
            <a:ext uri="{FF2B5EF4-FFF2-40B4-BE49-F238E27FC236}">
              <a16:creationId xmlns:a16="http://schemas.microsoft.com/office/drawing/2014/main" id="{6B3BACCB-008D-4877-BB98-FAD461ED53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9" name="Elipse 4828">
          <a:extLst>
            <a:ext uri="{FF2B5EF4-FFF2-40B4-BE49-F238E27FC236}">
              <a16:creationId xmlns:a16="http://schemas.microsoft.com/office/drawing/2014/main" id="{E66C07CD-CE19-49D5-A401-BB7F5C9C2B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0" name="Elipse 4829">
          <a:extLst>
            <a:ext uri="{FF2B5EF4-FFF2-40B4-BE49-F238E27FC236}">
              <a16:creationId xmlns:a16="http://schemas.microsoft.com/office/drawing/2014/main" id="{1010F381-80C8-41A7-A0B4-12ED8A9CBB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1" name="Elipse 4830">
          <a:extLst>
            <a:ext uri="{FF2B5EF4-FFF2-40B4-BE49-F238E27FC236}">
              <a16:creationId xmlns:a16="http://schemas.microsoft.com/office/drawing/2014/main" id="{957D3914-DCEB-4C36-BC15-2C1015A27E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2" name="Elipse 4831">
          <a:extLst>
            <a:ext uri="{FF2B5EF4-FFF2-40B4-BE49-F238E27FC236}">
              <a16:creationId xmlns:a16="http://schemas.microsoft.com/office/drawing/2014/main" id="{B92617E0-9F5D-4273-B64A-33AA8C8D39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3" name="Elipse 4832">
          <a:extLst>
            <a:ext uri="{FF2B5EF4-FFF2-40B4-BE49-F238E27FC236}">
              <a16:creationId xmlns:a16="http://schemas.microsoft.com/office/drawing/2014/main" id="{EC89BCCE-5659-4750-916E-898B3E0D42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4" name="Elipse 4833">
          <a:extLst>
            <a:ext uri="{FF2B5EF4-FFF2-40B4-BE49-F238E27FC236}">
              <a16:creationId xmlns:a16="http://schemas.microsoft.com/office/drawing/2014/main" id="{E9D804AC-0AE5-4BC2-9E7F-FB3849D9AA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5" name="Elipse 4834">
          <a:extLst>
            <a:ext uri="{FF2B5EF4-FFF2-40B4-BE49-F238E27FC236}">
              <a16:creationId xmlns:a16="http://schemas.microsoft.com/office/drawing/2014/main" id="{54ECEDDE-6239-4D3D-8163-E104E57792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6" name="Elipse 4835">
          <a:extLst>
            <a:ext uri="{FF2B5EF4-FFF2-40B4-BE49-F238E27FC236}">
              <a16:creationId xmlns:a16="http://schemas.microsoft.com/office/drawing/2014/main" id="{9E55F6C8-754A-496D-B939-3531CBDB9E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7" name="Elipse 4836">
          <a:extLst>
            <a:ext uri="{FF2B5EF4-FFF2-40B4-BE49-F238E27FC236}">
              <a16:creationId xmlns:a16="http://schemas.microsoft.com/office/drawing/2014/main" id="{210F321E-382B-4F0A-A7D9-FFD955104C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8" name="Elipse 4837">
          <a:extLst>
            <a:ext uri="{FF2B5EF4-FFF2-40B4-BE49-F238E27FC236}">
              <a16:creationId xmlns:a16="http://schemas.microsoft.com/office/drawing/2014/main" id="{CC3B3982-ABE1-4A97-B737-83E982FF82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9" name="Elipse 4838">
          <a:extLst>
            <a:ext uri="{FF2B5EF4-FFF2-40B4-BE49-F238E27FC236}">
              <a16:creationId xmlns:a16="http://schemas.microsoft.com/office/drawing/2014/main" id="{CCBDE2F8-E268-4F62-97D3-ACFBEC56AD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0" name="Elipse 4839">
          <a:extLst>
            <a:ext uri="{FF2B5EF4-FFF2-40B4-BE49-F238E27FC236}">
              <a16:creationId xmlns:a16="http://schemas.microsoft.com/office/drawing/2014/main" id="{8EA97019-DF08-4352-BFE9-25CAB45F8A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1" name="Elipse 4840">
          <a:extLst>
            <a:ext uri="{FF2B5EF4-FFF2-40B4-BE49-F238E27FC236}">
              <a16:creationId xmlns:a16="http://schemas.microsoft.com/office/drawing/2014/main" id="{12F1D3ED-86C0-475A-B7E9-1512F60668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2" name="Elipse 4841">
          <a:extLst>
            <a:ext uri="{FF2B5EF4-FFF2-40B4-BE49-F238E27FC236}">
              <a16:creationId xmlns:a16="http://schemas.microsoft.com/office/drawing/2014/main" id="{6B9F8B52-6999-4533-8D9F-6A4DF88BF3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3" name="Elipse 4842">
          <a:extLst>
            <a:ext uri="{FF2B5EF4-FFF2-40B4-BE49-F238E27FC236}">
              <a16:creationId xmlns:a16="http://schemas.microsoft.com/office/drawing/2014/main" id="{42A22ACE-1496-44ED-B69F-EDB9F39257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4" name="Elipse 4843">
          <a:extLst>
            <a:ext uri="{FF2B5EF4-FFF2-40B4-BE49-F238E27FC236}">
              <a16:creationId xmlns:a16="http://schemas.microsoft.com/office/drawing/2014/main" id="{5D2B3213-2962-414F-A3C1-240DD07CA9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5" name="Elipse 4844">
          <a:extLst>
            <a:ext uri="{FF2B5EF4-FFF2-40B4-BE49-F238E27FC236}">
              <a16:creationId xmlns:a16="http://schemas.microsoft.com/office/drawing/2014/main" id="{900F80D5-DF6A-46CD-9044-4BE1628F8C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6" name="Elipse 4845">
          <a:extLst>
            <a:ext uri="{FF2B5EF4-FFF2-40B4-BE49-F238E27FC236}">
              <a16:creationId xmlns:a16="http://schemas.microsoft.com/office/drawing/2014/main" id="{8580E76B-8883-4DB0-BC53-7E4B8230B9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7" name="Elipse 4846">
          <a:extLst>
            <a:ext uri="{FF2B5EF4-FFF2-40B4-BE49-F238E27FC236}">
              <a16:creationId xmlns:a16="http://schemas.microsoft.com/office/drawing/2014/main" id="{82B7B5EF-2BC6-4475-A834-B4B462586E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8" name="Elipse 4847">
          <a:extLst>
            <a:ext uri="{FF2B5EF4-FFF2-40B4-BE49-F238E27FC236}">
              <a16:creationId xmlns:a16="http://schemas.microsoft.com/office/drawing/2014/main" id="{D1D5646E-4BB8-4DD0-91A9-C1D077A88F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9" name="Elipse 4848">
          <a:extLst>
            <a:ext uri="{FF2B5EF4-FFF2-40B4-BE49-F238E27FC236}">
              <a16:creationId xmlns:a16="http://schemas.microsoft.com/office/drawing/2014/main" id="{60170CE8-04DD-43E3-B8ED-6C6F4FEE34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0" name="Elipse 4849">
          <a:extLst>
            <a:ext uri="{FF2B5EF4-FFF2-40B4-BE49-F238E27FC236}">
              <a16:creationId xmlns:a16="http://schemas.microsoft.com/office/drawing/2014/main" id="{A60D8378-6AFE-4B2D-B518-995B2D4BD6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1" name="Elipse 4850">
          <a:extLst>
            <a:ext uri="{FF2B5EF4-FFF2-40B4-BE49-F238E27FC236}">
              <a16:creationId xmlns:a16="http://schemas.microsoft.com/office/drawing/2014/main" id="{162B766A-8BE1-45DD-9AC8-7C76971597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2" name="Elipse 4851">
          <a:extLst>
            <a:ext uri="{FF2B5EF4-FFF2-40B4-BE49-F238E27FC236}">
              <a16:creationId xmlns:a16="http://schemas.microsoft.com/office/drawing/2014/main" id="{0EF77FD7-8388-4C6A-90A3-26A388925C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3" name="Elipse 4852">
          <a:extLst>
            <a:ext uri="{FF2B5EF4-FFF2-40B4-BE49-F238E27FC236}">
              <a16:creationId xmlns:a16="http://schemas.microsoft.com/office/drawing/2014/main" id="{0A4CB7E3-B19C-4EC9-9114-71EB92AE82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4" name="Elipse 4853">
          <a:extLst>
            <a:ext uri="{FF2B5EF4-FFF2-40B4-BE49-F238E27FC236}">
              <a16:creationId xmlns:a16="http://schemas.microsoft.com/office/drawing/2014/main" id="{705E76EA-1469-4747-A0B6-AC1A432194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5" name="Elipse 4854">
          <a:extLst>
            <a:ext uri="{FF2B5EF4-FFF2-40B4-BE49-F238E27FC236}">
              <a16:creationId xmlns:a16="http://schemas.microsoft.com/office/drawing/2014/main" id="{E4D40C72-53CD-4D5D-B616-A083CEC1A4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6" name="Elipse 4855">
          <a:extLst>
            <a:ext uri="{FF2B5EF4-FFF2-40B4-BE49-F238E27FC236}">
              <a16:creationId xmlns:a16="http://schemas.microsoft.com/office/drawing/2014/main" id="{F3292F54-9247-4DFE-89D2-2239FEFE68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7" name="Elipse 4856">
          <a:extLst>
            <a:ext uri="{FF2B5EF4-FFF2-40B4-BE49-F238E27FC236}">
              <a16:creationId xmlns:a16="http://schemas.microsoft.com/office/drawing/2014/main" id="{B576E924-05DC-4B8B-9CAA-49C5E40DF2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8" name="Elipse 4857">
          <a:extLst>
            <a:ext uri="{FF2B5EF4-FFF2-40B4-BE49-F238E27FC236}">
              <a16:creationId xmlns:a16="http://schemas.microsoft.com/office/drawing/2014/main" id="{EA899910-0071-4A35-9FE0-D780AEBA84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9" name="Elipse 4858">
          <a:extLst>
            <a:ext uri="{FF2B5EF4-FFF2-40B4-BE49-F238E27FC236}">
              <a16:creationId xmlns:a16="http://schemas.microsoft.com/office/drawing/2014/main" id="{A84A429B-DE0A-46BC-B48E-88F4039C26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0" name="Elipse 4859">
          <a:extLst>
            <a:ext uri="{FF2B5EF4-FFF2-40B4-BE49-F238E27FC236}">
              <a16:creationId xmlns:a16="http://schemas.microsoft.com/office/drawing/2014/main" id="{1704C44D-8D21-492B-B83F-52053773D8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1" name="Elipse 4860">
          <a:extLst>
            <a:ext uri="{FF2B5EF4-FFF2-40B4-BE49-F238E27FC236}">
              <a16:creationId xmlns:a16="http://schemas.microsoft.com/office/drawing/2014/main" id="{F1F7B814-AB9D-46EC-9CC5-39079BD096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2" name="Elipse 4861">
          <a:extLst>
            <a:ext uri="{FF2B5EF4-FFF2-40B4-BE49-F238E27FC236}">
              <a16:creationId xmlns:a16="http://schemas.microsoft.com/office/drawing/2014/main" id="{B30E4EBA-659C-4D64-A899-ABD223BC52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3" name="Elipse 4862">
          <a:extLst>
            <a:ext uri="{FF2B5EF4-FFF2-40B4-BE49-F238E27FC236}">
              <a16:creationId xmlns:a16="http://schemas.microsoft.com/office/drawing/2014/main" id="{489E55E2-29E4-4A5D-A376-8D025B09C2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4" name="Elipse 4863">
          <a:extLst>
            <a:ext uri="{FF2B5EF4-FFF2-40B4-BE49-F238E27FC236}">
              <a16:creationId xmlns:a16="http://schemas.microsoft.com/office/drawing/2014/main" id="{7BE83020-F5B8-486C-82AC-52E1958BEC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5" name="Elipse 4864">
          <a:extLst>
            <a:ext uri="{FF2B5EF4-FFF2-40B4-BE49-F238E27FC236}">
              <a16:creationId xmlns:a16="http://schemas.microsoft.com/office/drawing/2014/main" id="{BEA938DD-4376-444F-86B0-0DFDC6601A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6" name="Elipse 4865">
          <a:extLst>
            <a:ext uri="{FF2B5EF4-FFF2-40B4-BE49-F238E27FC236}">
              <a16:creationId xmlns:a16="http://schemas.microsoft.com/office/drawing/2014/main" id="{1059E25C-0D9A-4021-9D6E-11DAB07B64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7" name="Elipse 4866">
          <a:extLst>
            <a:ext uri="{FF2B5EF4-FFF2-40B4-BE49-F238E27FC236}">
              <a16:creationId xmlns:a16="http://schemas.microsoft.com/office/drawing/2014/main" id="{D038E47A-4A42-4413-AEA8-018FC23C02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8" name="Elipse 4867">
          <a:extLst>
            <a:ext uri="{FF2B5EF4-FFF2-40B4-BE49-F238E27FC236}">
              <a16:creationId xmlns:a16="http://schemas.microsoft.com/office/drawing/2014/main" id="{EFA4B8DC-C9BD-4A67-9522-1BE1BD8A62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9" name="Elipse 4868">
          <a:extLst>
            <a:ext uri="{FF2B5EF4-FFF2-40B4-BE49-F238E27FC236}">
              <a16:creationId xmlns:a16="http://schemas.microsoft.com/office/drawing/2014/main" id="{7FE75C52-C364-4D9B-BC04-4A0B7BBA6B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0" name="Elipse 4869">
          <a:extLst>
            <a:ext uri="{FF2B5EF4-FFF2-40B4-BE49-F238E27FC236}">
              <a16:creationId xmlns:a16="http://schemas.microsoft.com/office/drawing/2014/main" id="{09535CF3-DCF9-4E5F-868D-02C27C505C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1" name="Elipse 4870">
          <a:extLst>
            <a:ext uri="{FF2B5EF4-FFF2-40B4-BE49-F238E27FC236}">
              <a16:creationId xmlns:a16="http://schemas.microsoft.com/office/drawing/2014/main" id="{A7EE2785-B791-4F47-A306-8B3082A091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2" name="Elipse 4871">
          <a:extLst>
            <a:ext uri="{FF2B5EF4-FFF2-40B4-BE49-F238E27FC236}">
              <a16:creationId xmlns:a16="http://schemas.microsoft.com/office/drawing/2014/main" id="{A86528F8-DF5C-4EF3-8247-2B384F8535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3" name="Elipse 4872">
          <a:extLst>
            <a:ext uri="{FF2B5EF4-FFF2-40B4-BE49-F238E27FC236}">
              <a16:creationId xmlns:a16="http://schemas.microsoft.com/office/drawing/2014/main" id="{02090211-4B67-4C64-8A7A-68455A13CE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4" name="Elipse 4873">
          <a:extLst>
            <a:ext uri="{FF2B5EF4-FFF2-40B4-BE49-F238E27FC236}">
              <a16:creationId xmlns:a16="http://schemas.microsoft.com/office/drawing/2014/main" id="{A8C177B5-D9CB-414A-90DD-C4AC9C3D59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5" name="Elipse 4874">
          <a:extLst>
            <a:ext uri="{FF2B5EF4-FFF2-40B4-BE49-F238E27FC236}">
              <a16:creationId xmlns:a16="http://schemas.microsoft.com/office/drawing/2014/main" id="{9AE4BD96-5C65-4482-B3C1-5ECEFFED29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6" name="Elipse 4875">
          <a:extLst>
            <a:ext uri="{FF2B5EF4-FFF2-40B4-BE49-F238E27FC236}">
              <a16:creationId xmlns:a16="http://schemas.microsoft.com/office/drawing/2014/main" id="{2343C334-0957-453A-B779-3394AC1801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7" name="Elipse 4876">
          <a:extLst>
            <a:ext uri="{FF2B5EF4-FFF2-40B4-BE49-F238E27FC236}">
              <a16:creationId xmlns:a16="http://schemas.microsoft.com/office/drawing/2014/main" id="{680249A4-DA7B-47B8-875F-2F0F58F483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8" name="Elipse 4877">
          <a:extLst>
            <a:ext uri="{FF2B5EF4-FFF2-40B4-BE49-F238E27FC236}">
              <a16:creationId xmlns:a16="http://schemas.microsoft.com/office/drawing/2014/main" id="{62A24BFF-A183-4597-9F3B-6A16A13D40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9" name="Elipse 4878">
          <a:extLst>
            <a:ext uri="{FF2B5EF4-FFF2-40B4-BE49-F238E27FC236}">
              <a16:creationId xmlns:a16="http://schemas.microsoft.com/office/drawing/2014/main" id="{C21F620C-BDE6-4F5C-B990-DAB9656B86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0" name="Elipse 4879">
          <a:extLst>
            <a:ext uri="{FF2B5EF4-FFF2-40B4-BE49-F238E27FC236}">
              <a16:creationId xmlns:a16="http://schemas.microsoft.com/office/drawing/2014/main" id="{5C6A6769-8404-464D-8EC5-BF5A551164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1" name="Elipse 4880">
          <a:extLst>
            <a:ext uri="{FF2B5EF4-FFF2-40B4-BE49-F238E27FC236}">
              <a16:creationId xmlns:a16="http://schemas.microsoft.com/office/drawing/2014/main" id="{849AB6CF-2C56-4F4D-872B-72DF3DCF64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2" name="Elipse 4881">
          <a:extLst>
            <a:ext uri="{FF2B5EF4-FFF2-40B4-BE49-F238E27FC236}">
              <a16:creationId xmlns:a16="http://schemas.microsoft.com/office/drawing/2014/main" id="{FAE4AC81-EFA5-41A8-98E1-158C88704D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3" name="Elipse 4882">
          <a:extLst>
            <a:ext uri="{FF2B5EF4-FFF2-40B4-BE49-F238E27FC236}">
              <a16:creationId xmlns:a16="http://schemas.microsoft.com/office/drawing/2014/main" id="{D04597E0-A36D-4B5F-A7EB-7599347E73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4" name="Elipse 4883">
          <a:extLst>
            <a:ext uri="{FF2B5EF4-FFF2-40B4-BE49-F238E27FC236}">
              <a16:creationId xmlns:a16="http://schemas.microsoft.com/office/drawing/2014/main" id="{EF8B8525-9C82-46DD-A2BF-CC2E579D02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5" name="Elipse 4884">
          <a:extLst>
            <a:ext uri="{FF2B5EF4-FFF2-40B4-BE49-F238E27FC236}">
              <a16:creationId xmlns:a16="http://schemas.microsoft.com/office/drawing/2014/main" id="{A3DD705F-7F6E-4D10-96A1-74459145A1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6" name="Elipse 4885">
          <a:extLst>
            <a:ext uri="{FF2B5EF4-FFF2-40B4-BE49-F238E27FC236}">
              <a16:creationId xmlns:a16="http://schemas.microsoft.com/office/drawing/2014/main" id="{EFD152B8-79E2-4928-ADCE-C6B23070C5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7" name="Elipse 4886">
          <a:extLst>
            <a:ext uri="{FF2B5EF4-FFF2-40B4-BE49-F238E27FC236}">
              <a16:creationId xmlns:a16="http://schemas.microsoft.com/office/drawing/2014/main" id="{ECA81944-73F4-4B8A-8706-25FE300AC2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8" name="Elipse 4887">
          <a:extLst>
            <a:ext uri="{FF2B5EF4-FFF2-40B4-BE49-F238E27FC236}">
              <a16:creationId xmlns:a16="http://schemas.microsoft.com/office/drawing/2014/main" id="{9F9B42B9-2B42-49E9-8B57-CA4BEBE327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9" name="Elipse 4888">
          <a:extLst>
            <a:ext uri="{FF2B5EF4-FFF2-40B4-BE49-F238E27FC236}">
              <a16:creationId xmlns:a16="http://schemas.microsoft.com/office/drawing/2014/main" id="{5AC46A17-2E88-4447-B6A5-8F5FBBA8E8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0" name="Elipse 4889">
          <a:extLst>
            <a:ext uri="{FF2B5EF4-FFF2-40B4-BE49-F238E27FC236}">
              <a16:creationId xmlns:a16="http://schemas.microsoft.com/office/drawing/2014/main" id="{E96C7392-ECB5-4D85-8F87-A6C1266B4B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1" name="Elipse 4890">
          <a:extLst>
            <a:ext uri="{FF2B5EF4-FFF2-40B4-BE49-F238E27FC236}">
              <a16:creationId xmlns:a16="http://schemas.microsoft.com/office/drawing/2014/main" id="{E23673A4-431A-4E60-B4E6-A29E87CB0B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2" name="Elipse 4891">
          <a:extLst>
            <a:ext uri="{FF2B5EF4-FFF2-40B4-BE49-F238E27FC236}">
              <a16:creationId xmlns:a16="http://schemas.microsoft.com/office/drawing/2014/main" id="{4A231FB0-2B24-44E7-8C9E-0833C1BE00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3" name="Elipse 4892">
          <a:extLst>
            <a:ext uri="{FF2B5EF4-FFF2-40B4-BE49-F238E27FC236}">
              <a16:creationId xmlns:a16="http://schemas.microsoft.com/office/drawing/2014/main" id="{27C6A02D-3B9A-463C-9C14-9F3171262C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4" name="Elipse 4893">
          <a:extLst>
            <a:ext uri="{FF2B5EF4-FFF2-40B4-BE49-F238E27FC236}">
              <a16:creationId xmlns:a16="http://schemas.microsoft.com/office/drawing/2014/main" id="{7AA36F7F-F42E-4BAC-95D9-3B37BAB8C5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5" name="Elipse 4894">
          <a:extLst>
            <a:ext uri="{FF2B5EF4-FFF2-40B4-BE49-F238E27FC236}">
              <a16:creationId xmlns:a16="http://schemas.microsoft.com/office/drawing/2014/main" id="{E59FE5A8-CE3D-4C1C-9568-8F10448BBC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6" name="Elipse 4895">
          <a:extLst>
            <a:ext uri="{FF2B5EF4-FFF2-40B4-BE49-F238E27FC236}">
              <a16:creationId xmlns:a16="http://schemas.microsoft.com/office/drawing/2014/main" id="{C3B22124-E028-4581-8E6D-34E58A925A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7" name="Elipse 4896">
          <a:extLst>
            <a:ext uri="{FF2B5EF4-FFF2-40B4-BE49-F238E27FC236}">
              <a16:creationId xmlns:a16="http://schemas.microsoft.com/office/drawing/2014/main" id="{68FAFA9A-8B0E-4547-86EF-F540DDD7EF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8" name="Elipse 4897">
          <a:extLst>
            <a:ext uri="{FF2B5EF4-FFF2-40B4-BE49-F238E27FC236}">
              <a16:creationId xmlns:a16="http://schemas.microsoft.com/office/drawing/2014/main" id="{2128EDFA-D3A5-4DA4-8D1F-4FA2092632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9" name="Elipse 4898">
          <a:extLst>
            <a:ext uri="{FF2B5EF4-FFF2-40B4-BE49-F238E27FC236}">
              <a16:creationId xmlns:a16="http://schemas.microsoft.com/office/drawing/2014/main" id="{0072AB77-BBB8-43BE-862F-1D51DD1EE1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0" name="Elipse 4899">
          <a:extLst>
            <a:ext uri="{FF2B5EF4-FFF2-40B4-BE49-F238E27FC236}">
              <a16:creationId xmlns:a16="http://schemas.microsoft.com/office/drawing/2014/main" id="{5F35E8D2-2BF6-490F-94FF-E2D112EC62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1" name="Elipse 4900">
          <a:extLst>
            <a:ext uri="{FF2B5EF4-FFF2-40B4-BE49-F238E27FC236}">
              <a16:creationId xmlns:a16="http://schemas.microsoft.com/office/drawing/2014/main" id="{0FCA5E96-EDA9-41A7-9C94-B9D20666EB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2" name="Elipse 4901">
          <a:extLst>
            <a:ext uri="{FF2B5EF4-FFF2-40B4-BE49-F238E27FC236}">
              <a16:creationId xmlns:a16="http://schemas.microsoft.com/office/drawing/2014/main" id="{C201823F-1758-4071-864B-E151FCCFBF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3" name="Elipse 4902">
          <a:extLst>
            <a:ext uri="{FF2B5EF4-FFF2-40B4-BE49-F238E27FC236}">
              <a16:creationId xmlns:a16="http://schemas.microsoft.com/office/drawing/2014/main" id="{24FF8270-1ACD-4D1D-8691-703B3D95A0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4" name="Elipse 4903">
          <a:extLst>
            <a:ext uri="{FF2B5EF4-FFF2-40B4-BE49-F238E27FC236}">
              <a16:creationId xmlns:a16="http://schemas.microsoft.com/office/drawing/2014/main" id="{B1F13869-5639-4EBA-A1C4-9B2629F157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5" name="Elipse 4904">
          <a:extLst>
            <a:ext uri="{FF2B5EF4-FFF2-40B4-BE49-F238E27FC236}">
              <a16:creationId xmlns:a16="http://schemas.microsoft.com/office/drawing/2014/main" id="{3797CAF0-4EFB-4405-9BB2-7BE812B2B0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6" name="Elipse 4905">
          <a:extLst>
            <a:ext uri="{FF2B5EF4-FFF2-40B4-BE49-F238E27FC236}">
              <a16:creationId xmlns:a16="http://schemas.microsoft.com/office/drawing/2014/main" id="{C3E10F6D-B10A-4C86-9AA9-D8CC580B3E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7" name="Elipse 4906">
          <a:extLst>
            <a:ext uri="{FF2B5EF4-FFF2-40B4-BE49-F238E27FC236}">
              <a16:creationId xmlns:a16="http://schemas.microsoft.com/office/drawing/2014/main" id="{14C652EF-AE9B-4062-968F-45DB877F84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8" name="Elipse 4907">
          <a:extLst>
            <a:ext uri="{FF2B5EF4-FFF2-40B4-BE49-F238E27FC236}">
              <a16:creationId xmlns:a16="http://schemas.microsoft.com/office/drawing/2014/main" id="{8FD6893A-3F98-494C-9061-C0E483A610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9" name="Elipse 4908">
          <a:extLst>
            <a:ext uri="{FF2B5EF4-FFF2-40B4-BE49-F238E27FC236}">
              <a16:creationId xmlns:a16="http://schemas.microsoft.com/office/drawing/2014/main" id="{3F33DEFF-4B9C-4852-9CF7-0BA45B27E2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0" name="Elipse 4909">
          <a:extLst>
            <a:ext uri="{FF2B5EF4-FFF2-40B4-BE49-F238E27FC236}">
              <a16:creationId xmlns:a16="http://schemas.microsoft.com/office/drawing/2014/main" id="{61B66E4C-F9BD-4A5D-904C-B2E1D7FA97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1" name="Elipse 4910">
          <a:extLst>
            <a:ext uri="{FF2B5EF4-FFF2-40B4-BE49-F238E27FC236}">
              <a16:creationId xmlns:a16="http://schemas.microsoft.com/office/drawing/2014/main" id="{463A7146-AC83-4031-8D0F-81C1F771DC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2" name="Elipse 4911">
          <a:extLst>
            <a:ext uri="{FF2B5EF4-FFF2-40B4-BE49-F238E27FC236}">
              <a16:creationId xmlns:a16="http://schemas.microsoft.com/office/drawing/2014/main" id="{66D0853A-363B-47DC-BF9D-F53F9E4342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3" name="Elipse 4912">
          <a:extLst>
            <a:ext uri="{FF2B5EF4-FFF2-40B4-BE49-F238E27FC236}">
              <a16:creationId xmlns:a16="http://schemas.microsoft.com/office/drawing/2014/main" id="{88C776A9-6F5D-435A-92AA-57F5C01FEF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4" name="Elipse 4913">
          <a:extLst>
            <a:ext uri="{FF2B5EF4-FFF2-40B4-BE49-F238E27FC236}">
              <a16:creationId xmlns:a16="http://schemas.microsoft.com/office/drawing/2014/main" id="{846D2061-CD36-4628-AC1C-0F80979557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5" name="Elipse 4914">
          <a:extLst>
            <a:ext uri="{FF2B5EF4-FFF2-40B4-BE49-F238E27FC236}">
              <a16:creationId xmlns:a16="http://schemas.microsoft.com/office/drawing/2014/main" id="{A7256285-A57C-4E93-8D29-8904EEB3C8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6" name="Elipse 4915">
          <a:extLst>
            <a:ext uri="{FF2B5EF4-FFF2-40B4-BE49-F238E27FC236}">
              <a16:creationId xmlns:a16="http://schemas.microsoft.com/office/drawing/2014/main" id="{BE7562E0-DC3B-41F5-9B1B-755F7B494E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7" name="Elipse 4916">
          <a:extLst>
            <a:ext uri="{FF2B5EF4-FFF2-40B4-BE49-F238E27FC236}">
              <a16:creationId xmlns:a16="http://schemas.microsoft.com/office/drawing/2014/main" id="{7B785A79-C20F-49CD-9CD5-A3B5BDBDC4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8" name="Elipse 4917">
          <a:extLst>
            <a:ext uri="{FF2B5EF4-FFF2-40B4-BE49-F238E27FC236}">
              <a16:creationId xmlns:a16="http://schemas.microsoft.com/office/drawing/2014/main" id="{42DA44F5-6F88-4758-8F61-B1D52E6E94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9" name="Elipse 4918">
          <a:extLst>
            <a:ext uri="{FF2B5EF4-FFF2-40B4-BE49-F238E27FC236}">
              <a16:creationId xmlns:a16="http://schemas.microsoft.com/office/drawing/2014/main" id="{D1F994E8-F24D-4D28-8368-9F5F1E6D3F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0" name="Elipse 4919">
          <a:extLst>
            <a:ext uri="{FF2B5EF4-FFF2-40B4-BE49-F238E27FC236}">
              <a16:creationId xmlns:a16="http://schemas.microsoft.com/office/drawing/2014/main" id="{DA2D849F-5208-41CD-AACE-42E653014E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1" name="Elipse 4920">
          <a:extLst>
            <a:ext uri="{FF2B5EF4-FFF2-40B4-BE49-F238E27FC236}">
              <a16:creationId xmlns:a16="http://schemas.microsoft.com/office/drawing/2014/main" id="{CC2E56D7-4D6B-4F10-8F65-3E8739B27C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2" name="Elipse 4921">
          <a:extLst>
            <a:ext uri="{FF2B5EF4-FFF2-40B4-BE49-F238E27FC236}">
              <a16:creationId xmlns:a16="http://schemas.microsoft.com/office/drawing/2014/main" id="{6D8C39A9-3C77-4631-8114-9A1A400548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3" name="Elipse 4922">
          <a:extLst>
            <a:ext uri="{FF2B5EF4-FFF2-40B4-BE49-F238E27FC236}">
              <a16:creationId xmlns:a16="http://schemas.microsoft.com/office/drawing/2014/main" id="{3CA87A2A-3E1C-40FF-93C8-FAD3CF1A00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4" name="Elipse 4923">
          <a:extLst>
            <a:ext uri="{FF2B5EF4-FFF2-40B4-BE49-F238E27FC236}">
              <a16:creationId xmlns:a16="http://schemas.microsoft.com/office/drawing/2014/main" id="{B549F1F3-0FB9-4950-A2AB-D5186DE032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5" name="Elipse 4924">
          <a:extLst>
            <a:ext uri="{FF2B5EF4-FFF2-40B4-BE49-F238E27FC236}">
              <a16:creationId xmlns:a16="http://schemas.microsoft.com/office/drawing/2014/main" id="{103F011B-96D5-488A-836F-BAD3275A5D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6" name="Elipse 4925">
          <a:extLst>
            <a:ext uri="{FF2B5EF4-FFF2-40B4-BE49-F238E27FC236}">
              <a16:creationId xmlns:a16="http://schemas.microsoft.com/office/drawing/2014/main" id="{0179121E-18A0-4DD1-8E17-49D9B06DE6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7" name="Elipse 4926">
          <a:extLst>
            <a:ext uri="{FF2B5EF4-FFF2-40B4-BE49-F238E27FC236}">
              <a16:creationId xmlns:a16="http://schemas.microsoft.com/office/drawing/2014/main" id="{02ED9656-A245-4104-8884-9D3F5F1735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8" name="Elipse 4927">
          <a:extLst>
            <a:ext uri="{FF2B5EF4-FFF2-40B4-BE49-F238E27FC236}">
              <a16:creationId xmlns:a16="http://schemas.microsoft.com/office/drawing/2014/main" id="{9E53DC62-33A3-42BD-AA6C-8BAB706DCE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9" name="Elipse 4928">
          <a:extLst>
            <a:ext uri="{FF2B5EF4-FFF2-40B4-BE49-F238E27FC236}">
              <a16:creationId xmlns:a16="http://schemas.microsoft.com/office/drawing/2014/main" id="{873198D8-33F0-4BF2-998E-874C96D016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0" name="Elipse 4929">
          <a:extLst>
            <a:ext uri="{FF2B5EF4-FFF2-40B4-BE49-F238E27FC236}">
              <a16:creationId xmlns:a16="http://schemas.microsoft.com/office/drawing/2014/main" id="{401DFCEC-BA19-460B-985C-794082DEA4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1" name="Elipse 4930">
          <a:extLst>
            <a:ext uri="{FF2B5EF4-FFF2-40B4-BE49-F238E27FC236}">
              <a16:creationId xmlns:a16="http://schemas.microsoft.com/office/drawing/2014/main" id="{1F169A0E-0D1C-49FC-9D05-ADDA462252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2" name="Elipse 4931">
          <a:extLst>
            <a:ext uri="{FF2B5EF4-FFF2-40B4-BE49-F238E27FC236}">
              <a16:creationId xmlns:a16="http://schemas.microsoft.com/office/drawing/2014/main" id="{0CA4F40F-652B-4BE5-9143-92D816840C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3" name="Elipse 4932">
          <a:extLst>
            <a:ext uri="{FF2B5EF4-FFF2-40B4-BE49-F238E27FC236}">
              <a16:creationId xmlns:a16="http://schemas.microsoft.com/office/drawing/2014/main" id="{32A12D96-B004-4949-86EE-DAD580E27A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4" name="Elipse 4933">
          <a:extLst>
            <a:ext uri="{FF2B5EF4-FFF2-40B4-BE49-F238E27FC236}">
              <a16:creationId xmlns:a16="http://schemas.microsoft.com/office/drawing/2014/main" id="{F1207D29-213B-4BA3-8A9E-0FD68D889E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5" name="Elipse 4934">
          <a:extLst>
            <a:ext uri="{FF2B5EF4-FFF2-40B4-BE49-F238E27FC236}">
              <a16:creationId xmlns:a16="http://schemas.microsoft.com/office/drawing/2014/main" id="{4F3CB30F-5CB2-42A7-A07D-1DF9D4DACB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6" name="Elipse 4935">
          <a:extLst>
            <a:ext uri="{FF2B5EF4-FFF2-40B4-BE49-F238E27FC236}">
              <a16:creationId xmlns:a16="http://schemas.microsoft.com/office/drawing/2014/main" id="{A9C0E33A-CC46-47F0-9F94-08983B870A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7" name="Elipse 4936">
          <a:extLst>
            <a:ext uri="{FF2B5EF4-FFF2-40B4-BE49-F238E27FC236}">
              <a16:creationId xmlns:a16="http://schemas.microsoft.com/office/drawing/2014/main" id="{540ED532-EE6E-4C1E-A916-DEFAE70DB1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8" name="Elipse 4937">
          <a:extLst>
            <a:ext uri="{FF2B5EF4-FFF2-40B4-BE49-F238E27FC236}">
              <a16:creationId xmlns:a16="http://schemas.microsoft.com/office/drawing/2014/main" id="{61F9AE61-30CC-4228-8228-97C9241988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9" name="Elipse 4938">
          <a:extLst>
            <a:ext uri="{FF2B5EF4-FFF2-40B4-BE49-F238E27FC236}">
              <a16:creationId xmlns:a16="http://schemas.microsoft.com/office/drawing/2014/main" id="{224437DD-B6D4-4EBE-85BB-0FACF29780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0" name="Elipse 4939">
          <a:extLst>
            <a:ext uri="{FF2B5EF4-FFF2-40B4-BE49-F238E27FC236}">
              <a16:creationId xmlns:a16="http://schemas.microsoft.com/office/drawing/2014/main" id="{41FB5EEB-8209-4A7D-8A20-902D2BA4AC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1" name="Elipse 4940">
          <a:extLst>
            <a:ext uri="{FF2B5EF4-FFF2-40B4-BE49-F238E27FC236}">
              <a16:creationId xmlns:a16="http://schemas.microsoft.com/office/drawing/2014/main" id="{6BC2DBD1-691A-4F8C-B315-2FFBB44797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2" name="Elipse 4941">
          <a:extLst>
            <a:ext uri="{FF2B5EF4-FFF2-40B4-BE49-F238E27FC236}">
              <a16:creationId xmlns:a16="http://schemas.microsoft.com/office/drawing/2014/main" id="{D8FE62DB-3ECE-4F9A-A6F3-74476D4A66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3" name="Elipse 4942">
          <a:extLst>
            <a:ext uri="{FF2B5EF4-FFF2-40B4-BE49-F238E27FC236}">
              <a16:creationId xmlns:a16="http://schemas.microsoft.com/office/drawing/2014/main" id="{DEE9C3DC-E8BD-4743-A367-59E41959C2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4" name="Elipse 4943">
          <a:extLst>
            <a:ext uri="{FF2B5EF4-FFF2-40B4-BE49-F238E27FC236}">
              <a16:creationId xmlns:a16="http://schemas.microsoft.com/office/drawing/2014/main" id="{30E60B99-E746-4B79-A115-C4E68D3CE5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5" name="Elipse 4944">
          <a:extLst>
            <a:ext uri="{FF2B5EF4-FFF2-40B4-BE49-F238E27FC236}">
              <a16:creationId xmlns:a16="http://schemas.microsoft.com/office/drawing/2014/main" id="{601EC7CC-C08F-4336-BB0C-3AC3FAC04C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6" name="Elipse 4945">
          <a:extLst>
            <a:ext uri="{FF2B5EF4-FFF2-40B4-BE49-F238E27FC236}">
              <a16:creationId xmlns:a16="http://schemas.microsoft.com/office/drawing/2014/main" id="{9E298A36-107A-4873-B578-5212755079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7" name="Elipse 4946">
          <a:extLst>
            <a:ext uri="{FF2B5EF4-FFF2-40B4-BE49-F238E27FC236}">
              <a16:creationId xmlns:a16="http://schemas.microsoft.com/office/drawing/2014/main" id="{412FCAB5-1163-41A1-8EED-8F3F5B35DF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8" name="Elipse 4947">
          <a:extLst>
            <a:ext uri="{FF2B5EF4-FFF2-40B4-BE49-F238E27FC236}">
              <a16:creationId xmlns:a16="http://schemas.microsoft.com/office/drawing/2014/main" id="{FC3EA9A5-AF40-459A-B06D-CB618F2CA7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9" name="Elipse 4948">
          <a:extLst>
            <a:ext uri="{FF2B5EF4-FFF2-40B4-BE49-F238E27FC236}">
              <a16:creationId xmlns:a16="http://schemas.microsoft.com/office/drawing/2014/main" id="{4E26000D-92BB-4E64-8B01-11603BE742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0" name="Elipse 4949">
          <a:extLst>
            <a:ext uri="{FF2B5EF4-FFF2-40B4-BE49-F238E27FC236}">
              <a16:creationId xmlns:a16="http://schemas.microsoft.com/office/drawing/2014/main" id="{49FF8A1F-C025-4472-9576-B9F3E0CB1C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1" name="Elipse 4950">
          <a:extLst>
            <a:ext uri="{FF2B5EF4-FFF2-40B4-BE49-F238E27FC236}">
              <a16:creationId xmlns:a16="http://schemas.microsoft.com/office/drawing/2014/main" id="{9085B612-ECE4-48C2-9731-B3E8C48A80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2" name="Elipse 4951">
          <a:extLst>
            <a:ext uri="{FF2B5EF4-FFF2-40B4-BE49-F238E27FC236}">
              <a16:creationId xmlns:a16="http://schemas.microsoft.com/office/drawing/2014/main" id="{72A010B0-2496-4F85-8182-D60F07CA93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3" name="Elipse 4952">
          <a:extLst>
            <a:ext uri="{FF2B5EF4-FFF2-40B4-BE49-F238E27FC236}">
              <a16:creationId xmlns:a16="http://schemas.microsoft.com/office/drawing/2014/main" id="{01799BA3-E693-4954-8B7C-73E739A24A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4" name="Elipse 4953">
          <a:extLst>
            <a:ext uri="{FF2B5EF4-FFF2-40B4-BE49-F238E27FC236}">
              <a16:creationId xmlns:a16="http://schemas.microsoft.com/office/drawing/2014/main" id="{0432B203-9C92-40F7-BC51-F639A21579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5" name="Elipse 4954">
          <a:extLst>
            <a:ext uri="{FF2B5EF4-FFF2-40B4-BE49-F238E27FC236}">
              <a16:creationId xmlns:a16="http://schemas.microsoft.com/office/drawing/2014/main" id="{8305E3D1-CE4D-4EC5-9734-FE7770163E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6" name="Elipse 4955">
          <a:extLst>
            <a:ext uri="{FF2B5EF4-FFF2-40B4-BE49-F238E27FC236}">
              <a16:creationId xmlns:a16="http://schemas.microsoft.com/office/drawing/2014/main" id="{716D424D-2ACA-4C77-9E1D-8AFFCE7FAC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7" name="Elipse 4956">
          <a:extLst>
            <a:ext uri="{FF2B5EF4-FFF2-40B4-BE49-F238E27FC236}">
              <a16:creationId xmlns:a16="http://schemas.microsoft.com/office/drawing/2014/main" id="{B6D9D019-7EF8-47E3-BDA4-254910236E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8" name="Elipse 4957">
          <a:extLst>
            <a:ext uri="{FF2B5EF4-FFF2-40B4-BE49-F238E27FC236}">
              <a16:creationId xmlns:a16="http://schemas.microsoft.com/office/drawing/2014/main" id="{9A289CB4-6EAF-4D98-B8EE-4BD069A827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9" name="Elipse 4958">
          <a:extLst>
            <a:ext uri="{FF2B5EF4-FFF2-40B4-BE49-F238E27FC236}">
              <a16:creationId xmlns:a16="http://schemas.microsoft.com/office/drawing/2014/main" id="{69C43ECC-81B9-4A02-B274-1CD7DEAC9E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0" name="Elipse 4959">
          <a:extLst>
            <a:ext uri="{FF2B5EF4-FFF2-40B4-BE49-F238E27FC236}">
              <a16:creationId xmlns:a16="http://schemas.microsoft.com/office/drawing/2014/main" id="{EB8ED52B-2149-4A85-8239-C140D9245E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1" name="Elipse 4960">
          <a:extLst>
            <a:ext uri="{FF2B5EF4-FFF2-40B4-BE49-F238E27FC236}">
              <a16:creationId xmlns:a16="http://schemas.microsoft.com/office/drawing/2014/main" id="{6EFA848F-60A2-41DB-92A3-9D9E083DAD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2" name="Elipse 4961">
          <a:extLst>
            <a:ext uri="{FF2B5EF4-FFF2-40B4-BE49-F238E27FC236}">
              <a16:creationId xmlns:a16="http://schemas.microsoft.com/office/drawing/2014/main" id="{79F96031-6865-4ED9-928D-53EC64FB32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3" name="Elipse 4962">
          <a:extLst>
            <a:ext uri="{FF2B5EF4-FFF2-40B4-BE49-F238E27FC236}">
              <a16:creationId xmlns:a16="http://schemas.microsoft.com/office/drawing/2014/main" id="{C08206B7-9BB8-487A-AB8E-5D28087307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4" name="Elipse 4963">
          <a:extLst>
            <a:ext uri="{FF2B5EF4-FFF2-40B4-BE49-F238E27FC236}">
              <a16:creationId xmlns:a16="http://schemas.microsoft.com/office/drawing/2014/main" id="{86A76641-35CE-4255-A3DB-6AE804268E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5" name="Elipse 4964">
          <a:extLst>
            <a:ext uri="{FF2B5EF4-FFF2-40B4-BE49-F238E27FC236}">
              <a16:creationId xmlns:a16="http://schemas.microsoft.com/office/drawing/2014/main" id="{64894ABE-A779-493E-BE85-D74A865BD5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6" name="Elipse 4965">
          <a:extLst>
            <a:ext uri="{FF2B5EF4-FFF2-40B4-BE49-F238E27FC236}">
              <a16:creationId xmlns:a16="http://schemas.microsoft.com/office/drawing/2014/main" id="{29F8C4F0-1FB2-4F3F-B9F4-EE99711452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7" name="Elipse 4966">
          <a:extLst>
            <a:ext uri="{FF2B5EF4-FFF2-40B4-BE49-F238E27FC236}">
              <a16:creationId xmlns:a16="http://schemas.microsoft.com/office/drawing/2014/main" id="{6B134231-2039-4EB2-AE41-C2BAA28270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8" name="Elipse 4967">
          <a:extLst>
            <a:ext uri="{FF2B5EF4-FFF2-40B4-BE49-F238E27FC236}">
              <a16:creationId xmlns:a16="http://schemas.microsoft.com/office/drawing/2014/main" id="{B6873F05-E9AC-45BB-8DB1-3E0094FD73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9" name="Elipse 4968">
          <a:extLst>
            <a:ext uri="{FF2B5EF4-FFF2-40B4-BE49-F238E27FC236}">
              <a16:creationId xmlns:a16="http://schemas.microsoft.com/office/drawing/2014/main" id="{AF14553C-7ABB-498B-BC35-8A65167D82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0" name="Elipse 4969">
          <a:extLst>
            <a:ext uri="{FF2B5EF4-FFF2-40B4-BE49-F238E27FC236}">
              <a16:creationId xmlns:a16="http://schemas.microsoft.com/office/drawing/2014/main" id="{D540D9E5-AE99-481D-AB25-4972752151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1" name="Elipse 4970">
          <a:extLst>
            <a:ext uri="{FF2B5EF4-FFF2-40B4-BE49-F238E27FC236}">
              <a16:creationId xmlns:a16="http://schemas.microsoft.com/office/drawing/2014/main" id="{8157F3AB-ED06-4056-A167-37A0E1E05D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2" name="Elipse 4971">
          <a:extLst>
            <a:ext uri="{FF2B5EF4-FFF2-40B4-BE49-F238E27FC236}">
              <a16:creationId xmlns:a16="http://schemas.microsoft.com/office/drawing/2014/main" id="{08EE7BBA-E99D-405A-BE2D-B4BB9D0B9C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3" name="Elipse 4972">
          <a:extLst>
            <a:ext uri="{FF2B5EF4-FFF2-40B4-BE49-F238E27FC236}">
              <a16:creationId xmlns:a16="http://schemas.microsoft.com/office/drawing/2014/main" id="{48606A64-893E-45AF-95D0-53C263DB76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4" name="Elipse 4973">
          <a:extLst>
            <a:ext uri="{FF2B5EF4-FFF2-40B4-BE49-F238E27FC236}">
              <a16:creationId xmlns:a16="http://schemas.microsoft.com/office/drawing/2014/main" id="{B6ED7030-3F84-4328-AEC5-9E459C6B3B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5" name="Elipse 4974">
          <a:extLst>
            <a:ext uri="{FF2B5EF4-FFF2-40B4-BE49-F238E27FC236}">
              <a16:creationId xmlns:a16="http://schemas.microsoft.com/office/drawing/2014/main" id="{45CBD58C-6705-4607-81DD-EA2AAC3736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6" name="Elipse 4975">
          <a:extLst>
            <a:ext uri="{FF2B5EF4-FFF2-40B4-BE49-F238E27FC236}">
              <a16:creationId xmlns:a16="http://schemas.microsoft.com/office/drawing/2014/main" id="{582DD591-D79E-4D5A-9D74-FEA2FCB175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7" name="Elipse 4976">
          <a:extLst>
            <a:ext uri="{FF2B5EF4-FFF2-40B4-BE49-F238E27FC236}">
              <a16:creationId xmlns:a16="http://schemas.microsoft.com/office/drawing/2014/main" id="{68E48EA8-F66B-4EA0-8757-076B9C3814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8" name="Elipse 4977">
          <a:extLst>
            <a:ext uri="{FF2B5EF4-FFF2-40B4-BE49-F238E27FC236}">
              <a16:creationId xmlns:a16="http://schemas.microsoft.com/office/drawing/2014/main" id="{0B41868C-D631-45B0-B3D0-5CCDEC5E21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9" name="Elipse 4978">
          <a:extLst>
            <a:ext uri="{FF2B5EF4-FFF2-40B4-BE49-F238E27FC236}">
              <a16:creationId xmlns:a16="http://schemas.microsoft.com/office/drawing/2014/main" id="{0E0B61DD-BAEE-4FD9-ADE8-5D90F88B5F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0" name="Elipse 4979">
          <a:extLst>
            <a:ext uri="{FF2B5EF4-FFF2-40B4-BE49-F238E27FC236}">
              <a16:creationId xmlns:a16="http://schemas.microsoft.com/office/drawing/2014/main" id="{3DE8E7F8-3D5A-4A89-8310-A3C4F845E3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1" name="Elipse 4980">
          <a:extLst>
            <a:ext uri="{FF2B5EF4-FFF2-40B4-BE49-F238E27FC236}">
              <a16:creationId xmlns:a16="http://schemas.microsoft.com/office/drawing/2014/main" id="{76213E50-A0F0-4FC9-A61D-CDD5135DD2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2" name="Elipse 4981">
          <a:extLst>
            <a:ext uri="{FF2B5EF4-FFF2-40B4-BE49-F238E27FC236}">
              <a16:creationId xmlns:a16="http://schemas.microsoft.com/office/drawing/2014/main" id="{B3F19B1A-3446-4348-8175-2415BB2FAA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3" name="Elipse 4982">
          <a:extLst>
            <a:ext uri="{FF2B5EF4-FFF2-40B4-BE49-F238E27FC236}">
              <a16:creationId xmlns:a16="http://schemas.microsoft.com/office/drawing/2014/main" id="{A4107664-5311-4F4C-9F99-1AB892ECC0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4" name="Elipse 4983">
          <a:extLst>
            <a:ext uri="{FF2B5EF4-FFF2-40B4-BE49-F238E27FC236}">
              <a16:creationId xmlns:a16="http://schemas.microsoft.com/office/drawing/2014/main" id="{A5DEEDB2-CF3A-404E-B776-8556C66C6C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5" name="Elipse 4984">
          <a:extLst>
            <a:ext uri="{FF2B5EF4-FFF2-40B4-BE49-F238E27FC236}">
              <a16:creationId xmlns:a16="http://schemas.microsoft.com/office/drawing/2014/main" id="{47E32D85-4E5C-44B3-99B9-D63BD78388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6" name="Elipse 4985">
          <a:extLst>
            <a:ext uri="{FF2B5EF4-FFF2-40B4-BE49-F238E27FC236}">
              <a16:creationId xmlns:a16="http://schemas.microsoft.com/office/drawing/2014/main" id="{F09A6314-9C68-41A7-8C27-81A8F44E96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7" name="Elipse 4986">
          <a:extLst>
            <a:ext uri="{FF2B5EF4-FFF2-40B4-BE49-F238E27FC236}">
              <a16:creationId xmlns:a16="http://schemas.microsoft.com/office/drawing/2014/main" id="{27D56061-0D84-46C4-A7BE-F17F5D2472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8" name="Elipse 4987">
          <a:extLst>
            <a:ext uri="{FF2B5EF4-FFF2-40B4-BE49-F238E27FC236}">
              <a16:creationId xmlns:a16="http://schemas.microsoft.com/office/drawing/2014/main" id="{70A9459E-1958-4329-83F8-76B1F69E09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9" name="Elipse 4988">
          <a:extLst>
            <a:ext uri="{FF2B5EF4-FFF2-40B4-BE49-F238E27FC236}">
              <a16:creationId xmlns:a16="http://schemas.microsoft.com/office/drawing/2014/main" id="{47A762CC-4C6E-4EC0-B143-18B5CB0BED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0" name="Elipse 4989">
          <a:extLst>
            <a:ext uri="{FF2B5EF4-FFF2-40B4-BE49-F238E27FC236}">
              <a16:creationId xmlns:a16="http://schemas.microsoft.com/office/drawing/2014/main" id="{0BD00EF2-38A1-40BA-B493-AF2DAE3B02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1" name="Elipse 4990">
          <a:extLst>
            <a:ext uri="{FF2B5EF4-FFF2-40B4-BE49-F238E27FC236}">
              <a16:creationId xmlns:a16="http://schemas.microsoft.com/office/drawing/2014/main" id="{06595452-A2AF-4FCE-8E4E-C94E17BC21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2" name="Elipse 4991">
          <a:extLst>
            <a:ext uri="{FF2B5EF4-FFF2-40B4-BE49-F238E27FC236}">
              <a16:creationId xmlns:a16="http://schemas.microsoft.com/office/drawing/2014/main" id="{2CBCCD80-8362-4FB6-BE93-8B47AD962F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3" name="Elipse 4992">
          <a:extLst>
            <a:ext uri="{FF2B5EF4-FFF2-40B4-BE49-F238E27FC236}">
              <a16:creationId xmlns:a16="http://schemas.microsoft.com/office/drawing/2014/main" id="{3D11D4D6-500E-4652-8EFC-E801A6008C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4" name="Elipse 4993">
          <a:extLst>
            <a:ext uri="{FF2B5EF4-FFF2-40B4-BE49-F238E27FC236}">
              <a16:creationId xmlns:a16="http://schemas.microsoft.com/office/drawing/2014/main" id="{67BEE069-FBBA-4D80-8D3D-3FB1E7A7F7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5" name="Elipse 4994">
          <a:extLst>
            <a:ext uri="{FF2B5EF4-FFF2-40B4-BE49-F238E27FC236}">
              <a16:creationId xmlns:a16="http://schemas.microsoft.com/office/drawing/2014/main" id="{A70616F7-009C-43DD-A67A-A5B26095F0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6" name="Elipse 4995">
          <a:extLst>
            <a:ext uri="{FF2B5EF4-FFF2-40B4-BE49-F238E27FC236}">
              <a16:creationId xmlns:a16="http://schemas.microsoft.com/office/drawing/2014/main" id="{4696B26B-F1A0-453D-ABD4-2A0F5E3E00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7" name="Elipse 4996">
          <a:extLst>
            <a:ext uri="{FF2B5EF4-FFF2-40B4-BE49-F238E27FC236}">
              <a16:creationId xmlns:a16="http://schemas.microsoft.com/office/drawing/2014/main" id="{BEDCEE38-1FB8-4DE7-859B-1ABB6498DE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8" name="Elipse 4997">
          <a:extLst>
            <a:ext uri="{FF2B5EF4-FFF2-40B4-BE49-F238E27FC236}">
              <a16:creationId xmlns:a16="http://schemas.microsoft.com/office/drawing/2014/main" id="{19B02307-3FD1-488F-977F-7C5F1C7E85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9" name="Elipse 4998">
          <a:extLst>
            <a:ext uri="{FF2B5EF4-FFF2-40B4-BE49-F238E27FC236}">
              <a16:creationId xmlns:a16="http://schemas.microsoft.com/office/drawing/2014/main" id="{579B189B-A8F5-46E4-9877-1682AD0767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0" name="Elipse 4999">
          <a:extLst>
            <a:ext uri="{FF2B5EF4-FFF2-40B4-BE49-F238E27FC236}">
              <a16:creationId xmlns:a16="http://schemas.microsoft.com/office/drawing/2014/main" id="{C639BE6D-FBC9-401E-901F-A028A5FE20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1" name="Elipse 5000">
          <a:extLst>
            <a:ext uri="{FF2B5EF4-FFF2-40B4-BE49-F238E27FC236}">
              <a16:creationId xmlns:a16="http://schemas.microsoft.com/office/drawing/2014/main" id="{CDFB3A83-67B8-4FFB-B0E3-07FCA1D896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2" name="Elipse 5001">
          <a:extLst>
            <a:ext uri="{FF2B5EF4-FFF2-40B4-BE49-F238E27FC236}">
              <a16:creationId xmlns:a16="http://schemas.microsoft.com/office/drawing/2014/main" id="{DFBBC5A2-4D08-48C0-B7C7-559250DBDE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3" name="Elipse 5002">
          <a:extLst>
            <a:ext uri="{FF2B5EF4-FFF2-40B4-BE49-F238E27FC236}">
              <a16:creationId xmlns:a16="http://schemas.microsoft.com/office/drawing/2014/main" id="{DE49D4CA-CBF1-4D23-A983-E739ED080F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4" name="Elipse 5003">
          <a:extLst>
            <a:ext uri="{FF2B5EF4-FFF2-40B4-BE49-F238E27FC236}">
              <a16:creationId xmlns:a16="http://schemas.microsoft.com/office/drawing/2014/main" id="{B8DE5AE0-D252-4A5C-A2AC-B7DDE2EE6C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5" name="Elipse 5004">
          <a:extLst>
            <a:ext uri="{FF2B5EF4-FFF2-40B4-BE49-F238E27FC236}">
              <a16:creationId xmlns:a16="http://schemas.microsoft.com/office/drawing/2014/main" id="{34FDE531-E647-4ED3-8004-A1552CB5CA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6" name="Elipse 5005">
          <a:extLst>
            <a:ext uri="{FF2B5EF4-FFF2-40B4-BE49-F238E27FC236}">
              <a16:creationId xmlns:a16="http://schemas.microsoft.com/office/drawing/2014/main" id="{4912BF43-AD52-48AC-82AA-B6EB0A3E62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7" name="Elipse 5006">
          <a:extLst>
            <a:ext uri="{FF2B5EF4-FFF2-40B4-BE49-F238E27FC236}">
              <a16:creationId xmlns:a16="http://schemas.microsoft.com/office/drawing/2014/main" id="{2F60050C-9867-47F6-85A6-0243B935FE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8" name="Elipse 5007">
          <a:extLst>
            <a:ext uri="{FF2B5EF4-FFF2-40B4-BE49-F238E27FC236}">
              <a16:creationId xmlns:a16="http://schemas.microsoft.com/office/drawing/2014/main" id="{564095A5-7645-49DD-968A-EC110D78E7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9" name="Elipse 5008">
          <a:extLst>
            <a:ext uri="{FF2B5EF4-FFF2-40B4-BE49-F238E27FC236}">
              <a16:creationId xmlns:a16="http://schemas.microsoft.com/office/drawing/2014/main" id="{3D00F033-C3B5-46CC-AF66-D262A6BA29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0" name="Elipse 5009">
          <a:extLst>
            <a:ext uri="{FF2B5EF4-FFF2-40B4-BE49-F238E27FC236}">
              <a16:creationId xmlns:a16="http://schemas.microsoft.com/office/drawing/2014/main" id="{51023B7F-D64D-47CA-9826-948A182C13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1" name="Elipse 5010">
          <a:extLst>
            <a:ext uri="{FF2B5EF4-FFF2-40B4-BE49-F238E27FC236}">
              <a16:creationId xmlns:a16="http://schemas.microsoft.com/office/drawing/2014/main" id="{71EDB93E-5D61-4D9B-81EC-3AEEE0F6BC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2" name="Elipse 5011">
          <a:extLst>
            <a:ext uri="{FF2B5EF4-FFF2-40B4-BE49-F238E27FC236}">
              <a16:creationId xmlns:a16="http://schemas.microsoft.com/office/drawing/2014/main" id="{8AE2C28E-F025-479D-A1B4-CF08878DF2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3" name="Elipse 5012">
          <a:extLst>
            <a:ext uri="{FF2B5EF4-FFF2-40B4-BE49-F238E27FC236}">
              <a16:creationId xmlns:a16="http://schemas.microsoft.com/office/drawing/2014/main" id="{7F542EF5-D37A-4E9A-AC8A-B7700AA542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4" name="Elipse 5013">
          <a:extLst>
            <a:ext uri="{FF2B5EF4-FFF2-40B4-BE49-F238E27FC236}">
              <a16:creationId xmlns:a16="http://schemas.microsoft.com/office/drawing/2014/main" id="{721D75E7-A63A-46E5-A41A-F1427F252B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5" name="Elipse 5014">
          <a:extLst>
            <a:ext uri="{FF2B5EF4-FFF2-40B4-BE49-F238E27FC236}">
              <a16:creationId xmlns:a16="http://schemas.microsoft.com/office/drawing/2014/main" id="{1730F763-62E5-4626-B1C7-76584C68A8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6" name="Elipse 5015">
          <a:extLst>
            <a:ext uri="{FF2B5EF4-FFF2-40B4-BE49-F238E27FC236}">
              <a16:creationId xmlns:a16="http://schemas.microsoft.com/office/drawing/2014/main" id="{CC5D6328-6243-4A78-9B00-283F130427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7" name="Elipse 5016">
          <a:extLst>
            <a:ext uri="{FF2B5EF4-FFF2-40B4-BE49-F238E27FC236}">
              <a16:creationId xmlns:a16="http://schemas.microsoft.com/office/drawing/2014/main" id="{0B8D84D4-5FC9-4C83-8804-5AF788267A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8" name="Elipse 5017">
          <a:extLst>
            <a:ext uri="{FF2B5EF4-FFF2-40B4-BE49-F238E27FC236}">
              <a16:creationId xmlns:a16="http://schemas.microsoft.com/office/drawing/2014/main" id="{6A2729D6-3913-46A9-9406-F64A6B59E2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9" name="Elipse 5018">
          <a:extLst>
            <a:ext uri="{FF2B5EF4-FFF2-40B4-BE49-F238E27FC236}">
              <a16:creationId xmlns:a16="http://schemas.microsoft.com/office/drawing/2014/main" id="{3006CEBF-9AA0-46DB-8EA5-FC1AA9E0E4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0" name="Elipse 5019">
          <a:extLst>
            <a:ext uri="{FF2B5EF4-FFF2-40B4-BE49-F238E27FC236}">
              <a16:creationId xmlns:a16="http://schemas.microsoft.com/office/drawing/2014/main" id="{07D7C391-89A7-4582-A4FD-E259D52F7D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1" name="Elipse 5020">
          <a:extLst>
            <a:ext uri="{FF2B5EF4-FFF2-40B4-BE49-F238E27FC236}">
              <a16:creationId xmlns:a16="http://schemas.microsoft.com/office/drawing/2014/main" id="{26B809DE-22FE-4163-97A2-E72854A56B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2" name="Elipse 5021">
          <a:extLst>
            <a:ext uri="{FF2B5EF4-FFF2-40B4-BE49-F238E27FC236}">
              <a16:creationId xmlns:a16="http://schemas.microsoft.com/office/drawing/2014/main" id="{92146A65-0D06-4662-972F-22700E204E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3" name="Elipse 5022">
          <a:extLst>
            <a:ext uri="{FF2B5EF4-FFF2-40B4-BE49-F238E27FC236}">
              <a16:creationId xmlns:a16="http://schemas.microsoft.com/office/drawing/2014/main" id="{6B21F1BD-9605-4CFB-A19F-E0137EF91B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4" name="Elipse 5023">
          <a:extLst>
            <a:ext uri="{FF2B5EF4-FFF2-40B4-BE49-F238E27FC236}">
              <a16:creationId xmlns:a16="http://schemas.microsoft.com/office/drawing/2014/main" id="{47C5EEB8-C2E5-43AC-973D-E06272439B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5" name="Elipse 5024">
          <a:extLst>
            <a:ext uri="{FF2B5EF4-FFF2-40B4-BE49-F238E27FC236}">
              <a16:creationId xmlns:a16="http://schemas.microsoft.com/office/drawing/2014/main" id="{4ECDF5FE-9FAD-4BC7-A3D7-F4D7989382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6" name="Elipse 5025">
          <a:extLst>
            <a:ext uri="{FF2B5EF4-FFF2-40B4-BE49-F238E27FC236}">
              <a16:creationId xmlns:a16="http://schemas.microsoft.com/office/drawing/2014/main" id="{849F7B6A-0278-4375-A002-A63D5DEA35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7" name="Elipse 5026">
          <a:extLst>
            <a:ext uri="{FF2B5EF4-FFF2-40B4-BE49-F238E27FC236}">
              <a16:creationId xmlns:a16="http://schemas.microsoft.com/office/drawing/2014/main" id="{3D95369D-DB0B-4A9D-8E06-4395D8ABA3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8" name="Elipse 5027">
          <a:extLst>
            <a:ext uri="{FF2B5EF4-FFF2-40B4-BE49-F238E27FC236}">
              <a16:creationId xmlns:a16="http://schemas.microsoft.com/office/drawing/2014/main" id="{E1C06467-00C2-42E1-BC64-7EFC20D078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9" name="Elipse 5028">
          <a:extLst>
            <a:ext uri="{FF2B5EF4-FFF2-40B4-BE49-F238E27FC236}">
              <a16:creationId xmlns:a16="http://schemas.microsoft.com/office/drawing/2014/main" id="{A5EA9E1E-C75A-4245-BB7D-B31BDB4CF7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0" name="Elipse 5029">
          <a:extLst>
            <a:ext uri="{FF2B5EF4-FFF2-40B4-BE49-F238E27FC236}">
              <a16:creationId xmlns:a16="http://schemas.microsoft.com/office/drawing/2014/main" id="{6A18A281-60C9-486C-82FE-14669C3F27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1" name="Elipse 5030">
          <a:extLst>
            <a:ext uri="{FF2B5EF4-FFF2-40B4-BE49-F238E27FC236}">
              <a16:creationId xmlns:a16="http://schemas.microsoft.com/office/drawing/2014/main" id="{4DE6CBE6-4645-440F-BA9A-201EC4FF10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2" name="Elipse 5031">
          <a:extLst>
            <a:ext uri="{FF2B5EF4-FFF2-40B4-BE49-F238E27FC236}">
              <a16:creationId xmlns:a16="http://schemas.microsoft.com/office/drawing/2014/main" id="{F6CD73B3-7E90-4837-B147-79B0DCFF3F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3" name="Elipse 5032">
          <a:extLst>
            <a:ext uri="{FF2B5EF4-FFF2-40B4-BE49-F238E27FC236}">
              <a16:creationId xmlns:a16="http://schemas.microsoft.com/office/drawing/2014/main" id="{38C76F5E-E854-44C6-BAC1-F5E8913C65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4" name="Elipse 5033">
          <a:extLst>
            <a:ext uri="{FF2B5EF4-FFF2-40B4-BE49-F238E27FC236}">
              <a16:creationId xmlns:a16="http://schemas.microsoft.com/office/drawing/2014/main" id="{0549477D-3D23-4170-8044-F5F40594DE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5" name="Elipse 5034">
          <a:extLst>
            <a:ext uri="{FF2B5EF4-FFF2-40B4-BE49-F238E27FC236}">
              <a16:creationId xmlns:a16="http://schemas.microsoft.com/office/drawing/2014/main" id="{8C147BC8-3DF6-441A-A6B0-798B76E98A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6" name="Elipse 5035">
          <a:extLst>
            <a:ext uri="{FF2B5EF4-FFF2-40B4-BE49-F238E27FC236}">
              <a16:creationId xmlns:a16="http://schemas.microsoft.com/office/drawing/2014/main" id="{4B3EC68A-F9C3-47E3-80FC-E3E66166F3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7" name="Elipse 5036">
          <a:extLst>
            <a:ext uri="{FF2B5EF4-FFF2-40B4-BE49-F238E27FC236}">
              <a16:creationId xmlns:a16="http://schemas.microsoft.com/office/drawing/2014/main" id="{746F6975-2FA4-4AA2-80CD-4FF92D1B50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8" name="Elipse 5037">
          <a:extLst>
            <a:ext uri="{FF2B5EF4-FFF2-40B4-BE49-F238E27FC236}">
              <a16:creationId xmlns:a16="http://schemas.microsoft.com/office/drawing/2014/main" id="{116058EA-E5D1-4207-8F2D-9815443CBA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9" name="Elipse 5038">
          <a:extLst>
            <a:ext uri="{FF2B5EF4-FFF2-40B4-BE49-F238E27FC236}">
              <a16:creationId xmlns:a16="http://schemas.microsoft.com/office/drawing/2014/main" id="{034ECB00-1C48-4962-B979-33C82D6F1D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0" name="Elipse 5039">
          <a:extLst>
            <a:ext uri="{FF2B5EF4-FFF2-40B4-BE49-F238E27FC236}">
              <a16:creationId xmlns:a16="http://schemas.microsoft.com/office/drawing/2014/main" id="{2CE12AD6-839D-4F34-BC0D-EB5D780F3D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1" name="Elipse 5040">
          <a:extLst>
            <a:ext uri="{FF2B5EF4-FFF2-40B4-BE49-F238E27FC236}">
              <a16:creationId xmlns:a16="http://schemas.microsoft.com/office/drawing/2014/main" id="{5FCF6A77-4F12-4F92-9612-3429DB19F2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2" name="Elipse 5041">
          <a:extLst>
            <a:ext uri="{FF2B5EF4-FFF2-40B4-BE49-F238E27FC236}">
              <a16:creationId xmlns:a16="http://schemas.microsoft.com/office/drawing/2014/main" id="{798CFDAB-8F90-4A65-BDBB-728BA8C55A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3" name="Elipse 5042">
          <a:extLst>
            <a:ext uri="{FF2B5EF4-FFF2-40B4-BE49-F238E27FC236}">
              <a16:creationId xmlns:a16="http://schemas.microsoft.com/office/drawing/2014/main" id="{5162D6A2-D63E-4047-8777-0712784CBB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4" name="Elipse 5043">
          <a:extLst>
            <a:ext uri="{FF2B5EF4-FFF2-40B4-BE49-F238E27FC236}">
              <a16:creationId xmlns:a16="http://schemas.microsoft.com/office/drawing/2014/main" id="{139DB58B-3F00-4C7F-A1FB-CAA443DB34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5" name="Elipse 5044">
          <a:extLst>
            <a:ext uri="{FF2B5EF4-FFF2-40B4-BE49-F238E27FC236}">
              <a16:creationId xmlns:a16="http://schemas.microsoft.com/office/drawing/2014/main" id="{1F0AE46B-5CD4-4490-9FF2-CC984E2F93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6" name="Elipse 5045">
          <a:extLst>
            <a:ext uri="{FF2B5EF4-FFF2-40B4-BE49-F238E27FC236}">
              <a16:creationId xmlns:a16="http://schemas.microsoft.com/office/drawing/2014/main" id="{C50AD0EE-BADE-4B16-A8E2-D5121C1EFF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7" name="Elipse 5046">
          <a:extLst>
            <a:ext uri="{FF2B5EF4-FFF2-40B4-BE49-F238E27FC236}">
              <a16:creationId xmlns:a16="http://schemas.microsoft.com/office/drawing/2014/main" id="{4919BCCC-0565-4F7B-B3E5-2018AF56D6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8" name="Elipse 5047">
          <a:extLst>
            <a:ext uri="{FF2B5EF4-FFF2-40B4-BE49-F238E27FC236}">
              <a16:creationId xmlns:a16="http://schemas.microsoft.com/office/drawing/2014/main" id="{CD1F0BF0-3F90-45A6-B665-29A974EF6F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9" name="Elipse 5048">
          <a:extLst>
            <a:ext uri="{FF2B5EF4-FFF2-40B4-BE49-F238E27FC236}">
              <a16:creationId xmlns:a16="http://schemas.microsoft.com/office/drawing/2014/main" id="{F274A3F8-C47D-45F9-8D72-19A1BA17D9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0" name="Elipse 5049">
          <a:extLst>
            <a:ext uri="{FF2B5EF4-FFF2-40B4-BE49-F238E27FC236}">
              <a16:creationId xmlns:a16="http://schemas.microsoft.com/office/drawing/2014/main" id="{081AE01D-8C06-4A79-B500-63E1BFD9E2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1" name="Elipse 5050">
          <a:extLst>
            <a:ext uri="{FF2B5EF4-FFF2-40B4-BE49-F238E27FC236}">
              <a16:creationId xmlns:a16="http://schemas.microsoft.com/office/drawing/2014/main" id="{EE181B9D-27F9-4F3F-A4D9-B94D1A29C3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2" name="Elipse 5051">
          <a:extLst>
            <a:ext uri="{FF2B5EF4-FFF2-40B4-BE49-F238E27FC236}">
              <a16:creationId xmlns:a16="http://schemas.microsoft.com/office/drawing/2014/main" id="{E500BA7F-32A8-475C-91C2-E87D1FCE10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3" name="Elipse 5052">
          <a:extLst>
            <a:ext uri="{FF2B5EF4-FFF2-40B4-BE49-F238E27FC236}">
              <a16:creationId xmlns:a16="http://schemas.microsoft.com/office/drawing/2014/main" id="{208D1866-806F-4366-9C21-E467B339E6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4" name="Elipse 5053">
          <a:extLst>
            <a:ext uri="{FF2B5EF4-FFF2-40B4-BE49-F238E27FC236}">
              <a16:creationId xmlns:a16="http://schemas.microsoft.com/office/drawing/2014/main" id="{21BF7275-C0AB-47B3-8040-299DF30FF6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5" name="Elipse 5054">
          <a:extLst>
            <a:ext uri="{FF2B5EF4-FFF2-40B4-BE49-F238E27FC236}">
              <a16:creationId xmlns:a16="http://schemas.microsoft.com/office/drawing/2014/main" id="{CD74CD05-4347-4CA9-9735-4B26368769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6" name="Elipse 5055">
          <a:extLst>
            <a:ext uri="{FF2B5EF4-FFF2-40B4-BE49-F238E27FC236}">
              <a16:creationId xmlns:a16="http://schemas.microsoft.com/office/drawing/2014/main" id="{3F06F719-3675-45CD-8969-24577FF43F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7" name="Elipse 5056">
          <a:extLst>
            <a:ext uri="{FF2B5EF4-FFF2-40B4-BE49-F238E27FC236}">
              <a16:creationId xmlns:a16="http://schemas.microsoft.com/office/drawing/2014/main" id="{732CEB7C-CF48-43B6-9705-04F6CA63CB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8" name="Elipse 5057">
          <a:extLst>
            <a:ext uri="{FF2B5EF4-FFF2-40B4-BE49-F238E27FC236}">
              <a16:creationId xmlns:a16="http://schemas.microsoft.com/office/drawing/2014/main" id="{D03356E7-125D-41D0-9A75-D2FBC13EAD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9" name="Elipse 5058">
          <a:extLst>
            <a:ext uri="{FF2B5EF4-FFF2-40B4-BE49-F238E27FC236}">
              <a16:creationId xmlns:a16="http://schemas.microsoft.com/office/drawing/2014/main" id="{607E7759-E7B3-4214-B520-68B5182E43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0" name="Elipse 5059">
          <a:extLst>
            <a:ext uri="{FF2B5EF4-FFF2-40B4-BE49-F238E27FC236}">
              <a16:creationId xmlns:a16="http://schemas.microsoft.com/office/drawing/2014/main" id="{30AB2BD3-32BB-43FE-9C51-F1BEA686B3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1" name="Elipse 5060">
          <a:extLst>
            <a:ext uri="{FF2B5EF4-FFF2-40B4-BE49-F238E27FC236}">
              <a16:creationId xmlns:a16="http://schemas.microsoft.com/office/drawing/2014/main" id="{D02F8747-846A-4B7E-A735-8C25D41EC9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2" name="Elipse 5061">
          <a:extLst>
            <a:ext uri="{FF2B5EF4-FFF2-40B4-BE49-F238E27FC236}">
              <a16:creationId xmlns:a16="http://schemas.microsoft.com/office/drawing/2014/main" id="{95C398AA-20ED-474A-9985-B3CD7276BA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3" name="Elipse 5062">
          <a:extLst>
            <a:ext uri="{FF2B5EF4-FFF2-40B4-BE49-F238E27FC236}">
              <a16:creationId xmlns:a16="http://schemas.microsoft.com/office/drawing/2014/main" id="{0F96306D-21DE-47AC-A2AB-CCEE5C3B4B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4" name="Elipse 5063">
          <a:extLst>
            <a:ext uri="{FF2B5EF4-FFF2-40B4-BE49-F238E27FC236}">
              <a16:creationId xmlns:a16="http://schemas.microsoft.com/office/drawing/2014/main" id="{7292B470-5536-4EEE-8A8D-0C531D5349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5" name="Elipse 5064">
          <a:extLst>
            <a:ext uri="{FF2B5EF4-FFF2-40B4-BE49-F238E27FC236}">
              <a16:creationId xmlns:a16="http://schemas.microsoft.com/office/drawing/2014/main" id="{7E2F6826-D2DB-49A5-8535-057DC0D8AB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6" name="Elipse 5065">
          <a:extLst>
            <a:ext uri="{FF2B5EF4-FFF2-40B4-BE49-F238E27FC236}">
              <a16:creationId xmlns:a16="http://schemas.microsoft.com/office/drawing/2014/main" id="{9E0D9E2F-5F30-4340-8A2E-0CB1C4133A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7" name="Elipse 5066">
          <a:extLst>
            <a:ext uri="{FF2B5EF4-FFF2-40B4-BE49-F238E27FC236}">
              <a16:creationId xmlns:a16="http://schemas.microsoft.com/office/drawing/2014/main" id="{3F5FF227-D9BE-42DF-B3FD-1286EE4393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8" name="Elipse 5067">
          <a:extLst>
            <a:ext uri="{FF2B5EF4-FFF2-40B4-BE49-F238E27FC236}">
              <a16:creationId xmlns:a16="http://schemas.microsoft.com/office/drawing/2014/main" id="{711C8B1A-CEEA-4CB2-8A20-75C585F972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9" name="Elipse 5068">
          <a:extLst>
            <a:ext uri="{FF2B5EF4-FFF2-40B4-BE49-F238E27FC236}">
              <a16:creationId xmlns:a16="http://schemas.microsoft.com/office/drawing/2014/main" id="{48446E58-6C19-4EA3-9C6F-7A7888DA35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0" name="Elipse 5069">
          <a:extLst>
            <a:ext uri="{FF2B5EF4-FFF2-40B4-BE49-F238E27FC236}">
              <a16:creationId xmlns:a16="http://schemas.microsoft.com/office/drawing/2014/main" id="{508EA59E-CEEF-47FE-8287-164AF723BA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1" name="Elipse 5070">
          <a:extLst>
            <a:ext uri="{FF2B5EF4-FFF2-40B4-BE49-F238E27FC236}">
              <a16:creationId xmlns:a16="http://schemas.microsoft.com/office/drawing/2014/main" id="{1C791C20-2553-4F3B-ADE5-BFE56D2600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2" name="Elipse 5071">
          <a:extLst>
            <a:ext uri="{FF2B5EF4-FFF2-40B4-BE49-F238E27FC236}">
              <a16:creationId xmlns:a16="http://schemas.microsoft.com/office/drawing/2014/main" id="{2FA078F4-8148-4B65-8F39-39F79B45B3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3" name="Elipse 5072">
          <a:extLst>
            <a:ext uri="{FF2B5EF4-FFF2-40B4-BE49-F238E27FC236}">
              <a16:creationId xmlns:a16="http://schemas.microsoft.com/office/drawing/2014/main" id="{E4AE3B29-FC11-431A-8124-D05DEC33F7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4" name="Elipse 5073">
          <a:extLst>
            <a:ext uri="{FF2B5EF4-FFF2-40B4-BE49-F238E27FC236}">
              <a16:creationId xmlns:a16="http://schemas.microsoft.com/office/drawing/2014/main" id="{580FDE98-1886-475C-AA63-8E707CC92A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5" name="Elipse 5074">
          <a:extLst>
            <a:ext uri="{FF2B5EF4-FFF2-40B4-BE49-F238E27FC236}">
              <a16:creationId xmlns:a16="http://schemas.microsoft.com/office/drawing/2014/main" id="{1A8F17B8-928B-4453-AF27-3EF3DE0577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6" name="Elipse 5075">
          <a:extLst>
            <a:ext uri="{FF2B5EF4-FFF2-40B4-BE49-F238E27FC236}">
              <a16:creationId xmlns:a16="http://schemas.microsoft.com/office/drawing/2014/main" id="{7B0E0C10-74A2-4FEA-BC66-0A2A14E5CE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7" name="Elipse 5076">
          <a:extLst>
            <a:ext uri="{FF2B5EF4-FFF2-40B4-BE49-F238E27FC236}">
              <a16:creationId xmlns:a16="http://schemas.microsoft.com/office/drawing/2014/main" id="{1F75205D-F8D8-43F9-BA66-AA609F9A8A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8" name="Elipse 5077">
          <a:extLst>
            <a:ext uri="{FF2B5EF4-FFF2-40B4-BE49-F238E27FC236}">
              <a16:creationId xmlns:a16="http://schemas.microsoft.com/office/drawing/2014/main" id="{0B25B377-4B9D-402D-8EB8-048E6F8843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9" name="Elipse 5078">
          <a:extLst>
            <a:ext uri="{FF2B5EF4-FFF2-40B4-BE49-F238E27FC236}">
              <a16:creationId xmlns:a16="http://schemas.microsoft.com/office/drawing/2014/main" id="{DBF3D066-60E8-4ADE-8B12-30F4A09ED9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0" name="Elipse 5079">
          <a:extLst>
            <a:ext uri="{FF2B5EF4-FFF2-40B4-BE49-F238E27FC236}">
              <a16:creationId xmlns:a16="http://schemas.microsoft.com/office/drawing/2014/main" id="{7DB76160-E83F-40BB-A76A-2C219D8CF9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1" name="Elipse 5080">
          <a:extLst>
            <a:ext uri="{FF2B5EF4-FFF2-40B4-BE49-F238E27FC236}">
              <a16:creationId xmlns:a16="http://schemas.microsoft.com/office/drawing/2014/main" id="{D66389E7-7275-456F-BB8B-EE3C2D041C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2" name="Elipse 5081">
          <a:extLst>
            <a:ext uri="{FF2B5EF4-FFF2-40B4-BE49-F238E27FC236}">
              <a16:creationId xmlns:a16="http://schemas.microsoft.com/office/drawing/2014/main" id="{C87FB736-FE7F-42CC-9849-1DBD50E7F7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3" name="Elipse 5082">
          <a:extLst>
            <a:ext uri="{FF2B5EF4-FFF2-40B4-BE49-F238E27FC236}">
              <a16:creationId xmlns:a16="http://schemas.microsoft.com/office/drawing/2014/main" id="{8C6180F1-6E8D-4095-8423-02ACA95A15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4" name="Elipse 5083">
          <a:extLst>
            <a:ext uri="{FF2B5EF4-FFF2-40B4-BE49-F238E27FC236}">
              <a16:creationId xmlns:a16="http://schemas.microsoft.com/office/drawing/2014/main" id="{DF7BE0D5-5898-4FBE-B8F5-DEEF680517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5" name="Elipse 5084">
          <a:extLst>
            <a:ext uri="{FF2B5EF4-FFF2-40B4-BE49-F238E27FC236}">
              <a16:creationId xmlns:a16="http://schemas.microsoft.com/office/drawing/2014/main" id="{5099F926-4546-4CA2-8F19-1E222948AC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6" name="Elipse 5085">
          <a:extLst>
            <a:ext uri="{FF2B5EF4-FFF2-40B4-BE49-F238E27FC236}">
              <a16:creationId xmlns:a16="http://schemas.microsoft.com/office/drawing/2014/main" id="{690705E8-0BB6-42DF-B5BB-7D2782F484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7" name="Elipse 5086">
          <a:extLst>
            <a:ext uri="{FF2B5EF4-FFF2-40B4-BE49-F238E27FC236}">
              <a16:creationId xmlns:a16="http://schemas.microsoft.com/office/drawing/2014/main" id="{2468FA9C-B01C-41C9-967C-A197E977CA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8" name="Elipse 5087">
          <a:extLst>
            <a:ext uri="{FF2B5EF4-FFF2-40B4-BE49-F238E27FC236}">
              <a16:creationId xmlns:a16="http://schemas.microsoft.com/office/drawing/2014/main" id="{59D51A4A-F8AA-4ED5-B104-60D45D06BF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9" name="Elipse 5088">
          <a:extLst>
            <a:ext uri="{FF2B5EF4-FFF2-40B4-BE49-F238E27FC236}">
              <a16:creationId xmlns:a16="http://schemas.microsoft.com/office/drawing/2014/main" id="{19AB5CBB-C896-43CE-80BF-5950C9B565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0" name="Elipse 5089">
          <a:extLst>
            <a:ext uri="{FF2B5EF4-FFF2-40B4-BE49-F238E27FC236}">
              <a16:creationId xmlns:a16="http://schemas.microsoft.com/office/drawing/2014/main" id="{4CE17C88-3398-406C-B158-2CDF10E25B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1" name="Elipse 5090">
          <a:extLst>
            <a:ext uri="{FF2B5EF4-FFF2-40B4-BE49-F238E27FC236}">
              <a16:creationId xmlns:a16="http://schemas.microsoft.com/office/drawing/2014/main" id="{D9D0D75F-FF7C-4BA4-A42B-5251529AF0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2" name="Elipse 5091">
          <a:extLst>
            <a:ext uri="{FF2B5EF4-FFF2-40B4-BE49-F238E27FC236}">
              <a16:creationId xmlns:a16="http://schemas.microsoft.com/office/drawing/2014/main" id="{9B54A46F-592E-4DA8-9F8D-F550F41E12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3" name="Elipse 5092">
          <a:extLst>
            <a:ext uri="{FF2B5EF4-FFF2-40B4-BE49-F238E27FC236}">
              <a16:creationId xmlns:a16="http://schemas.microsoft.com/office/drawing/2014/main" id="{3817967F-5692-4C5F-B685-29D73CF238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4" name="Elipse 5093">
          <a:extLst>
            <a:ext uri="{FF2B5EF4-FFF2-40B4-BE49-F238E27FC236}">
              <a16:creationId xmlns:a16="http://schemas.microsoft.com/office/drawing/2014/main" id="{6363049B-C09A-489F-88D9-A1C367E22D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5" name="Elipse 5094">
          <a:extLst>
            <a:ext uri="{FF2B5EF4-FFF2-40B4-BE49-F238E27FC236}">
              <a16:creationId xmlns:a16="http://schemas.microsoft.com/office/drawing/2014/main" id="{34D99DE3-2A72-41E2-8974-18BDCDB156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6" name="Elipse 5095">
          <a:extLst>
            <a:ext uri="{FF2B5EF4-FFF2-40B4-BE49-F238E27FC236}">
              <a16:creationId xmlns:a16="http://schemas.microsoft.com/office/drawing/2014/main" id="{0111F3F1-A292-4E88-A7FC-23C4C69792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7" name="Elipse 5096">
          <a:extLst>
            <a:ext uri="{FF2B5EF4-FFF2-40B4-BE49-F238E27FC236}">
              <a16:creationId xmlns:a16="http://schemas.microsoft.com/office/drawing/2014/main" id="{E53B3090-2F97-412B-8FBC-2EC33D94BC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8" name="Elipse 5097">
          <a:extLst>
            <a:ext uri="{FF2B5EF4-FFF2-40B4-BE49-F238E27FC236}">
              <a16:creationId xmlns:a16="http://schemas.microsoft.com/office/drawing/2014/main" id="{0C75D032-E2B0-49B2-8949-2CE1BBCA58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9" name="Elipse 5098">
          <a:extLst>
            <a:ext uri="{FF2B5EF4-FFF2-40B4-BE49-F238E27FC236}">
              <a16:creationId xmlns:a16="http://schemas.microsoft.com/office/drawing/2014/main" id="{8281EC14-CCBD-4377-AB7F-E95F370EBF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0" name="Elipse 5099">
          <a:extLst>
            <a:ext uri="{FF2B5EF4-FFF2-40B4-BE49-F238E27FC236}">
              <a16:creationId xmlns:a16="http://schemas.microsoft.com/office/drawing/2014/main" id="{5196C74E-2EC1-4AD8-80EA-A9022D5CFC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1" name="Elipse 5100">
          <a:extLst>
            <a:ext uri="{FF2B5EF4-FFF2-40B4-BE49-F238E27FC236}">
              <a16:creationId xmlns:a16="http://schemas.microsoft.com/office/drawing/2014/main" id="{7CF25783-3384-4F99-AF14-06A114CAF3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2" name="Elipse 5101">
          <a:extLst>
            <a:ext uri="{FF2B5EF4-FFF2-40B4-BE49-F238E27FC236}">
              <a16:creationId xmlns:a16="http://schemas.microsoft.com/office/drawing/2014/main" id="{4CBB8345-B0D8-45B2-899E-09AE250C50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3" name="Elipse 5102">
          <a:extLst>
            <a:ext uri="{FF2B5EF4-FFF2-40B4-BE49-F238E27FC236}">
              <a16:creationId xmlns:a16="http://schemas.microsoft.com/office/drawing/2014/main" id="{01F053B3-B757-4FED-9F06-BA314C1BB7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4" name="Elipse 5103">
          <a:extLst>
            <a:ext uri="{FF2B5EF4-FFF2-40B4-BE49-F238E27FC236}">
              <a16:creationId xmlns:a16="http://schemas.microsoft.com/office/drawing/2014/main" id="{37A8711D-8D94-4647-BDAF-FBE2A1E8ED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5" name="Elipse 5104">
          <a:extLst>
            <a:ext uri="{FF2B5EF4-FFF2-40B4-BE49-F238E27FC236}">
              <a16:creationId xmlns:a16="http://schemas.microsoft.com/office/drawing/2014/main" id="{434E8456-A4E5-4432-8E34-2AB9708687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6" name="Elipse 5105">
          <a:extLst>
            <a:ext uri="{FF2B5EF4-FFF2-40B4-BE49-F238E27FC236}">
              <a16:creationId xmlns:a16="http://schemas.microsoft.com/office/drawing/2014/main" id="{B9729D19-1D7B-4155-8D8C-F7102696FA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7" name="Elipse 5106">
          <a:extLst>
            <a:ext uri="{FF2B5EF4-FFF2-40B4-BE49-F238E27FC236}">
              <a16:creationId xmlns:a16="http://schemas.microsoft.com/office/drawing/2014/main" id="{54B3B788-A2C9-43EF-9149-73D60E34FA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8" name="Elipse 5107">
          <a:extLst>
            <a:ext uri="{FF2B5EF4-FFF2-40B4-BE49-F238E27FC236}">
              <a16:creationId xmlns:a16="http://schemas.microsoft.com/office/drawing/2014/main" id="{A9DE1F16-295A-433B-B344-ECC3B5682C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9" name="Elipse 5108">
          <a:extLst>
            <a:ext uri="{FF2B5EF4-FFF2-40B4-BE49-F238E27FC236}">
              <a16:creationId xmlns:a16="http://schemas.microsoft.com/office/drawing/2014/main" id="{F27EBEF0-E73D-4D0E-A9D3-41B0EE9EFC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0" name="Elipse 5109">
          <a:extLst>
            <a:ext uri="{FF2B5EF4-FFF2-40B4-BE49-F238E27FC236}">
              <a16:creationId xmlns:a16="http://schemas.microsoft.com/office/drawing/2014/main" id="{2A5C4B0C-8306-4FF0-9386-44C8B95376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1" name="Elipse 5110">
          <a:extLst>
            <a:ext uri="{FF2B5EF4-FFF2-40B4-BE49-F238E27FC236}">
              <a16:creationId xmlns:a16="http://schemas.microsoft.com/office/drawing/2014/main" id="{6F8BF234-F1DD-4157-BC30-3D52E84B53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2" name="Elipse 5111">
          <a:extLst>
            <a:ext uri="{FF2B5EF4-FFF2-40B4-BE49-F238E27FC236}">
              <a16:creationId xmlns:a16="http://schemas.microsoft.com/office/drawing/2014/main" id="{34A10061-023A-4F98-B6C8-D3B5139249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3" name="Elipse 5112">
          <a:extLst>
            <a:ext uri="{FF2B5EF4-FFF2-40B4-BE49-F238E27FC236}">
              <a16:creationId xmlns:a16="http://schemas.microsoft.com/office/drawing/2014/main" id="{442379EE-6275-4113-B1CB-76A6D19C87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4" name="Elipse 5113">
          <a:extLst>
            <a:ext uri="{FF2B5EF4-FFF2-40B4-BE49-F238E27FC236}">
              <a16:creationId xmlns:a16="http://schemas.microsoft.com/office/drawing/2014/main" id="{CBE7B54A-A3A5-47C9-B6F2-B3D056668D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5" name="Elipse 5114">
          <a:extLst>
            <a:ext uri="{FF2B5EF4-FFF2-40B4-BE49-F238E27FC236}">
              <a16:creationId xmlns:a16="http://schemas.microsoft.com/office/drawing/2014/main" id="{8484CF5E-ADBF-4FCB-A103-5D46BBF58F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6" name="Elipse 5115">
          <a:extLst>
            <a:ext uri="{FF2B5EF4-FFF2-40B4-BE49-F238E27FC236}">
              <a16:creationId xmlns:a16="http://schemas.microsoft.com/office/drawing/2014/main" id="{F7FE1A8C-8B8B-4D45-A9ED-FF23215AAE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7" name="Elipse 5116">
          <a:extLst>
            <a:ext uri="{FF2B5EF4-FFF2-40B4-BE49-F238E27FC236}">
              <a16:creationId xmlns:a16="http://schemas.microsoft.com/office/drawing/2014/main" id="{59FDA91F-BE4A-4BB7-82C9-FE77EFD312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8" name="Elipse 5117">
          <a:extLst>
            <a:ext uri="{FF2B5EF4-FFF2-40B4-BE49-F238E27FC236}">
              <a16:creationId xmlns:a16="http://schemas.microsoft.com/office/drawing/2014/main" id="{5C955E70-BB48-4455-A091-CFFCCDDAAF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9" name="Elipse 5118">
          <a:extLst>
            <a:ext uri="{FF2B5EF4-FFF2-40B4-BE49-F238E27FC236}">
              <a16:creationId xmlns:a16="http://schemas.microsoft.com/office/drawing/2014/main" id="{68847E61-FD50-4C71-98A8-F284A111A3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0" name="Elipse 5119">
          <a:extLst>
            <a:ext uri="{FF2B5EF4-FFF2-40B4-BE49-F238E27FC236}">
              <a16:creationId xmlns:a16="http://schemas.microsoft.com/office/drawing/2014/main" id="{76DC87E0-B91C-4BF2-9674-4D02EAE1AD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1" name="Elipse 5120">
          <a:extLst>
            <a:ext uri="{FF2B5EF4-FFF2-40B4-BE49-F238E27FC236}">
              <a16:creationId xmlns:a16="http://schemas.microsoft.com/office/drawing/2014/main" id="{67D5FF16-731D-406E-A38F-51D2E79354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2" name="Elipse 5121">
          <a:extLst>
            <a:ext uri="{FF2B5EF4-FFF2-40B4-BE49-F238E27FC236}">
              <a16:creationId xmlns:a16="http://schemas.microsoft.com/office/drawing/2014/main" id="{0EC6A12E-76A6-4B4E-9FFA-DA0E391465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3" name="Elipse 5122">
          <a:extLst>
            <a:ext uri="{FF2B5EF4-FFF2-40B4-BE49-F238E27FC236}">
              <a16:creationId xmlns:a16="http://schemas.microsoft.com/office/drawing/2014/main" id="{1DE65D2E-A175-4320-ACDE-29D0B016B3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4" name="Elipse 5123">
          <a:extLst>
            <a:ext uri="{FF2B5EF4-FFF2-40B4-BE49-F238E27FC236}">
              <a16:creationId xmlns:a16="http://schemas.microsoft.com/office/drawing/2014/main" id="{66E8AACD-6CDD-43B3-BD84-7B6C4A81B3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5" name="Elipse 5124">
          <a:extLst>
            <a:ext uri="{FF2B5EF4-FFF2-40B4-BE49-F238E27FC236}">
              <a16:creationId xmlns:a16="http://schemas.microsoft.com/office/drawing/2014/main" id="{D40E8E39-4C97-4D68-99D4-A18D93A7C9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6" name="Elipse 5125">
          <a:extLst>
            <a:ext uri="{FF2B5EF4-FFF2-40B4-BE49-F238E27FC236}">
              <a16:creationId xmlns:a16="http://schemas.microsoft.com/office/drawing/2014/main" id="{DA491393-E8EE-4F67-90FA-FC3F990AD4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7" name="Elipse 5126">
          <a:extLst>
            <a:ext uri="{FF2B5EF4-FFF2-40B4-BE49-F238E27FC236}">
              <a16:creationId xmlns:a16="http://schemas.microsoft.com/office/drawing/2014/main" id="{BE211E51-7828-45B4-B599-EB726B1354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8" name="Elipse 5127">
          <a:extLst>
            <a:ext uri="{FF2B5EF4-FFF2-40B4-BE49-F238E27FC236}">
              <a16:creationId xmlns:a16="http://schemas.microsoft.com/office/drawing/2014/main" id="{B3E3EAD5-3D20-4E74-B46B-A5525C3AB2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9" name="Elipse 5128">
          <a:extLst>
            <a:ext uri="{FF2B5EF4-FFF2-40B4-BE49-F238E27FC236}">
              <a16:creationId xmlns:a16="http://schemas.microsoft.com/office/drawing/2014/main" id="{77A00A14-D037-42CF-BADA-919C6A4111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0" name="Elipse 5129">
          <a:extLst>
            <a:ext uri="{FF2B5EF4-FFF2-40B4-BE49-F238E27FC236}">
              <a16:creationId xmlns:a16="http://schemas.microsoft.com/office/drawing/2014/main" id="{73E5C50D-4119-4295-85A7-326BEA3095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1" name="Elipse 5130">
          <a:extLst>
            <a:ext uri="{FF2B5EF4-FFF2-40B4-BE49-F238E27FC236}">
              <a16:creationId xmlns:a16="http://schemas.microsoft.com/office/drawing/2014/main" id="{6AD95CEA-B6BD-4AC4-B806-EBB401EB1C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2" name="Elipse 5131">
          <a:extLst>
            <a:ext uri="{FF2B5EF4-FFF2-40B4-BE49-F238E27FC236}">
              <a16:creationId xmlns:a16="http://schemas.microsoft.com/office/drawing/2014/main" id="{63642BE7-A2DC-4CE4-AB64-0CE6B8BAB8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3" name="Elipse 5132">
          <a:extLst>
            <a:ext uri="{FF2B5EF4-FFF2-40B4-BE49-F238E27FC236}">
              <a16:creationId xmlns:a16="http://schemas.microsoft.com/office/drawing/2014/main" id="{D8955E6E-5C51-4EA5-9A99-E452E86AFB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4" name="Elipse 5133">
          <a:extLst>
            <a:ext uri="{FF2B5EF4-FFF2-40B4-BE49-F238E27FC236}">
              <a16:creationId xmlns:a16="http://schemas.microsoft.com/office/drawing/2014/main" id="{183D0C40-E8DD-4CA0-BD99-98372A52CF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5" name="Elipse 5134">
          <a:extLst>
            <a:ext uri="{FF2B5EF4-FFF2-40B4-BE49-F238E27FC236}">
              <a16:creationId xmlns:a16="http://schemas.microsoft.com/office/drawing/2014/main" id="{C7B8A92F-C20E-4CEE-BC9B-3FAD73DB3D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6" name="Elipse 5135">
          <a:extLst>
            <a:ext uri="{FF2B5EF4-FFF2-40B4-BE49-F238E27FC236}">
              <a16:creationId xmlns:a16="http://schemas.microsoft.com/office/drawing/2014/main" id="{3FF4856C-FB2B-49B6-A778-3D23276085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7" name="Elipse 5136">
          <a:extLst>
            <a:ext uri="{FF2B5EF4-FFF2-40B4-BE49-F238E27FC236}">
              <a16:creationId xmlns:a16="http://schemas.microsoft.com/office/drawing/2014/main" id="{DAA46C59-1E99-4266-9931-5F3BF73327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8" name="Elipse 5137">
          <a:extLst>
            <a:ext uri="{FF2B5EF4-FFF2-40B4-BE49-F238E27FC236}">
              <a16:creationId xmlns:a16="http://schemas.microsoft.com/office/drawing/2014/main" id="{0A319CA4-5C5B-412F-8BE3-FBCC04C48A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9" name="Elipse 5138">
          <a:extLst>
            <a:ext uri="{FF2B5EF4-FFF2-40B4-BE49-F238E27FC236}">
              <a16:creationId xmlns:a16="http://schemas.microsoft.com/office/drawing/2014/main" id="{B561B72B-23B6-418C-AE3B-698480F60D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0" name="Elipse 5139">
          <a:extLst>
            <a:ext uri="{FF2B5EF4-FFF2-40B4-BE49-F238E27FC236}">
              <a16:creationId xmlns:a16="http://schemas.microsoft.com/office/drawing/2014/main" id="{C391C410-291E-48CA-8132-2FF8219826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1" name="Elipse 5140">
          <a:extLst>
            <a:ext uri="{FF2B5EF4-FFF2-40B4-BE49-F238E27FC236}">
              <a16:creationId xmlns:a16="http://schemas.microsoft.com/office/drawing/2014/main" id="{99BE28F1-EC1E-4740-9ED9-C5B1BBDC03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2" name="Elipse 5141">
          <a:extLst>
            <a:ext uri="{FF2B5EF4-FFF2-40B4-BE49-F238E27FC236}">
              <a16:creationId xmlns:a16="http://schemas.microsoft.com/office/drawing/2014/main" id="{9D6214E5-0DE6-4960-AFAE-7768343FED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3" name="Elipse 5142">
          <a:extLst>
            <a:ext uri="{FF2B5EF4-FFF2-40B4-BE49-F238E27FC236}">
              <a16:creationId xmlns:a16="http://schemas.microsoft.com/office/drawing/2014/main" id="{11ACF5BE-731B-4ABF-9BBE-FE55EDEFB6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4" name="Elipse 5143">
          <a:extLst>
            <a:ext uri="{FF2B5EF4-FFF2-40B4-BE49-F238E27FC236}">
              <a16:creationId xmlns:a16="http://schemas.microsoft.com/office/drawing/2014/main" id="{83EDD14B-2266-475B-AC9E-988D1CCFE9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5" name="Elipse 5144">
          <a:extLst>
            <a:ext uri="{FF2B5EF4-FFF2-40B4-BE49-F238E27FC236}">
              <a16:creationId xmlns:a16="http://schemas.microsoft.com/office/drawing/2014/main" id="{802D7702-C8C2-4C18-A63C-F26E8140FB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6" name="Elipse 5145">
          <a:extLst>
            <a:ext uri="{FF2B5EF4-FFF2-40B4-BE49-F238E27FC236}">
              <a16:creationId xmlns:a16="http://schemas.microsoft.com/office/drawing/2014/main" id="{FC491AA4-D08B-4027-A934-3493381A53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7" name="Elipse 5146">
          <a:extLst>
            <a:ext uri="{FF2B5EF4-FFF2-40B4-BE49-F238E27FC236}">
              <a16:creationId xmlns:a16="http://schemas.microsoft.com/office/drawing/2014/main" id="{F0183FBE-4F54-4201-8B97-013D6F1D9C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8" name="Elipse 5147">
          <a:extLst>
            <a:ext uri="{FF2B5EF4-FFF2-40B4-BE49-F238E27FC236}">
              <a16:creationId xmlns:a16="http://schemas.microsoft.com/office/drawing/2014/main" id="{B92544DF-B782-4F17-9924-1E2243F38D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9" name="Elipse 5148">
          <a:extLst>
            <a:ext uri="{FF2B5EF4-FFF2-40B4-BE49-F238E27FC236}">
              <a16:creationId xmlns:a16="http://schemas.microsoft.com/office/drawing/2014/main" id="{D702E988-8DD8-4F8F-A145-CC39B7C0F3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0" name="Elipse 5149">
          <a:extLst>
            <a:ext uri="{FF2B5EF4-FFF2-40B4-BE49-F238E27FC236}">
              <a16:creationId xmlns:a16="http://schemas.microsoft.com/office/drawing/2014/main" id="{79CC5257-9C8E-46B7-AF59-E077466F5E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1" name="Elipse 5150">
          <a:extLst>
            <a:ext uri="{FF2B5EF4-FFF2-40B4-BE49-F238E27FC236}">
              <a16:creationId xmlns:a16="http://schemas.microsoft.com/office/drawing/2014/main" id="{52AA38F9-FF7E-478B-95E2-2F02138562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2" name="Elipse 5151">
          <a:extLst>
            <a:ext uri="{FF2B5EF4-FFF2-40B4-BE49-F238E27FC236}">
              <a16:creationId xmlns:a16="http://schemas.microsoft.com/office/drawing/2014/main" id="{42FFD4BA-B667-42EB-9FED-8042103309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3" name="Elipse 5152">
          <a:extLst>
            <a:ext uri="{FF2B5EF4-FFF2-40B4-BE49-F238E27FC236}">
              <a16:creationId xmlns:a16="http://schemas.microsoft.com/office/drawing/2014/main" id="{0D203C64-AADA-44AF-AE04-971C6D515B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4" name="Elipse 5153">
          <a:extLst>
            <a:ext uri="{FF2B5EF4-FFF2-40B4-BE49-F238E27FC236}">
              <a16:creationId xmlns:a16="http://schemas.microsoft.com/office/drawing/2014/main" id="{7ACD85BE-B972-43DC-A26A-43F3011A5B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5" name="Elipse 5154">
          <a:extLst>
            <a:ext uri="{FF2B5EF4-FFF2-40B4-BE49-F238E27FC236}">
              <a16:creationId xmlns:a16="http://schemas.microsoft.com/office/drawing/2014/main" id="{20A1E3D5-E650-419B-946C-7291AB1C86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6" name="Elipse 5155">
          <a:extLst>
            <a:ext uri="{FF2B5EF4-FFF2-40B4-BE49-F238E27FC236}">
              <a16:creationId xmlns:a16="http://schemas.microsoft.com/office/drawing/2014/main" id="{4A8851A8-E606-4A96-B3D0-BE2409B45B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7" name="Elipse 5156">
          <a:extLst>
            <a:ext uri="{FF2B5EF4-FFF2-40B4-BE49-F238E27FC236}">
              <a16:creationId xmlns:a16="http://schemas.microsoft.com/office/drawing/2014/main" id="{5BCDE7D3-4266-4289-A843-BC348C57D2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8" name="Elipse 5157">
          <a:extLst>
            <a:ext uri="{FF2B5EF4-FFF2-40B4-BE49-F238E27FC236}">
              <a16:creationId xmlns:a16="http://schemas.microsoft.com/office/drawing/2014/main" id="{C011286D-966B-408B-88A1-BF54917549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9" name="Elipse 5158">
          <a:extLst>
            <a:ext uri="{FF2B5EF4-FFF2-40B4-BE49-F238E27FC236}">
              <a16:creationId xmlns:a16="http://schemas.microsoft.com/office/drawing/2014/main" id="{1096243A-7CD0-4C28-9AE3-B8C91CE7E1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0" name="Elipse 5159">
          <a:extLst>
            <a:ext uri="{FF2B5EF4-FFF2-40B4-BE49-F238E27FC236}">
              <a16:creationId xmlns:a16="http://schemas.microsoft.com/office/drawing/2014/main" id="{0B0FAB32-FF44-49DA-BA33-2F89B648E5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1" name="Elipse 5160">
          <a:extLst>
            <a:ext uri="{FF2B5EF4-FFF2-40B4-BE49-F238E27FC236}">
              <a16:creationId xmlns:a16="http://schemas.microsoft.com/office/drawing/2014/main" id="{872D9AF0-A7AF-4390-BF54-5A974F0ECC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2" name="Elipse 5161">
          <a:extLst>
            <a:ext uri="{FF2B5EF4-FFF2-40B4-BE49-F238E27FC236}">
              <a16:creationId xmlns:a16="http://schemas.microsoft.com/office/drawing/2014/main" id="{126E16C6-278C-43B0-9B95-C04F4CC09E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3" name="Elipse 5162">
          <a:extLst>
            <a:ext uri="{FF2B5EF4-FFF2-40B4-BE49-F238E27FC236}">
              <a16:creationId xmlns:a16="http://schemas.microsoft.com/office/drawing/2014/main" id="{DE7ADEC3-B708-475D-92D7-BECB56393C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4" name="Elipse 5163">
          <a:extLst>
            <a:ext uri="{FF2B5EF4-FFF2-40B4-BE49-F238E27FC236}">
              <a16:creationId xmlns:a16="http://schemas.microsoft.com/office/drawing/2014/main" id="{3A856371-C839-46C3-A67C-CC5432EC49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5" name="Elipse 5164">
          <a:extLst>
            <a:ext uri="{FF2B5EF4-FFF2-40B4-BE49-F238E27FC236}">
              <a16:creationId xmlns:a16="http://schemas.microsoft.com/office/drawing/2014/main" id="{CB3165EA-E5E3-4BF0-968C-B3A9DE0AD7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6" name="Elipse 5165">
          <a:extLst>
            <a:ext uri="{FF2B5EF4-FFF2-40B4-BE49-F238E27FC236}">
              <a16:creationId xmlns:a16="http://schemas.microsoft.com/office/drawing/2014/main" id="{E4E0A7C1-83BB-4FB5-8EBA-FA4B3E42E2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7" name="Elipse 5166">
          <a:extLst>
            <a:ext uri="{FF2B5EF4-FFF2-40B4-BE49-F238E27FC236}">
              <a16:creationId xmlns:a16="http://schemas.microsoft.com/office/drawing/2014/main" id="{F6E94FC0-8F5D-4B35-BC61-83A6A8425C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8" name="Elipse 5167">
          <a:extLst>
            <a:ext uri="{FF2B5EF4-FFF2-40B4-BE49-F238E27FC236}">
              <a16:creationId xmlns:a16="http://schemas.microsoft.com/office/drawing/2014/main" id="{603CE3B9-EFE5-40AC-90BB-C0F206D528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9" name="Elipse 5168">
          <a:extLst>
            <a:ext uri="{FF2B5EF4-FFF2-40B4-BE49-F238E27FC236}">
              <a16:creationId xmlns:a16="http://schemas.microsoft.com/office/drawing/2014/main" id="{C7A9E4CA-82BB-453A-8E9A-BA2B4FBBA7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0" name="Elipse 5169">
          <a:extLst>
            <a:ext uri="{FF2B5EF4-FFF2-40B4-BE49-F238E27FC236}">
              <a16:creationId xmlns:a16="http://schemas.microsoft.com/office/drawing/2014/main" id="{FE7D2254-446B-42E1-B4DA-43DE2A8B7D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1" name="Elipse 5170">
          <a:extLst>
            <a:ext uri="{FF2B5EF4-FFF2-40B4-BE49-F238E27FC236}">
              <a16:creationId xmlns:a16="http://schemas.microsoft.com/office/drawing/2014/main" id="{E1DE5724-E5D7-4A11-8FE2-440F97606E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2" name="Elipse 5171">
          <a:extLst>
            <a:ext uri="{FF2B5EF4-FFF2-40B4-BE49-F238E27FC236}">
              <a16:creationId xmlns:a16="http://schemas.microsoft.com/office/drawing/2014/main" id="{1C5783B5-4F86-40AE-9C25-B981C387D6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3" name="Elipse 5172">
          <a:extLst>
            <a:ext uri="{FF2B5EF4-FFF2-40B4-BE49-F238E27FC236}">
              <a16:creationId xmlns:a16="http://schemas.microsoft.com/office/drawing/2014/main" id="{887783AC-19E7-450C-9441-E78DCE1EAF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4" name="Elipse 5173">
          <a:extLst>
            <a:ext uri="{FF2B5EF4-FFF2-40B4-BE49-F238E27FC236}">
              <a16:creationId xmlns:a16="http://schemas.microsoft.com/office/drawing/2014/main" id="{7AB46754-8671-411B-A763-355D597B0C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5" name="Elipse 5174">
          <a:extLst>
            <a:ext uri="{FF2B5EF4-FFF2-40B4-BE49-F238E27FC236}">
              <a16:creationId xmlns:a16="http://schemas.microsoft.com/office/drawing/2014/main" id="{F5D88D62-482D-4732-BC88-F84A29446B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6" name="Elipse 5175">
          <a:extLst>
            <a:ext uri="{FF2B5EF4-FFF2-40B4-BE49-F238E27FC236}">
              <a16:creationId xmlns:a16="http://schemas.microsoft.com/office/drawing/2014/main" id="{0B1DCD83-8CB1-4B9F-8D0F-B7DDA4977D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7" name="Elipse 5176">
          <a:extLst>
            <a:ext uri="{FF2B5EF4-FFF2-40B4-BE49-F238E27FC236}">
              <a16:creationId xmlns:a16="http://schemas.microsoft.com/office/drawing/2014/main" id="{8175CA48-68EB-437F-80FE-79DE7033BE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8" name="Elipse 5177">
          <a:extLst>
            <a:ext uri="{FF2B5EF4-FFF2-40B4-BE49-F238E27FC236}">
              <a16:creationId xmlns:a16="http://schemas.microsoft.com/office/drawing/2014/main" id="{EE750FAE-1481-4C90-B941-01C41478D9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9" name="Elipse 5178">
          <a:extLst>
            <a:ext uri="{FF2B5EF4-FFF2-40B4-BE49-F238E27FC236}">
              <a16:creationId xmlns:a16="http://schemas.microsoft.com/office/drawing/2014/main" id="{38826081-A0EB-44C4-9D0A-D972DF8C8E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0" name="Elipse 5179">
          <a:extLst>
            <a:ext uri="{FF2B5EF4-FFF2-40B4-BE49-F238E27FC236}">
              <a16:creationId xmlns:a16="http://schemas.microsoft.com/office/drawing/2014/main" id="{15C901B5-205D-49F0-97F0-A878748D43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1" name="Elipse 5180">
          <a:extLst>
            <a:ext uri="{FF2B5EF4-FFF2-40B4-BE49-F238E27FC236}">
              <a16:creationId xmlns:a16="http://schemas.microsoft.com/office/drawing/2014/main" id="{F6A55762-5C54-4E8B-A53D-E071D84579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2" name="Elipse 5181">
          <a:extLst>
            <a:ext uri="{FF2B5EF4-FFF2-40B4-BE49-F238E27FC236}">
              <a16:creationId xmlns:a16="http://schemas.microsoft.com/office/drawing/2014/main" id="{90E7BB30-D93E-46A2-8511-ACA56A0604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3" name="Elipse 5182">
          <a:extLst>
            <a:ext uri="{FF2B5EF4-FFF2-40B4-BE49-F238E27FC236}">
              <a16:creationId xmlns:a16="http://schemas.microsoft.com/office/drawing/2014/main" id="{327A9C03-6C05-4D38-A7EE-FA91E98C75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4" name="Elipse 5183">
          <a:extLst>
            <a:ext uri="{FF2B5EF4-FFF2-40B4-BE49-F238E27FC236}">
              <a16:creationId xmlns:a16="http://schemas.microsoft.com/office/drawing/2014/main" id="{860E987E-09E6-437E-A297-F306AFAD5B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5" name="Elipse 5184">
          <a:extLst>
            <a:ext uri="{FF2B5EF4-FFF2-40B4-BE49-F238E27FC236}">
              <a16:creationId xmlns:a16="http://schemas.microsoft.com/office/drawing/2014/main" id="{E29F9356-ADBD-4EC3-A4D6-3583EFC35F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6" name="Elipse 5185">
          <a:extLst>
            <a:ext uri="{FF2B5EF4-FFF2-40B4-BE49-F238E27FC236}">
              <a16:creationId xmlns:a16="http://schemas.microsoft.com/office/drawing/2014/main" id="{72692B83-4B6A-4054-957E-3DDEE63CFE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7" name="Elipse 5186">
          <a:extLst>
            <a:ext uri="{FF2B5EF4-FFF2-40B4-BE49-F238E27FC236}">
              <a16:creationId xmlns:a16="http://schemas.microsoft.com/office/drawing/2014/main" id="{6906EE01-197C-4332-BE98-51F382C16A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8" name="Elipse 5187">
          <a:extLst>
            <a:ext uri="{FF2B5EF4-FFF2-40B4-BE49-F238E27FC236}">
              <a16:creationId xmlns:a16="http://schemas.microsoft.com/office/drawing/2014/main" id="{5042A148-44BC-4294-8E5A-D237F284F7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9" name="Elipse 5188">
          <a:extLst>
            <a:ext uri="{FF2B5EF4-FFF2-40B4-BE49-F238E27FC236}">
              <a16:creationId xmlns:a16="http://schemas.microsoft.com/office/drawing/2014/main" id="{3C661067-11F3-4CC7-B689-B051F0B801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0" name="Elipse 5189">
          <a:extLst>
            <a:ext uri="{FF2B5EF4-FFF2-40B4-BE49-F238E27FC236}">
              <a16:creationId xmlns:a16="http://schemas.microsoft.com/office/drawing/2014/main" id="{C8D37CBE-89AB-4D67-A6FD-E5735455EF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1" name="Elipse 5190">
          <a:extLst>
            <a:ext uri="{FF2B5EF4-FFF2-40B4-BE49-F238E27FC236}">
              <a16:creationId xmlns:a16="http://schemas.microsoft.com/office/drawing/2014/main" id="{969E9EBA-CFC9-4B34-8F01-B200753EB7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2" name="Elipse 5191">
          <a:extLst>
            <a:ext uri="{FF2B5EF4-FFF2-40B4-BE49-F238E27FC236}">
              <a16:creationId xmlns:a16="http://schemas.microsoft.com/office/drawing/2014/main" id="{77CFFB73-D158-4764-B8E0-95F0762A56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3" name="Elipse 5192">
          <a:extLst>
            <a:ext uri="{FF2B5EF4-FFF2-40B4-BE49-F238E27FC236}">
              <a16:creationId xmlns:a16="http://schemas.microsoft.com/office/drawing/2014/main" id="{00704EF0-5757-449F-A04C-11BA155194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4" name="Elipse 5193">
          <a:extLst>
            <a:ext uri="{FF2B5EF4-FFF2-40B4-BE49-F238E27FC236}">
              <a16:creationId xmlns:a16="http://schemas.microsoft.com/office/drawing/2014/main" id="{F4A0502E-E3CE-4010-8DE1-D33BE3ABAC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5" name="Elipse 5194">
          <a:extLst>
            <a:ext uri="{FF2B5EF4-FFF2-40B4-BE49-F238E27FC236}">
              <a16:creationId xmlns:a16="http://schemas.microsoft.com/office/drawing/2014/main" id="{C7835AFC-F2C2-4FCC-8A06-421D73C59C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6" name="Elipse 5195">
          <a:extLst>
            <a:ext uri="{FF2B5EF4-FFF2-40B4-BE49-F238E27FC236}">
              <a16:creationId xmlns:a16="http://schemas.microsoft.com/office/drawing/2014/main" id="{730D09E1-9AD8-466E-8C1F-2F4147B9A3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7" name="Elipse 5196">
          <a:extLst>
            <a:ext uri="{FF2B5EF4-FFF2-40B4-BE49-F238E27FC236}">
              <a16:creationId xmlns:a16="http://schemas.microsoft.com/office/drawing/2014/main" id="{DFC46E5B-6182-41A7-A584-C37B5E1618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8" name="Elipse 5197">
          <a:extLst>
            <a:ext uri="{FF2B5EF4-FFF2-40B4-BE49-F238E27FC236}">
              <a16:creationId xmlns:a16="http://schemas.microsoft.com/office/drawing/2014/main" id="{A58FD65D-7848-4B10-8BF2-766BD05D30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9" name="Elipse 5198">
          <a:extLst>
            <a:ext uri="{FF2B5EF4-FFF2-40B4-BE49-F238E27FC236}">
              <a16:creationId xmlns:a16="http://schemas.microsoft.com/office/drawing/2014/main" id="{449C24F1-F542-47DF-8E41-BBB33E80C2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0" name="Elipse 5199">
          <a:extLst>
            <a:ext uri="{FF2B5EF4-FFF2-40B4-BE49-F238E27FC236}">
              <a16:creationId xmlns:a16="http://schemas.microsoft.com/office/drawing/2014/main" id="{A349F9F4-D625-41AC-8BC2-858DB56CB3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1" name="Elipse 5200">
          <a:extLst>
            <a:ext uri="{FF2B5EF4-FFF2-40B4-BE49-F238E27FC236}">
              <a16:creationId xmlns:a16="http://schemas.microsoft.com/office/drawing/2014/main" id="{12D1DCE4-5A9E-447B-B4F0-5AB30188AE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2" name="Elipse 5201">
          <a:extLst>
            <a:ext uri="{FF2B5EF4-FFF2-40B4-BE49-F238E27FC236}">
              <a16:creationId xmlns:a16="http://schemas.microsoft.com/office/drawing/2014/main" id="{70C5005B-6C10-4CBF-B335-A4636CB219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3" name="Elipse 5202">
          <a:extLst>
            <a:ext uri="{FF2B5EF4-FFF2-40B4-BE49-F238E27FC236}">
              <a16:creationId xmlns:a16="http://schemas.microsoft.com/office/drawing/2014/main" id="{35455694-8B82-48D7-AE33-F17241022D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4" name="Elipse 5203">
          <a:extLst>
            <a:ext uri="{FF2B5EF4-FFF2-40B4-BE49-F238E27FC236}">
              <a16:creationId xmlns:a16="http://schemas.microsoft.com/office/drawing/2014/main" id="{D2B80F24-E2BF-4694-B1E2-62852ADB87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5" name="Elipse 5204">
          <a:extLst>
            <a:ext uri="{FF2B5EF4-FFF2-40B4-BE49-F238E27FC236}">
              <a16:creationId xmlns:a16="http://schemas.microsoft.com/office/drawing/2014/main" id="{1F862989-173A-4017-BB48-50A0805F6D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6" name="Elipse 5205">
          <a:extLst>
            <a:ext uri="{FF2B5EF4-FFF2-40B4-BE49-F238E27FC236}">
              <a16:creationId xmlns:a16="http://schemas.microsoft.com/office/drawing/2014/main" id="{9AE8EB44-5D54-4DB3-A4AE-9A4B9076BE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7" name="Elipse 5206">
          <a:extLst>
            <a:ext uri="{FF2B5EF4-FFF2-40B4-BE49-F238E27FC236}">
              <a16:creationId xmlns:a16="http://schemas.microsoft.com/office/drawing/2014/main" id="{B5E3F8AB-58ED-4072-81C9-980F19AFA8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8" name="Elipse 5207">
          <a:extLst>
            <a:ext uri="{FF2B5EF4-FFF2-40B4-BE49-F238E27FC236}">
              <a16:creationId xmlns:a16="http://schemas.microsoft.com/office/drawing/2014/main" id="{1A716526-BB1B-44F5-AE20-8143B26084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9" name="Elipse 5208">
          <a:extLst>
            <a:ext uri="{FF2B5EF4-FFF2-40B4-BE49-F238E27FC236}">
              <a16:creationId xmlns:a16="http://schemas.microsoft.com/office/drawing/2014/main" id="{DF51B8F2-0CC6-4A55-8DC2-1922A503A0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0" name="Elipse 5209">
          <a:extLst>
            <a:ext uri="{FF2B5EF4-FFF2-40B4-BE49-F238E27FC236}">
              <a16:creationId xmlns:a16="http://schemas.microsoft.com/office/drawing/2014/main" id="{86AA220A-6449-4192-A948-59EAE29162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1" name="Elipse 5210">
          <a:extLst>
            <a:ext uri="{FF2B5EF4-FFF2-40B4-BE49-F238E27FC236}">
              <a16:creationId xmlns:a16="http://schemas.microsoft.com/office/drawing/2014/main" id="{A6F9BBB0-5145-484D-B86D-220BB95BCC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2" name="Elipse 5211">
          <a:extLst>
            <a:ext uri="{FF2B5EF4-FFF2-40B4-BE49-F238E27FC236}">
              <a16:creationId xmlns:a16="http://schemas.microsoft.com/office/drawing/2014/main" id="{BB441DA5-698D-4F09-A03C-B94AB3EE67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3" name="Elipse 5212">
          <a:extLst>
            <a:ext uri="{FF2B5EF4-FFF2-40B4-BE49-F238E27FC236}">
              <a16:creationId xmlns:a16="http://schemas.microsoft.com/office/drawing/2014/main" id="{04FFC344-C30A-4AE9-8B2B-EB08A95DE7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4" name="Elipse 5213">
          <a:extLst>
            <a:ext uri="{FF2B5EF4-FFF2-40B4-BE49-F238E27FC236}">
              <a16:creationId xmlns:a16="http://schemas.microsoft.com/office/drawing/2014/main" id="{63DFE0DB-CC41-4A76-B335-85330E6F29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5" name="Elipse 5214">
          <a:extLst>
            <a:ext uri="{FF2B5EF4-FFF2-40B4-BE49-F238E27FC236}">
              <a16:creationId xmlns:a16="http://schemas.microsoft.com/office/drawing/2014/main" id="{1FDC556C-9CD0-4D4B-AAB8-4DC577C454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6" name="Elipse 5215">
          <a:extLst>
            <a:ext uri="{FF2B5EF4-FFF2-40B4-BE49-F238E27FC236}">
              <a16:creationId xmlns:a16="http://schemas.microsoft.com/office/drawing/2014/main" id="{06F0E504-5C89-4402-9DFA-9C719C2F0D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7" name="Elipse 5216">
          <a:extLst>
            <a:ext uri="{FF2B5EF4-FFF2-40B4-BE49-F238E27FC236}">
              <a16:creationId xmlns:a16="http://schemas.microsoft.com/office/drawing/2014/main" id="{D7A86562-90EA-4F46-AFB2-56F909056B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8" name="Elipse 5217">
          <a:extLst>
            <a:ext uri="{FF2B5EF4-FFF2-40B4-BE49-F238E27FC236}">
              <a16:creationId xmlns:a16="http://schemas.microsoft.com/office/drawing/2014/main" id="{945C4CED-8DCA-4B96-B382-0E4D3E9FF1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9" name="Elipse 5218">
          <a:extLst>
            <a:ext uri="{FF2B5EF4-FFF2-40B4-BE49-F238E27FC236}">
              <a16:creationId xmlns:a16="http://schemas.microsoft.com/office/drawing/2014/main" id="{2A392250-7719-4ACE-B391-1F48CC08F0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0" name="Elipse 5219">
          <a:extLst>
            <a:ext uri="{FF2B5EF4-FFF2-40B4-BE49-F238E27FC236}">
              <a16:creationId xmlns:a16="http://schemas.microsoft.com/office/drawing/2014/main" id="{0FDDD394-ECCF-493A-94D1-EB6DBE6A69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1" name="Elipse 5220">
          <a:extLst>
            <a:ext uri="{FF2B5EF4-FFF2-40B4-BE49-F238E27FC236}">
              <a16:creationId xmlns:a16="http://schemas.microsoft.com/office/drawing/2014/main" id="{AD840741-3BF9-4C3B-8FCA-750297DC89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2" name="Elipse 5221">
          <a:extLst>
            <a:ext uri="{FF2B5EF4-FFF2-40B4-BE49-F238E27FC236}">
              <a16:creationId xmlns:a16="http://schemas.microsoft.com/office/drawing/2014/main" id="{CB181FFF-914E-4378-A7C8-1B85A30374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3" name="Elipse 5222">
          <a:extLst>
            <a:ext uri="{FF2B5EF4-FFF2-40B4-BE49-F238E27FC236}">
              <a16:creationId xmlns:a16="http://schemas.microsoft.com/office/drawing/2014/main" id="{8AA24D1F-9E33-4B81-9944-0E6150A814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4" name="Elipse 5223">
          <a:extLst>
            <a:ext uri="{FF2B5EF4-FFF2-40B4-BE49-F238E27FC236}">
              <a16:creationId xmlns:a16="http://schemas.microsoft.com/office/drawing/2014/main" id="{360DA8A5-781D-47DD-A54F-34777DB57F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5" name="Elipse 5224">
          <a:extLst>
            <a:ext uri="{FF2B5EF4-FFF2-40B4-BE49-F238E27FC236}">
              <a16:creationId xmlns:a16="http://schemas.microsoft.com/office/drawing/2014/main" id="{36C1393F-86F6-4127-8BB0-7ED8283B89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6" name="Elipse 5225">
          <a:extLst>
            <a:ext uri="{FF2B5EF4-FFF2-40B4-BE49-F238E27FC236}">
              <a16:creationId xmlns:a16="http://schemas.microsoft.com/office/drawing/2014/main" id="{D0466F17-196F-497E-B08D-BEE16AD096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7" name="Elipse 5226">
          <a:extLst>
            <a:ext uri="{FF2B5EF4-FFF2-40B4-BE49-F238E27FC236}">
              <a16:creationId xmlns:a16="http://schemas.microsoft.com/office/drawing/2014/main" id="{C6CD9604-39F9-4BEF-803D-E3B8FD4B4E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8" name="Elipse 5227">
          <a:extLst>
            <a:ext uri="{FF2B5EF4-FFF2-40B4-BE49-F238E27FC236}">
              <a16:creationId xmlns:a16="http://schemas.microsoft.com/office/drawing/2014/main" id="{A0924373-1F3C-409C-84A7-42D18C936A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9" name="Elipse 5228">
          <a:extLst>
            <a:ext uri="{FF2B5EF4-FFF2-40B4-BE49-F238E27FC236}">
              <a16:creationId xmlns:a16="http://schemas.microsoft.com/office/drawing/2014/main" id="{8FCCC4DF-3587-41A9-8182-F3AB4C32DE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0" name="Elipse 5229">
          <a:extLst>
            <a:ext uri="{FF2B5EF4-FFF2-40B4-BE49-F238E27FC236}">
              <a16:creationId xmlns:a16="http://schemas.microsoft.com/office/drawing/2014/main" id="{694F8349-803F-4A9D-9999-EF2D7DA81B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1" name="Elipse 5230">
          <a:extLst>
            <a:ext uri="{FF2B5EF4-FFF2-40B4-BE49-F238E27FC236}">
              <a16:creationId xmlns:a16="http://schemas.microsoft.com/office/drawing/2014/main" id="{B6D5E926-6EDD-43BC-B820-A0FBC20E43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2" name="Elipse 5231">
          <a:extLst>
            <a:ext uri="{FF2B5EF4-FFF2-40B4-BE49-F238E27FC236}">
              <a16:creationId xmlns:a16="http://schemas.microsoft.com/office/drawing/2014/main" id="{FC1F9BC9-6DDD-4014-A1FF-665793DE74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3" name="Elipse 5232">
          <a:extLst>
            <a:ext uri="{FF2B5EF4-FFF2-40B4-BE49-F238E27FC236}">
              <a16:creationId xmlns:a16="http://schemas.microsoft.com/office/drawing/2014/main" id="{B6023261-F6E5-4B8C-9C84-1F5C4819D2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4" name="Elipse 5233">
          <a:extLst>
            <a:ext uri="{FF2B5EF4-FFF2-40B4-BE49-F238E27FC236}">
              <a16:creationId xmlns:a16="http://schemas.microsoft.com/office/drawing/2014/main" id="{18724C63-7699-49B5-AFBA-016632AEB7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5" name="Elipse 5234">
          <a:extLst>
            <a:ext uri="{FF2B5EF4-FFF2-40B4-BE49-F238E27FC236}">
              <a16:creationId xmlns:a16="http://schemas.microsoft.com/office/drawing/2014/main" id="{E5EEB070-6DDE-4445-9B5F-5C146B6785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6" name="Elipse 5235">
          <a:extLst>
            <a:ext uri="{FF2B5EF4-FFF2-40B4-BE49-F238E27FC236}">
              <a16:creationId xmlns:a16="http://schemas.microsoft.com/office/drawing/2014/main" id="{F136C30A-8C36-459E-9865-66A7697FD2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7" name="Elipse 5236">
          <a:extLst>
            <a:ext uri="{FF2B5EF4-FFF2-40B4-BE49-F238E27FC236}">
              <a16:creationId xmlns:a16="http://schemas.microsoft.com/office/drawing/2014/main" id="{CA81F891-58AE-430A-BE3C-E75C7A4BFA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8" name="Elipse 5237">
          <a:extLst>
            <a:ext uri="{FF2B5EF4-FFF2-40B4-BE49-F238E27FC236}">
              <a16:creationId xmlns:a16="http://schemas.microsoft.com/office/drawing/2014/main" id="{AD83B01F-6686-4124-A8D8-768DEEC136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9" name="Elipse 5238">
          <a:extLst>
            <a:ext uri="{FF2B5EF4-FFF2-40B4-BE49-F238E27FC236}">
              <a16:creationId xmlns:a16="http://schemas.microsoft.com/office/drawing/2014/main" id="{09C6C7CD-1BFA-4DE3-A83B-010BF95203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0" name="Elipse 5239">
          <a:extLst>
            <a:ext uri="{FF2B5EF4-FFF2-40B4-BE49-F238E27FC236}">
              <a16:creationId xmlns:a16="http://schemas.microsoft.com/office/drawing/2014/main" id="{A16F1979-B336-4CC5-84EA-FAF8D182F0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1" name="Elipse 5240">
          <a:extLst>
            <a:ext uri="{FF2B5EF4-FFF2-40B4-BE49-F238E27FC236}">
              <a16:creationId xmlns:a16="http://schemas.microsoft.com/office/drawing/2014/main" id="{41B805D1-C7F3-4115-830D-716D7BB783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2" name="Elipse 5241">
          <a:extLst>
            <a:ext uri="{FF2B5EF4-FFF2-40B4-BE49-F238E27FC236}">
              <a16:creationId xmlns:a16="http://schemas.microsoft.com/office/drawing/2014/main" id="{FED288D0-54B0-4916-862F-A0A7850CD5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3" name="Elipse 5242">
          <a:extLst>
            <a:ext uri="{FF2B5EF4-FFF2-40B4-BE49-F238E27FC236}">
              <a16:creationId xmlns:a16="http://schemas.microsoft.com/office/drawing/2014/main" id="{8F42B5BC-E481-4620-803D-84F66BF972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4" name="Elipse 5243">
          <a:extLst>
            <a:ext uri="{FF2B5EF4-FFF2-40B4-BE49-F238E27FC236}">
              <a16:creationId xmlns:a16="http://schemas.microsoft.com/office/drawing/2014/main" id="{C2F30EBA-DD89-4DA0-A1CB-366D27CFC7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5" name="Elipse 5244">
          <a:extLst>
            <a:ext uri="{FF2B5EF4-FFF2-40B4-BE49-F238E27FC236}">
              <a16:creationId xmlns:a16="http://schemas.microsoft.com/office/drawing/2014/main" id="{02782FB1-C234-4DB5-BB97-748BD90B47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6" name="Elipse 5245">
          <a:extLst>
            <a:ext uri="{FF2B5EF4-FFF2-40B4-BE49-F238E27FC236}">
              <a16:creationId xmlns:a16="http://schemas.microsoft.com/office/drawing/2014/main" id="{B994F2FD-7339-4F5D-A914-7BA05F2F5F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7" name="Elipse 5246">
          <a:extLst>
            <a:ext uri="{FF2B5EF4-FFF2-40B4-BE49-F238E27FC236}">
              <a16:creationId xmlns:a16="http://schemas.microsoft.com/office/drawing/2014/main" id="{839F1567-ED9C-4455-A61D-879D163BC2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8" name="Elipse 5247">
          <a:extLst>
            <a:ext uri="{FF2B5EF4-FFF2-40B4-BE49-F238E27FC236}">
              <a16:creationId xmlns:a16="http://schemas.microsoft.com/office/drawing/2014/main" id="{D68686C0-651A-4772-BA2A-E5652C2D52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9" name="Elipse 5248">
          <a:extLst>
            <a:ext uri="{FF2B5EF4-FFF2-40B4-BE49-F238E27FC236}">
              <a16:creationId xmlns:a16="http://schemas.microsoft.com/office/drawing/2014/main" id="{1C543B26-8DFD-4787-A74F-2069BD6B1F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0" name="Elipse 5249">
          <a:extLst>
            <a:ext uri="{FF2B5EF4-FFF2-40B4-BE49-F238E27FC236}">
              <a16:creationId xmlns:a16="http://schemas.microsoft.com/office/drawing/2014/main" id="{613DE285-15B2-4DBE-863A-A3AE85DC97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1" name="Elipse 5250">
          <a:extLst>
            <a:ext uri="{FF2B5EF4-FFF2-40B4-BE49-F238E27FC236}">
              <a16:creationId xmlns:a16="http://schemas.microsoft.com/office/drawing/2014/main" id="{2414F88B-83AF-472B-A036-90A42C2914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2" name="Elipse 5251">
          <a:extLst>
            <a:ext uri="{FF2B5EF4-FFF2-40B4-BE49-F238E27FC236}">
              <a16:creationId xmlns:a16="http://schemas.microsoft.com/office/drawing/2014/main" id="{3797FEEA-AB63-4CAC-BA97-9CF59BBCE3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3" name="Elipse 5252">
          <a:extLst>
            <a:ext uri="{FF2B5EF4-FFF2-40B4-BE49-F238E27FC236}">
              <a16:creationId xmlns:a16="http://schemas.microsoft.com/office/drawing/2014/main" id="{AEBC5A0F-2FDB-406D-974F-20CA46B400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4" name="Elipse 5253">
          <a:extLst>
            <a:ext uri="{FF2B5EF4-FFF2-40B4-BE49-F238E27FC236}">
              <a16:creationId xmlns:a16="http://schemas.microsoft.com/office/drawing/2014/main" id="{609DFF0F-FC28-4D0A-B47E-2977D17BB5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5" name="Elipse 5254">
          <a:extLst>
            <a:ext uri="{FF2B5EF4-FFF2-40B4-BE49-F238E27FC236}">
              <a16:creationId xmlns:a16="http://schemas.microsoft.com/office/drawing/2014/main" id="{504E3930-98D8-4558-BE6D-E23BC70DF5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6" name="Elipse 5255">
          <a:extLst>
            <a:ext uri="{FF2B5EF4-FFF2-40B4-BE49-F238E27FC236}">
              <a16:creationId xmlns:a16="http://schemas.microsoft.com/office/drawing/2014/main" id="{EA24AF69-1AA0-4114-8465-FF3F6A48FE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7" name="Elipse 5256">
          <a:extLst>
            <a:ext uri="{FF2B5EF4-FFF2-40B4-BE49-F238E27FC236}">
              <a16:creationId xmlns:a16="http://schemas.microsoft.com/office/drawing/2014/main" id="{EE44DA6B-414F-473A-8542-882D7DF99E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8" name="Elipse 5257">
          <a:extLst>
            <a:ext uri="{FF2B5EF4-FFF2-40B4-BE49-F238E27FC236}">
              <a16:creationId xmlns:a16="http://schemas.microsoft.com/office/drawing/2014/main" id="{385E6AF1-2FB7-4687-8805-1AA47AC411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9" name="Elipse 5258">
          <a:extLst>
            <a:ext uri="{FF2B5EF4-FFF2-40B4-BE49-F238E27FC236}">
              <a16:creationId xmlns:a16="http://schemas.microsoft.com/office/drawing/2014/main" id="{B171FD12-07E4-4DEC-A304-58F1825EFA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0" name="Elipse 5259">
          <a:extLst>
            <a:ext uri="{FF2B5EF4-FFF2-40B4-BE49-F238E27FC236}">
              <a16:creationId xmlns:a16="http://schemas.microsoft.com/office/drawing/2014/main" id="{1D6106B1-F6C7-47F9-9994-F6AE44341E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1" name="Elipse 5260">
          <a:extLst>
            <a:ext uri="{FF2B5EF4-FFF2-40B4-BE49-F238E27FC236}">
              <a16:creationId xmlns:a16="http://schemas.microsoft.com/office/drawing/2014/main" id="{F568D7FE-FFEF-4523-929A-5455A27B3E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2" name="Elipse 5261">
          <a:extLst>
            <a:ext uri="{FF2B5EF4-FFF2-40B4-BE49-F238E27FC236}">
              <a16:creationId xmlns:a16="http://schemas.microsoft.com/office/drawing/2014/main" id="{2EA0F1C7-774B-4804-8750-33856BFFC8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3" name="Elipse 5262">
          <a:extLst>
            <a:ext uri="{FF2B5EF4-FFF2-40B4-BE49-F238E27FC236}">
              <a16:creationId xmlns:a16="http://schemas.microsoft.com/office/drawing/2014/main" id="{599ACBF8-9169-4636-8B25-DD5439872D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4" name="Elipse 5263">
          <a:extLst>
            <a:ext uri="{FF2B5EF4-FFF2-40B4-BE49-F238E27FC236}">
              <a16:creationId xmlns:a16="http://schemas.microsoft.com/office/drawing/2014/main" id="{3FA23D4D-9B7A-4143-A0EE-F3B4801469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5" name="Elipse 5264">
          <a:extLst>
            <a:ext uri="{FF2B5EF4-FFF2-40B4-BE49-F238E27FC236}">
              <a16:creationId xmlns:a16="http://schemas.microsoft.com/office/drawing/2014/main" id="{C7C5803F-FF9E-49B5-9704-CA481D0601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6" name="Elipse 5265">
          <a:extLst>
            <a:ext uri="{FF2B5EF4-FFF2-40B4-BE49-F238E27FC236}">
              <a16:creationId xmlns:a16="http://schemas.microsoft.com/office/drawing/2014/main" id="{42730E3D-DD98-4A5A-A01D-234AC2D5B3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7" name="Elipse 5266">
          <a:extLst>
            <a:ext uri="{FF2B5EF4-FFF2-40B4-BE49-F238E27FC236}">
              <a16:creationId xmlns:a16="http://schemas.microsoft.com/office/drawing/2014/main" id="{5AB3CD84-CF70-4728-B787-AA70737757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8" name="Elipse 5267">
          <a:extLst>
            <a:ext uri="{FF2B5EF4-FFF2-40B4-BE49-F238E27FC236}">
              <a16:creationId xmlns:a16="http://schemas.microsoft.com/office/drawing/2014/main" id="{C76933DF-61B6-4826-AC7E-9D57BF8EA0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9" name="Elipse 5268">
          <a:extLst>
            <a:ext uri="{FF2B5EF4-FFF2-40B4-BE49-F238E27FC236}">
              <a16:creationId xmlns:a16="http://schemas.microsoft.com/office/drawing/2014/main" id="{EF3BAF13-B491-4A2E-AA36-34A4D3543C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0" name="Elipse 5269">
          <a:extLst>
            <a:ext uri="{FF2B5EF4-FFF2-40B4-BE49-F238E27FC236}">
              <a16:creationId xmlns:a16="http://schemas.microsoft.com/office/drawing/2014/main" id="{32EB598D-2B53-4BFE-A23D-A80DC7AB7A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1" name="Elipse 5270">
          <a:extLst>
            <a:ext uri="{FF2B5EF4-FFF2-40B4-BE49-F238E27FC236}">
              <a16:creationId xmlns:a16="http://schemas.microsoft.com/office/drawing/2014/main" id="{261F4065-FF21-4460-BA49-F37DDF21E8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2" name="Elipse 5271">
          <a:extLst>
            <a:ext uri="{FF2B5EF4-FFF2-40B4-BE49-F238E27FC236}">
              <a16:creationId xmlns:a16="http://schemas.microsoft.com/office/drawing/2014/main" id="{49D48BDA-66C6-4503-BB35-AD216BA88D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3" name="Elipse 5272">
          <a:extLst>
            <a:ext uri="{FF2B5EF4-FFF2-40B4-BE49-F238E27FC236}">
              <a16:creationId xmlns:a16="http://schemas.microsoft.com/office/drawing/2014/main" id="{8A94EDD5-B4C9-4576-8F93-01054574CC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4" name="Elipse 5273">
          <a:extLst>
            <a:ext uri="{FF2B5EF4-FFF2-40B4-BE49-F238E27FC236}">
              <a16:creationId xmlns:a16="http://schemas.microsoft.com/office/drawing/2014/main" id="{BB35A48B-4BC3-4ECF-8214-23C9678DCF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5" name="Elipse 5274">
          <a:extLst>
            <a:ext uri="{FF2B5EF4-FFF2-40B4-BE49-F238E27FC236}">
              <a16:creationId xmlns:a16="http://schemas.microsoft.com/office/drawing/2014/main" id="{C1B36922-E944-4097-B7EC-8A4B8C4D81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6" name="Elipse 5275">
          <a:extLst>
            <a:ext uri="{FF2B5EF4-FFF2-40B4-BE49-F238E27FC236}">
              <a16:creationId xmlns:a16="http://schemas.microsoft.com/office/drawing/2014/main" id="{CBECEC14-C997-4DE8-99DF-D90C83F844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7" name="Elipse 5276">
          <a:extLst>
            <a:ext uri="{FF2B5EF4-FFF2-40B4-BE49-F238E27FC236}">
              <a16:creationId xmlns:a16="http://schemas.microsoft.com/office/drawing/2014/main" id="{E6B16669-F6CD-4BCA-A285-B1EDCBF993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8" name="Elipse 5277">
          <a:extLst>
            <a:ext uri="{FF2B5EF4-FFF2-40B4-BE49-F238E27FC236}">
              <a16:creationId xmlns:a16="http://schemas.microsoft.com/office/drawing/2014/main" id="{0562BD80-A1B1-4A92-BE64-C293D6B574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9" name="Elipse 5278">
          <a:extLst>
            <a:ext uri="{FF2B5EF4-FFF2-40B4-BE49-F238E27FC236}">
              <a16:creationId xmlns:a16="http://schemas.microsoft.com/office/drawing/2014/main" id="{C2C04BBA-B0C9-4A7A-8FCB-936CF545F1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0" name="Elipse 5279">
          <a:extLst>
            <a:ext uri="{FF2B5EF4-FFF2-40B4-BE49-F238E27FC236}">
              <a16:creationId xmlns:a16="http://schemas.microsoft.com/office/drawing/2014/main" id="{CEE64484-682B-45B8-8EEA-D14D56467A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1" name="Elipse 5280">
          <a:extLst>
            <a:ext uri="{FF2B5EF4-FFF2-40B4-BE49-F238E27FC236}">
              <a16:creationId xmlns:a16="http://schemas.microsoft.com/office/drawing/2014/main" id="{ACBF46BA-F757-4AC6-A7DB-103178AE54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2" name="Elipse 5281">
          <a:extLst>
            <a:ext uri="{FF2B5EF4-FFF2-40B4-BE49-F238E27FC236}">
              <a16:creationId xmlns:a16="http://schemas.microsoft.com/office/drawing/2014/main" id="{667C2B26-3B15-4E7E-BAB3-542F55C103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3" name="Elipse 5282">
          <a:extLst>
            <a:ext uri="{FF2B5EF4-FFF2-40B4-BE49-F238E27FC236}">
              <a16:creationId xmlns:a16="http://schemas.microsoft.com/office/drawing/2014/main" id="{6282B97E-3DD2-4873-B39E-40E32B94AD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4" name="Elipse 5283">
          <a:extLst>
            <a:ext uri="{FF2B5EF4-FFF2-40B4-BE49-F238E27FC236}">
              <a16:creationId xmlns:a16="http://schemas.microsoft.com/office/drawing/2014/main" id="{B6FC9F7A-1A1F-4714-8983-0478C4A2E6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5" name="Elipse 5284">
          <a:extLst>
            <a:ext uri="{FF2B5EF4-FFF2-40B4-BE49-F238E27FC236}">
              <a16:creationId xmlns:a16="http://schemas.microsoft.com/office/drawing/2014/main" id="{33CB7A1F-BE78-4EB5-920E-08934CCE31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6" name="Elipse 5285">
          <a:extLst>
            <a:ext uri="{FF2B5EF4-FFF2-40B4-BE49-F238E27FC236}">
              <a16:creationId xmlns:a16="http://schemas.microsoft.com/office/drawing/2014/main" id="{7ABD6923-A2BE-433C-AC97-031C52E4E6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7" name="Elipse 5286">
          <a:extLst>
            <a:ext uri="{FF2B5EF4-FFF2-40B4-BE49-F238E27FC236}">
              <a16:creationId xmlns:a16="http://schemas.microsoft.com/office/drawing/2014/main" id="{9BF3B079-8B43-450A-B6B8-F55B7D36D4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8" name="Elipse 5287">
          <a:extLst>
            <a:ext uri="{FF2B5EF4-FFF2-40B4-BE49-F238E27FC236}">
              <a16:creationId xmlns:a16="http://schemas.microsoft.com/office/drawing/2014/main" id="{9BA7587E-61E0-47A7-AEC7-DEF4A13471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9" name="Elipse 5288">
          <a:extLst>
            <a:ext uri="{FF2B5EF4-FFF2-40B4-BE49-F238E27FC236}">
              <a16:creationId xmlns:a16="http://schemas.microsoft.com/office/drawing/2014/main" id="{1877B57E-B657-4E4D-A96B-BC130C6647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0" name="Elipse 5289">
          <a:extLst>
            <a:ext uri="{FF2B5EF4-FFF2-40B4-BE49-F238E27FC236}">
              <a16:creationId xmlns:a16="http://schemas.microsoft.com/office/drawing/2014/main" id="{18155DFD-AB97-40A8-A61D-AA3B102E5E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1" name="Elipse 5290">
          <a:extLst>
            <a:ext uri="{FF2B5EF4-FFF2-40B4-BE49-F238E27FC236}">
              <a16:creationId xmlns:a16="http://schemas.microsoft.com/office/drawing/2014/main" id="{60B307CA-B98D-44F4-A35F-CA24C0D7F1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2" name="Elipse 5291">
          <a:extLst>
            <a:ext uri="{FF2B5EF4-FFF2-40B4-BE49-F238E27FC236}">
              <a16:creationId xmlns:a16="http://schemas.microsoft.com/office/drawing/2014/main" id="{38CC5B6E-B95E-4EF9-ACC9-25E95F9F07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3" name="Elipse 5292">
          <a:extLst>
            <a:ext uri="{FF2B5EF4-FFF2-40B4-BE49-F238E27FC236}">
              <a16:creationId xmlns:a16="http://schemas.microsoft.com/office/drawing/2014/main" id="{F7B4B732-909E-4939-99BB-24AB0C61A7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4" name="Elipse 5293">
          <a:extLst>
            <a:ext uri="{FF2B5EF4-FFF2-40B4-BE49-F238E27FC236}">
              <a16:creationId xmlns:a16="http://schemas.microsoft.com/office/drawing/2014/main" id="{51E9805C-98F3-400F-B7F9-D08F45877F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5" name="Elipse 5294">
          <a:extLst>
            <a:ext uri="{FF2B5EF4-FFF2-40B4-BE49-F238E27FC236}">
              <a16:creationId xmlns:a16="http://schemas.microsoft.com/office/drawing/2014/main" id="{D8A5ED54-966C-49E1-9153-236BE1AA9A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6" name="Elipse 5295">
          <a:extLst>
            <a:ext uri="{FF2B5EF4-FFF2-40B4-BE49-F238E27FC236}">
              <a16:creationId xmlns:a16="http://schemas.microsoft.com/office/drawing/2014/main" id="{1CE0679C-9447-408B-8FAF-AA352B13FB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7" name="Elipse 5296">
          <a:extLst>
            <a:ext uri="{FF2B5EF4-FFF2-40B4-BE49-F238E27FC236}">
              <a16:creationId xmlns:a16="http://schemas.microsoft.com/office/drawing/2014/main" id="{35425772-1D2F-4FA9-9A2B-77CE0AE55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8" name="Elipse 5297">
          <a:extLst>
            <a:ext uri="{FF2B5EF4-FFF2-40B4-BE49-F238E27FC236}">
              <a16:creationId xmlns:a16="http://schemas.microsoft.com/office/drawing/2014/main" id="{9F4ECDAD-2490-4DF2-AD16-393FC92AA5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9" name="Elipse 5298">
          <a:extLst>
            <a:ext uri="{FF2B5EF4-FFF2-40B4-BE49-F238E27FC236}">
              <a16:creationId xmlns:a16="http://schemas.microsoft.com/office/drawing/2014/main" id="{F069FF2D-634E-43CD-8E47-3CB6C8241A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0" name="Elipse 5299">
          <a:extLst>
            <a:ext uri="{FF2B5EF4-FFF2-40B4-BE49-F238E27FC236}">
              <a16:creationId xmlns:a16="http://schemas.microsoft.com/office/drawing/2014/main" id="{67D97415-84D6-494C-BCCF-33AFEF1A38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1" name="Elipse 5300">
          <a:extLst>
            <a:ext uri="{FF2B5EF4-FFF2-40B4-BE49-F238E27FC236}">
              <a16:creationId xmlns:a16="http://schemas.microsoft.com/office/drawing/2014/main" id="{6E202B1C-6EAC-4253-A09D-2B4F049FC7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2" name="Elipse 5301">
          <a:extLst>
            <a:ext uri="{FF2B5EF4-FFF2-40B4-BE49-F238E27FC236}">
              <a16:creationId xmlns:a16="http://schemas.microsoft.com/office/drawing/2014/main" id="{DEECEF60-3F8F-4067-8601-AE38042668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3" name="Elipse 5302">
          <a:extLst>
            <a:ext uri="{FF2B5EF4-FFF2-40B4-BE49-F238E27FC236}">
              <a16:creationId xmlns:a16="http://schemas.microsoft.com/office/drawing/2014/main" id="{7F979CFD-9E63-4519-B45D-32C1E133B9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4" name="Elipse 5303">
          <a:extLst>
            <a:ext uri="{FF2B5EF4-FFF2-40B4-BE49-F238E27FC236}">
              <a16:creationId xmlns:a16="http://schemas.microsoft.com/office/drawing/2014/main" id="{A84D66CE-2725-4164-9F39-6148068A4C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5" name="Elipse 5304">
          <a:extLst>
            <a:ext uri="{FF2B5EF4-FFF2-40B4-BE49-F238E27FC236}">
              <a16:creationId xmlns:a16="http://schemas.microsoft.com/office/drawing/2014/main" id="{0DA7EF2C-80E2-45B2-B5F2-127D862DAB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6" name="Elipse 5305">
          <a:extLst>
            <a:ext uri="{FF2B5EF4-FFF2-40B4-BE49-F238E27FC236}">
              <a16:creationId xmlns:a16="http://schemas.microsoft.com/office/drawing/2014/main" id="{F28D32E6-75FE-46CA-95E1-2F9515F4C3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7" name="Elipse 5306">
          <a:extLst>
            <a:ext uri="{FF2B5EF4-FFF2-40B4-BE49-F238E27FC236}">
              <a16:creationId xmlns:a16="http://schemas.microsoft.com/office/drawing/2014/main" id="{94556F52-9869-40C4-9E89-F495E5A332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8" name="Elipse 5307">
          <a:extLst>
            <a:ext uri="{FF2B5EF4-FFF2-40B4-BE49-F238E27FC236}">
              <a16:creationId xmlns:a16="http://schemas.microsoft.com/office/drawing/2014/main" id="{556A7A4F-80BA-434F-9764-A55A3A7588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9" name="Elipse 5308">
          <a:extLst>
            <a:ext uri="{FF2B5EF4-FFF2-40B4-BE49-F238E27FC236}">
              <a16:creationId xmlns:a16="http://schemas.microsoft.com/office/drawing/2014/main" id="{9BF57616-5665-4A26-87B7-51E23D1648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0" name="Elipse 5309">
          <a:extLst>
            <a:ext uri="{FF2B5EF4-FFF2-40B4-BE49-F238E27FC236}">
              <a16:creationId xmlns:a16="http://schemas.microsoft.com/office/drawing/2014/main" id="{4AB6ABBF-89F4-4744-9322-73C403E735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1" name="Elipse 5310">
          <a:extLst>
            <a:ext uri="{FF2B5EF4-FFF2-40B4-BE49-F238E27FC236}">
              <a16:creationId xmlns:a16="http://schemas.microsoft.com/office/drawing/2014/main" id="{0E265171-614C-4C33-9182-1D6C74AA25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2" name="Elipse 5311">
          <a:extLst>
            <a:ext uri="{FF2B5EF4-FFF2-40B4-BE49-F238E27FC236}">
              <a16:creationId xmlns:a16="http://schemas.microsoft.com/office/drawing/2014/main" id="{743BA776-B3AC-4761-8267-AD54320D9F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3" name="Elipse 5312">
          <a:extLst>
            <a:ext uri="{FF2B5EF4-FFF2-40B4-BE49-F238E27FC236}">
              <a16:creationId xmlns:a16="http://schemas.microsoft.com/office/drawing/2014/main" id="{D43CBA9A-5020-4F7A-9DE1-8CCFD67075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4" name="Elipse 5313">
          <a:extLst>
            <a:ext uri="{FF2B5EF4-FFF2-40B4-BE49-F238E27FC236}">
              <a16:creationId xmlns:a16="http://schemas.microsoft.com/office/drawing/2014/main" id="{C1B61381-01B0-48F2-806B-8867ED3034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5" name="Elipse 5314">
          <a:extLst>
            <a:ext uri="{FF2B5EF4-FFF2-40B4-BE49-F238E27FC236}">
              <a16:creationId xmlns:a16="http://schemas.microsoft.com/office/drawing/2014/main" id="{73D8A0D7-A56A-489A-9972-6BC865DA6B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6" name="Elipse 5315">
          <a:extLst>
            <a:ext uri="{FF2B5EF4-FFF2-40B4-BE49-F238E27FC236}">
              <a16:creationId xmlns:a16="http://schemas.microsoft.com/office/drawing/2014/main" id="{01A34F55-00A2-4825-BC20-D4A2751340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7" name="Elipse 5316">
          <a:extLst>
            <a:ext uri="{FF2B5EF4-FFF2-40B4-BE49-F238E27FC236}">
              <a16:creationId xmlns:a16="http://schemas.microsoft.com/office/drawing/2014/main" id="{06FFC4A1-88D3-4CEA-9F8D-4C8635018B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8" name="Elipse 5317">
          <a:extLst>
            <a:ext uri="{FF2B5EF4-FFF2-40B4-BE49-F238E27FC236}">
              <a16:creationId xmlns:a16="http://schemas.microsoft.com/office/drawing/2014/main" id="{2F70F7C0-CA7B-4C9A-BAC2-A96A46631E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9" name="Elipse 5318">
          <a:extLst>
            <a:ext uri="{FF2B5EF4-FFF2-40B4-BE49-F238E27FC236}">
              <a16:creationId xmlns:a16="http://schemas.microsoft.com/office/drawing/2014/main" id="{28615A9D-7006-4619-8C72-9073DBF891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0" name="Elipse 5319">
          <a:extLst>
            <a:ext uri="{FF2B5EF4-FFF2-40B4-BE49-F238E27FC236}">
              <a16:creationId xmlns:a16="http://schemas.microsoft.com/office/drawing/2014/main" id="{AFAB1060-1BD2-4F0B-A34F-35B59394A7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1" name="Elipse 5320">
          <a:extLst>
            <a:ext uri="{FF2B5EF4-FFF2-40B4-BE49-F238E27FC236}">
              <a16:creationId xmlns:a16="http://schemas.microsoft.com/office/drawing/2014/main" id="{03B092AE-ED3E-45D0-A6CC-E43FC668E8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2" name="Elipse 5321">
          <a:extLst>
            <a:ext uri="{FF2B5EF4-FFF2-40B4-BE49-F238E27FC236}">
              <a16:creationId xmlns:a16="http://schemas.microsoft.com/office/drawing/2014/main" id="{D01C6C53-5F9E-480E-BDB3-D90050B5DA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3" name="Elipse 5322">
          <a:extLst>
            <a:ext uri="{FF2B5EF4-FFF2-40B4-BE49-F238E27FC236}">
              <a16:creationId xmlns:a16="http://schemas.microsoft.com/office/drawing/2014/main" id="{73902A8D-80AB-47A8-842E-9DB89013F7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4" name="Elipse 5323">
          <a:extLst>
            <a:ext uri="{FF2B5EF4-FFF2-40B4-BE49-F238E27FC236}">
              <a16:creationId xmlns:a16="http://schemas.microsoft.com/office/drawing/2014/main" id="{CA62190B-C6AC-407A-ACA6-C71475F92A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5" name="Elipse 5324">
          <a:extLst>
            <a:ext uri="{FF2B5EF4-FFF2-40B4-BE49-F238E27FC236}">
              <a16:creationId xmlns:a16="http://schemas.microsoft.com/office/drawing/2014/main" id="{07606BB4-E0F2-4C43-950F-FF5855D2D5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6" name="Elipse 5325">
          <a:extLst>
            <a:ext uri="{FF2B5EF4-FFF2-40B4-BE49-F238E27FC236}">
              <a16:creationId xmlns:a16="http://schemas.microsoft.com/office/drawing/2014/main" id="{DB43B567-6AA5-4309-8D2A-3F7F4BEEFF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7" name="Elipse 5326">
          <a:extLst>
            <a:ext uri="{FF2B5EF4-FFF2-40B4-BE49-F238E27FC236}">
              <a16:creationId xmlns:a16="http://schemas.microsoft.com/office/drawing/2014/main" id="{2F4B5EAB-67EA-4CA0-8E4C-A10D5BF000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8" name="Elipse 5327">
          <a:extLst>
            <a:ext uri="{FF2B5EF4-FFF2-40B4-BE49-F238E27FC236}">
              <a16:creationId xmlns:a16="http://schemas.microsoft.com/office/drawing/2014/main" id="{D2E156B2-1134-4C47-8CCA-4C6FCB5FBB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9" name="Elipse 5328">
          <a:extLst>
            <a:ext uri="{FF2B5EF4-FFF2-40B4-BE49-F238E27FC236}">
              <a16:creationId xmlns:a16="http://schemas.microsoft.com/office/drawing/2014/main" id="{F442A8C4-EF75-40F6-84E6-D56CDC9483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0" name="Elipse 5329">
          <a:extLst>
            <a:ext uri="{FF2B5EF4-FFF2-40B4-BE49-F238E27FC236}">
              <a16:creationId xmlns:a16="http://schemas.microsoft.com/office/drawing/2014/main" id="{BA9C6BCD-A2E5-4DBA-9BD8-9FAA188B70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1" name="Elipse 5330">
          <a:extLst>
            <a:ext uri="{FF2B5EF4-FFF2-40B4-BE49-F238E27FC236}">
              <a16:creationId xmlns:a16="http://schemas.microsoft.com/office/drawing/2014/main" id="{8E03360F-DEF6-4FDF-9118-3DAE44FE5C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2" name="Elipse 5331">
          <a:extLst>
            <a:ext uri="{FF2B5EF4-FFF2-40B4-BE49-F238E27FC236}">
              <a16:creationId xmlns:a16="http://schemas.microsoft.com/office/drawing/2014/main" id="{FC547CE0-6922-471D-94C0-74E2C5EB9E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3" name="Elipse 5332">
          <a:extLst>
            <a:ext uri="{FF2B5EF4-FFF2-40B4-BE49-F238E27FC236}">
              <a16:creationId xmlns:a16="http://schemas.microsoft.com/office/drawing/2014/main" id="{62981A6F-9F0E-43FB-B25B-6CB1630939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4" name="Elipse 5333">
          <a:extLst>
            <a:ext uri="{FF2B5EF4-FFF2-40B4-BE49-F238E27FC236}">
              <a16:creationId xmlns:a16="http://schemas.microsoft.com/office/drawing/2014/main" id="{11A3CB0B-15C6-4E7A-B861-E03DE20409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5" name="Elipse 5334">
          <a:extLst>
            <a:ext uri="{FF2B5EF4-FFF2-40B4-BE49-F238E27FC236}">
              <a16:creationId xmlns:a16="http://schemas.microsoft.com/office/drawing/2014/main" id="{A13412BD-272B-4691-84ED-348D2405AE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6" name="Elipse 5335">
          <a:extLst>
            <a:ext uri="{FF2B5EF4-FFF2-40B4-BE49-F238E27FC236}">
              <a16:creationId xmlns:a16="http://schemas.microsoft.com/office/drawing/2014/main" id="{46FD9F41-9739-4389-8A4D-CF2DF6395D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7" name="Elipse 5336">
          <a:extLst>
            <a:ext uri="{FF2B5EF4-FFF2-40B4-BE49-F238E27FC236}">
              <a16:creationId xmlns:a16="http://schemas.microsoft.com/office/drawing/2014/main" id="{42F23AD0-1290-40FB-98E9-EA60A61323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8" name="Elipse 5337">
          <a:extLst>
            <a:ext uri="{FF2B5EF4-FFF2-40B4-BE49-F238E27FC236}">
              <a16:creationId xmlns:a16="http://schemas.microsoft.com/office/drawing/2014/main" id="{A3965A17-DB66-47CC-97D7-A1DD0FD391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9" name="Elipse 5338">
          <a:extLst>
            <a:ext uri="{FF2B5EF4-FFF2-40B4-BE49-F238E27FC236}">
              <a16:creationId xmlns:a16="http://schemas.microsoft.com/office/drawing/2014/main" id="{98D2460B-968A-4BF1-A9B0-BF054AF5F3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0" name="Elipse 5339">
          <a:extLst>
            <a:ext uri="{FF2B5EF4-FFF2-40B4-BE49-F238E27FC236}">
              <a16:creationId xmlns:a16="http://schemas.microsoft.com/office/drawing/2014/main" id="{F0C2D018-3414-43DF-AFC4-8034564A7C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1" name="Elipse 5340">
          <a:extLst>
            <a:ext uri="{FF2B5EF4-FFF2-40B4-BE49-F238E27FC236}">
              <a16:creationId xmlns:a16="http://schemas.microsoft.com/office/drawing/2014/main" id="{CCE1FEFA-9B87-4447-955C-F09CCF9689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2" name="Elipse 5341">
          <a:extLst>
            <a:ext uri="{FF2B5EF4-FFF2-40B4-BE49-F238E27FC236}">
              <a16:creationId xmlns:a16="http://schemas.microsoft.com/office/drawing/2014/main" id="{903DFC7F-2548-4B28-AB69-C0E5AC476E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3" name="Elipse 5342">
          <a:extLst>
            <a:ext uri="{FF2B5EF4-FFF2-40B4-BE49-F238E27FC236}">
              <a16:creationId xmlns:a16="http://schemas.microsoft.com/office/drawing/2014/main" id="{24E6BB0E-7382-45D1-ACD1-444417F3FB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4" name="Elipse 5343">
          <a:extLst>
            <a:ext uri="{FF2B5EF4-FFF2-40B4-BE49-F238E27FC236}">
              <a16:creationId xmlns:a16="http://schemas.microsoft.com/office/drawing/2014/main" id="{1E43CDE1-707C-4916-ADA1-575A012C6A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5" name="Elipse 5344">
          <a:extLst>
            <a:ext uri="{FF2B5EF4-FFF2-40B4-BE49-F238E27FC236}">
              <a16:creationId xmlns:a16="http://schemas.microsoft.com/office/drawing/2014/main" id="{29F76D3E-F0CE-4A14-9C22-6AE9A2F97D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6" name="Elipse 5345">
          <a:extLst>
            <a:ext uri="{FF2B5EF4-FFF2-40B4-BE49-F238E27FC236}">
              <a16:creationId xmlns:a16="http://schemas.microsoft.com/office/drawing/2014/main" id="{9A416A6E-2C63-48CA-A721-F88570FB77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7" name="Elipse 5346">
          <a:extLst>
            <a:ext uri="{FF2B5EF4-FFF2-40B4-BE49-F238E27FC236}">
              <a16:creationId xmlns:a16="http://schemas.microsoft.com/office/drawing/2014/main" id="{5D177C4B-2620-4D97-8890-8A2166D2E3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8" name="Elipse 5347">
          <a:extLst>
            <a:ext uri="{FF2B5EF4-FFF2-40B4-BE49-F238E27FC236}">
              <a16:creationId xmlns:a16="http://schemas.microsoft.com/office/drawing/2014/main" id="{8986ADF0-2AE1-4950-A42E-0F1BC66AC5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9" name="Elipse 5348">
          <a:extLst>
            <a:ext uri="{FF2B5EF4-FFF2-40B4-BE49-F238E27FC236}">
              <a16:creationId xmlns:a16="http://schemas.microsoft.com/office/drawing/2014/main" id="{4F313E0E-BAB7-4A03-B1D0-580D6D3A58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0" name="Elipse 5349">
          <a:extLst>
            <a:ext uri="{FF2B5EF4-FFF2-40B4-BE49-F238E27FC236}">
              <a16:creationId xmlns:a16="http://schemas.microsoft.com/office/drawing/2014/main" id="{9E438E32-56D7-4CA4-979E-219E877091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1" name="Elipse 5350">
          <a:extLst>
            <a:ext uri="{FF2B5EF4-FFF2-40B4-BE49-F238E27FC236}">
              <a16:creationId xmlns:a16="http://schemas.microsoft.com/office/drawing/2014/main" id="{BDF53222-7399-4A22-9868-E298AF0FE9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2" name="Elipse 5351">
          <a:extLst>
            <a:ext uri="{FF2B5EF4-FFF2-40B4-BE49-F238E27FC236}">
              <a16:creationId xmlns:a16="http://schemas.microsoft.com/office/drawing/2014/main" id="{0224B92F-683F-40EE-BBDA-064676FB60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3" name="Elipse 5352">
          <a:extLst>
            <a:ext uri="{FF2B5EF4-FFF2-40B4-BE49-F238E27FC236}">
              <a16:creationId xmlns:a16="http://schemas.microsoft.com/office/drawing/2014/main" id="{34248B3A-2D32-4CF4-BF3B-9D0EA912F5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4" name="Elipse 5353">
          <a:extLst>
            <a:ext uri="{FF2B5EF4-FFF2-40B4-BE49-F238E27FC236}">
              <a16:creationId xmlns:a16="http://schemas.microsoft.com/office/drawing/2014/main" id="{E528B4BC-5CD1-4248-9345-D2C30CE917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5" name="Elipse 5354">
          <a:extLst>
            <a:ext uri="{FF2B5EF4-FFF2-40B4-BE49-F238E27FC236}">
              <a16:creationId xmlns:a16="http://schemas.microsoft.com/office/drawing/2014/main" id="{03999CD8-6F7C-4E21-A6B6-07938436E4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6" name="Elipse 5355">
          <a:extLst>
            <a:ext uri="{FF2B5EF4-FFF2-40B4-BE49-F238E27FC236}">
              <a16:creationId xmlns:a16="http://schemas.microsoft.com/office/drawing/2014/main" id="{8D767428-4DF1-4BE9-B856-17D6BDC6FC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7" name="Elipse 5356">
          <a:extLst>
            <a:ext uri="{FF2B5EF4-FFF2-40B4-BE49-F238E27FC236}">
              <a16:creationId xmlns:a16="http://schemas.microsoft.com/office/drawing/2014/main" id="{A67EB858-4DF8-4B65-9EF5-3CD1BCEE41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8" name="Elipse 5357">
          <a:extLst>
            <a:ext uri="{FF2B5EF4-FFF2-40B4-BE49-F238E27FC236}">
              <a16:creationId xmlns:a16="http://schemas.microsoft.com/office/drawing/2014/main" id="{ACA80873-8CC8-4507-83DE-5CCE90F71D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9" name="Elipse 5358">
          <a:extLst>
            <a:ext uri="{FF2B5EF4-FFF2-40B4-BE49-F238E27FC236}">
              <a16:creationId xmlns:a16="http://schemas.microsoft.com/office/drawing/2014/main" id="{560B042B-8917-41FF-AC08-C885972590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0" name="Elipse 5359">
          <a:extLst>
            <a:ext uri="{FF2B5EF4-FFF2-40B4-BE49-F238E27FC236}">
              <a16:creationId xmlns:a16="http://schemas.microsoft.com/office/drawing/2014/main" id="{E785CA54-668D-4A28-81DF-121AD84DFB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1" name="Elipse 5360">
          <a:extLst>
            <a:ext uri="{FF2B5EF4-FFF2-40B4-BE49-F238E27FC236}">
              <a16:creationId xmlns:a16="http://schemas.microsoft.com/office/drawing/2014/main" id="{05510AB8-F665-4C57-90D5-1DFA1CCD92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2" name="Elipse 5361">
          <a:extLst>
            <a:ext uri="{FF2B5EF4-FFF2-40B4-BE49-F238E27FC236}">
              <a16:creationId xmlns:a16="http://schemas.microsoft.com/office/drawing/2014/main" id="{7115770D-4CA5-47F2-9A22-4BAB8C7391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3" name="Elipse 5362">
          <a:extLst>
            <a:ext uri="{FF2B5EF4-FFF2-40B4-BE49-F238E27FC236}">
              <a16:creationId xmlns:a16="http://schemas.microsoft.com/office/drawing/2014/main" id="{D3D710EA-7862-4A77-A661-F2064F5E21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4" name="Elipse 5363">
          <a:extLst>
            <a:ext uri="{FF2B5EF4-FFF2-40B4-BE49-F238E27FC236}">
              <a16:creationId xmlns:a16="http://schemas.microsoft.com/office/drawing/2014/main" id="{82542F0B-0E4A-4446-93BE-2C25F9CF5C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5" name="Elipse 5364">
          <a:extLst>
            <a:ext uri="{FF2B5EF4-FFF2-40B4-BE49-F238E27FC236}">
              <a16:creationId xmlns:a16="http://schemas.microsoft.com/office/drawing/2014/main" id="{CCBE9D2B-1DC9-4D87-82DC-355E916CA2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6" name="Elipse 5365">
          <a:extLst>
            <a:ext uri="{FF2B5EF4-FFF2-40B4-BE49-F238E27FC236}">
              <a16:creationId xmlns:a16="http://schemas.microsoft.com/office/drawing/2014/main" id="{D2770363-899F-41F7-9868-6B0576BAC9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7" name="Elipse 5366">
          <a:extLst>
            <a:ext uri="{FF2B5EF4-FFF2-40B4-BE49-F238E27FC236}">
              <a16:creationId xmlns:a16="http://schemas.microsoft.com/office/drawing/2014/main" id="{CC2DFD6F-92C3-479B-976F-BB668C329A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8" name="Elipse 5367">
          <a:extLst>
            <a:ext uri="{FF2B5EF4-FFF2-40B4-BE49-F238E27FC236}">
              <a16:creationId xmlns:a16="http://schemas.microsoft.com/office/drawing/2014/main" id="{EF5D7D70-C22B-4A0A-BBD3-B6F89AD5AB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9" name="Elipse 5368">
          <a:extLst>
            <a:ext uri="{FF2B5EF4-FFF2-40B4-BE49-F238E27FC236}">
              <a16:creationId xmlns:a16="http://schemas.microsoft.com/office/drawing/2014/main" id="{0FF32990-857C-4F0F-A9E7-D183ED5036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0" name="Elipse 5369">
          <a:extLst>
            <a:ext uri="{FF2B5EF4-FFF2-40B4-BE49-F238E27FC236}">
              <a16:creationId xmlns:a16="http://schemas.microsoft.com/office/drawing/2014/main" id="{46313167-F595-41C9-8E07-BEFF473280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1" name="Elipse 5370">
          <a:extLst>
            <a:ext uri="{FF2B5EF4-FFF2-40B4-BE49-F238E27FC236}">
              <a16:creationId xmlns:a16="http://schemas.microsoft.com/office/drawing/2014/main" id="{FAC642E9-F0CB-4058-9BCA-844EA7C4AC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2" name="Elipse 5371">
          <a:extLst>
            <a:ext uri="{FF2B5EF4-FFF2-40B4-BE49-F238E27FC236}">
              <a16:creationId xmlns:a16="http://schemas.microsoft.com/office/drawing/2014/main" id="{5AE27A60-6EF3-454B-AC94-10EB677342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3" name="Elipse 5372">
          <a:extLst>
            <a:ext uri="{FF2B5EF4-FFF2-40B4-BE49-F238E27FC236}">
              <a16:creationId xmlns:a16="http://schemas.microsoft.com/office/drawing/2014/main" id="{65DD3257-C42F-48E4-BA77-2E097BEE4F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4" name="Elipse 5373">
          <a:extLst>
            <a:ext uri="{FF2B5EF4-FFF2-40B4-BE49-F238E27FC236}">
              <a16:creationId xmlns:a16="http://schemas.microsoft.com/office/drawing/2014/main" id="{E81EA5EA-C69E-4337-8AC3-F8D7BE83D7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5" name="Elipse 5374">
          <a:extLst>
            <a:ext uri="{FF2B5EF4-FFF2-40B4-BE49-F238E27FC236}">
              <a16:creationId xmlns:a16="http://schemas.microsoft.com/office/drawing/2014/main" id="{01506C41-DDE4-4A29-B01F-500053F9F5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6" name="Elipse 5375">
          <a:extLst>
            <a:ext uri="{FF2B5EF4-FFF2-40B4-BE49-F238E27FC236}">
              <a16:creationId xmlns:a16="http://schemas.microsoft.com/office/drawing/2014/main" id="{1AF63E23-1820-44DE-88AF-DEC6E2CCD2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7" name="Elipse 5376">
          <a:extLst>
            <a:ext uri="{FF2B5EF4-FFF2-40B4-BE49-F238E27FC236}">
              <a16:creationId xmlns:a16="http://schemas.microsoft.com/office/drawing/2014/main" id="{94BEE9B7-4008-4F8F-96AB-99229024BE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8" name="Elipse 5377">
          <a:extLst>
            <a:ext uri="{FF2B5EF4-FFF2-40B4-BE49-F238E27FC236}">
              <a16:creationId xmlns:a16="http://schemas.microsoft.com/office/drawing/2014/main" id="{F142DDAE-43FF-4BF7-AF07-EFD81E53CD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9" name="Elipse 5378">
          <a:extLst>
            <a:ext uri="{FF2B5EF4-FFF2-40B4-BE49-F238E27FC236}">
              <a16:creationId xmlns:a16="http://schemas.microsoft.com/office/drawing/2014/main" id="{95D265CD-3BDE-41BD-ACAC-92FB7DFE01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0" name="Elipse 5379">
          <a:extLst>
            <a:ext uri="{FF2B5EF4-FFF2-40B4-BE49-F238E27FC236}">
              <a16:creationId xmlns:a16="http://schemas.microsoft.com/office/drawing/2014/main" id="{CE9893DC-5CD2-4592-8B9F-87D5702C83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1" name="Elipse 5380">
          <a:extLst>
            <a:ext uri="{FF2B5EF4-FFF2-40B4-BE49-F238E27FC236}">
              <a16:creationId xmlns:a16="http://schemas.microsoft.com/office/drawing/2014/main" id="{69F5F152-A0DE-463E-AD8D-FB83D8291D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2" name="Elipse 5381">
          <a:extLst>
            <a:ext uri="{FF2B5EF4-FFF2-40B4-BE49-F238E27FC236}">
              <a16:creationId xmlns:a16="http://schemas.microsoft.com/office/drawing/2014/main" id="{D80F6FC7-E28A-4480-9EB9-78303FBE33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3" name="Elipse 5382">
          <a:extLst>
            <a:ext uri="{FF2B5EF4-FFF2-40B4-BE49-F238E27FC236}">
              <a16:creationId xmlns:a16="http://schemas.microsoft.com/office/drawing/2014/main" id="{49334719-E830-4F01-93D2-51EF1678B3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4" name="Elipse 5383">
          <a:extLst>
            <a:ext uri="{FF2B5EF4-FFF2-40B4-BE49-F238E27FC236}">
              <a16:creationId xmlns:a16="http://schemas.microsoft.com/office/drawing/2014/main" id="{4AF9C6B2-BAB8-49D2-922E-EBE5D3541D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5" name="Elipse 5384">
          <a:extLst>
            <a:ext uri="{FF2B5EF4-FFF2-40B4-BE49-F238E27FC236}">
              <a16:creationId xmlns:a16="http://schemas.microsoft.com/office/drawing/2014/main" id="{4561042F-5F1D-45A2-A54C-D62EE6874B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6" name="Elipse 5385">
          <a:extLst>
            <a:ext uri="{FF2B5EF4-FFF2-40B4-BE49-F238E27FC236}">
              <a16:creationId xmlns:a16="http://schemas.microsoft.com/office/drawing/2014/main" id="{94FE6AA4-FF14-46EF-A03C-47840933AA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7" name="Elipse 5386">
          <a:extLst>
            <a:ext uri="{FF2B5EF4-FFF2-40B4-BE49-F238E27FC236}">
              <a16:creationId xmlns:a16="http://schemas.microsoft.com/office/drawing/2014/main" id="{643E4904-DDDC-45C4-935B-DC079F4FD9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8" name="Elipse 5387">
          <a:extLst>
            <a:ext uri="{FF2B5EF4-FFF2-40B4-BE49-F238E27FC236}">
              <a16:creationId xmlns:a16="http://schemas.microsoft.com/office/drawing/2014/main" id="{BD7A810B-DEFE-42B6-9F76-518A323488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9" name="Elipse 5388">
          <a:extLst>
            <a:ext uri="{FF2B5EF4-FFF2-40B4-BE49-F238E27FC236}">
              <a16:creationId xmlns:a16="http://schemas.microsoft.com/office/drawing/2014/main" id="{AB0AEA99-61EB-40F8-8487-6FC728598C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0" name="Elipse 5389">
          <a:extLst>
            <a:ext uri="{FF2B5EF4-FFF2-40B4-BE49-F238E27FC236}">
              <a16:creationId xmlns:a16="http://schemas.microsoft.com/office/drawing/2014/main" id="{B42E638B-9DB7-49B8-A038-C98DFC2474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1" name="Elipse 5390">
          <a:extLst>
            <a:ext uri="{FF2B5EF4-FFF2-40B4-BE49-F238E27FC236}">
              <a16:creationId xmlns:a16="http://schemas.microsoft.com/office/drawing/2014/main" id="{D05DC714-5FD9-4016-9D10-7031FD1176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2" name="Elipse 5391">
          <a:extLst>
            <a:ext uri="{FF2B5EF4-FFF2-40B4-BE49-F238E27FC236}">
              <a16:creationId xmlns:a16="http://schemas.microsoft.com/office/drawing/2014/main" id="{5F4CF92F-695A-4A74-8024-8FAA303482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3" name="Elipse 5392">
          <a:extLst>
            <a:ext uri="{FF2B5EF4-FFF2-40B4-BE49-F238E27FC236}">
              <a16:creationId xmlns:a16="http://schemas.microsoft.com/office/drawing/2014/main" id="{06A27B1B-6E91-442C-9722-5FC9D0EFED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4" name="Elipse 5393">
          <a:extLst>
            <a:ext uri="{FF2B5EF4-FFF2-40B4-BE49-F238E27FC236}">
              <a16:creationId xmlns:a16="http://schemas.microsoft.com/office/drawing/2014/main" id="{D4821A2B-C22F-4DFD-80FE-40D1A92803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5" name="Elipse 5394">
          <a:extLst>
            <a:ext uri="{FF2B5EF4-FFF2-40B4-BE49-F238E27FC236}">
              <a16:creationId xmlns:a16="http://schemas.microsoft.com/office/drawing/2014/main" id="{04E3E46C-F643-4FB4-AF95-70E31F1DA2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6" name="Elipse 5395">
          <a:extLst>
            <a:ext uri="{FF2B5EF4-FFF2-40B4-BE49-F238E27FC236}">
              <a16:creationId xmlns:a16="http://schemas.microsoft.com/office/drawing/2014/main" id="{7C6BE254-9D98-4492-A286-83FD3CE38B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7" name="Elipse 5396">
          <a:extLst>
            <a:ext uri="{FF2B5EF4-FFF2-40B4-BE49-F238E27FC236}">
              <a16:creationId xmlns:a16="http://schemas.microsoft.com/office/drawing/2014/main" id="{B0D1C8D6-0C46-41F7-AF5B-F0D51AD926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8" name="Elipse 5397">
          <a:extLst>
            <a:ext uri="{FF2B5EF4-FFF2-40B4-BE49-F238E27FC236}">
              <a16:creationId xmlns:a16="http://schemas.microsoft.com/office/drawing/2014/main" id="{2ABDD020-32BB-4A2B-977B-194DFDE6BF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9" name="Elipse 5398">
          <a:extLst>
            <a:ext uri="{FF2B5EF4-FFF2-40B4-BE49-F238E27FC236}">
              <a16:creationId xmlns:a16="http://schemas.microsoft.com/office/drawing/2014/main" id="{EA64F1BB-FC00-4D27-A83D-7660591EBC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0" name="Elipse 5399">
          <a:extLst>
            <a:ext uri="{FF2B5EF4-FFF2-40B4-BE49-F238E27FC236}">
              <a16:creationId xmlns:a16="http://schemas.microsoft.com/office/drawing/2014/main" id="{C203407F-634E-4B14-893B-E60850C6C5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1" name="Elipse 5400">
          <a:extLst>
            <a:ext uri="{FF2B5EF4-FFF2-40B4-BE49-F238E27FC236}">
              <a16:creationId xmlns:a16="http://schemas.microsoft.com/office/drawing/2014/main" id="{F70C917C-724A-483C-8B87-F517785F7A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2" name="Elipse 5401">
          <a:extLst>
            <a:ext uri="{FF2B5EF4-FFF2-40B4-BE49-F238E27FC236}">
              <a16:creationId xmlns:a16="http://schemas.microsoft.com/office/drawing/2014/main" id="{0735912B-374D-4E83-A508-5DED8F9A9C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3" name="Elipse 5402">
          <a:extLst>
            <a:ext uri="{FF2B5EF4-FFF2-40B4-BE49-F238E27FC236}">
              <a16:creationId xmlns:a16="http://schemas.microsoft.com/office/drawing/2014/main" id="{9C1021D9-57FC-4275-96B5-4BE5510766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4" name="Elipse 5403">
          <a:extLst>
            <a:ext uri="{FF2B5EF4-FFF2-40B4-BE49-F238E27FC236}">
              <a16:creationId xmlns:a16="http://schemas.microsoft.com/office/drawing/2014/main" id="{384D461E-CA45-4E5B-AE39-55C5CB51FC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5" name="Elipse 5404">
          <a:extLst>
            <a:ext uri="{FF2B5EF4-FFF2-40B4-BE49-F238E27FC236}">
              <a16:creationId xmlns:a16="http://schemas.microsoft.com/office/drawing/2014/main" id="{5C5006DC-0B0F-478E-996A-3EEE76B133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6" name="Elipse 5405">
          <a:extLst>
            <a:ext uri="{FF2B5EF4-FFF2-40B4-BE49-F238E27FC236}">
              <a16:creationId xmlns:a16="http://schemas.microsoft.com/office/drawing/2014/main" id="{39D8FC7B-6896-4949-8126-2816DA9FE5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7" name="Elipse 5406">
          <a:extLst>
            <a:ext uri="{FF2B5EF4-FFF2-40B4-BE49-F238E27FC236}">
              <a16:creationId xmlns:a16="http://schemas.microsoft.com/office/drawing/2014/main" id="{50762D83-941E-4A48-B462-CED8EE7F6B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8" name="Elipse 5407">
          <a:extLst>
            <a:ext uri="{FF2B5EF4-FFF2-40B4-BE49-F238E27FC236}">
              <a16:creationId xmlns:a16="http://schemas.microsoft.com/office/drawing/2014/main" id="{FD598FAA-D9A0-40F3-A22C-567A5E0C2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9" name="Elipse 5408">
          <a:extLst>
            <a:ext uri="{FF2B5EF4-FFF2-40B4-BE49-F238E27FC236}">
              <a16:creationId xmlns:a16="http://schemas.microsoft.com/office/drawing/2014/main" id="{BF92C83B-20B0-492F-A359-8ADA52B3E0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0" name="Elipse 5409">
          <a:extLst>
            <a:ext uri="{FF2B5EF4-FFF2-40B4-BE49-F238E27FC236}">
              <a16:creationId xmlns:a16="http://schemas.microsoft.com/office/drawing/2014/main" id="{E33FDA54-DE17-4730-AB0A-88B46DA1A0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1" name="Elipse 5410">
          <a:extLst>
            <a:ext uri="{FF2B5EF4-FFF2-40B4-BE49-F238E27FC236}">
              <a16:creationId xmlns:a16="http://schemas.microsoft.com/office/drawing/2014/main" id="{9AA3B3F2-BE95-43C1-B145-C2B6E30609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2" name="Elipse 5411">
          <a:extLst>
            <a:ext uri="{FF2B5EF4-FFF2-40B4-BE49-F238E27FC236}">
              <a16:creationId xmlns:a16="http://schemas.microsoft.com/office/drawing/2014/main" id="{69C54CF9-CCA8-43C5-A0E5-64CD1B0CF1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3" name="Elipse 5412">
          <a:extLst>
            <a:ext uri="{FF2B5EF4-FFF2-40B4-BE49-F238E27FC236}">
              <a16:creationId xmlns:a16="http://schemas.microsoft.com/office/drawing/2014/main" id="{67ADBB4D-A1E3-4E4D-9573-9ADC24BFD7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4" name="Elipse 5413">
          <a:extLst>
            <a:ext uri="{FF2B5EF4-FFF2-40B4-BE49-F238E27FC236}">
              <a16:creationId xmlns:a16="http://schemas.microsoft.com/office/drawing/2014/main" id="{91CCC1FF-56F7-46EF-8C1B-265BBF9F0A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5" name="Elipse 5414">
          <a:extLst>
            <a:ext uri="{FF2B5EF4-FFF2-40B4-BE49-F238E27FC236}">
              <a16:creationId xmlns:a16="http://schemas.microsoft.com/office/drawing/2014/main" id="{151B1856-C67E-4FB8-A51F-5C334F0D07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6" name="Elipse 5415">
          <a:extLst>
            <a:ext uri="{FF2B5EF4-FFF2-40B4-BE49-F238E27FC236}">
              <a16:creationId xmlns:a16="http://schemas.microsoft.com/office/drawing/2014/main" id="{542E8967-1C41-4C39-9AC5-A296ACA133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7" name="Elipse 5416">
          <a:extLst>
            <a:ext uri="{FF2B5EF4-FFF2-40B4-BE49-F238E27FC236}">
              <a16:creationId xmlns:a16="http://schemas.microsoft.com/office/drawing/2014/main" id="{B3129958-15F7-4461-BEA8-65F907D54E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8" name="Elipse 5417">
          <a:extLst>
            <a:ext uri="{FF2B5EF4-FFF2-40B4-BE49-F238E27FC236}">
              <a16:creationId xmlns:a16="http://schemas.microsoft.com/office/drawing/2014/main" id="{44AEBF40-9798-4089-B761-30182FFD60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9" name="Elipse 5418">
          <a:extLst>
            <a:ext uri="{FF2B5EF4-FFF2-40B4-BE49-F238E27FC236}">
              <a16:creationId xmlns:a16="http://schemas.microsoft.com/office/drawing/2014/main" id="{44EA26EF-1AD2-446B-978A-06609123B2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0" name="Elipse 5419">
          <a:extLst>
            <a:ext uri="{FF2B5EF4-FFF2-40B4-BE49-F238E27FC236}">
              <a16:creationId xmlns:a16="http://schemas.microsoft.com/office/drawing/2014/main" id="{840DB0F1-EB6C-44C3-81CC-5870A153C9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1" name="Elipse 5420">
          <a:extLst>
            <a:ext uri="{FF2B5EF4-FFF2-40B4-BE49-F238E27FC236}">
              <a16:creationId xmlns:a16="http://schemas.microsoft.com/office/drawing/2014/main" id="{9E68B418-163E-4529-95AD-C673677922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2" name="Elipse 5421">
          <a:extLst>
            <a:ext uri="{FF2B5EF4-FFF2-40B4-BE49-F238E27FC236}">
              <a16:creationId xmlns:a16="http://schemas.microsoft.com/office/drawing/2014/main" id="{3C102262-37E2-47F4-8016-F5F5E1A854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3" name="Elipse 5422">
          <a:extLst>
            <a:ext uri="{FF2B5EF4-FFF2-40B4-BE49-F238E27FC236}">
              <a16:creationId xmlns:a16="http://schemas.microsoft.com/office/drawing/2014/main" id="{EAE2F93A-D9F5-4591-9116-82B1DEA4B3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4" name="Elipse 5423">
          <a:extLst>
            <a:ext uri="{FF2B5EF4-FFF2-40B4-BE49-F238E27FC236}">
              <a16:creationId xmlns:a16="http://schemas.microsoft.com/office/drawing/2014/main" id="{1B8974CA-5128-428A-979B-C8D5EBBB3C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5" name="Elipse 5424">
          <a:extLst>
            <a:ext uri="{FF2B5EF4-FFF2-40B4-BE49-F238E27FC236}">
              <a16:creationId xmlns:a16="http://schemas.microsoft.com/office/drawing/2014/main" id="{7A04D79E-7466-4046-8AA4-D3E23A60ED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6" name="Elipse 5425">
          <a:extLst>
            <a:ext uri="{FF2B5EF4-FFF2-40B4-BE49-F238E27FC236}">
              <a16:creationId xmlns:a16="http://schemas.microsoft.com/office/drawing/2014/main" id="{C9A607A6-074F-4DBB-9547-A4A14E4BFC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7" name="Elipse 5426">
          <a:extLst>
            <a:ext uri="{FF2B5EF4-FFF2-40B4-BE49-F238E27FC236}">
              <a16:creationId xmlns:a16="http://schemas.microsoft.com/office/drawing/2014/main" id="{580AFB46-946A-474E-90C9-6B01DFC8C1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8" name="Elipse 5427">
          <a:extLst>
            <a:ext uri="{FF2B5EF4-FFF2-40B4-BE49-F238E27FC236}">
              <a16:creationId xmlns:a16="http://schemas.microsoft.com/office/drawing/2014/main" id="{81524412-5113-49B6-9A3B-7A55557008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9" name="Elipse 5428">
          <a:extLst>
            <a:ext uri="{FF2B5EF4-FFF2-40B4-BE49-F238E27FC236}">
              <a16:creationId xmlns:a16="http://schemas.microsoft.com/office/drawing/2014/main" id="{46F75D38-0F92-4FC7-A6A1-2342E5BD7A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0" name="Elipse 5429">
          <a:extLst>
            <a:ext uri="{FF2B5EF4-FFF2-40B4-BE49-F238E27FC236}">
              <a16:creationId xmlns:a16="http://schemas.microsoft.com/office/drawing/2014/main" id="{33E2ABF4-8E6F-43BB-A50D-234B264CD0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1" name="Elipse 5430">
          <a:extLst>
            <a:ext uri="{FF2B5EF4-FFF2-40B4-BE49-F238E27FC236}">
              <a16:creationId xmlns:a16="http://schemas.microsoft.com/office/drawing/2014/main" id="{DA219FF0-6F40-49A1-8650-F92E954C0A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2" name="Elipse 5431">
          <a:extLst>
            <a:ext uri="{FF2B5EF4-FFF2-40B4-BE49-F238E27FC236}">
              <a16:creationId xmlns:a16="http://schemas.microsoft.com/office/drawing/2014/main" id="{A41CAF39-B075-4611-A5B9-164860EF04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3" name="Elipse 5432">
          <a:extLst>
            <a:ext uri="{FF2B5EF4-FFF2-40B4-BE49-F238E27FC236}">
              <a16:creationId xmlns:a16="http://schemas.microsoft.com/office/drawing/2014/main" id="{9202317A-0B2D-4520-8BD9-DA11EF57F3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4" name="Elipse 5433">
          <a:extLst>
            <a:ext uri="{FF2B5EF4-FFF2-40B4-BE49-F238E27FC236}">
              <a16:creationId xmlns:a16="http://schemas.microsoft.com/office/drawing/2014/main" id="{CFE05C94-DE74-4E76-A8BC-279A17426C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5" name="Elipse 5434">
          <a:extLst>
            <a:ext uri="{FF2B5EF4-FFF2-40B4-BE49-F238E27FC236}">
              <a16:creationId xmlns:a16="http://schemas.microsoft.com/office/drawing/2014/main" id="{08C3591F-2F1E-4480-AB17-EA8A445141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6" name="Elipse 5435">
          <a:extLst>
            <a:ext uri="{FF2B5EF4-FFF2-40B4-BE49-F238E27FC236}">
              <a16:creationId xmlns:a16="http://schemas.microsoft.com/office/drawing/2014/main" id="{37BEB876-A7B9-4CEE-97E0-28E59805A9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7" name="Elipse 5436">
          <a:extLst>
            <a:ext uri="{FF2B5EF4-FFF2-40B4-BE49-F238E27FC236}">
              <a16:creationId xmlns:a16="http://schemas.microsoft.com/office/drawing/2014/main" id="{D2696749-E6D5-4ACD-9DA0-C098D009FB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8" name="Elipse 5437">
          <a:extLst>
            <a:ext uri="{FF2B5EF4-FFF2-40B4-BE49-F238E27FC236}">
              <a16:creationId xmlns:a16="http://schemas.microsoft.com/office/drawing/2014/main" id="{6BF023BB-220A-434C-BD55-A1B0DE6EB6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9" name="Elipse 5438">
          <a:extLst>
            <a:ext uri="{FF2B5EF4-FFF2-40B4-BE49-F238E27FC236}">
              <a16:creationId xmlns:a16="http://schemas.microsoft.com/office/drawing/2014/main" id="{4ECB4812-A46B-4112-A0CA-390A35D429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0" name="Elipse 5439">
          <a:extLst>
            <a:ext uri="{FF2B5EF4-FFF2-40B4-BE49-F238E27FC236}">
              <a16:creationId xmlns:a16="http://schemas.microsoft.com/office/drawing/2014/main" id="{C7304839-E142-4DE8-B265-16D0E6DA21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1" name="Elipse 5440">
          <a:extLst>
            <a:ext uri="{FF2B5EF4-FFF2-40B4-BE49-F238E27FC236}">
              <a16:creationId xmlns:a16="http://schemas.microsoft.com/office/drawing/2014/main" id="{E8C7AF92-D28F-4222-86F7-5805AC14E6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2" name="Elipse 5441">
          <a:extLst>
            <a:ext uri="{FF2B5EF4-FFF2-40B4-BE49-F238E27FC236}">
              <a16:creationId xmlns:a16="http://schemas.microsoft.com/office/drawing/2014/main" id="{52CB293D-452D-4C33-BC51-8331A152FD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3" name="Elipse 5442">
          <a:extLst>
            <a:ext uri="{FF2B5EF4-FFF2-40B4-BE49-F238E27FC236}">
              <a16:creationId xmlns:a16="http://schemas.microsoft.com/office/drawing/2014/main" id="{56D75A4E-8897-49E7-AC61-62B8DCF939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4" name="Elipse 5443">
          <a:extLst>
            <a:ext uri="{FF2B5EF4-FFF2-40B4-BE49-F238E27FC236}">
              <a16:creationId xmlns:a16="http://schemas.microsoft.com/office/drawing/2014/main" id="{DE52DB53-6CC1-413B-8CB8-B7C626F042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5" name="Elipse 5444">
          <a:extLst>
            <a:ext uri="{FF2B5EF4-FFF2-40B4-BE49-F238E27FC236}">
              <a16:creationId xmlns:a16="http://schemas.microsoft.com/office/drawing/2014/main" id="{9CEC29CC-BE77-4E35-A9D0-2E124A0321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6" name="Elipse 5445">
          <a:extLst>
            <a:ext uri="{FF2B5EF4-FFF2-40B4-BE49-F238E27FC236}">
              <a16:creationId xmlns:a16="http://schemas.microsoft.com/office/drawing/2014/main" id="{8DA1F919-7B97-4D8C-8488-C6806A0361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7" name="Elipse 5446">
          <a:extLst>
            <a:ext uri="{FF2B5EF4-FFF2-40B4-BE49-F238E27FC236}">
              <a16:creationId xmlns:a16="http://schemas.microsoft.com/office/drawing/2014/main" id="{7D6C96C1-94EE-4DD0-B156-D3C24816F9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8" name="Elipse 5447">
          <a:extLst>
            <a:ext uri="{FF2B5EF4-FFF2-40B4-BE49-F238E27FC236}">
              <a16:creationId xmlns:a16="http://schemas.microsoft.com/office/drawing/2014/main" id="{73CE1BBB-3253-47DD-A7F1-D6B9660537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9" name="Elipse 5448">
          <a:extLst>
            <a:ext uri="{FF2B5EF4-FFF2-40B4-BE49-F238E27FC236}">
              <a16:creationId xmlns:a16="http://schemas.microsoft.com/office/drawing/2014/main" id="{9C63F63A-A289-4397-9040-D407252F7A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0" name="Elipse 5449">
          <a:extLst>
            <a:ext uri="{FF2B5EF4-FFF2-40B4-BE49-F238E27FC236}">
              <a16:creationId xmlns:a16="http://schemas.microsoft.com/office/drawing/2014/main" id="{385B000D-C659-49DD-9A88-7B18FFF2D2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1" name="Elipse 5450">
          <a:extLst>
            <a:ext uri="{FF2B5EF4-FFF2-40B4-BE49-F238E27FC236}">
              <a16:creationId xmlns:a16="http://schemas.microsoft.com/office/drawing/2014/main" id="{C7C8E97A-4F46-470B-8956-F263F4AED0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2" name="Elipse 5451">
          <a:extLst>
            <a:ext uri="{FF2B5EF4-FFF2-40B4-BE49-F238E27FC236}">
              <a16:creationId xmlns:a16="http://schemas.microsoft.com/office/drawing/2014/main" id="{25D4222B-97EF-4F04-BB6E-BF3F73F1AD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3" name="Elipse 5452">
          <a:extLst>
            <a:ext uri="{FF2B5EF4-FFF2-40B4-BE49-F238E27FC236}">
              <a16:creationId xmlns:a16="http://schemas.microsoft.com/office/drawing/2014/main" id="{3C77A018-708D-4A13-B927-431600BFEB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4" name="Elipse 5453">
          <a:extLst>
            <a:ext uri="{FF2B5EF4-FFF2-40B4-BE49-F238E27FC236}">
              <a16:creationId xmlns:a16="http://schemas.microsoft.com/office/drawing/2014/main" id="{54950D51-A394-49CD-9133-FD1E4EF539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5" name="Elipse 5454">
          <a:extLst>
            <a:ext uri="{FF2B5EF4-FFF2-40B4-BE49-F238E27FC236}">
              <a16:creationId xmlns:a16="http://schemas.microsoft.com/office/drawing/2014/main" id="{604E3043-501C-4A12-9CB3-B40757667D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6" name="Elipse 5455">
          <a:extLst>
            <a:ext uri="{FF2B5EF4-FFF2-40B4-BE49-F238E27FC236}">
              <a16:creationId xmlns:a16="http://schemas.microsoft.com/office/drawing/2014/main" id="{BF8B536F-C696-4E1C-9890-4FF251693A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7" name="Elipse 5456">
          <a:extLst>
            <a:ext uri="{FF2B5EF4-FFF2-40B4-BE49-F238E27FC236}">
              <a16:creationId xmlns:a16="http://schemas.microsoft.com/office/drawing/2014/main" id="{86B3D69F-BE5E-4CCE-8959-855E6ED382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8" name="Elipse 5457">
          <a:extLst>
            <a:ext uri="{FF2B5EF4-FFF2-40B4-BE49-F238E27FC236}">
              <a16:creationId xmlns:a16="http://schemas.microsoft.com/office/drawing/2014/main" id="{ACD00CA3-AC45-45A9-8B82-F33AD21649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9" name="Elipse 5458">
          <a:extLst>
            <a:ext uri="{FF2B5EF4-FFF2-40B4-BE49-F238E27FC236}">
              <a16:creationId xmlns:a16="http://schemas.microsoft.com/office/drawing/2014/main" id="{EB572DA9-4716-40AF-856F-C1561055FC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0" name="Elipse 5459">
          <a:extLst>
            <a:ext uri="{FF2B5EF4-FFF2-40B4-BE49-F238E27FC236}">
              <a16:creationId xmlns:a16="http://schemas.microsoft.com/office/drawing/2014/main" id="{D6348E88-BA2D-4A7C-9FB1-B983BDD330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1" name="Elipse 5460">
          <a:extLst>
            <a:ext uri="{FF2B5EF4-FFF2-40B4-BE49-F238E27FC236}">
              <a16:creationId xmlns:a16="http://schemas.microsoft.com/office/drawing/2014/main" id="{EA356462-F8E0-4EED-BC0A-261BA356B8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2" name="Elipse 5461">
          <a:extLst>
            <a:ext uri="{FF2B5EF4-FFF2-40B4-BE49-F238E27FC236}">
              <a16:creationId xmlns:a16="http://schemas.microsoft.com/office/drawing/2014/main" id="{E373CEAC-3555-44C0-9614-90DD052999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3" name="Elipse 5462">
          <a:extLst>
            <a:ext uri="{FF2B5EF4-FFF2-40B4-BE49-F238E27FC236}">
              <a16:creationId xmlns:a16="http://schemas.microsoft.com/office/drawing/2014/main" id="{C3EBEA39-32FE-47E9-8552-DA6DB7CEEC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4" name="Elipse 5463">
          <a:extLst>
            <a:ext uri="{FF2B5EF4-FFF2-40B4-BE49-F238E27FC236}">
              <a16:creationId xmlns:a16="http://schemas.microsoft.com/office/drawing/2014/main" id="{CFB375BE-06ED-4C4E-A7A3-7DA2108924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5" name="Elipse 5464">
          <a:extLst>
            <a:ext uri="{FF2B5EF4-FFF2-40B4-BE49-F238E27FC236}">
              <a16:creationId xmlns:a16="http://schemas.microsoft.com/office/drawing/2014/main" id="{776A05B3-69CB-46FC-B91B-2940CE0C8F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6" name="Elipse 5465">
          <a:extLst>
            <a:ext uri="{FF2B5EF4-FFF2-40B4-BE49-F238E27FC236}">
              <a16:creationId xmlns:a16="http://schemas.microsoft.com/office/drawing/2014/main" id="{33ABFDED-42E1-4C10-AD4B-A6ED6F469B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7" name="Elipse 5466">
          <a:extLst>
            <a:ext uri="{FF2B5EF4-FFF2-40B4-BE49-F238E27FC236}">
              <a16:creationId xmlns:a16="http://schemas.microsoft.com/office/drawing/2014/main" id="{8F03D928-37A8-4DCF-89DC-154649F4A3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8" name="Elipse 5467">
          <a:extLst>
            <a:ext uri="{FF2B5EF4-FFF2-40B4-BE49-F238E27FC236}">
              <a16:creationId xmlns:a16="http://schemas.microsoft.com/office/drawing/2014/main" id="{8FC9F4C4-35A8-45B8-8095-15A02CD5FA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9" name="Elipse 5468">
          <a:extLst>
            <a:ext uri="{FF2B5EF4-FFF2-40B4-BE49-F238E27FC236}">
              <a16:creationId xmlns:a16="http://schemas.microsoft.com/office/drawing/2014/main" id="{56D557C0-843C-421A-9AC0-0AFD7512D5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0" name="Elipse 5469">
          <a:extLst>
            <a:ext uri="{FF2B5EF4-FFF2-40B4-BE49-F238E27FC236}">
              <a16:creationId xmlns:a16="http://schemas.microsoft.com/office/drawing/2014/main" id="{E574E5A9-8149-43EE-AD1A-5CC905CB87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1" name="Elipse 5470">
          <a:extLst>
            <a:ext uri="{FF2B5EF4-FFF2-40B4-BE49-F238E27FC236}">
              <a16:creationId xmlns:a16="http://schemas.microsoft.com/office/drawing/2014/main" id="{1ECDA3C7-F799-4B3C-8FF7-B44DFFDFB4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2" name="Elipse 5471">
          <a:extLst>
            <a:ext uri="{FF2B5EF4-FFF2-40B4-BE49-F238E27FC236}">
              <a16:creationId xmlns:a16="http://schemas.microsoft.com/office/drawing/2014/main" id="{2F8085B4-EA4A-4BF5-BCB5-095813CC23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3" name="Elipse 5472">
          <a:extLst>
            <a:ext uri="{FF2B5EF4-FFF2-40B4-BE49-F238E27FC236}">
              <a16:creationId xmlns:a16="http://schemas.microsoft.com/office/drawing/2014/main" id="{B66DF187-E814-4A00-821E-B343730963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4" name="Elipse 5473">
          <a:extLst>
            <a:ext uri="{FF2B5EF4-FFF2-40B4-BE49-F238E27FC236}">
              <a16:creationId xmlns:a16="http://schemas.microsoft.com/office/drawing/2014/main" id="{AFCE7DCE-9C8A-43DB-80A2-0F40570199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5" name="Elipse 5474">
          <a:extLst>
            <a:ext uri="{FF2B5EF4-FFF2-40B4-BE49-F238E27FC236}">
              <a16:creationId xmlns:a16="http://schemas.microsoft.com/office/drawing/2014/main" id="{5D2FF11A-F4BB-47C1-8B12-F8610DDE30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6" name="Elipse 5475">
          <a:extLst>
            <a:ext uri="{FF2B5EF4-FFF2-40B4-BE49-F238E27FC236}">
              <a16:creationId xmlns:a16="http://schemas.microsoft.com/office/drawing/2014/main" id="{F00F2F5F-A0EF-42D4-9D1D-B7CE78C359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7" name="Elipse 5476">
          <a:extLst>
            <a:ext uri="{FF2B5EF4-FFF2-40B4-BE49-F238E27FC236}">
              <a16:creationId xmlns:a16="http://schemas.microsoft.com/office/drawing/2014/main" id="{B2709C9A-B56E-408A-8E32-93F542998D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8" name="Elipse 5477">
          <a:extLst>
            <a:ext uri="{FF2B5EF4-FFF2-40B4-BE49-F238E27FC236}">
              <a16:creationId xmlns:a16="http://schemas.microsoft.com/office/drawing/2014/main" id="{69E948EC-4145-4FA0-BDCE-B31311705A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9" name="Elipse 5478">
          <a:extLst>
            <a:ext uri="{FF2B5EF4-FFF2-40B4-BE49-F238E27FC236}">
              <a16:creationId xmlns:a16="http://schemas.microsoft.com/office/drawing/2014/main" id="{F33336B0-79CA-44BA-B61D-65AE459260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0" name="Elipse 5479">
          <a:extLst>
            <a:ext uri="{FF2B5EF4-FFF2-40B4-BE49-F238E27FC236}">
              <a16:creationId xmlns:a16="http://schemas.microsoft.com/office/drawing/2014/main" id="{DB40E770-77B6-43BB-A4B8-11476A1576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1" name="Elipse 5480">
          <a:extLst>
            <a:ext uri="{FF2B5EF4-FFF2-40B4-BE49-F238E27FC236}">
              <a16:creationId xmlns:a16="http://schemas.microsoft.com/office/drawing/2014/main" id="{24DF8781-F66B-477B-980D-3D18E1EDD6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2" name="Elipse 5481">
          <a:extLst>
            <a:ext uri="{FF2B5EF4-FFF2-40B4-BE49-F238E27FC236}">
              <a16:creationId xmlns:a16="http://schemas.microsoft.com/office/drawing/2014/main" id="{FB4B3A13-9786-4EF1-A34A-C0AB23F9F9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3" name="Elipse 5482">
          <a:extLst>
            <a:ext uri="{FF2B5EF4-FFF2-40B4-BE49-F238E27FC236}">
              <a16:creationId xmlns:a16="http://schemas.microsoft.com/office/drawing/2014/main" id="{AFCB6D59-2534-45C3-BAE1-7DCB7C5286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4" name="Elipse 5483">
          <a:extLst>
            <a:ext uri="{FF2B5EF4-FFF2-40B4-BE49-F238E27FC236}">
              <a16:creationId xmlns:a16="http://schemas.microsoft.com/office/drawing/2014/main" id="{9AE9CF9E-B211-455C-965C-80F4E6775D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5" name="Elipse 5484">
          <a:extLst>
            <a:ext uri="{FF2B5EF4-FFF2-40B4-BE49-F238E27FC236}">
              <a16:creationId xmlns:a16="http://schemas.microsoft.com/office/drawing/2014/main" id="{48F672A3-08BD-4529-9BB9-5AF82B38B3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6" name="Elipse 5485">
          <a:extLst>
            <a:ext uri="{FF2B5EF4-FFF2-40B4-BE49-F238E27FC236}">
              <a16:creationId xmlns:a16="http://schemas.microsoft.com/office/drawing/2014/main" id="{3A4A211F-4B08-4A4F-A47D-C3DAD8B3F4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7" name="Elipse 5486">
          <a:extLst>
            <a:ext uri="{FF2B5EF4-FFF2-40B4-BE49-F238E27FC236}">
              <a16:creationId xmlns:a16="http://schemas.microsoft.com/office/drawing/2014/main" id="{10F809C4-8FBA-4849-890E-A96F669BD3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8" name="Elipse 5487">
          <a:extLst>
            <a:ext uri="{FF2B5EF4-FFF2-40B4-BE49-F238E27FC236}">
              <a16:creationId xmlns:a16="http://schemas.microsoft.com/office/drawing/2014/main" id="{FE07FE5F-45A8-478F-9501-C422D9FAF7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9" name="Elipse 5488">
          <a:extLst>
            <a:ext uri="{FF2B5EF4-FFF2-40B4-BE49-F238E27FC236}">
              <a16:creationId xmlns:a16="http://schemas.microsoft.com/office/drawing/2014/main" id="{D1F01AB6-A5F5-4FA3-856B-4686A9C268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0" name="Elipse 5489">
          <a:extLst>
            <a:ext uri="{FF2B5EF4-FFF2-40B4-BE49-F238E27FC236}">
              <a16:creationId xmlns:a16="http://schemas.microsoft.com/office/drawing/2014/main" id="{DDF5F52A-F766-4062-9882-282BD68667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1" name="Elipse 5490">
          <a:extLst>
            <a:ext uri="{FF2B5EF4-FFF2-40B4-BE49-F238E27FC236}">
              <a16:creationId xmlns:a16="http://schemas.microsoft.com/office/drawing/2014/main" id="{91F7FE9B-7726-4DE7-ADA8-916BD7D35E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2" name="Elipse 5491">
          <a:extLst>
            <a:ext uri="{FF2B5EF4-FFF2-40B4-BE49-F238E27FC236}">
              <a16:creationId xmlns:a16="http://schemas.microsoft.com/office/drawing/2014/main" id="{19859FBC-6768-405F-AA4C-DF41D0B8D4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3" name="Elipse 5492">
          <a:extLst>
            <a:ext uri="{FF2B5EF4-FFF2-40B4-BE49-F238E27FC236}">
              <a16:creationId xmlns:a16="http://schemas.microsoft.com/office/drawing/2014/main" id="{3BEB69A5-C5EC-412B-85E4-4F2D62C712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4" name="Elipse 5493">
          <a:extLst>
            <a:ext uri="{FF2B5EF4-FFF2-40B4-BE49-F238E27FC236}">
              <a16:creationId xmlns:a16="http://schemas.microsoft.com/office/drawing/2014/main" id="{1ADE9709-2BAD-44CA-98C0-52F0C8AACA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5" name="Elipse 5494">
          <a:extLst>
            <a:ext uri="{FF2B5EF4-FFF2-40B4-BE49-F238E27FC236}">
              <a16:creationId xmlns:a16="http://schemas.microsoft.com/office/drawing/2014/main" id="{4FE4CCCE-9DD5-48B6-B3D4-D0A08037AE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6" name="Elipse 5495">
          <a:extLst>
            <a:ext uri="{FF2B5EF4-FFF2-40B4-BE49-F238E27FC236}">
              <a16:creationId xmlns:a16="http://schemas.microsoft.com/office/drawing/2014/main" id="{72A95D90-16F4-4FE8-864E-4A0A0E6711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7" name="Elipse 5496">
          <a:extLst>
            <a:ext uri="{FF2B5EF4-FFF2-40B4-BE49-F238E27FC236}">
              <a16:creationId xmlns:a16="http://schemas.microsoft.com/office/drawing/2014/main" id="{29B36B10-7702-4B8E-B701-CAEFD81DB7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8" name="Elipse 5497">
          <a:extLst>
            <a:ext uri="{FF2B5EF4-FFF2-40B4-BE49-F238E27FC236}">
              <a16:creationId xmlns:a16="http://schemas.microsoft.com/office/drawing/2014/main" id="{7C9B489C-AC5C-4E9F-B321-DE9A09514D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9" name="Elipse 5498">
          <a:extLst>
            <a:ext uri="{FF2B5EF4-FFF2-40B4-BE49-F238E27FC236}">
              <a16:creationId xmlns:a16="http://schemas.microsoft.com/office/drawing/2014/main" id="{0E75D257-24DC-4425-A7A2-7D8CF8B8B2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0" name="Elipse 5499">
          <a:extLst>
            <a:ext uri="{FF2B5EF4-FFF2-40B4-BE49-F238E27FC236}">
              <a16:creationId xmlns:a16="http://schemas.microsoft.com/office/drawing/2014/main" id="{8337F26A-49EE-4D65-A3A1-E0D3DFB6C8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1" name="Elipse 5500">
          <a:extLst>
            <a:ext uri="{FF2B5EF4-FFF2-40B4-BE49-F238E27FC236}">
              <a16:creationId xmlns:a16="http://schemas.microsoft.com/office/drawing/2014/main" id="{8F859220-486A-4F99-AA7B-0E4745A579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2" name="Elipse 5501">
          <a:extLst>
            <a:ext uri="{FF2B5EF4-FFF2-40B4-BE49-F238E27FC236}">
              <a16:creationId xmlns:a16="http://schemas.microsoft.com/office/drawing/2014/main" id="{5BB9D0DF-54CD-470D-BF3A-CE932E6A46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3" name="Elipse 5502">
          <a:extLst>
            <a:ext uri="{FF2B5EF4-FFF2-40B4-BE49-F238E27FC236}">
              <a16:creationId xmlns:a16="http://schemas.microsoft.com/office/drawing/2014/main" id="{0B57C551-D442-4E9F-88B5-6EFB39A0B7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4" name="Elipse 5503">
          <a:extLst>
            <a:ext uri="{FF2B5EF4-FFF2-40B4-BE49-F238E27FC236}">
              <a16:creationId xmlns:a16="http://schemas.microsoft.com/office/drawing/2014/main" id="{77C1BF10-1865-4EF0-95FB-D8809A3807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5" name="Elipse 5504">
          <a:extLst>
            <a:ext uri="{FF2B5EF4-FFF2-40B4-BE49-F238E27FC236}">
              <a16:creationId xmlns:a16="http://schemas.microsoft.com/office/drawing/2014/main" id="{0EEFD4D0-0B30-4FD6-90EA-51C893669B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6" name="Elipse 5505">
          <a:extLst>
            <a:ext uri="{FF2B5EF4-FFF2-40B4-BE49-F238E27FC236}">
              <a16:creationId xmlns:a16="http://schemas.microsoft.com/office/drawing/2014/main" id="{602DDF81-D21E-4D78-8FF4-CAE7BB4EA6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7" name="Elipse 5506">
          <a:extLst>
            <a:ext uri="{FF2B5EF4-FFF2-40B4-BE49-F238E27FC236}">
              <a16:creationId xmlns:a16="http://schemas.microsoft.com/office/drawing/2014/main" id="{296BC0B8-4C33-4C05-B9D9-CAF95A0914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8" name="Elipse 5507">
          <a:extLst>
            <a:ext uri="{FF2B5EF4-FFF2-40B4-BE49-F238E27FC236}">
              <a16:creationId xmlns:a16="http://schemas.microsoft.com/office/drawing/2014/main" id="{579D90E9-DEA4-4DAB-9FDD-9871934632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9" name="Elipse 5508">
          <a:extLst>
            <a:ext uri="{FF2B5EF4-FFF2-40B4-BE49-F238E27FC236}">
              <a16:creationId xmlns:a16="http://schemas.microsoft.com/office/drawing/2014/main" id="{3076FCB8-2B92-4C51-B452-4DC1447117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0" name="Elipse 5509">
          <a:extLst>
            <a:ext uri="{FF2B5EF4-FFF2-40B4-BE49-F238E27FC236}">
              <a16:creationId xmlns:a16="http://schemas.microsoft.com/office/drawing/2014/main" id="{B0A52B0E-0114-4EF5-A3CE-E878BEF8C5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1" name="Elipse 5510">
          <a:extLst>
            <a:ext uri="{FF2B5EF4-FFF2-40B4-BE49-F238E27FC236}">
              <a16:creationId xmlns:a16="http://schemas.microsoft.com/office/drawing/2014/main" id="{5ED39B4D-B184-46FF-9C0D-1F8DE7D3C9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2" name="Elipse 5511">
          <a:extLst>
            <a:ext uri="{FF2B5EF4-FFF2-40B4-BE49-F238E27FC236}">
              <a16:creationId xmlns:a16="http://schemas.microsoft.com/office/drawing/2014/main" id="{54FABC2D-91D2-41F2-9899-0FE859E97F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3" name="Elipse 5512">
          <a:extLst>
            <a:ext uri="{FF2B5EF4-FFF2-40B4-BE49-F238E27FC236}">
              <a16:creationId xmlns:a16="http://schemas.microsoft.com/office/drawing/2014/main" id="{E844CB97-7B46-4514-A809-DC0AB38326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4" name="Elipse 5513">
          <a:extLst>
            <a:ext uri="{FF2B5EF4-FFF2-40B4-BE49-F238E27FC236}">
              <a16:creationId xmlns:a16="http://schemas.microsoft.com/office/drawing/2014/main" id="{12D169CA-ED6A-4B37-AF33-1441D95FCE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5" name="Elipse 5514">
          <a:extLst>
            <a:ext uri="{FF2B5EF4-FFF2-40B4-BE49-F238E27FC236}">
              <a16:creationId xmlns:a16="http://schemas.microsoft.com/office/drawing/2014/main" id="{0453F36C-E56B-4C19-BB24-1B9BA62592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6" name="Elipse 5515">
          <a:extLst>
            <a:ext uri="{FF2B5EF4-FFF2-40B4-BE49-F238E27FC236}">
              <a16:creationId xmlns:a16="http://schemas.microsoft.com/office/drawing/2014/main" id="{82699CD5-28C6-400B-BF6B-2992E09E3C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7" name="Elipse 5516">
          <a:extLst>
            <a:ext uri="{FF2B5EF4-FFF2-40B4-BE49-F238E27FC236}">
              <a16:creationId xmlns:a16="http://schemas.microsoft.com/office/drawing/2014/main" id="{A4B07C4D-1F8A-49BB-8604-353DEA12C1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8" name="Elipse 5517">
          <a:extLst>
            <a:ext uri="{FF2B5EF4-FFF2-40B4-BE49-F238E27FC236}">
              <a16:creationId xmlns:a16="http://schemas.microsoft.com/office/drawing/2014/main" id="{5E70E180-DB68-4DA7-9708-DAC5E98EA7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9" name="Elipse 5518">
          <a:extLst>
            <a:ext uri="{FF2B5EF4-FFF2-40B4-BE49-F238E27FC236}">
              <a16:creationId xmlns:a16="http://schemas.microsoft.com/office/drawing/2014/main" id="{DDA1979A-4BDC-46A8-9388-02D5AF4B88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0" name="Elipse 5519">
          <a:extLst>
            <a:ext uri="{FF2B5EF4-FFF2-40B4-BE49-F238E27FC236}">
              <a16:creationId xmlns:a16="http://schemas.microsoft.com/office/drawing/2014/main" id="{CEAE2110-B57C-4284-B912-B920D6FDCC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1" name="Elipse 5520">
          <a:extLst>
            <a:ext uri="{FF2B5EF4-FFF2-40B4-BE49-F238E27FC236}">
              <a16:creationId xmlns:a16="http://schemas.microsoft.com/office/drawing/2014/main" id="{257A4E48-C8C0-4F04-94B3-BCAEF411A2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2" name="Elipse 5521">
          <a:extLst>
            <a:ext uri="{FF2B5EF4-FFF2-40B4-BE49-F238E27FC236}">
              <a16:creationId xmlns:a16="http://schemas.microsoft.com/office/drawing/2014/main" id="{CFBC8864-0E7D-4153-99CD-550ACB8A85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3" name="Elipse 5522">
          <a:extLst>
            <a:ext uri="{FF2B5EF4-FFF2-40B4-BE49-F238E27FC236}">
              <a16:creationId xmlns:a16="http://schemas.microsoft.com/office/drawing/2014/main" id="{3364F384-D033-476C-AD1A-59D31EA591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4" name="Elipse 5523">
          <a:extLst>
            <a:ext uri="{FF2B5EF4-FFF2-40B4-BE49-F238E27FC236}">
              <a16:creationId xmlns:a16="http://schemas.microsoft.com/office/drawing/2014/main" id="{A373FD66-7028-428B-A07F-84643CF4F1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5" name="Elipse 5524">
          <a:extLst>
            <a:ext uri="{FF2B5EF4-FFF2-40B4-BE49-F238E27FC236}">
              <a16:creationId xmlns:a16="http://schemas.microsoft.com/office/drawing/2014/main" id="{5957E871-2A88-4444-8C3D-8FA032AB0B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6" name="Elipse 5525">
          <a:extLst>
            <a:ext uri="{FF2B5EF4-FFF2-40B4-BE49-F238E27FC236}">
              <a16:creationId xmlns:a16="http://schemas.microsoft.com/office/drawing/2014/main" id="{4B10A441-766C-42FC-B6C8-F6B72CC6B5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7" name="Elipse 5526">
          <a:extLst>
            <a:ext uri="{FF2B5EF4-FFF2-40B4-BE49-F238E27FC236}">
              <a16:creationId xmlns:a16="http://schemas.microsoft.com/office/drawing/2014/main" id="{A4B0DC85-022E-4F00-8473-876CCC17D0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8" name="Elipse 5527">
          <a:extLst>
            <a:ext uri="{FF2B5EF4-FFF2-40B4-BE49-F238E27FC236}">
              <a16:creationId xmlns:a16="http://schemas.microsoft.com/office/drawing/2014/main" id="{4455A040-74DA-4998-89F5-3C3001ED50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9" name="Elipse 5528">
          <a:extLst>
            <a:ext uri="{FF2B5EF4-FFF2-40B4-BE49-F238E27FC236}">
              <a16:creationId xmlns:a16="http://schemas.microsoft.com/office/drawing/2014/main" id="{E2B3C0BC-DF04-4E11-94CA-FF0307A4CB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0" name="Elipse 5529">
          <a:extLst>
            <a:ext uri="{FF2B5EF4-FFF2-40B4-BE49-F238E27FC236}">
              <a16:creationId xmlns:a16="http://schemas.microsoft.com/office/drawing/2014/main" id="{B15FA6B3-F8CF-4646-811A-BF3060CEAC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1" name="Elipse 5530">
          <a:extLst>
            <a:ext uri="{FF2B5EF4-FFF2-40B4-BE49-F238E27FC236}">
              <a16:creationId xmlns:a16="http://schemas.microsoft.com/office/drawing/2014/main" id="{21F53382-AC75-4BB0-BDDF-40E9A674A2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2" name="Elipse 5531">
          <a:extLst>
            <a:ext uri="{FF2B5EF4-FFF2-40B4-BE49-F238E27FC236}">
              <a16:creationId xmlns:a16="http://schemas.microsoft.com/office/drawing/2014/main" id="{C0091075-D1AE-46C0-A8F5-67E85070CB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3" name="Elipse 5532">
          <a:extLst>
            <a:ext uri="{FF2B5EF4-FFF2-40B4-BE49-F238E27FC236}">
              <a16:creationId xmlns:a16="http://schemas.microsoft.com/office/drawing/2014/main" id="{864BC16D-FA50-4C9A-AD69-857EF8916A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4" name="Elipse 5533">
          <a:extLst>
            <a:ext uri="{FF2B5EF4-FFF2-40B4-BE49-F238E27FC236}">
              <a16:creationId xmlns:a16="http://schemas.microsoft.com/office/drawing/2014/main" id="{4406D07A-B0A9-4CF0-B83E-D186D18D38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5" name="Elipse 5534">
          <a:extLst>
            <a:ext uri="{FF2B5EF4-FFF2-40B4-BE49-F238E27FC236}">
              <a16:creationId xmlns:a16="http://schemas.microsoft.com/office/drawing/2014/main" id="{6C4B453E-4814-47BB-A57E-6478C2B40D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6" name="Elipse 5535">
          <a:extLst>
            <a:ext uri="{FF2B5EF4-FFF2-40B4-BE49-F238E27FC236}">
              <a16:creationId xmlns:a16="http://schemas.microsoft.com/office/drawing/2014/main" id="{D45D267A-3B8F-41F9-80A4-9D889F36D6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7" name="Elipse 5536">
          <a:extLst>
            <a:ext uri="{FF2B5EF4-FFF2-40B4-BE49-F238E27FC236}">
              <a16:creationId xmlns:a16="http://schemas.microsoft.com/office/drawing/2014/main" id="{69CB3413-598D-40F5-A49A-6BE483A063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8" name="Elipse 5537">
          <a:extLst>
            <a:ext uri="{FF2B5EF4-FFF2-40B4-BE49-F238E27FC236}">
              <a16:creationId xmlns:a16="http://schemas.microsoft.com/office/drawing/2014/main" id="{C117BF84-7182-4B3A-93CB-744C28A2A2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9" name="Elipse 5538">
          <a:extLst>
            <a:ext uri="{FF2B5EF4-FFF2-40B4-BE49-F238E27FC236}">
              <a16:creationId xmlns:a16="http://schemas.microsoft.com/office/drawing/2014/main" id="{A530C075-6C84-46EE-8883-C46AC481B2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0" name="Elipse 5539">
          <a:extLst>
            <a:ext uri="{FF2B5EF4-FFF2-40B4-BE49-F238E27FC236}">
              <a16:creationId xmlns:a16="http://schemas.microsoft.com/office/drawing/2014/main" id="{D6403D79-8ADB-4F2C-A73C-386EF33019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1" name="Elipse 5540">
          <a:extLst>
            <a:ext uri="{FF2B5EF4-FFF2-40B4-BE49-F238E27FC236}">
              <a16:creationId xmlns:a16="http://schemas.microsoft.com/office/drawing/2014/main" id="{5E3DC05E-7566-47BB-B8AF-C9EEC6D378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2" name="Elipse 5541">
          <a:extLst>
            <a:ext uri="{FF2B5EF4-FFF2-40B4-BE49-F238E27FC236}">
              <a16:creationId xmlns:a16="http://schemas.microsoft.com/office/drawing/2014/main" id="{B1CF80B9-48EC-4025-9C19-5778B55547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3" name="Elipse 5542">
          <a:extLst>
            <a:ext uri="{FF2B5EF4-FFF2-40B4-BE49-F238E27FC236}">
              <a16:creationId xmlns:a16="http://schemas.microsoft.com/office/drawing/2014/main" id="{570DE0BC-5D2E-4063-BD1B-661F93827F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4" name="Elipse 5543">
          <a:extLst>
            <a:ext uri="{FF2B5EF4-FFF2-40B4-BE49-F238E27FC236}">
              <a16:creationId xmlns:a16="http://schemas.microsoft.com/office/drawing/2014/main" id="{9976DF8A-DD87-4539-89E0-B6988CB700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5" name="Elipse 5544">
          <a:extLst>
            <a:ext uri="{FF2B5EF4-FFF2-40B4-BE49-F238E27FC236}">
              <a16:creationId xmlns:a16="http://schemas.microsoft.com/office/drawing/2014/main" id="{C85C951B-1756-4F09-B8FE-6D9A5DC1A1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6" name="Elipse 5545">
          <a:extLst>
            <a:ext uri="{FF2B5EF4-FFF2-40B4-BE49-F238E27FC236}">
              <a16:creationId xmlns:a16="http://schemas.microsoft.com/office/drawing/2014/main" id="{31DEFF10-5F2F-4552-978D-F7AFC92327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7" name="Elipse 5546">
          <a:extLst>
            <a:ext uri="{FF2B5EF4-FFF2-40B4-BE49-F238E27FC236}">
              <a16:creationId xmlns:a16="http://schemas.microsoft.com/office/drawing/2014/main" id="{B0A0245E-8822-47E8-9476-6DA3A62D90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8" name="Elipse 5547">
          <a:extLst>
            <a:ext uri="{FF2B5EF4-FFF2-40B4-BE49-F238E27FC236}">
              <a16:creationId xmlns:a16="http://schemas.microsoft.com/office/drawing/2014/main" id="{5A5C7EF1-0F64-48BB-AA3C-2CE1E62521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9" name="Elipse 5548">
          <a:extLst>
            <a:ext uri="{FF2B5EF4-FFF2-40B4-BE49-F238E27FC236}">
              <a16:creationId xmlns:a16="http://schemas.microsoft.com/office/drawing/2014/main" id="{F978250F-A5F7-4B40-83FC-3DF3F9B456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0" name="Elipse 5549">
          <a:extLst>
            <a:ext uri="{FF2B5EF4-FFF2-40B4-BE49-F238E27FC236}">
              <a16:creationId xmlns:a16="http://schemas.microsoft.com/office/drawing/2014/main" id="{1BE6FE43-32A2-461A-A274-0E0ADF668F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1" name="Elipse 5550">
          <a:extLst>
            <a:ext uri="{FF2B5EF4-FFF2-40B4-BE49-F238E27FC236}">
              <a16:creationId xmlns:a16="http://schemas.microsoft.com/office/drawing/2014/main" id="{99FA5BF5-FE62-41DA-A87B-4FAD22B6AB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2" name="Elipse 5551">
          <a:extLst>
            <a:ext uri="{FF2B5EF4-FFF2-40B4-BE49-F238E27FC236}">
              <a16:creationId xmlns:a16="http://schemas.microsoft.com/office/drawing/2014/main" id="{69D10315-E0E2-490A-91F9-B0AB1C71FE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3" name="Elipse 5552">
          <a:extLst>
            <a:ext uri="{FF2B5EF4-FFF2-40B4-BE49-F238E27FC236}">
              <a16:creationId xmlns:a16="http://schemas.microsoft.com/office/drawing/2014/main" id="{69440A52-28F8-4EFB-A3CA-E1C167685B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4" name="Elipse 5553">
          <a:extLst>
            <a:ext uri="{FF2B5EF4-FFF2-40B4-BE49-F238E27FC236}">
              <a16:creationId xmlns:a16="http://schemas.microsoft.com/office/drawing/2014/main" id="{0E651510-3CA3-4787-BB0C-14232490EA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5" name="Elipse 5554">
          <a:extLst>
            <a:ext uri="{FF2B5EF4-FFF2-40B4-BE49-F238E27FC236}">
              <a16:creationId xmlns:a16="http://schemas.microsoft.com/office/drawing/2014/main" id="{C7F3A5D9-A95A-49F3-A0F6-0EAB88A69A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6" name="Elipse 5555">
          <a:extLst>
            <a:ext uri="{FF2B5EF4-FFF2-40B4-BE49-F238E27FC236}">
              <a16:creationId xmlns:a16="http://schemas.microsoft.com/office/drawing/2014/main" id="{AE6EFE68-43E4-43E2-96A8-B9D270F58C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7" name="Elipse 5556">
          <a:extLst>
            <a:ext uri="{FF2B5EF4-FFF2-40B4-BE49-F238E27FC236}">
              <a16:creationId xmlns:a16="http://schemas.microsoft.com/office/drawing/2014/main" id="{F8B46CA5-70EB-4120-9E11-02B48E27B2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8" name="Elipse 5557">
          <a:extLst>
            <a:ext uri="{FF2B5EF4-FFF2-40B4-BE49-F238E27FC236}">
              <a16:creationId xmlns:a16="http://schemas.microsoft.com/office/drawing/2014/main" id="{1BDC0F37-0614-44F2-8F6A-C007CBD94D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9" name="Elipse 5558">
          <a:extLst>
            <a:ext uri="{FF2B5EF4-FFF2-40B4-BE49-F238E27FC236}">
              <a16:creationId xmlns:a16="http://schemas.microsoft.com/office/drawing/2014/main" id="{44A05735-446C-431F-A3E9-EFD39CECA1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0" name="Elipse 5559">
          <a:extLst>
            <a:ext uri="{FF2B5EF4-FFF2-40B4-BE49-F238E27FC236}">
              <a16:creationId xmlns:a16="http://schemas.microsoft.com/office/drawing/2014/main" id="{0435B87D-390F-45FF-A0DA-4FEE45CA96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1" name="Elipse 5560">
          <a:extLst>
            <a:ext uri="{FF2B5EF4-FFF2-40B4-BE49-F238E27FC236}">
              <a16:creationId xmlns:a16="http://schemas.microsoft.com/office/drawing/2014/main" id="{2AD5B5BC-AB64-4C3E-90D1-5B4576241D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2" name="Elipse 5561">
          <a:extLst>
            <a:ext uri="{FF2B5EF4-FFF2-40B4-BE49-F238E27FC236}">
              <a16:creationId xmlns:a16="http://schemas.microsoft.com/office/drawing/2014/main" id="{EB4C8A0A-BF75-4DED-BF2F-C6BF6AFDC0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3" name="Elipse 5562">
          <a:extLst>
            <a:ext uri="{FF2B5EF4-FFF2-40B4-BE49-F238E27FC236}">
              <a16:creationId xmlns:a16="http://schemas.microsoft.com/office/drawing/2014/main" id="{D104AC9B-6215-4715-8C31-255E549B03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4" name="Elipse 5563">
          <a:extLst>
            <a:ext uri="{FF2B5EF4-FFF2-40B4-BE49-F238E27FC236}">
              <a16:creationId xmlns:a16="http://schemas.microsoft.com/office/drawing/2014/main" id="{844EF636-D1A3-4344-9A4C-5ED3C33BE3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5" name="Elipse 5564">
          <a:extLst>
            <a:ext uri="{FF2B5EF4-FFF2-40B4-BE49-F238E27FC236}">
              <a16:creationId xmlns:a16="http://schemas.microsoft.com/office/drawing/2014/main" id="{E02C09D4-0F81-4D04-A7F7-D06A2CE6CD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6" name="Elipse 5565">
          <a:extLst>
            <a:ext uri="{FF2B5EF4-FFF2-40B4-BE49-F238E27FC236}">
              <a16:creationId xmlns:a16="http://schemas.microsoft.com/office/drawing/2014/main" id="{AB19F461-C8F3-477A-B8BE-542939CBB3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7" name="Elipse 5566">
          <a:extLst>
            <a:ext uri="{FF2B5EF4-FFF2-40B4-BE49-F238E27FC236}">
              <a16:creationId xmlns:a16="http://schemas.microsoft.com/office/drawing/2014/main" id="{E32E5C6A-F5E6-4774-9F15-C91A3989D9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8" name="Elipse 5567">
          <a:extLst>
            <a:ext uri="{FF2B5EF4-FFF2-40B4-BE49-F238E27FC236}">
              <a16:creationId xmlns:a16="http://schemas.microsoft.com/office/drawing/2014/main" id="{D06002E0-3771-41A0-BC2B-A1CB5BE8E4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9" name="Elipse 5568">
          <a:extLst>
            <a:ext uri="{FF2B5EF4-FFF2-40B4-BE49-F238E27FC236}">
              <a16:creationId xmlns:a16="http://schemas.microsoft.com/office/drawing/2014/main" id="{166ABDDC-3BA5-41BE-8154-B781CD86DB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0" name="Elipse 5569">
          <a:extLst>
            <a:ext uri="{FF2B5EF4-FFF2-40B4-BE49-F238E27FC236}">
              <a16:creationId xmlns:a16="http://schemas.microsoft.com/office/drawing/2014/main" id="{48B15D37-5E18-44A1-929E-8C350B93FC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1" name="Elipse 5570">
          <a:extLst>
            <a:ext uri="{FF2B5EF4-FFF2-40B4-BE49-F238E27FC236}">
              <a16:creationId xmlns:a16="http://schemas.microsoft.com/office/drawing/2014/main" id="{E93E27E2-F796-4126-B7DE-E8F5B1DFA0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2" name="Elipse 5571">
          <a:extLst>
            <a:ext uri="{FF2B5EF4-FFF2-40B4-BE49-F238E27FC236}">
              <a16:creationId xmlns:a16="http://schemas.microsoft.com/office/drawing/2014/main" id="{4554BA0F-7B6A-4611-BD60-5E5C38AE40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3" name="Elipse 5572">
          <a:extLst>
            <a:ext uri="{FF2B5EF4-FFF2-40B4-BE49-F238E27FC236}">
              <a16:creationId xmlns:a16="http://schemas.microsoft.com/office/drawing/2014/main" id="{D8955DB5-1F1B-4B89-8B2C-19F007486F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4" name="Elipse 5573">
          <a:extLst>
            <a:ext uri="{FF2B5EF4-FFF2-40B4-BE49-F238E27FC236}">
              <a16:creationId xmlns:a16="http://schemas.microsoft.com/office/drawing/2014/main" id="{CB96432D-FC15-4A01-8683-309164F51F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5" name="Elipse 5574">
          <a:extLst>
            <a:ext uri="{FF2B5EF4-FFF2-40B4-BE49-F238E27FC236}">
              <a16:creationId xmlns:a16="http://schemas.microsoft.com/office/drawing/2014/main" id="{486F2046-BD49-424C-A375-34C5B76490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6" name="Elipse 5575">
          <a:extLst>
            <a:ext uri="{FF2B5EF4-FFF2-40B4-BE49-F238E27FC236}">
              <a16:creationId xmlns:a16="http://schemas.microsoft.com/office/drawing/2014/main" id="{503B38B8-FEBD-40BA-A281-6A5E54B025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7" name="Elipse 5576">
          <a:extLst>
            <a:ext uri="{FF2B5EF4-FFF2-40B4-BE49-F238E27FC236}">
              <a16:creationId xmlns:a16="http://schemas.microsoft.com/office/drawing/2014/main" id="{C1476199-9A42-4FA4-AF88-9199CA85E6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8" name="Elipse 5577">
          <a:extLst>
            <a:ext uri="{FF2B5EF4-FFF2-40B4-BE49-F238E27FC236}">
              <a16:creationId xmlns:a16="http://schemas.microsoft.com/office/drawing/2014/main" id="{E71B3817-F9AE-499C-A0BC-DBFDBB2F83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9" name="Elipse 5578">
          <a:extLst>
            <a:ext uri="{FF2B5EF4-FFF2-40B4-BE49-F238E27FC236}">
              <a16:creationId xmlns:a16="http://schemas.microsoft.com/office/drawing/2014/main" id="{1EF4E3FB-8BE2-4436-B633-169E134763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0" name="Elipse 5579">
          <a:extLst>
            <a:ext uri="{FF2B5EF4-FFF2-40B4-BE49-F238E27FC236}">
              <a16:creationId xmlns:a16="http://schemas.microsoft.com/office/drawing/2014/main" id="{EC7CF643-164A-4A86-AC71-EE97027E59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1" name="Elipse 5580">
          <a:extLst>
            <a:ext uri="{FF2B5EF4-FFF2-40B4-BE49-F238E27FC236}">
              <a16:creationId xmlns:a16="http://schemas.microsoft.com/office/drawing/2014/main" id="{6BA1FB66-2E98-4707-8DEA-16F877F2DB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2" name="Elipse 5581">
          <a:extLst>
            <a:ext uri="{FF2B5EF4-FFF2-40B4-BE49-F238E27FC236}">
              <a16:creationId xmlns:a16="http://schemas.microsoft.com/office/drawing/2014/main" id="{7107A088-40F3-4792-9A82-FC753B54DC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3" name="Elipse 5582">
          <a:extLst>
            <a:ext uri="{FF2B5EF4-FFF2-40B4-BE49-F238E27FC236}">
              <a16:creationId xmlns:a16="http://schemas.microsoft.com/office/drawing/2014/main" id="{2D9C2E24-42AC-4D80-8A21-F1848DFD33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4" name="Elipse 5583">
          <a:extLst>
            <a:ext uri="{FF2B5EF4-FFF2-40B4-BE49-F238E27FC236}">
              <a16:creationId xmlns:a16="http://schemas.microsoft.com/office/drawing/2014/main" id="{9CA21D27-E334-482A-8321-6C503D2B42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5" name="Elipse 5584">
          <a:extLst>
            <a:ext uri="{FF2B5EF4-FFF2-40B4-BE49-F238E27FC236}">
              <a16:creationId xmlns:a16="http://schemas.microsoft.com/office/drawing/2014/main" id="{1C1E0478-2653-47F7-A931-F0E1E11819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6" name="Elipse 5585">
          <a:extLst>
            <a:ext uri="{FF2B5EF4-FFF2-40B4-BE49-F238E27FC236}">
              <a16:creationId xmlns:a16="http://schemas.microsoft.com/office/drawing/2014/main" id="{BFED5D4C-89B8-43E4-90E2-183A944DB2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7" name="Elipse 5586">
          <a:extLst>
            <a:ext uri="{FF2B5EF4-FFF2-40B4-BE49-F238E27FC236}">
              <a16:creationId xmlns:a16="http://schemas.microsoft.com/office/drawing/2014/main" id="{1AB2A5F3-401F-4962-9F02-8F06783344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8" name="Elipse 5587">
          <a:extLst>
            <a:ext uri="{FF2B5EF4-FFF2-40B4-BE49-F238E27FC236}">
              <a16:creationId xmlns:a16="http://schemas.microsoft.com/office/drawing/2014/main" id="{DB92D74C-F95C-459E-A9C7-F2A5E28CB8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9" name="Elipse 5588">
          <a:extLst>
            <a:ext uri="{FF2B5EF4-FFF2-40B4-BE49-F238E27FC236}">
              <a16:creationId xmlns:a16="http://schemas.microsoft.com/office/drawing/2014/main" id="{DE5302CA-934B-4CF0-8652-1FB4DD9F16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0" name="Elipse 5589">
          <a:extLst>
            <a:ext uri="{FF2B5EF4-FFF2-40B4-BE49-F238E27FC236}">
              <a16:creationId xmlns:a16="http://schemas.microsoft.com/office/drawing/2014/main" id="{FAE07B30-9679-4398-90AC-8403DC515C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1" name="Elipse 5590">
          <a:extLst>
            <a:ext uri="{FF2B5EF4-FFF2-40B4-BE49-F238E27FC236}">
              <a16:creationId xmlns:a16="http://schemas.microsoft.com/office/drawing/2014/main" id="{B8FF233C-85CC-44DF-9160-8EB1340976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2" name="Elipse 5591">
          <a:extLst>
            <a:ext uri="{FF2B5EF4-FFF2-40B4-BE49-F238E27FC236}">
              <a16:creationId xmlns:a16="http://schemas.microsoft.com/office/drawing/2014/main" id="{EC999E0C-2BB2-49C1-9C01-C4849D052E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3" name="Elipse 5592">
          <a:extLst>
            <a:ext uri="{FF2B5EF4-FFF2-40B4-BE49-F238E27FC236}">
              <a16:creationId xmlns:a16="http://schemas.microsoft.com/office/drawing/2014/main" id="{7622DB4D-1059-4138-AA42-C2ADFD6B43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4" name="Elipse 5593">
          <a:extLst>
            <a:ext uri="{FF2B5EF4-FFF2-40B4-BE49-F238E27FC236}">
              <a16:creationId xmlns:a16="http://schemas.microsoft.com/office/drawing/2014/main" id="{7F6F79D3-1BA7-4A74-B387-9407DF933C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5" name="Elipse 5594">
          <a:extLst>
            <a:ext uri="{FF2B5EF4-FFF2-40B4-BE49-F238E27FC236}">
              <a16:creationId xmlns:a16="http://schemas.microsoft.com/office/drawing/2014/main" id="{9F699F82-B9B8-4C25-BB1E-253D7BC46F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6" name="Elipse 5595">
          <a:extLst>
            <a:ext uri="{FF2B5EF4-FFF2-40B4-BE49-F238E27FC236}">
              <a16:creationId xmlns:a16="http://schemas.microsoft.com/office/drawing/2014/main" id="{F05F776C-268E-4464-B42C-4B9676BFCF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7" name="Elipse 5596">
          <a:extLst>
            <a:ext uri="{FF2B5EF4-FFF2-40B4-BE49-F238E27FC236}">
              <a16:creationId xmlns:a16="http://schemas.microsoft.com/office/drawing/2014/main" id="{74DE9D36-FE1E-4FE5-867B-0CF876DB69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8" name="Elipse 5597">
          <a:extLst>
            <a:ext uri="{FF2B5EF4-FFF2-40B4-BE49-F238E27FC236}">
              <a16:creationId xmlns:a16="http://schemas.microsoft.com/office/drawing/2014/main" id="{FB52541D-8E74-4CEB-B303-D6377146E1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9" name="Elipse 5598">
          <a:extLst>
            <a:ext uri="{FF2B5EF4-FFF2-40B4-BE49-F238E27FC236}">
              <a16:creationId xmlns:a16="http://schemas.microsoft.com/office/drawing/2014/main" id="{FE4641F3-DF6D-4642-A01D-F120A1F3C4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0" name="Elipse 5599">
          <a:extLst>
            <a:ext uri="{FF2B5EF4-FFF2-40B4-BE49-F238E27FC236}">
              <a16:creationId xmlns:a16="http://schemas.microsoft.com/office/drawing/2014/main" id="{3079D10E-B7DA-41EC-9A7E-882B6C274A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1" name="Elipse 5600">
          <a:extLst>
            <a:ext uri="{FF2B5EF4-FFF2-40B4-BE49-F238E27FC236}">
              <a16:creationId xmlns:a16="http://schemas.microsoft.com/office/drawing/2014/main" id="{F692B836-D648-49C4-BAFF-414F05B299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2" name="Elipse 5601">
          <a:extLst>
            <a:ext uri="{FF2B5EF4-FFF2-40B4-BE49-F238E27FC236}">
              <a16:creationId xmlns:a16="http://schemas.microsoft.com/office/drawing/2014/main" id="{E5A21F64-6FFB-44E2-87B1-C91255B0EE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3" name="Elipse 5602">
          <a:extLst>
            <a:ext uri="{FF2B5EF4-FFF2-40B4-BE49-F238E27FC236}">
              <a16:creationId xmlns:a16="http://schemas.microsoft.com/office/drawing/2014/main" id="{79DA6E9E-9429-4A20-A757-6D5B0071AE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4" name="Elipse 5603">
          <a:extLst>
            <a:ext uri="{FF2B5EF4-FFF2-40B4-BE49-F238E27FC236}">
              <a16:creationId xmlns:a16="http://schemas.microsoft.com/office/drawing/2014/main" id="{9B7CD6FC-BB9E-4725-B294-433DBCA26C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5" name="Elipse 5604">
          <a:extLst>
            <a:ext uri="{FF2B5EF4-FFF2-40B4-BE49-F238E27FC236}">
              <a16:creationId xmlns:a16="http://schemas.microsoft.com/office/drawing/2014/main" id="{3E61897E-137B-493A-BEC6-5F5660E3BA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6" name="Elipse 5605">
          <a:extLst>
            <a:ext uri="{FF2B5EF4-FFF2-40B4-BE49-F238E27FC236}">
              <a16:creationId xmlns:a16="http://schemas.microsoft.com/office/drawing/2014/main" id="{50D71984-CCE0-4F5D-8425-0891629603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7" name="Elipse 5606">
          <a:extLst>
            <a:ext uri="{FF2B5EF4-FFF2-40B4-BE49-F238E27FC236}">
              <a16:creationId xmlns:a16="http://schemas.microsoft.com/office/drawing/2014/main" id="{6D6CAE97-BBDE-4165-B61F-40513B6150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8" name="Elipse 5607">
          <a:extLst>
            <a:ext uri="{FF2B5EF4-FFF2-40B4-BE49-F238E27FC236}">
              <a16:creationId xmlns:a16="http://schemas.microsoft.com/office/drawing/2014/main" id="{E40E8FEB-BCF4-4CDB-A364-AA6342BDB5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9" name="Elipse 5608">
          <a:extLst>
            <a:ext uri="{FF2B5EF4-FFF2-40B4-BE49-F238E27FC236}">
              <a16:creationId xmlns:a16="http://schemas.microsoft.com/office/drawing/2014/main" id="{80BF2A9C-2768-4DF9-B5B9-018F1A4349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0" name="Elipse 5609">
          <a:extLst>
            <a:ext uri="{FF2B5EF4-FFF2-40B4-BE49-F238E27FC236}">
              <a16:creationId xmlns:a16="http://schemas.microsoft.com/office/drawing/2014/main" id="{341A5CFD-A721-40EF-A788-5B08149B1A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1" name="Elipse 5610">
          <a:extLst>
            <a:ext uri="{FF2B5EF4-FFF2-40B4-BE49-F238E27FC236}">
              <a16:creationId xmlns:a16="http://schemas.microsoft.com/office/drawing/2014/main" id="{A285D0A8-5E87-4E57-8E5A-8BAD6F5159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2" name="Elipse 5611">
          <a:extLst>
            <a:ext uri="{FF2B5EF4-FFF2-40B4-BE49-F238E27FC236}">
              <a16:creationId xmlns:a16="http://schemas.microsoft.com/office/drawing/2014/main" id="{E5E4FBD9-D190-49B8-956F-E2C6776A59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3" name="Elipse 5612">
          <a:extLst>
            <a:ext uri="{FF2B5EF4-FFF2-40B4-BE49-F238E27FC236}">
              <a16:creationId xmlns:a16="http://schemas.microsoft.com/office/drawing/2014/main" id="{8EC2D8EF-3B0B-404A-B173-E075C0477C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4" name="Elipse 5613">
          <a:extLst>
            <a:ext uri="{FF2B5EF4-FFF2-40B4-BE49-F238E27FC236}">
              <a16:creationId xmlns:a16="http://schemas.microsoft.com/office/drawing/2014/main" id="{A2B1CFD6-FF52-414D-99D2-F76D3B8BEE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5" name="Elipse 5614">
          <a:extLst>
            <a:ext uri="{FF2B5EF4-FFF2-40B4-BE49-F238E27FC236}">
              <a16:creationId xmlns:a16="http://schemas.microsoft.com/office/drawing/2014/main" id="{70A85D7F-8781-4234-AC02-CE38D9302A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6" name="Elipse 5615">
          <a:extLst>
            <a:ext uri="{FF2B5EF4-FFF2-40B4-BE49-F238E27FC236}">
              <a16:creationId xmlns:a16="http://schemas.microsoft.com/office/drawing/2014/main" id="{C8AB4895-705B-4CD6-8568-BC7FAB5654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7" name="Elipse 5616">
          <a:extLst>
            <a:ext uri="{FF2B5EF4-FFF2-40B4-BE49-F238E27FC236}">
              <a16:creationId xmlns:a16="http://schemas.microsoft.com/office/drawing/2014/main" id="{53DF5BB5-6A70-46D9-91F5-0179E7E032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8" name="Elipse 5617">
          <a:extLst>
            <a:ext uri="{FF2B5EF4-FFF2-40B4-BE49-F238E27FC236}">
              <a16:creationId xmlns:a16="http://schemas.microsoft.com/office/drawing/2014/main" id="{0F93317B-F1F5-4ADC-832C-57AFFD06F1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9" name="Elipse 5618">
          <a:extLst>
            <a:ext uri="{FF2B5EF4-FFF2-40B4-BE49-F238E27FC236}">
              <a16:creationId xmlns:a16="http://schemas.microsoft.com/office/drawing/2014/main" id="{AAE59417-B0E2-4808-8136-0780209CAC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0" name="Elipse 5619">
          <a:extLst>
            <a:ext uri="{FF2B5EF4-FFF2-40B4-BE49-F238E27FC236}">
              <a16:creationId xmlns:a16="http://schemas.microsoft.com/office/drawing/2014/main" id="{DEABB6A8-5840-468D-B93C-C79E86E284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1" name="Elipse 5620">
          <a:extLst>
            <a:ext uri="{FF2B5EF4-FFF2-40B4-BE49-F238E27FC236}">
              <a16:creationId xmlns:a16="http://schemas.microsoft.com/office/drawing/2014/main" id="{D97FC635-485D-4500-B8B5-37885953E5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2" name="Elipse 5621">
          <a:extLst>
            <a:ext uri="{FF2B5EF4-FFF2-40B4-BE49-F238E27FC236}">
              <a16:creationId xmlns:a16="http://schemas.microsoft.com/office/drawing/2014/main" id="{DA7AD4E6-C440-49DE-A756-A18980B213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3" name="Elipse 5622">
          <a:extLst>
            <a:ext uri="{FF2B5EF4-FFF2-40B4-BE49-F238E27FC236}">
              <a16:creationId xmlns:a16="http://schemas.microsoft.com/office/drawing/2014/main" id="{F3FA0BEB-2303-4E9C-A45A-3077AC652C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4" name="Elipse 5623">
          <a:extLst>
            <a:ext uri="{FF2B5EF4-FFF2-40B4-BE49-F238E27FC236}">
              <a16:creationId xmlns:a16="http://schemas.microsoft.com/office/drawing/2014/main" id="{FA400780-FACD-411C-8BF1-B92BB46896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5" name="Elipse 5624">
          <a:extLst>
            <a:ext uri="{FF2B5EF4-FFF2-40B4-BE49-F238E27FC236}">
              <a16:creationId xmlns:a16="http://schemas.microsoft.com/office/drawing/2014/main" id="{569A8427-A778-4980-9018-0395D2ADC3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6" name="Elipse 5625">
          <a:extLst>
            <a:ext uri="{FF2B5EF4-FFF2-40B4-BE49-F238E27FC236}">
              <a16:creationId xmlns:a16="http://schemas.microsoft.com/office/drawing/2014/main" id="{0D738AA9-B64E-46D2-ADF6-E80B72AD6F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7" name="Elipse 5626">
          <a:extLst>
            <a:ext uri="{FF2B5EF4-FFF2-40B4-BE49-F238E27FC236}">
              <a16:creationId xmlns:a16="http://schemas.microsoft.com/office/drawing/2014/main" id="{53D9208E-B3F4-41FD-9B72-D9DDEE682E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8" name="Elipse 5627">
          <a:extLst>
            <a:ext uri="{FF2B5EF4-FFF2-40B4-BE49-F238E27FC236}">
              <a16:creationId xmlns:a16="http://schemas.microsoft.com/office/drawing/2014/main" id="{95A0E293-A7F0-46E4-ABCD-13F0380E48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9" name="Elipse 5628">
          <a:extLst>
            <a:ext uri="{FF2B5EF4-FFF2-40B4-BE49-F238E27FC236}">
              <a16:creationId xmlns:a16="http://schemas.microsoft.com/office/drawing/2014/main" id="{22E1BFEF-B3E6-4976-BDEE-25643FC451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0" name="Elipse 5629">
          <a:extLst>
            <a:ext uri="{FF2B5EF4-FFF2-40B4-BE49-F238E27FC236}">
              <a16:creationId xmlns:a16="http://schemas.microsoft.com/office/drawing/2014/main" id="{D5C53569-FC3C-4BE2-BD06-E07C13417B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1" name="Elipse 5630">
          <a:extLst>
            <a:ext uri="{FF2B5EF4-FFF2-40B4-BE49-F238E27FC236}">
              <a16:creationId xmlns:a16="http://schemas.microsoft.com/office/drawing/2014/main" id="{7073CC48-9E94-4761-BFB7-9865592FED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2" name="Elipse 5631">
          <a:extLst>
            <a:ext uri="{FF2B5EF4-FFF2-40B4-BE49-F238E27FC236}">
              <a16:creationId xmlns:a16="http://schemas.microsoft.com/office/drawing/2014/main" id="{E1BED6DB-E1A0-4B0E-A641-1FB04C1C75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3" name="Elipse 5632">
          <a:extLst>
            <a:ext uri="{FF2B5EF4-FFF2-40B4-BE49-F238E27FC236}">
              <a16:creationId xmlns:a16="http://schemas.microsoft.com/office/drawing/2014/main" id="{C9C6F55D-5C07-4755-84EA-61D0A51F67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4" name="Elipse 5633">
          <a:extLst>
            <a:ext uri="{FF2B5EF4-FFF2-40B4-BE49-F238E27FC236}">
              <a16:creationId xmlns:a16="http://schemas.microsoft.com/office/drawing/2014/main" id="{13C0B2D5-3189-4E34-AD33-40C432AC4A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5" name="Elipse 5634">
          <a:extLst>
            <a:ext uri="{FF2B5EF4-FFF2-40B4-BE49-F238E27FC236}">
              <a16:creationId xmlns:a16="http://schemas.microsoft.com/office/drawing/2014/main" id="{FE0F4EE3-9F9F-4A25-9ED7-ADC87C2E41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6" name="Elipse 5635">
          <a:extLst>
            <a:ext uri="{FF2B5EF4-FFF2-40B4-BE49-F238E27FC236}">
              <a16:creationId xmlns:a16="http://schemas.microsoft.com/office/drawing/2014/main" id="{64FC522B-725D-40A2-832B-FED1BBAF3D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7" name="Elipse 5636">
          <a:extLst>
            <a:ext uri="{FF2B5EF4-FFF2-40B4-BE49-F238E27FC236}">
              <a16:creationId xmlns:a16="http://schemas.microsoft.com/office/drawing/2014/main" id="{8311CB5E-6538-442E-9B30-C36D26FB52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8" name="Elipse 5637">
          <a:extLst>
            <a:ext uri="{FF2B5EF4-FFF2-40B4-BE49-F238E27FC236}">
              <a16:creationId xmlns:a16="http://schemas.microsoft.com/office/drawing/2014/main" id="{8315B531-051E-4B67-9CBC-AF73B21CCB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9" name="Elipse 5638">
          <a:extLst>
            <a:ext uri="{FF2B5EF4-FFF2-40B4-BE49-F238E27FC236}">
              <a16:creationId xmlns:a16="http://schemas.microsoft.com/office/drawing/2014/main" id="{E8101247-FAAE-4AB3-A63E-084B869254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0" name="Elipse 5639">
          <a:extLst>
            <a:ext uri="{FF2B5EF4-FFF2-40B4-BE49-F238E27FC236}">
              <a16:creationId xmlns:a16="http://schemas.microsoft.com/office/drawing/2014/main" id="{2F429E12-EF2D-4A85-8F25-9CECC039D4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1" name="Elipse 5640">
          <a:extLst>
            <a:ext uri="{FF2B5EF4-FFF2-40B4-BE49-F238E27FC236}">
              <a16:creationId xmlns:a16="http://schemas.microsoft.com/office/drawing/2014/main" id="{CD352C19-D6B9-49D9-9A64-91CA3D6EFC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2" name="Elipse 5641">
          <a:extLst>
            <a:ext uri="{FF2B5EF4-FFF2-40B4-BE49-F238E27FC236}">
              <a16:creationId xmlns:a16="http://schemas.microsoft.com/office/drawing/2014/main" id="{E6CDE074-EFC4-476B-94EB-26F2B1A960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3" name="Elipse 5642">
          <a:extLst>
            <a:ext uri="{FF2B5EF4-FFF2-40B4-BE49-F238E27FC236}">
              <a16:creationId xmlns:a16="http://schemas.microsoft.com/office/drawing/2014/main" id="{8B571C9F-0D51-4193-B8AE-BDCAA2FB72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4" name="Elipse 5643">
          <a:extLst>
            <a:ext uri="{FF2B5EF4-FFF2-40B4-BE49-F238E27FC236}">
              <a16:creationId xmlns:a16="http://schemas.microsoft.com/office/drawing/2014/main" id="{46624DD6-CFEC-4A7C-8B50-81AD538885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5" name="Elipse 5644">
          <a:extLst>
            <a:ext uri="{FF2B5EF4-FFF2-40B4-BE49-F238E27FC236}">
              <a16:creationId xmlns:a16="http://schemas.microsoft.com/office/drawing/2014/main" id="{711C66EA-45D9-445E-8867-E96A8C1AE6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6" name="Elipse 5645">
          <a:extLst>
            <a:ext uri="{FF2B5EF4-FFF2-40B4-BE49-F238E27FC236}">
              <a16:creationId xmlns:a16="http://schemas.microsoft.com/office/drawing/2014/main" id="{AA776EB2-ED26-41F6-BDC2-5CF509A32B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7" name="Elipse 5646">
          <a:extLst>
            <a:ext uri="{FF2B5EF4-FFF2-40B4-BE49-F238E27FC236}">
              <a16:creationId xmlns:a16="http://schemas.microsoft.com/office/drawing/2014/main" id="{DB330DDC-1E19-4042-A6F9-31DEA0B2CD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8" name="Elipse 5647">
          <a:extLst>
            <a:ext uri="{FF2B5EF4-FFF2-40B4-BE49-F238E27FC236}">
              <a16:creationId xmlns:a16="http://schemas.microsoft.com/office/drawing/2014/main" id="{B6A7567A-4DCA-400F-9AA4-4BFED971DD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9" name="Elipse 5648">
          <a:extLst>
            <a:ext uri="{FF2B5EF4-FFF2-40B4-BE49-F238E27FC236}">
              <a16:creationId xmlns:a16="http://schemas.microsoft.com/office/drawing/2014/main" id="{03A8082C-D837-436A-A315-25C5DD8823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0" name="Elipse 5649">
          <a:extLst>
            <a:ext uri="{FF2B5EF4-FFF2-40B4-BE49-F238E27FC236}">
              <a16:creationId xmlns:a16="http://schemas.microsoft.com/office/drawing/2014/main" id="{950C3EC5-36E3-4133-B60E-CC4D58B8A1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1" name="Elipse 5650">
          <a:extLst>
            <a:ext uri="{FF2B5EF4-FFF2-40B4-BE49-F238E27FC236}">
              <a16:creationId xmlns:a16="http://schemas.microsoft.com/office/drawing/2014/main" id="{5D54B719-8B31-4B14-AD11-4F34E103A5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2" name="Elipse 5651">
          <a:extLst>
            <a:ext uri="{FF2B5EF4-FFF2-40B4-BE49-F238E27FC236}">
              <a16:creationId xmlns:a16="http://schemas.microsoft.com/office/drawing/2014/main" id="{65B53CD3-EF6B-4856-AE0F-FA02ECFFEB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3" name="Elipse 5652">
          <a:extLst>
            <a:ext uri="{FF2B5EF4-FFF2-40B4-BE49-F238E27FC236}">
              <a16:creationId xmlns:a16="http://schemas.microsoft.com/office/drawing/2014/main" id="{19335172-CAE3-4720-8D78-9070532620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4" name="Elipse 5653">
          <a:extLst>
            <a:ext uri="{FF2B5EF4-FFF2-40B4-BE49-F238E27FC236}">
              <a16:creationId xmlns:a16="http://schemas.microsoft.com/office/drawing/2014/main" id="{899074DF-59DB-40DA-B419-8F34309CCF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5" name="Elipse 5654">
          <a:extLst>
            <a:ext uri="{FF2B5EF4-FFF2-40B4-BE49-F238E27FC236}">
              <a16:creationId xmlns:a16="http://schemas.microsoft.com/office/drawing/2014/main" id="{81DCAAFA-7CF9-4048-A152-13DD81ABBF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6" name="Elipse 5655">
          <a:extLst>
            <a:ext uri="{FF2B5EF4-FFF2-40B4-BE49-F238E27FC236}">
              <a16:creationId xmlns:a16="http://schemas.microsoft.com/office/drawing/2014/main" id="{C047C49F-0067-4643-9F3F-9AD3C19330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7" name="Elipse 5656">
          <a:extLst>
            <a:ext uri="{FF2B5EF4-FFF2-40B4-BE49-F238E27FC236}">
              <a16:creationId xmlns:a16="http://schemas.microsoft.com/office/drawing/2014/main" id="{DD249179-64B5-4716-9561-133D1CD252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8" name="Elipse 5657">
          <a:extLst>
            <a:ext uri="{FF2B5EF4-FFF2-40B4-BE49-F238E27FC236}">
              <a16:creationId xmlns:a16="http://schemas.microsoft.com/office/drawing/2014/main" id="{B59B6430-5E9C-4C46-A54A-AFFE449C1D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9" name="Elipse 5658">
          <a:extLst>
            <a:ext uri="{FF2B5EF4-FFF2-40B4-BE49-F238E27FC236}">
              <a16:creationId xmlns:a16="http://schemas.microsoft.com/office/drawing/2014/main" id="{F9F26354-AFCF-4DCE-ABCC-0B46C6699C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0" name="Elipse 5659">
          <a:extLst>
            <a:ext uri="{FF2B5EF4-FFF2-40B4-BE49-F238E27FC236}">
              <a16:creationId xmlns:a16="http://schemas.microsoft.com/office/drawing/2014/main" id="{7C00AF2E-83EA-4DB2-9130-0FD3BABB85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1" name="Elipse 5660">
          <a:extLst>
            <a:ext uri="{FF2B5EF4-FFF2-40B4-BE49-F238E27FC236}">
              <a16:creationId xmlns:a16="http://schemas.microsoft.com/office/drawing/2014/main" id="{D683AF2F-1E84-4992-88AD-8F94EC9B62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2" name="Elipse 5661">
          <a:extLst>
            <a:ext uri="{FF2B5EF4-FFF2-40B4-BE49-F238E27FC236}">
              <a16:creationId xmlns:a16="http://schemas.microsoft.com/office/drawing/2014/main" id="{DA61D56F-4128-4CD3-96F3-C8D524CAD4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3" name="Elipse 5662">
          <a:extLst>
            <a:ext uri="{FF2B5EF4-FFF2-40B4-BE49-F238E27FC236}">
              <a16:creationId xmlns:a16="http://schemas.microsoft.com/office/drawing/2014/main" id="{4CE353E2-DBDC-415E-BB3A-18BC054782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4" name="Elipse 5663">
          <a:extLst>
            <a:ext uri="{FF2B5EF4-FFF2-40B4-BE49-F238E27FC236}">
              <a16:creationId xmlns:a16="http://schemas.microsoft.com/office/drawing/2014/main" id="{8937CBA5-4F10-4544-853F-97F73F4913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5" name="Elipse 5664">
          <a:extLst>
            <a:ext uri="{FF2B5EF4-FFF2-40B4-BE49-F238E27FC236}">
              <a16:creationId xmlns:a16="http://schemas.microsoft.com/office/drawing/2014/main" id="{922BBD23-F8CC-4C08-8E6A-7A7C0FC05E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6" name="Elipse 5665">
          <a:extLst>
            <a:ext uri="{FF2B5EF4-FFF2-40B4-BE49-F238E27FC236}">
              <a16:creationId xmlns:a16="http://schemas.microsoft.com/office/drawing/2014/main" id="{549DF823-F1BA-4E48-BB3D-1B9D7D22D0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7" name="Elipse 5666">
          <a:extLst>
            <a:ext uri="{FF2B5EF4-FFF2-40B4-BE49-F238E27FC236}">
              <a16:creationId xmlns:a16="http://schemas.microsoft.com/office/drawing/2014/main" id="{A4D0A772-639A-4E9A-A322-B854E921C1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8" name="Elipse 5667">
          <a:extLst>
            <a:ext uri="{FF2B5EF4-FFF2-40B4-BE49-F238E27FC236}">
              <a16:creationId xmlns:a16="http://schemas.microsoft.com/office/drawing/2014/main" id="{E08C876E-71CD-4220-BCB7-1FC7DACFB6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9" name="Elipse 5668">
          <a:extLst>
            <a:ext uri="{FF2B5EF4-FFF2-40B4-BE49-F238E27FC236}">
              <a16:creationId xmlns:a16="http://schemas.microsoft.com/office/drawing/2014/main" id="{DFF46656-E3F9-4CFA-916C-913D35749B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0" name="Elipse 5669">
          <a:extLst>
            <a:ext uri="{FF2B5EF4-FFF2-40B4-BE49-F238E27FC236}">
              <a16:creationId xmlns:a16="http://schemas.microsoft.com/office/drawing/2014/main" id="{1BFDC389-B233-47C2-8754-2B024350ED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1" name="Elipse 5670">
          <a:extLst>
            <a:ext uri="{FF2B5EF4-FFF2-40B4-BE49-F238E27FC236}">
              <a16:creationId xmlns:a16="http://schemas.microsoft.com/office/drawing/2014/main" id="{D0256DBF-F104-4B53-AEEC-D99B7C2E2C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2" name="Elipse 5671">
          <a:extLst>
            <a:ext uri="{FF2B5EF4-FFF2-40B4-BE49-F238E27FC236}">
              <a16:creationId xmlns:a16="http://schemas.microsoft.com/office/drawing/2014/main" id="{A95ED25A-4797-4454-937E-2337ABAF42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3" name="Elipse 5672">
          <a:extLst>
            <a:ext uri="{FF2B5EF4-FFF2-40B4-BE49-F238E27FC236}">
              <a16:creationId xmlns:a16="http://schemas.microsoft.com/office/drawing/2014/main" id="{7537C824-D618-4B1E-BF4D-DEA8479EFC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4" name="Elipse 5673">
          <a:extLst>
            <a:ext uri="{FF2B5EF4-FFF2-40B4-BE49-F238E27FC236}">
              <a16:creationId xmlns:a16="http://schemas.microsoft.com/office/drawing/2014/main" id="{40B8B4F2-877F-43DB-AE19-B45ECF1967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5" name="Elipse 5674">
          <a:extLst>
            <a:ext uri="{FF2B5EF4-FFF2-40B4-BE49-F238E27FC236}">
              <a16:creationId xmlns:a16="http://schemas.microsoft.com/office/drawing/2014/main" id="{D0A6FD86-5EAE-4D16-860F-5A25DF37DF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6" name="Elipse 5675">
          <a:extLst>
            <a:ext uri="{FF2B5EF4-FFF2-40B4-BE49-F238E27FC236}">
              <a16:creationId xmlns:a16="http://schemas.microsoft.com/office/drawing/2014/main" id="{EB2BD041-7EE1-47FE-9FC7-3A66A2EE24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7" name="Elipse 5676">
          <a:extLst>
            <a:ext uri="{FF2B5EF4-FFF2-40B4-BE49-F238E27FC236}">
              <a16:creationId xmlns:a16="http://schemas.microsoft.com/office/drawing/2014/main" id="{D22C11FB-5839-44A1-BBBA-6365FEA5F9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8" name="Elipse 5677">
          <a:extLst>
            <a:ext uri="{FF2B5EF4-FFF2-40B4-BE49-F238E27FC236}">
              <a16:creationId xmlns:a16="http://schemas.microsoft.com/office/drawing/2014/main" id="{04D52C53-B075-4AE2-BABA-135335CDA3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9" name="Elipse 5678">
          <a:extLst>
            <a:ext uri="{FF2B5EF4-FFF2-40B4-BE49-F238E27FC236}">
              <a16:creationId xmlns:a16="http://schemas.microsoft.com/office/drawing/2014/main" id="{E0E00C02-7208-4482-BAAC-B439DF54A3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0" name="Elipse 5679">
          <a:extLst>
            <a:ext uri="{FF2B5EF4-FFF2-40B4-BE49-F238E27FC236}">
              <a16:creationId xmlns:a16="http://schemas.microsoft.com/office/drawing/2014/main" id="{4E879017-34A4-41EC-A680-5B5A3CB623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1" name="Elipse 5680">
          <a:extLst>
            <a:ext uri="{FF2B5EF4-FFF2-40B4-BE49-F238E27FC236}">
              <a16:creationId xmlns:a16="http://schemas.microsoft.com/office/drawing/2014/main" id="{CC8F2325-E72E-4C3A-AD98-C084E0FFF0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2" name="Elipse 5681">
          <a:extLst>
            <a:ext uri="{FF2B5EF4-FFF2-40B4-BE49-F238E27FC236}">
              <a16:creationId xmlns:a16="http://schemas.microsoft.com/office/drawing/2014/main" id="{F24F8BC3-0BC2-4879-81CF-FC9C759888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3" name="Elipse 5682">
          <a:extLst>
            <a:ext uri="{FF2B5EF4-FFF2-40B4-BE49-F238E27FC236}">
              <a16:creationId xmlns:a16="http://schemas.microsoft.com/office/drawing/2014/main" id="{F2F1602A-B59A-44D7-BCF5-148C009BCF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4" name="Elipse 5683">
          <a:extLst>
            <a:ext uri="{FF2B5EF4-FFF2-40B4-BE49-F238E27FC236}">
              <a16:creationId xmlns:a16="http://schemas.microsoft.com/office/drawing/2014/main" id="{6143F277-32EF-4DE0-B8AF-E22CFA869F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5" name="Elipse 5684">
          <a:extLst>
            <a:ext uri="{FF2B5EF4-FFF2-40B4-BE49-F238E27FC236}">
              <a16:creationId xmlns:a16="http://schemas.microsoft.com/office/drawing/2014/main" id="{F7835F0F-A3FF-4EA5-B2BC-10B2AE5323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6" name="Elipse 5685">
          <a:extLst>
            <a:ext uri="{FF2B5EF4-FFF2-40B4-BE49-F238E27FC236}">
              <a16:creationId xmlns:a16="http://schemas.microsoft.com/office/drawing/2014/main" id="{72B9AC4F-D981-489B-9CC5-2F41F81BBA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7" name="Elipse 5686">
          <a:extLst>
            <a:ext uri="{FF2B5EF4-FFF2-40B4-BE49-F238E27FC236}">
              <a16:creationId xmlns:a16="http://schemas.microsoft.com/office/drawing/2014/main" id="{36FEEDFE-DC6C-4D7B-9783-2D047E7A91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8" name="Elipse 5687">
          <a:extLst>
            <a:ext uri="{FF2B5EF4-FFF2-40B4-BE49-F238E27FC236}">
              <a16:creationId xmlns:a16="http://schemas.microsoft.com/office/drawing/2014/main" id="{A244AF07-9BE4-447C-BDFB-A321EE24CD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9" name="Elipse 5688">
          <a:extLst>
            <a:ext uri="{FF2B5EF4-FFF2-40B4-BE49-F238E27FC236}">
              <a16:creationId xmlns:a16="http://schemas.microsoft.com/office/drawing/2014/main" id="{E0475ECE-84A4-4F00-9D86-34EB0AAA59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0" name="Elipse 5689">
          <a:extLst>
            <a:ext uri="{FF2B5EF4-FFF2-40B4-BE49-F238E27FC236}">
              <a16:creationId xmlns:a16="http://schemas.microsoft.com/office/drawing/2014/main" id="{8B0FB115-E10D-4102-97A6-A808BC2B03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1" name="Elipse 5690">
          <a:extLst>
            <a:ext uri="{FF2B5EF4-FFF2-40B4-BE49-F238E27FC236}">
              <a16:creationId xmlns:a16="http://schemas.microsoft.com/office/drawing/2014/main" id="{568048C6-F97A-4B51-A4C9-1C6FFCC71F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2" name="Elipse 5691">
          <a:extLst>
            <a:ext uri="{FF2B5EF4-FFF2-40B4-BE49-F238E27FC236}">
              <a16:creationId xmlns:a16="http://schemas.microsoft.com/office/drawing/2014/main" id="{EF65EF3D-B575-4717-B8E5-7070308B6C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3" name="Elipse 5692">
          <a:extLst>
            <a:ext uri="{FF2B5EF4-FFF2-40B4-BE49-F238E27FC236}">
              <a16:creationId xmlns:a16="http://schemas.microsoft.com/office/drawing/2014/main" id="{59660567-9C87-469F-A4DE-8A8C468688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4" name="Elipse 5693">
          <a:extLst>
            <a:ext uri="{FF2B5EF4-FFF2-40B4-BE49-F238E27FC236}">
              <a16:creationId xmlns:a16="http://schemas.microsoft.com/office/drawing/2014/main" id="{555B8DAB-445B-44DC-82D9-BB0B7D2231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5" name="Elipse 5694">
          <a:extLst>
            <a:ext uri="{FF2B5EF4-FFF2-40B4-BE49-F238E27FC236}">
              <a16:creationId xmlns:a16="http://schemas.microsoft.com/office/drawing/2014/main" id="{248FB685-E2B7-40F8-AB2B-8C3345D262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6" name="Elipse 5695">
          <a:extLst>
            <a:ext uri="{FF2B5EF4-FFF2-40B4-BE49-F238E27FC236}">
              <a16:creationId xmlns:a16="http://schemas.microsoft.com/office/drawing/2014/main" id="{C7255FD8-38D8-4507-9899-F9B9CDCB4E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7" name="Elipse 5696">
          <a:extLst>
            <a:ext uri="{FF2B5EF4-FFF2-40B4-BE49-F238E27FC236}">
              <a16:creationId xmlns:a16="http://schemas.microsoft.com/office/drawing/2014/main" id="{C3E3FB7A-9102-4627-BFCA-58D9B11EEB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8" name="Elipse 5697">
          <a:extLst>
            <a:ext uri="{FF2B5EF4-FFF2-40B4-BE49-F238E27FC236}">
              <a16:creationId xmlns:a16="http://schemas.microsoft.com/office/drawing/2014/main" id="{B53E53F0-94A3-4B24-8FA1-F172569D46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9" name="Elipse 5698">
          <a:extLst>
            <a:ext uri="{FF2B5EF4-FFF2-40B4-BE49-F238E27FC236}">
              <a16:creationId xmlns:a16="http://schemas.microsoft.com/office/drawing/2014/main" id="{2A463DCD-B823-4616-A967-032CC53415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0" name="Elipse 5699">
          <a:extLst>
            <a:ext uri="{FF2B5EF4-FFF2-40B4-BE49-F238E27FC236}">
              <a16:creationId xmlns:a16="http://schemas.microsoft.com/office/drawing/2014/main" id="{A8C07DAF-15FB-4AC4-B0A0-D3CD4BBC96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1" name="Elipse 5700">
          <a:extLst>
            <a:ext uri="{FF2B5EF4-FFF2-40B4-BE49-F238E27FC236}">
              <a16:creationId xmlns:a16="http://schemas.microsoft.com/office/drawing/2014/main" id="{423D8C44-20F5-410B-8468-BEC404F4C6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2" name="Elipse 5701">
          <a:extLst>
            <a:ext uri="{FF2B5EF4-FFF2-40B4-BE49-F238E27FC236}">
              <a16:creationId xmlns:a16="http://schemas.microsoft.com/office/drawing/2014/main" id="{43E4DDC1-6A0D-4564-A69F-A958DC4B9B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3" name="Elipse 5702">
          <a:extLst>
            <a:ext uri="{FF2B5EF4-FFF2-40B4-BE49-F238E27FC236}">
              <a16:creationId xmlns:a16="http://schemas.microsoft.com/office/drawing/2014/main" id="{786E12B3-FC72-45B4-90D1-B471EA7000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4" name="Elipse 5703">
          <a:extLst>
            <a:ext uri="{FF2B5EF4-FFF2-40B4-BE49-F238E27FC236}">
              <a16:creationId xmlns:a16="http://schemas.microsoft.com/office/drawing/2014/main" id="{CCAA8482-0723-44EB-BD9E-5087D764C0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5" name="Elipse 5704">
          <a:extLst>
            <a:ext uri="{FF2B5EF4-FFF2-40B4-BE49-F238E27FC236}">
              <a16:creationId xmlns:a16="http://schemas.microsoft.com/office/drawing/2014/main" id="{A1F548BB-2FC6-4A3F-B2D8-8D054FDD9E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6" name="Elipse 5705">
          <a:extLst>
            <a:ext uri="{FF2B5EF4-FFF2-40B4-BE49-F238E27FC236}">
              <a16:creationId xmlns:a16="http://schemas.microsoft.com/office/drawing/2014/main" id="{2177F3CE-6A7E-4AAC-A8CA-AAB7AC8084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7" name="Elipse 5706">
          <a:extLst>
            <a:ext uri="{FF2B5EF4-FFF2-40B4-BE49-F238E27FC236}">
              <a16:creationId xmlns:a16="http://schemas.microsoft.com/office/drawing/2014/main" id="{453B7A1E-E9B2-4647-983A-F1BD0FAAFF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8" name="Elipse 5707">
          <a:extLst>
            <a:ext uri="{FF2B5EF4-FFF2-40B4-BE49-F238E27FC236}">
              <a16:creationId xmlns:a16="http://schemas.microsoft.com/office/drawing/2014/main" id="{0187209E-0BDA-4805-947F-452F144C7B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9" name="Elipse 5708">
          <a:extLst>
            <a:ext uri="{FF2B5EF4-FFF2-40B4-BE49-F238E27FC236}">
              <a16:creationId xmlns:a16="http://schemas.microsoft.com/office/drawing/2014/main" id="{07F39484-FE81-4ABA-B06C-ED61AA7239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0" name="Elipse 5709">
          <a:extLst>
            <a:ext uri="{FF2B5EF4-FFF2-40B4-BE49-F238E27FC236}">
              <a16:creationId xmlns:a16="http://schemas.microsoft.com/office/drawing/2014/main" id="{FDFF1311-90C8-42FA-B4B5-427B725D4C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1" name="Elipse 5710">
          <a:extLst>
            <a:ext uri="{FF2B5EF4-FFF2-40B4-BE49-F238E27FC236}">
              <a16:creationId xmlns:a16="http://schemas.microsoft.com/office/drawing/2014/main" id="{48448F21-56D9-4A63-A57B-FCA7B68892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2" name="Elipse 5711">
          <a:extLst>
            <a:ext uri="{FF2B5EF4-FFF2-40B4-BE49-F238E27FC236}">
              <a16:creationId xmlns:a16="http://schemas.microsoft.com/office/drawing/2014/main" id="{655897B1-601A-4CA8-94E6-F0D8A10BAC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3" name="Elipse 5712">
          <a:extLst>
            <a:ext uri="{FF2B5EF4-FFF2-40B4-BE49-F238E27FC236}">
              <a16:creationId xmlns:a16="http://schemas.microsoft.com/office/drawing/2014/main" id="{6AF9FE47-2392-458E-A6E6-2A5E99562F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4" name="Elipse 5713">
          <a:extLst>
            <a:ext uri="{FF2B5EF4-FFF2-40B4-BE49-F238E27FC236}">
              <a16:creationId xmlns:a16="http://schemas.microsoft.com/office/drawing/2014/main" id="{BA153F28-78A3-425B-A828-F2E6E9BF15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5" name="Elipse 5714">
          <a:extLst>
            <a:ext uri="{FF2B5EF4-FFF2-40B4-BE49-F238E27FC236}">
              <a16:creationId xmlns:a16="http://schemas.microsoft.com/office/drawing/2014/main" id="{A3EBEBBC-9FD6-442F-97DA-B574C5486F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6" name="Elipse 5715">
          <a:extLst>
            <a:ext uri="{FF2B5EF4-FFF2-40B4-BE49-F238E27FC236}">
              <a16:creationId xmlns:a16="http://schemas.microsoft.com/office/drawing/2014/main" id="{F799D2BB-9F62-44E5-88F0-D8CCF98B64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7" name="Elipse 5716">
          <a:extLst>
            <a:ext uri="{FF2B5EF4-FFF2-40B4-BE49-F238E27FC236}">
              <a16:creationId xmlns:a16="http://schemas.microsoft.com/office/drawing/2014/main" id="{BB5296B6-4155-4B38-BD1C-00413DA175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8" name="Elipse 5717">
          <a:extLst>
            <a:ext uri="{FF2B5EF4-FFF2-40B4-BE49-F238E27FC236}">
              <a16:creationId xmlns:a16="http://schemas.microsoft.com/office/drawing/2014/main" id="{338940E4-A340-49C6-8C0B-E96EC5DB97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9" name="Elipse 5718">
          <a:extLst>
            <a:ext uri="{FF2B5EF4-FFF2-40B4-BE49-F238E27FC236}">
              <a16:creationId xmlns:a16="http://schemas.microsoft.com/office/drawing/2014/main" id="{75E96625-CEFB-4463-9B2D-A02E9EA7AE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0" name="Elipse 5719">
          <a:extLst>
            <a:ext uri="{FF2B5EF4-FFF2-40B4-BE49-F238E27FC236}">
              <a16:creationId xmlns:a16="http://schemas.microsoft.com/office/drawing/2014/main" id="{E0F693B6-EDD0-4B9D-A49B-03D56201AE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1" name="Elipse 5720">
          <a:extLst>
            <a:ext uri="{FF2B5EF4-FFF2-40B4-BE49-F238E27FC236}">
              <a16:creationId xmlns:a16="http://schemas.microsoft.com/office/drawing/2014/main" id="{A75865AB-52B3-4849-9EAB-51DDE1D876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2" name="Elipse 5721">
          <a:extLst>
            <a:ext uri="{FF2B5EF4-FFF2-40B4-BE49-F238E27FC236}">
              <a16:creationId xmlns:a16="http://schemas.microsoft.com/office/drawing/2014/main" id="{50A3FBBF-5955-43B2-9F8D-238A14BB23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3" name="Elipse 5722">
          <a:extLst>
            <a:ext uri="{FF2B5EF4-FFF2-40B4-BE49-F238E27FC236}">
              <a16:creationId xmlns:a16="http://schemas.microsoft.com/office/drawing/2014/main" id="{3DCA209E-20C0-4B3D-9CC1-3AB59D36F4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4" name="Elipse 5723">
          <a:extLst>
            <a:ext uri="{FF2B5EF4-FFF2-40B4-BE49-F238E27FC236}">
              <a16:creationId xmlns:a16="http://schemas.microsoft.com/office/drawing/2014/main" id="{767F77A0-5652-408C-B645-FE6F7BBC40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5" name="Elipse 5724">
          <a:extLst>
            <a:ext uri="{FF2B5EF4-FFF2-40B4-BE49-F238E27FC236}">
              <a16:creationId xmlns:a16="http://schemas.microsoft.com/office/drawing/2014/main" id="{A784EC19-DF13-488C-A812-3F92325E0A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6" name="Elipse 5725">
          <a:extLst>
            <a:ext uri="{FF2B5EF4-FFF2-40B4-BE49-F238E27FC236}">
              <a16:creationId xmlns:a16="http://schemas.microsoft.com/office/drawing/2014/main" id="{362DEAC9-BF5D-4441-9A24-066539455F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7" name="Elipse 5726">
          <a:extLst>
            <a:ext uri="{FF2B5EF4-FFF2-40B4-BE49-F238E27FC236}">
              <a16:creationId xmlns:a16="http://schemas.microsoft.com/office/drawing/2014/main" id="{61986F56-A623-4AF4-BEDD-F1B1757031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8" name="Elipse 5727">
          <a:extLst>
            <a:ext uri="{FF2B5EF4-FFF2-40B4-BE49-F238E27FC236}">
              <a16:creationId xmlns:a16="http://schemas.microsoft.com/office/drawing/2014/main" id="{E93417B7-9E67-4489-A360-DFE5FC4046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9" name="Elipse 5728">
          <a:extLst>
            <a:ext uri="{FF2B5EF4-FFF2-40B4-BE49-F238E27FC236}">
              <a16:creationId xmlns:a16="http://schemas.microsoft.com/office/drawing/2014/main" id="{EACDD4D5-9C01-4786-902E-3AA325158E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0" name="Elipse 5729">
          <a:extLst>
            <a:ext uri="{FF2B5EF4-FFF2-40B4-BE49-F238E27FC236}">
              <a16:creationId xmlns:a16="http://schemas.microsoft.com/office/drawing/2014/main" id="{B6702F44-F1D3-4635-8C17-92B5A30D6A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1" name="Elipse 5730">
          <a:extLst>
            <a:ext uri="{FF2B5EF4-FFF2-40B4-BE49-F238E27FC236}">
              <a16:creationId xmlns:a16="http://schemas.microsoft.com/office/drawing/2014/main" id="{DF4CB3F3-E780-4B3F-A624-B38B0ABD00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2" name="Elipse 5731">
          <a:extLst>
            <a:ext uri="{FF2B5EF4-FFF2-40B4-BE49-F238E27FC236}">
              <a16:creationId xmlns:a16="http://schemas.microsoft.com/office/drawing/2014/main" id="{B87C82FB-3993-4375-8858-36D192D350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3" name="Elipse 5732">
          <a:extLst>
            <a:ext uri="{FF2B5EF4-FFF2-40B4-BE49-F238E27FC236}">
              <a16:creationId xmlns:a16="http://schemas.microsoft.com/office/drawing/2014/main" id="{9BADD5F1-0139-4D3B-904C-BD4DCC2A48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4" name="Elipse 5733">
          <a:extLst>
            <a:ext uri="{FF2B5EF4-FFF2-40B4-BE49-F238E27FC236}">
              <a16:creationId xmlns:a16="http://schemas.microsoft.com/office/drawing/2014/main" id="{8E798C68-2F25-47D9-BDCD-6A612E7523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5" name="Elipse 5734">
          <a:extLst>
            <a:ext uri="{FF2B5EF4-FFF2-40B4-BE49-F238E27FC236}">
              <a16:creationId xmlns:a16="http://schemas.microsoft.com/office/drawing/2014/main" id="{2A94CDAB-EA62-4E1B-BD5D-EB91669252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6" name="Elipse 5735">
          <a:extLst>
            <a:ext uri="{FF2B5EF4-FFF2-40B4-BE49-F238E27FC236}">
              <a16:creationId xmlns:a16="http://schemas.microsoft.com/office/drawing/2014/main" id="{8E644094-9796-4E3C-A8F7-F6155FB730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7" name="Elipse 5736">
          <a:extLst>
            <a:ext uri="{FF2B5EF4-FFF2-40B4-BE49-F238E27FC236}">
              <a16:creationId xmlns:a16="http://schemas.microsoft.com/office/drawing/2014/main" id="{62C71064-8FD9-48E7-B2D2-840E2D2B3B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8" name="Elipse 5737">
          <a:extLst>
            <a:ext uri="{FF2B5EF4-FFF2-40B4-BE49-F238E27FC236}">
              <a16:creationId xmlns:a16="http://schemas.microsoft.com/office/drawing/2014/main" id="{CDEEB197-C911-4EB8-9870-B166A5B2D3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9" name="Elipse 5738">
          <a:extLst>
            <a:ext uri="{FF2B5EF4-FFF2-40B4-BE49-F238E27FC236}">
              <a16:creationId xmlns:a16="http://schemas.microsoft.com/office/drawing/2014/main" id="{14FA387B-4B93-4137-B2F3-9DDE0CF481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0" name="Elipse 5739">
          <a:extLst>
            <a:ext uri="{FF2B5EF4-FFF2-40B4-BE49-F238E27FC236}">
              <a16:creationId xmlns:a16="http://schemas.microsoft.com/office/drawing/2014/main" id="{BDC7727B-AB20-49DB-8E9D-877BC2FECC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1" name="Elipse 5740">
          <a:extLst>
            <a:ext uri="{FF2B5EF4-FFF2-40B4-BE49-F238E27FC236}">
              <a16:creationId xmlns:a16="http://schemas.microsoft.com/office/drawing/2014/main" id="{F206E518-31FB-4E85-8C98-48CB1F4CE9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2" name="Elipse 5741">
          <a:extLst>
            <a:ext uri="{FF2B5EF4-FFF2-40B4-BE49-F238E27FC236}">
              <a16:creationId xmlns:a16="http://schemas.microsoft.com/office/drawing/2014/main" id="{033E6836-6474-469E-BBD4-51F7B7B68A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3" name="Elipse 5742">
          <a:extLst>
            <a:ext uri="{FF2B5EF4-FFF2-40B4-BE49-F238E27FC236}">
              <a16:creationId xmlns:a16="http://schemas.microsoft.com/office/drawing/2014/main" id="{699E7FE6-F2C3-47C8-9CC2-51992285BE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4" name="Elipse 5743">
          <a:extLst>
            <a:ext uri="{FF2B5EF4-FFF2-40B4-BE49-F238E27FC236}">
              <a16:creationId xmlns:a16="http://schemas.microsoft.com/office/drawing/2014/main" id="{6B62FAB5-091E-47E9-82E3-147BE03763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5" name="Elipse 5744">
          <a:extLst>
            <a:ext uri="{FF2B5EF4-FFF2-40B4-BE49-F238E27FC236}">
              <a16:creationId xmlns:a16="http://schemas.microsoft.com/office/drawing/2014/main" id="{B50F69E8-391F-4BD2-AA3A-3D63E2296D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6" name="Elipse 5745">
          <a:extLst>
            <a:ext uri="{FF2B5EF4-FFF2-40B4-BE49-F238E27FC236}">
              <a16:creationId xmlns:a16="http://schemas.microsoft.com/office/drawing/2014/main" id="{1BF6EBD8-FCED-4BF3-9D40-1013C5D432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7" name="Elipse 5746">
          <a:extLst>
            <a:ext uri="{FF2B5EF4-FFF2-40B4-BE49-F238E27FC236}">
              <a16:creationId xmlns:a16="http://schemas.microsoft.com/office/drawing/2014/main" id="{7B9BB0E8-DBFF-4E53-97DE-8A50C1E6ED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8" name="Elipse 5747">
          <a:extLst>
            <a:ext uri="{FF2B5EF4-FFF2-40B4-BE49-F238E27FC236}">
              <a16:creationId xmlns:a16="http://schemas.microsoft.com/office/drawing/2014/main" id="{BDA9A7CB-7AC3-4022-90C2-701BD8E158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9" name="Elipse 5748">
          <a:extLst>
            <a:ext uri="{FF2B5EF4-FFF2-40B4-BE49-F238E27FC236}">
              <a16:creationId xmlns:a16="http://schemas.microsoft.com/office/drawing/2014/main" id="{7F936662-8704-40D6-807B-50A65BABB5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0" name="Elipse 5749">
          <a:extLst>
            <a:ext uri="{FF2B5EF4-FFF2-40B4-BE49-F238E27FC236}">
              <a16:creationId xmlns:a16="http://schemas.microsoft.com/office/drawing/2014/main" id="{BE41D797-9ADA-4C15-AAF2-A6801E3203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1" name="Elipse 5750">
          <a:extLst>
            <a:ext uri="{FF2B5EF4-FFF2-40B4-BE49-F238E27FC236}">
              <a16:creationId xmlns:a16="http://schemas.microsoft.com/office/drawing/2014/main" id="{7D378F73-E956-4FFB-93AD-8C9B5C8DED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2" name="Elipse 5751">
          <a:extLst>
            <a:ext uri="{FF2B5EF4-FFF2-40B4-BE49-F238E27FC236}">
              <a16:creationId xmlns:a16="http://schemas.microsoft.com/office/drawing/2014/main" id="{DE9AE2C9-2453-4004-BB24-0266CDB0E2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3" name="Elipse 5752">
          <a:extLst>
            <a:ext uri="{FF2B5EF4-FFF2-40B4-BE49-F238E27FC236}">
              <a16:creationId xmlns:a16="http://schemas.microsoft.com/office/drawing/2014/main" id="{6F050B22-9C0D-4CF5-8092-19A9C31171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4" name="Elipse 5753">
          <a:extLst>
            <a:ext uri="{FF2B5EF4-FFF2-40B4-BE49-F238E27FC236}">
              <a16:creationId xmlns:a16="http://schemas.microsoft.com/office/drawing/2014/main" id="{D3BB446B-05C2-4150-B8DF-5C118DD960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5" name="Elipse 5754">
          <a:extLst>
            <a:ext uri="{FF2B5EF4-FFF2-40B4-BE49-F238E27FC236}">
              <a16:creationId xmlns:a16="http://schemas.microsoft.com/office/drawing/2014/main" id="{476B4DF7-EA14-4B13-A774-E5DE29540C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6" name="Elipse 5755">
          <a:extLst>
            <a:ext uri="{FF2B5EF4-FFF2-40B4-BE49-F238E27FC236}">
              <a16:creationId xmlns:a16="http://schemas.microsoft.com/office/drawing/2014/main" id="{90FA132B-6FE2-4B8A-AD9B-C437A8B371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7" name="Elipse 5756">
          <a:extLst>
            <a:ext uri="{FF2B5EF4-FFF2-40B4-BE49-F238E27FC236}">
              <a16:creationId xmlns:a16="http://schemas.microsoft.com/office/drawing/2014/main" id="{13DA3A7A-892B-43FF-8CD6-2941524FE8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8" name="Elipse 5757">
          <a:extLst>
            <a:ext uri="{FF2B5EF4-FFF2-40B4-BE49-F238E27FC236}">
              <a16:creationId xmlns:a16="http://schemas.microsoft.com/office/drawing/2014/main" id="{DECEC7E9-F14D-41B1-BE3B-2F7B520A5B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9" name="Elipse 5758">
          <a:extLst>
            <a:ext uri="{FF2B5EF4-FFF2-40B4-BE49-F238E27FC236}">
              <a16:creationId xmlns:a16="http://schemas.microsoft.com/office/drawing/2014/main" id="{DAB196B2-05B4-4940-81B3-6A8F473753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0" name="Elipse 5759">
          <a:extLst>
            <a:ext uri="{FF2B5EF4-FFF2-40B4-BE49-F238E27FC236}">
              <a16:creationId xmlns:a16="http://schemas.microsoft.com/office/drawing/2014/main" id="{6CB94A18-F87B-4C2E-BE45-BBDCA06BCA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1" name="Elipse 5760">
          <a:extLst>
            <a:ext uri="{FF2B5EF4-FFF2-40B4-BE49-F238E27FC236}">
              <a16:creationId xmlns:a16="http://schemas.microsoft.com/office/drawing/2014/main" id="{76DA9B0B-54A3-4F3C-BE1E-C68AF2E0E4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2" name="Elipse 5761">
          <a:extLst>
            <a:ext uri="{FF2B5EF4-FFF2-40B4-BE49-F238E27FC236}">
              <a16:creationId xmlns:a16="http://schemas.microsoft.com/office/drawing/2014/main" id="{EBBEB760-DFF8-4811-9E55-67D823D3B9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3" name="Elipse 5762">
          <a:extLst>
            <a:ext uri="{FF2B5EF4-FFF2-40B4-BE49-F238E27FC236}">
              <a16:creationId xmlns:a16="http://schemas.microsoft.com/office/drawing/2014/main" id="{5115144F-D2EF-4DD8-A939-0DE808D553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4" name="Elipse 5763">
          <a:extLst>
            <a:ext uri="{FF2B5EF4-FFF2-40B4-BE49-F238E27FC236}">
              <a16:creationId xmlns:a16="http://schemas.microsoft.com/office/drawing/2014/main" id="{F526AC41-1F6A-42E4-A6BC-5B45466B5F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5" name="Elipse 5764">
          <a:extLst>
            <a:ext uri="{FF2B5EF4-FFF2-40B4-BE49-F238E27FC236}">
              <a16:creationId xmlns:a16="http://schemas.microsoft.com/office/drawing/2014/main" id="{EE29281C-40F7-457A-97B7-6ACB259796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6" name="Elipse 5765">
          <a:extLst>
            <a:ext uri="{FF2B5EF4-FFF2-40B4-BE49-F238E27FC236}">
              <a16:creationId xmlns:a16="http://schemas.microsoft.com/office/drawing/2014/main" id="{ABA8D46B-D9A9-40F2-9B1F-A1B7E58F24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7" name="Elipse 5766">
          <a:extLst>
            <a:ext uri="{FF2B5EF4-FFF2-40B4-BE49-F238E27FC236}">
              <a16:creationId xmlns:a16="http://schemas.microsoft.com/office/drawing/2014/main" id="{4F11F1B0-E2FF-445F-94DD-0543ABCAEC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8" name="Elipse 5767">
          <a:extLst>
            <a:ext uri="{FF2B5EF4-FFF2-40B4-BE49-F238E27FC236}">
              <a16:creationId xmlns:a16="http://schemas.microsoft.com/office/drawing/2014/main" id="{A0350E95-FFA2-48D3-AA0D-C9DC81F673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9" name="Elipse 5768">
          <a:extLst>
            <a:ext uri="{FF2B5EF4-FFF2-40B4-BE49-F238E27FC236}">
              <a16:creationId xmlns:a16="http://schemas.microsoft.com/office/drawing/2014/main" id="{DF264E30-E36C-47CE-BA5E-80CF4BEE83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0" name="Elipse 5769">
          <a:extLst>
            <a:ext uri="{FF2B5EF4-FFF2-40B4-BE49-F238E27FC236}">
              <a16:creationId xmlns:a16="http://schemas.microsoft.com/office/drawing/2014/main" id="{0BCA7443-EDC1-47DA-B0FD-183A772E1A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1" name="Elipse 5770">
          <a:extLst>
            <a:ext uri="{FF2B5EF4-FFF2-40B4-BE49-F238E27FC236}">
              <a16:creationId xmlns:a16="http://schemas.microsoft.com/office/drawing/2014/main" id="{791B51A3-26EB-475C-84EB-A524E379AA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2" name="Elipse 5771">
          <a:extLst>
            <a:ext uri="{FF2B5EF4-FFF2-40B4-BE49-F238E27FC236}">
              <a16:creationId xmlns:a16="http://schemas.microsoft.com/office/drawing/2014/main" id="{9A9EB39A-C423-4B00-8C39-BD0111A53A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3" name="Elipse 5772">
          <a:extLst>
            <a:ext uri="{FF2B5EF4-FFF2-40B4-BE49-F238E27FC236}">
              <a16:creationId xmlns:a16="http://schemas.microsoft.com/office/drawing/2014/main" id="{9C57A167-43CA-4F19-8143-6BBC0D1A73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4" name="Elipse 5773">
          <a:extLst>
            <a:ext uri="{FF2B5EF4-FFF2-40B4-BE49-F238E27FC236}">
              <a16:creationId xmlns:a16="http://schemas.microsoft.com/office/drawing/2014/main" id="{0EFFDD35-F3DB-4C4F-A1EF-15638122AA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5" name="Elipse 5774">
          <a:extLst>
            <a:ext uri="{FF2B5EF4-FFF2-40B4-BE49-F238E27FC236}">
              <a16:creationId xmlns:a16="http://schemas.microsoft.com/office/drawing/2014/main" id="{B8A2B76B-E845-448F-AE76-E37D21C31A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6" name="Elipse 5775">
          <a:extLst>
            <a:ext uri="{FF2B5EF4-FFF2-40B4-BE49-F238E27FC236}">
              <a16:creationId xmlns:a16="http://schemas.microsoft.com/office/drawing/2014/main" id="{C2C0C4E5-B1AC-4D73-976E-49EA5B51B8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7" name="Elipse 5776">
          <a:extLst>
            <a:ext uri="{FF2B5EF4-FFF2-40B4-BE49-F238E27FC236}">
              <a16:creationId xmlns:a16="http://schemas.microsoft.com/office/drawing/2014/main" id="{CA147206-4A7F-4039-B495-F7B72AB9C2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8" name="Elipse 5777">
          <a:extLst>
            <a:ext uri="{FF2B5EF4-FFF2-40B4-BE49-F238E27FC236}">
              <a16:creationId xmlns:a16="http://schemas.microsoft.com/office/drawing/2014/main" id="{359CDA56-81B7-439D-B16C-77D4C6A1E7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9" name="Elipse 5778">
          <a:extLst>
            <a:ext uri="{FF2B5EF4-FFF2-40B4-BE49-F238E27FC236}">
              <a16:creationId xmlns:a16="http://schemas.microsoft.com/office/drawing/2014/main" id="{6DAE0A7D-3C1E-4B71-83E0-F2782FDA0B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0" name="Elipse 5779">
          <a:extLst>
            <a:ext uri="{FF2B5EF4-FFF2-40B4-BE49-F238E27FC236}">
              <a16:creationId xmlns:a16="http://schemas.microsoft.com/office/drawing/2014/main" id="{4CC56B68-2864-4465-9D2C-3D1C4F07F8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1" name="Elipse 5780">
          <a:extLst>
            <a:ext uri="{FF2B5EF4-FFF2-40B4-BE49-F238E27FC236}">
              <a16:creationId xmlns:a16="http://schemas.microsoft.com/office/drawing/2014/main" id="{E05CEEB9-1195-4F2E-8F4B-2652255F9E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2" name="Elipse 5781">
          <a:extLst>
            <a:ext uri="{FF2B5EF4-FFF2-40B4-BE49-F238E27FC236}">
              <a16:creationId xmlns:a16="http://schemas.microsoft.com/office/drawing/2014/main" id="{16671CC8-8654-44F7-AA66-87AF144105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3" name="Elipse 5782">
          <a:extLst>
            <a:ext uri="{FF2B5EF4-FFF2-40B4-BE49-F238E27FC236}">
              <a16:creationId xmlns:a16="http://schemas.microsoft.com/office/drawing/2014/main" id="{B7A18B6B-33C1-4175-A6E8-9E54822447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4" name="Elipse 5783">
          <a:extLst>
            <a:ext uri="{FF2B5EF4-FFF2-40B4-BE49-F238E27FC236}">
              <a16:creationId xmlns:a16="http://schemas.microsoft.com/office/drawing/2014/main" id="{D42B3219-256E-44D2-9F3E-8B1073A204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5" name="Elipse 5784">
          <a:extLst>
            <a:ext uri="{FF2B5EF4-FFF2-40B4-BE49-F238E27FC236}">
              <a16:creationId xmlns:a16="http://schemas.microsoft.com/office/drawing/2014/main" id="{D5D1C1A1-2D73-4080-B848-C98EFD111D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6" name="Elipse 5785">
          <a:extLst>
            <a:ext uri="{FF2B5EF4-FFF2-40B4-BE49-F238E27FC236}">
              <a16:creationId xmlns:a16="http://schemas.microsoft.com/office/drawing/2014/main" id="{31C65C2E-1C91-48F3-A97D-21A439BEE0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7" name="Elipse 5786">
          <a:extLst>
            <a:ext uri="{FF2B5EF4-FFF2-40B4-BE49-F238E27FC236}">
              <a16:creationId xmlns:a16="http://schemas.microsoft.com/office/drawing/2014/main" id="{3A482F3D-A0A0-431B-8AD4-7B24EF5F4A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8" name="Elipse 5787">
          <a:extLst>
            <a:ext uri="{FF2B5EF4-FFF2-40B4-BE49-F238E27FC236}">
              <a16:creationId xmlns:a16="http://schemas.microsoft.com/office/drawing/2014/main" id="{B8E0400C-FA95-408F-8B49-AA0E0C5A84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9" name="Elipse 5788">
          <a:extLst>
            <a:ext uri="{FF2B5EF4-FFF2-40B4-BE49-F238E27FC236}">
              <a16:creationId xmlns:a16="http://schemas.microsoft.com/office/drawing/2014/main" id="{56C034B4-17E6-481D-8BBD-E1372064DD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0" name="Elipse 5789">
          <a:extLst>
            <a:ext uri="{FF2B5EF4-FFF2-40B4-BE49-F238E27FC236}">
              <a16:creationId xmlns:a16="http://schemas.microsoft.com/office/drawing/2014/main" id="{6CD0EA88-5B7D-4C6D-8939-E534056625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1" name="Elipse 5790">
          <a:extLst>
            <a:ext uri="{FF2B5EF4-FFF2-40B4-BE49-F238E27FC236}">
              <a16:creationId xmlns:a16="http://schemas.microsoft.com/office/drawing/2014/main" id="{3896A43F-0759-406B-8433-93A45D4F38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2" name="Elipse 5791">
          <a:extLst>
            <a:ext uri="{FF2B5EF4-FFF2-40B4-BE49-F238E27FC236}">
              <a16:creationId xmlns:a16="http://schemas.microsoft.com/office/drawing/2014/main" id="{F0A21295-8FD5-4D11-8514-75810DCD40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3" name="Elipse 5792">
          <a:extLst>
            <a:ext uri="{FF2B5EF4-FFF2-40B4-BE49-F238E27FC236}">
              <a16:creationId xmlns:a16="http://schemas.microsoft.com/office/drawing/2014/main" id="{3DEC943C-E6BE-492E-AB62-D552D92853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4" name="Elipse 5793">
          <a:extLst>
            <a:ext uri="{FF2B5EF4-FFF2-40B4-BE49-F238E27FC236}">
              <a16:creationId xmlns:a16="http://schemas.microsoft.com/office/drawing/2014/main" id="{EE9C5DE7-2057-4C8C-90C1-FF587B7D7E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5" name="Elipse 5794">
          <a:extLst>
            <a:ext uri="{FF2B5EF4-FFF2-40B4-BE49-F238E27FC236}">
              <a16:creationId xmlns:a16="http://schemas.microsoft.com/office/drawing/2014/main" id="{A10FE037-58D2-4948-A24E-36C914A3F0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6" name="Elipse 5795">
          <a:extLst>
            <a:ext uri="{FF2B5EF4-FFF2-40B4-BE49-F238E27FC236}">
              <a16:creationId xmlns:a16="http://schemas.microsoft.com/office/drawing/2014/main" id="{0D9D9CC5-CF90-410C-9A88-CC8F064C59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7" name="Elipse 5796">
          <a:extLst>
            <a:ext uri="{FF2B5EF4-FFF2-40B4-BE49-F238E27FC236}">
              <a16:creationId xmlns:a16="http://schemas.microsoft.com/office/drawing/2014/main" id="{3CDF53DE-3481-48AD-AD4E-8D662770E3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8" name="Elipse 5797">
          <a:extLst>
            <a:ext uri="{FF2B5EF4-FFF2-40B4-BE49-F238E27FC236}">
              <a16:creationId xmlns:a16="http://schemas.microsoft.com/office/drawing/2014/main" id="{6C0E0315-0078-4D88-A57F-1608D55D50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9" name="Elipse 5798">
          <a:extLst>
            <a:ext uri="{FF2B5EF4-FFF2-40B4-BE49-F238E27FC236}">
              <a16:creationId xmlns:a16="http://schemas.microsoft.com/office/drawing/2014/main" id="{86A79F8B-8464-4F38-8188-E4398E3583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0" name="Elipse 5799">
          <a:extLst>
            <a:ext uri="{FF2B5EF4-FFF2-40B4-BE49-F238E27FC236}">
              <a16:creationId xmlns:a16="http://schemas.microsoft.com/office/drawing/2014/main" id="{126EE8F7-28F2-4DF3-A8F9-CA95B5FAAE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1" name="Elipse 5800">
          <a:extLst>
            <a:ext uri="{FF2B5EF4-FFF2-40B4-BE49-F238E27FC236}">
              <a16:creationId xmlns:a16="http://schemas.microsoft.com/office/drawing/2014/main" id="{06163A25-9769-42CF-9DFB-382EA47FFD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2" name="Elipse 5801">
          <a:extLst>
            <a:ext uri="{FF2B5EF4-FFF2-40B4-BE49-F238E27FC236}">
              <a16:creationId xmlns:a16="http://schemas.microsoft.com/office/drawing/2014/main" id="{84FCA5F2-9408-4899-8C58-7997930444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3" name="Elipse 5802">
          <a:extLst>
            <a:ext uri="{FF2B5EF4-FFF2-40B4-BE49-F238E27FC236}">
              <a16:creationId xmlns:a16="http://schemas.microsoft.com/office/drawing/2014/main" id="{5C6731B3-3B35-40CE-A53A-6B483707DF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4" name="Elipse 5803">
          <a:extLst>
            <a:ext uri="{FF2B5EF4-FFF2-40B4-BE49-F238E27FC236}">
              <a16:creationId xmlns:a16="http://schemas.microsoft.com/office/drawing/2014/main" id="{BA756A26-1FDA-41D1-A0E8-6139CBFCAA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5" name="Elipse 5804">
          <a:extLst>
            <a:ext uri="{FF2B5EF4-FFF2-40B4-BE49-F238E27FC236}">
              <a16:creationId xmlns:a16="http://schemas.microsoft.com/office/drawing/2014/main" id="{F13E7DED-EFBF-40CB-B941-B995FBC105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6" name="Elipse 5805">
          <a:extLst>
            <a:ext uri="{FF2B5EF4-FFF2-40B4-BE49-F238E27FC236}">
              <a16:creationId xmlns:a16="http://schemas.microsoft.com/office/drawing/2014/main" id="{9471F466-8EDD-47FD-A0A5-79DAD7F26D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7" name="Elipse 5806">
          <a:extLst>
            <a:ext uri="{FF2B5EF4-FFF2-40B4-BE49-F238E27FC236}">
              <a16:creationId xmlns:a16="http://schemas.microsoft.com/office/drawing/2014/main" id="{4161746B-DD06-4C9A-A2CC-6BBA3B09C1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8" name="Elipse 5807">
          <a:extLst>
            <a:ext uri="{FF2B5EF4-FFF2-40B4-BE49-F238E27FC236}">
              <a16:creationId xmlns:a16="http://schemas.microsoft.com/office/drawing/2014/main" id="{4E3180A0-4B24-4440-93D0-9016D42993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9" name="Elipse 5808">
          <a:extLst>
            <a:ext uri="{FF2B5EF4-FFF2-40B4-BE49-F238E27FC236}">
              <a16:creationId xmlns:a16="http://schemas.microsoft.com/office/drawing/2014/main" id="{5E475DEC-0F74-4360-A58D-B006613DC4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0" name="Elipse 5809">
          <a:extLst>
            <a:ext uri="{FF2B5EF4-FFF2-40B4-BE49-F238E27FC236}">
              <a16:creationId xmlns:a16="http://schemas.microsoft.com/office/drawing/2014/main" id="{878F1FC2-D660-415C-A07F-E3D1A5BFBA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1" name="Elipse 5810">
          <a:extLst>
            <a:ext uri="{FF2B5EF4-FFF2-40B4-BE49-F238E27FC236}">
              <a16:creationId xmlns:a16="http://schemas.microsoft.com/office/drawing/2014/main" id="{423EA812-21F3-4D7A-A939-903F550C28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2" name="Elipse 5811">
          <a:extLst>
            <a:ext uri="{FF2B5EF4-FFF2-40B4-BE49-F238E27FC236}">
              <a16:creationId xmlns:a16="http://schemas.microsoft.com/office/drawing/2014/main" id="{1D829E90-3D8F-4453-9802-8A3C51F60F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3" name="Elipse 5812">
          <a:extLst>
            <a:ext uri="{FF2B5EF4-FFF2-40B4-BE49-F238E27FC236}">
              <a16:creationId xmlns:a16="http://schemas.microsoft.com/office/drawing/2014/main" id="{A1496745-CD17-4748-A0ED-6873100DAA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4" name="Elipse 5813">
          <a:extLst>
            <a:ext uri="{FF2B5EF4-FFF2-40B4-BE49-F238E27FC236}">
              <a16:creationId xmlns:a16="http://schemas.microsoft.com/office/drawing/2014/main" id="{41072531-2699-4E3B-A091-DA37E8894C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5" name="Elipse 5814">
          <a:extLst>
            <a:ext uri="{FF2B5EF4-FFF2-40B4-BE49-F238E27FC236}">
              <a16:creationId xmlns:a16="http://schemas.microsoft.com/office/drawing/2014/main" id="{321E6EC2-2710-4054-BF28-25A87F3575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6" name="Elipse 5815">
          <a:extLst>
            <a:ext uri="{FF2B5EF4-FFF2-40B4-BE49-F238E27FC236}">
              <a16:creationId xmlns:a16="http://schemas.microsoft.com/office/drawing/2014/main" id="{CF76743C-BE5D-4D66-AEF4-D31FC69ACF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7" name="Elipse 5816">
          <a:extLst>
            <a:ext uri="{FF2B5EF4-FFF2-40B4-BE49-F238E27FC236}">
              <a16:creationId xmlns:a16="http://schemas.microsoft.com/office/drawing/2014/main" id="{8CA9FAF9-49F6-432D-8DAF-41CAF3944B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8" name="Elipse 5817">
          <a:extLst>
            <a:ext uri="{FF2B5EF4-FFF2-40B4-BE49-F238E27FC236}">
              <a16:creationId xmlns:a16="http://schemas.microsoft.com/office/drawing/2014/main" id="{1290B867-A082-4885-A326-1B5595CFCC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9" name="Elipse 5818">
          <a:extLst>
            <a:ext uri="{FF2B5EF4-FFF2-40B4-BE49-F238E27FC236}">
              <a16:creationId xmlns:a16="http://schemas.microsoft.com/office/drawing/2014/main" id="{4EB1B66B-6B10-4C2A-8CFD-4EA59FA098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0" name="Elipse 5819">
          <a:extLst>
            <a:ext uri="{FF2B5EF4-FFF2-40B4-BE49-F238E27FC236}">
              <a16:creationId xmlns:a16="http://schemas.microsoft.com/office/drawing/2014/main" id="{20566EA3-E6F8-42BF-B6FF-E4B0A9F33C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1" name="Elipse 5820">
          <a:extLst>
            <a:ext uri="{FF2B5EF4-FFF2-40B4-BE49-F238E27FC236}">
              <a16:creationId xmlns:a16="http://schemas.microsoft.com/office/drawing/2014/main" id="{BF5C0D39-C8F5-4706-B82C-D2FA23CD1D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2" name="Elipse 5821">
          <a:extLst>
            <a:ext uri="{FF2B5EF4-FFF2-40B4-BE49-F238E27FC236}">
              <a16:creationId xmlns:a16="http://schemas.microsoft.com/office/drawing/2014/main" id="{93D6665F-3C88-4135-A509-F744A46A38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3" name="Elipse 5822">
          <a:extLst>
            <a:ext uri="{FF2B5EF4-FFF2-40B4-BE49-F238E27FC236}">
              <a16:creationId xmlns:a16="http://schemas.microsoft.com/office/drawing/2014/main" id="{9A026110-CCBA-4D1C-9D42-FB8DE5089D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4" name="Elipse 5823">
          <a:extLst>
            <a:ext uri="{FF2B5EF4-FFF2-40B4-BE49-F238E27FC236}">
              <a16:creationId xmlns:a16="http://schemas.microsoft.com/office/drawing/2014/main" id="{7B29A607-2A05-4E08-866A-00BA3FFB9E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5" name="Elipse 5824">
          <a:extLst>
            <a:ext uri="{FF2B5EF4-FFF2-40B4-BE49-F238E27FC236}">
              <a16:creationId xmlns:a16="http://schemas.microsoft.com/office/drawing/2014/main" id="{5C18D7DE-B4D7-4E81-91B0-399E9CF17D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6" name="Elipse 5825">
          <a:extLst>
            <a:ext uri="{FF2B5EF4-FFF2-40B4-BE49-F238E27FC236}">
              <a16:creationId xmlns:a16="http://schemas.microsoft.com/office/drawing/2014/main" id="{1343A8D8-4454-4EB9-949B-3A70C654E4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7" name="Elipse 5826">
          <a:extLst>
            <a:ext uri="{FF2B5EF4-FFF2-40B4-BE49-F238E27FC236}">
              <a16:creationId xmlns:a16="http://schemas.microsoft.com/office/drawing/2014/main" id="{D14B32A6-A829-4817-BB0A-FAF6003575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8" name="Elipse 5827">
          <a:extLst>
            <a:ext uri="{FF2B5EF4-FFF2-40B4-BE49-F238E27FC236}">
              <a16:creationId xmlns:a16="http://schemas.microsoft.com/office/drawing/2014/main" id="{69CD1F10-02F0-4C1D-AF5A-4A6EEA993F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9" name="Elipse 5828">
          <a:extLst>
            <a:ext uri="{FF2B5EF4-FFF2-40B4-BE49-F238E27FC236}">
              <a16:creationId xmlns:a16="http://schemas.microsoft.com/office/drawing/2014/main" id="{A0012CB8-587F-41EE-8710-CFF5CA5395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0" name="Elipse 5829">
          <a:extLst>
            <a:ext uri="{FF2B5EF4-FFF2-40B4-BE49-F238E27FC236}">
              <a16:creationId xmlns:a16="http://schemas.microsoft.com/office/drawing/2014/main" id="{D0514D61-972D-4535-AB61-769F9D663B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1" name="Elipse 5830">
          <a:extLst>
            <a:ext uri="{FF2B5EF4-FFF2-40B4-BE49-F238E27FC236}">
              <a16:creationId xmlns:a16="http://schemas.microsoft.com/office/drawing/2014/main" id="{CCC9E0E5-0646-4666-A6AE-CEC4F80164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2" name="Elipse 5831">
          <a:extLst>
            <a:ext uri="{FF2B5EF4-FFF2-40B4-BE49-F238E27FC236}">
              <a16:creationId xmlns:a16="http://schemas.microsoft.com/office/drawing/2014/main" id="{A0FB4B84-B62F-409A-B390-C447E8F884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3" name="Elipse 5832">
          <a:extLst>
            <a:ext uri="{FF2B5EF4-FFF2-40B4-BE49-F238E27FC236}">
              <a16:creationId xmlns:a16="http://schemas.microsoft.com/office/drawing/2014/main" id="{309294D5-8C34-4B84-8CCE-5C62A0F87F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4" name="Elipse 5833">
          <a:extLst>
            <a:ext uri="{FF2B5EF4-FFF2-40B4-BE49-F238E27FC236}">
              <a16:creationId xmlns:a16="http://schemas.microsoft.com/office/drawing/2014/main" id="{34D541B5-46AE-417E-85DC-684F34BD80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5" name="Elipse 5834">
          <a:extLst>
            <a:ext uri="{FF2B5EF4-FFF2-40B4-BE49-F238E27FC236}">
              <a16:creationId xmlns:a16="http://schemas.microsoft.com/office/drawing/2014/main" id="{A9A3C5FF-7CF8-4E5E-AD58-BE1CBB9D78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6" name="Elipse 5835">
          <a:extLst>
            <a:ext uri="{FF2B5EF4-FFF2-40B4-BE49-F238E27FC236}">
              <a16:creationId xmlns:a16="http://schemas.microsoft.com/office/drawing/2014/main" id="{DA517E67-07F3-4B29-89C3-9FB3DD6752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7" name="Elipse 5836">
          <a:extLst>
            <a:ext uri="{FF2B5EF4-FFF2-40B4-BE49-F238E27FC236}">
              <a16:creationId xmlns:a16="http://schemas.microsoft.com/office/drawing/2014/main" id="{27623868-81C9-485B-80C0-D93BD96A5C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8" name="Elipse 5837">
          <a:extLst>
            <a:ext uri="{FF2B5EF4-FFF2-40B4-BE49-F238E27FC236}">
              <a16:creationId xmlns:a16="http://schemas.microsoft.com/office/drawing/2014/main" id="{8051064B-8849-49C2-9897-B437620AB7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9" name="Elipse 5838">
          <a:extLst>
            <a:ext uri="{FF2B5EF4-FFF2-40B4-BE49-F238E27FC236}">
              <a16:creationId xmlns:a16="http://schemas.microsoft.com/office/drawing/2014/main" id="{1A33F8F3-61EE-491F-AAC8-DA1FAC03F6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0" name="Elipse 5839">
          <a:extLst>
            <a:ext uri="{FF2B5EF4-FFF2-40B4-BE49-F238E27FC236}">
              <a16:creationId xmlns:a16="http://schemas.microsoft.com/office/drawing/2014/main" id="{985ED477-56C6-4C43-9D63-F66747331C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1" name="Elipse 5840">
          <a:extLst>
            <a:ext uri="{FF2B5EF4-FFF2-40B4-BE49-F238E27FC236}">
              <a16:creationId xmlns:a16="http://schemas.microsoft.com/office/drawing/2014/main" id="{056AB6A5-3D5C-4F81-B813-339DAA2646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2" name="Elipse 5841">
          <a:extLst>
            <a:ext uri="{FF2B5EF4-FFF2-40B4-BE49-F238E27FC236}">
              <a16:creationId xmlns:a16="http://schemas.microsoft.com/office/drawing/2014/main" id="{68D8267C-2C82-4CEA-B1A5-FB78E2161A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3" name="Elipse 5842">
          <a:extLst>
            <a:ext uri="{FF2B5EF4-FFF2-40B4-BE49-F238E27FC236}">
              <a16:creationId xmlns:a16="http://schemas.microsoft.com/office/drawing/2014/main" id="{B9AA081F-83D0-4231-8249-BE54A03CBC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4" name="Elipse 5843">
          <a:extLst>
            <a:ext uri="{FF2B5EF4-FFF2-40B4-BE49-F238E27FC236}">
              <a16:creationId xmlns:a16="http://schemas.microsoft.com/office/drawing/2014/main" id="{D5C74DA8-76AB-470C-ADC2-A519DC0982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5" name="Elipse 5844">
          <a:extLst>
            <a:ext uri="{FF2B5EF4-FFF2-40B4-BE49-F238E27FC236}">
              <a16:creationId xmlns:a16="http://schemas.microsoft.com/office/drawing/2014/main" id="{8AF29700-B7A2-471E-A672-9007B97E5B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6" name="Elipse 5845">
          <a:extLst>
            <a:ext uri="{FF2B5EF4-FFF2-40B4-BE49-F238E27FC236}">
              <a16:creationId xmlns:a16="http://schemas.microsoft.com/office/drawing/2014/main" id="{51932385-977C-4DEF-93D9-E033DAAD3F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7" name="Elipse 5846">
          <a:extLst>
            <a:ext uri="{FF2B5EF4-FFF2-40B4-BE49-F238E27FC236}">
              <a16:creationId xmlns:a16="http://schemas.microsoft.com/office/drawing/2014/main" id="{E737B0E9-5D68-4F6E-BEA0-C150298D59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8" name="Elipse 5847">
          <a:extLst>
            <a:ext uri="{FF2B5EF4-FFF2-40B4-BE49-F238E27FC236}">
              <a16:creationId xmlns:a16="http://schemas.microsoft.com/office/drawing/2014/main" id="{0E7EBF6F-C904-471B-B7CE-EDC83F8856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9" name="Elipse 5848">
          <a:extLst>
            <a:ext uri="{FF2B5EF4-FFF2-40B4-BE49-F238E27FC236}">
              <a16:creationId xmlns:a16="http://schemas.microsoft.com/office/drawing/2014/main" id="{9D9A6185-617B-4FAA-856F-D8DB4F1579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0" name="Elipse 5849">
          <a:extLst>
            <a:ext uri="{FF2B5EF4-FFF2-40B4-BE49-F238E27FC236}">
              <a16:creationId xmlns:a16="http://schemas.microsoft.com/office/drawing/2014/main" id="{F22661FB-F7BC-4910-A520-DC221DFBD1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1" name="Elipse 5850">
          <a:extLst>
            <a:ext uri="{FF2B5EF4-FFF2-40B4-BE49-F238E27FC236}">
              <a16:creationId xmlns:a16="http://schemas.microsoft.com/office/drawing/2014/main" id="{DFF8DEF0-F301-420F-AA23-86BD63B51C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2" name="Elipse 5851">
          <a:extLst>
            <a:ext uri="{FF2B5EF4-FFF2-40B4-BE49-F238E27FC236}">
              <a16:creationId xmlns:a16="http://schemas.microsoft.com/office/drawing/2014/main" id="{7E502CEB-3327-49A9-B499-BBD9233BB0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3" name="Elipse 5852">
          <a:extLst>
            <a:ext uri="{FF2B5EF4-FFF2-40B4-BE49-F238E27FC236}">
              <a16:creationId xmlns:a16="http://schemas.microsoft.com/office/drawing/2014/main" id="{4F96FE8B-8ADA-49C0-B6D5-B9A00CADD5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4" name="Elipse 5853">
          <a:extLst>
            <a:ext uri="{FF2B5EF4-FFF2-40B4-BE49-F238E27FC236}">
              <a16:creationId xmlns:a16="http://schemas.microsoft.com/office/drawing/2014/main" id="{DB2D95FE-D99E-40F3-BD02-724F12789A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5" name="Elipse 5854">
          <a:extLst>
            <a:ext uri="{FF2B5EF4-FFF2-40B4-BE49-F238E27FC236}">
              <a16:creationId xmlns:a16="http://schemas.microsoft.com/office/drawing/2014/main" id="{3A88AC3D-D3D2-4CEF-A334-330BC3037B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6" name="Elipse 5855">
          <a:extLst>
            <a:ext uri="{FF2B5EF4-FFF2-40B4-BE49-F238E27FC236}">
              <a16:creationId xmlns:a16="http://schemas.microsoft.com/office/drawing/2014/main" id="{D6FFCE51-B2B4-46C8-BCF4-76FD31493D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7" name="Elipse 5856">
          <a:extLst>
            <a:ext uri="{FF2B5EF4-FFF2-40B4-BE49-F238E27FC236}">
              <a16:creationId xmlns:a16="http://schemas.microsoft.com/office/drawing/2014/main" id="{F077806D-CD3C-4777-9DE7-E018E22804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8" name="Elipse 5857">
          <a:extLst>
            <a:ext uri="{FF2B5EF4-FFF2-40B4-BE49-F238E27FC236}">
              <a16:creationId xmlns:a16="http://schemas.microsoft.com/office/drawing/2014/main" id="{524CC7C1-09D8-44E6-9649-2AAABE8DBC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9" name="Elipse 5858">
          <a:extLst>
            <a:ext uri="{FF2B5EF4-FFF2-40B4-BE49-F238E27FC236}">
              <a16:creationId xmlns:a16="http://schemas.microsoft.com/office/drawing/2014/main" id="{642A6BE2-FECF-4F74-99EE-DC603C0C1B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0" name="Elipse 5859">
          <a:extLst>
            <a:ext uri="{FF2B5EF4-FFF2-40B4-BE49-F238E27FC236}">
              <a16:creationId xmlns:a16="http://schemas.microsoft.com/office/drawing/2014/main" id="{BCEE8CAC-73CA-41F8-8C8E-2F65150B88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1" name="Elipse 5860">
          <a:extLst>
            <a:ext uri="{FF2B5EF4-FFF2-40B4-BE49-F238E27FC236}">
              <a16:creationId xmlns:a16="http://schemas.microsoft.com/office/drawing/2014/main" id="{F4C03B1F-BFFC-40B5-AC70-EBC616E841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2" name="Elipse 5861">
          <a:extLst>
            <a:ext uri="{FF2B5EF4-FFF2-40B4-BE49-F238E27FC236}">
              <a16:creationId xmlns:a16="http://schemas.microsoft.com/office/drawing/2014/main" id="{29CB0CFC-5DEE-4673-8742-82D976884E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3" name="Elipse 5862">
          <a:extLst>
            <a:ext uri="{FF2B5EF4-FFF2-40B4-BE49-F238E27FC236}">
              <a16:creationId xmlns:a16="http://schemas.microsoft.com/office/drawing/2014/main" id="{0DE3FB72-5A14-4376-BDC0-4F61C8D3D8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4" name="Elipse 5863">
          <a:extLst>
            <a:ext uri="{FF2B5EF4-FFF2-40B4-BE49-F238E27FC236}">
              <a16:creationId xmlns:a16="http://schemas.microsoft.com/office/drawing/2014/main" id="{EA942C2F-9A1D-48C0-BDE9-2AF82F84E9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5" name="Elipse 5864">
          <a:extLst>
            <a:ext uri="{FF2B5EF4-FFF2-40B4-BE49-F238E27FC236}">
              <a16:creationId xmlns:a16="http://schemas.microsoft.com/office/drawing/2014/main" id="{ECA8B9B7-3830-47D6-8713-41EBAC82F0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6" name="Elipse 5865">
          <a:extLst>
            <a:ext uri="{FF2B5EF4-FFF2-40B4-BE49-F238E27FC236}">
              <a16:creationId xmlns:a16="http://schemas.microsoft.com/office/drawing/2014/main" id="{7C05975D-3EA3-4CA3-B16D-EBBB3833A3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7" name="Elipse 5866">
          <a:extLst>
            <a:ext uri="{FF2B5EF4-FFF2-40B4-BE49-F238E27FC236}">
              <a16:creationId xmlns:a16="http://schemas.microsoft.com/office/drawing/2014/main" id="{7E1CBBE0-780B-4E25-A64B-8892C651E3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8" name="Elipse 5867">
          <a:extLst>
            <a:ext uri="{FF2B5EF4-FFF2-40B4-BE49-F238E27FC236}">
              <a16:creationId xmlns:a16="http://schemas.microsoft.com/office/drawing/2014/main" id="{48D96CF5-2A6B-49D8-A9B4-F0BD492F1C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9" name="Elipse 5868">
          <a:extLst>
            <a:ext uri="{FF2B5EF4-FFF2-40B4-BE49-F238E27FC236}">
              <a16:creationId xmlns:a16="http://schemas.microsoft.com/office/drawing/2014/main" id="{61D2A25E-D0E6-4891-AC42-2EE0C6F6B4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0" name="Elipse 5869">
          <a:extLst>
            <a:ext uri="{FF2B5EF4-FFF2-40B4-BE49-F238E27FC236}">
              <a16:creationId xmlns:a16="http://schemas.microsoft.com/office/drawing/2014/main" id="{DD039318-213C-461D-BBF5-70FE08A701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1" name="Elipse 5870">
          <a:extLst>
            <a:ext uri="{FF2B5EF4-FFF2-40B4-BE49-F238E27FC236}">
              <a16:creationId xmlns:a16="http://schemas.microsoft.com/office/drawing/2014/main" id="{84749FC5-079D-4905-98BF-7ADCC6DDD7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2" name="Elipse 5871">
          <a:extLst>
            <a:ext uri="{FF2B5EF4-FFF2-40B4-BE49-F238E27FC236}">
              <a16:creationId xmlns:a16="http://schemas.microsoft.com/office/drawing/2014/main" id="{221E343C-CCDF-43CF-A629-FD1309B390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3" name="Elipse 5872">
          <a:extLst>
            <a:ext uri="{FF2B5EF4-FFF2-40B4-BE49-F238E27FC236}">
              <a16:creationId xmlns:a16="http://schemas.microsoft.com/office/drawing/2014/main" id="{D3654615-7728-4FB3-820B-6584DE825D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4" name="Elipse 5873">
          <a:extLst>
            <a:ext uri="{FF2B5EF4-FFF2-40B4-BE49-F238E27FC236}">
              <a16:creationId xmlns:a16="http://schemas.microsoft.com/office/drawing/2014/main" id="{74C0B69F-01E1-440F-A720-4243548133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5" name="Elipse 5874">
          <a:extLst>
            <a:ext uri="{FF2B5EF4-FFF2-40B4-BE49-F238E27FC236}">
              <a16:creationId xmlns:a16="http://schemas.microsoft.com/office/drawing/2014/main" id="{DDCD50A0-73DC-4E4B-B273-0C24157D19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6" name="Elipse 5875">
          <a:extLst>
            <a:ext uri="{FF2B5EF4-FFF2-40B4-BE49-F238E27FC236}">
              <a16:creationId xmlns:a16="http://schemas.microsoft.com/office/drawing/2014/main" id="{F13D4996-BDB0-4F89-A153-55F34A5F8E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7" name="Elipse 5876">
          <a:extLst>
            <a:ext uri="{FF2B5EF4-FFF2-40B4-BE49-F238E27FC236}">
              <a16:creationId xmlns:a16="http://schemas.microsoft.com/office/drawing/2014/main" id="{F423B9DD-E357-4C72-B83A-EE742ADAF4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8" name="Elipse 5877">
          <a:extLst>
            <a:ext uri="{FF2B5EF4-FFF2-40B4-BE49-F238E27FC236}">
              <a16:creationId xmlns:a16="http://schemas.microsoft.com/office/drawing/2014/main" id="{82A602A4-474A-49EF-917C-190B798A58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9" name="Elipse 5878">
          <a:extLst>
            <a:ext uri="{FF2B5EF4-FFF2-40B4-BE49-F238E27FC236}">
              <a16:creationId xmlns:a16="http://schemas.microsoft.com/office/drawing/2014/main" id="{EA8CE288-32DB-4971-8393-1CA1F55DF0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0" name="Elipse 5879">
          <a:extLst>
            <a:ext uri="{FF2B5EF4-FFF2-40B4-BE49-F238E27FC236}">
              <a16:creationId xmlns:a16="http://schemas.microsoft.com/office/drawing/2014/main" id="{FEBD77D4-0E25-4E6A-AC06-93D5C41A71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1" name="Elipse 5880">
          <a:extLst>
            <a:ext uri="{FF2B5EF4-FFF2-40B4-BE49-F238E27FC236}">
              <a16:creationId xmlns:a16="http://schemas.microsoft.com/office/drawing/2014/main" id="{3CF37131-5175-4C97-B0AF-2875427B46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2" name="Elipse 5881">
          <a:extLst>
            <a:ext uri="{FF2B5EF4-FFF2-40B4-BE49-F238E27FC236}">
              <a16:creationId xmlns:a16="http://schemas.microsoft.com/office/drawing/2014/main" id="{DA68B02D-E541-450D-9CF7-8830FF5C2F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3" name="Elipse 5882">
          <a:extLst>
            <a:ext uri="{FF2B5EF4-FFF2-40B4-BE49-F238E27FC236}">
              <a16:creationId xmlns:a16="http://schemas.microsoft.com/office/drawing/2014/main" id="{4EBF323D-277B-43AE-97DF-D2EDA7C8CB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4" name="Elipse 5883">
          <a:extLst>
            <a:ext uri="{FF2B5EF4-FFF2-40B4-BE49-F238E27FC236}">
              <a16:creationId xmlns:a16="http://schemas.microsoft.com/office/drawing/2014/main" id="{250B1F10-0019-48A5-A561-65258B7685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5" name="Elipse 5884">
          <a:extLst>
            <a:ext uri="{FF2B5EF4-FFF2-40B4-BE49-F238E27FC236}">
              <a16:creationId xmlns:a16="http://schemas.microsoft.com/office/drawing/2014/main" id="{88525343-F130-4093-83F2-A1F0CA15AB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6" name="Elipse 5885">
          <a:extLst>
            <a:ext uri="{FF2B5EF4-FFF2-40B4-BE49-F238E27FC236}">
              <a16:creationId xmlns:a16="http://schemas.microsoft.com/office/drawing/2014/main" id="{85E304A7-22C1-4E20-B02E-25FED73BB7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7" name="Elipse 5886">
          <a:extLst>
            <a:ext uri="{FF2B5EF4-FFF2-40B4-BE49-F238E27FC236}">
              <a16:creationId xmlns:a16="http://schemas.microsoft.com/office/drawing/2014/main" id="{19CAFB3E-5DFA-433A-9E4F-9D1FB7C965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8" name="Elipse 5887">
          <a:extLst>
            <a:ext uri="{FF2B5EF4-FFF2-40B4-BE49-F238E27FC236}">
              <a16:creationId xmlns:a16="http://schemas.microsoft.com/office/drawing/2014/main" id="{11C88FE7-9927-441B-9ECD-5C4B2BFB45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9" name="Elipse 5888">
          <a:extLst>
            <a:ext uri="{FF2B5EF4-FFF2-40B4-BE49-F238E27FC236}">
              <a16:creationId xmlns:a16="http://schemas.microsoft.com/office/drawing/2014/main" id="{806EC1F7-2528-49BA-90F2-55070123A4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0" name="Elipse 5889">
          <a:extLst>
            <a:ext uri="{FF2B5EF4-FFF2-40B4-BE49-F238E27FC236}">
              <a16:creationId xmlns:a16="http://schemas.microsoft.com/office/drawing/2014/main" id="{3DC38594-B52F-4658-8438-0A25837849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1" name="Elipse 5890">
          <a:extLst>
            <a:ext uri="{FF2B5EF4-FFF2-40B4-BE49-F238E27FC236}">
              <a16:creationId xmlns:a16="http://schemas.microsoft.com/office/drawing/2014/main" id="{ED6E619E-82FF-4F01-9069-3F7C99C6C4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2" name="Elipse 5891">
          <a:extLst>
            <a:ext uri="{FF2B5EF4-FFF2-40B4-BE49-F238E27FC236}">
              <a16:creationId xmlns:a16="http://schemas.microsoft.com/office/drawing/2014/main" id="{8A6CE2D2-80C4-4DCC-9009-488A2F026D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3" name="Elipse 5892">
          <a:extLst>
            <a:ext uri="{FF2B5EF4-FFF2-40B4-BE49-F238E27FC236}">
              <a16:creationId xmlns:a16="http://schemas.microsoft.com/office/drawing/2014/main" id="{D65BB052-EFAE-43E6-BC3A-F4F72B56A4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4" name="Elipse 5893">
          <a:extLst>
            <a:ext uri="{FF2B5EF4-FFF2-40B4-BE49-F238E27FC236}">
              <a16:creationId xmlns:a16="http://schemas.microsoft.com/office/drawing/2014/main" id="{5E1EA642-A62D-4558-B1C1-427780D54A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5" name="Elipse 5894">
          <a:extLst>
            <a:ext uri="{FF2B5EF4-FFF2-40B4-BE49-F238E27FC236}">
              <a16:creationId xmlns:a16="http://schemas.microsoft.com/office/drawing/2014/main" id="{DE08AEAF-706E-4E8C-A89D-47888C8AB3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6" name="Elipse 5895">
          <a:extLst>
            <a:ext uri="{FF2B5EF4-FFF2-40B4-BE49-F238E27FC236}">
              <a16:creationId xmlns:a16="http://schemas.microsoft.com/office/drawing/2014/main" id="{212488BD-9E40-449A-AA74-8F810052AD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7" name="Elipse 5896">
          <a:extLst>
            <a:ext uri="{FF2B5EF4-FFF2-40B4-BE49-F238E27FC236}">
              <a16:creationId xmlns:a16="http://schemas.microsoft.com/office/drawing/2014/main" id="{A25B0460-B32A-44CA-ABA5-9CD3CD72CD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8" name="Elipse 5897">
          <a:extLst>
            <a:ext uri="{FF2B5EF4-FFF2-40B4-BE49-F238E27FC236}">
              <a16:creationId xmlns:a16="http://schemas.microsoft.com/office/drawing/2014/main" id="{D9CC38F8-3ECF-49BB-90F4-623DA67A66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9" name="Elipse 5898">
          <a:extLst>
            <a:ext uri="{FF2B5EF4-FFF2-40B4-BE49-F238E27FC236}">
              <a16:creationId xmlns:a16="http://schemas.microsoft.com/office/drawing/2014/main" id="{1C296018-AF3B-49EE-88BD-1727105C1A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0" name="Elipse 5899">
          <a:extLst>
            <a:ext uri="{FF2B5EF4-FFF2-40B4-BE49-F238E27FC236}">
              <a16:creationId xmlns:a16="http://schemas.microsoft.com/office/drawing/2014/main" id="{F95B8552-1384-4435-B189-95A290D7DA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1" name="Elipse 5900">
          <a:extLst>
            <a:ext uri="{FF2B5EF4-FFF2-40B4-BE49-F238E27FC236}">
              <a16:creationId xmlns:a16="http://schemas.microsoft.com/office/drawing/2014/main" id="{9836B8DB-0236-4A4E-AE3F-F11CF312CC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2" name="Elipse 5901">
          <a:extLst>
            <a:ext uri="{FF2B5EF4-FFF2-40B4-BE49-F238E27FC236}">
              <a16:creationId xmlns:a16="http://schemas.microsoft.com/office/drawing/2014/main" id="{674B90DD-8F0E-44AE-B139-56072A3F42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3" name="Elipse 5902">
          <a:extLst>
            <a:ext uri="{FF2B5EF4-FFF2-40B4-BE49-F238E27FC236}">
              <a16:creationId xmlns:a16="http://schemas.microsoft.com/office/drawing/2014/main" id="{EA195B53-D04F-452B-839E-1BB6FDC496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4" name="Elipse 5903">
          <a:extLst>
            <a:ext uri="{FF2B5EF4-FFF2-40B4-BE49-F238E27FC236}">
              <a16:creationId xmlns:a16="http://schemas.microsoft.com/office/drawing/2014/main" id="{AF922051-CE0B-4984-8AC4-332BA1A1B5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5" name="Elipse 5904">
          <a:extLst>
            <a:ext uri="{FF2B5EF4-FFF2-40B4-BE49-F238E27FC236}">
              <a16:creationId xmlns:a16="http://schemas.microsoft.com/office/drawing/2014/main" id="{C3C094DC-6A96-467C-829B-67CB09F5EE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6" name="Elipse 5905">
          <a:extLst>
            <a:ext uri="{FF2B5EF4-FFF2-40B4-BE49-F238E27FC236}">
              <a16:creationId xmlns:a16="http://schemas.microsoft.com/office/drawing/2014/main" id="{F2D7958B-8F49-476B-AC0A-7A7F909A0A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7" name="Elipse 5906">
          <a:extLst>
            <a:ext uri="{FF2B5EF4-FFF2-40B4-BE49-F238E27FC236}">
              <a16:creationId xmlns:a16="http://schemas.microsoft.com/office/drawing/2014/main" id="{335F40A7-AB5A-466E-A1B9-9016DBD1F7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8" name="Elipse 5907">
          <a:extLst>
            <a:ext uri="{FF2B5EF4-FFF2-40B4-BE49-F238E27FC236}">
              <a16:creationId xmlns:a16="http://schemas.microsoft.com/office/drawing/2014/main" id="{8822F60B-959F-478C-8A2D-5785133BA2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9" name="Elipse 5908">
          <a:extLst>
            <a:ext uri="{FF2B5EF4-FFF2-40B4-BE49-F238E27FC236}">
              <a16:creationId xmlns:a16="http://schemas.microsoft.com/office/drawing/2014/main" id="{15957A73-0D25-46D0-846D-FACEAD9E38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0" name="Elipse 5909">
          <a:extLst>
            <a:ext uri="{FF2B5EF4-FFF2-40B4-BE49-F238E27FC236}">
              <a16:creationId xmlns:a16="http://schemas.microsoft.com/office/drawing/2014/main" id="{7781CB69-864A-4502-AFD3-2666A3435C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1" name="Elipse 5910">
          <a:extLst>
            <a:ext uri="{FF2B5EF4-FFF2-40B4-BE49-F238E27FC236}">
              <a16:creationId xmlns:a16="http://schemas.microsoft.com/office/drawing/2014/main" id="{6D44B2BC-9284-42A8-AF29-0603E790C1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2" name="Elipse 5911">
          <a:extLst>
            <a:ext uri="{FF2B5EF4-FFF2-40B4-BE49-F238E27FC236}">
              <a16:creationId xmlns:a16="http://schemas.microsoft.com/office/drawing/2014/main" id="{24128AAD-4E38-4E0F-8B96-9A343157E6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3" name="Elipse 5912">
          <a:extLst>
            <a:ext uri="{FF2B5EF4-FFF2-40B4-BE49-F238E27FC236}">
              <a16:creationId xmlns:a16="http://schemas.microsoft.com/office/drawing/2014/main" id="{23537F51-D7CA-4141-9046-053820F60A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4" name="Elipse 5913">
          <a:extLst>
            <a:ext uri="{FF2B5EF4-FFF2-40B4-BE49-F238E27FC236}">
              <a16:creationId xmlns:a16="http://schemas.microsoft.com/office/drawing/2014/main" id="{812ACD56-F62B-4126-BEBB-7FC2DA6C94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5" name="Elipse 5914">
          <a:extLst>
            <a:ext uri="{FF2B5EF4-FFF2-40B4-BE49-F238E27FC236}">
              <a16:creationId xmlns:a16="http://schemas.microsoft.com/office/drawing/2014/main" id="{72C5C73B-5D9B-4D8B-BD31-A16136FE14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6" name="Elipse 5915">
          <a:extLst>
            <a:ext uri="{FF2B5EF4-FFF2-40B4-BE49-F238E27FC236}">
              <a16:creationId xmlns:a16="http://schemas.microsoft.com/office/drawing/2014/main" id="{70FE2AFE-1446-4F43-A2E1-198A52D548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7" name="Elipse 5916">
          <a:extLst>
            <a:ext uri="{FF2B5EF4-FFF2-40B4-BE49-F238E27FC236}">
              <a16:creationId xmlns:a16="http://schemas.microsoft.com/office/drawing/2014/main" id="{CFDE448A-82CF-415D-8F82-378A03701F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8" name="Elipse 5917">
          <a:extLst>
            <a:ext uri="{FF2B5EF4-FFF2-40B4-BE49-F238E27FC236}">
              <a16:creationId xmlns:a16="http://schemas.microsoft.com/office/drawing/2014/main" id="{18C05540-E937-44C4-A80E-3BD26E5A40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9" name="Elipse 5918">
          <a:extLst>
            <a:ext uri="{FF2B5EF4-FFF2-40B4-BE49-F238E27FC236}">
              <a16:creationId xmlns:a16="http://schemas.microsoft.com/office/drawing/2014/main" id="{329B34E5-838E-459C-9456-C116998267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0" name="Elipse 5919">
          <a:extLst>
            <a:ext uri="{FF2B5EF4-FFF2-40B4-BE49-F238E27FC236}">
              <a16:creationId xmlns:a16="http://schemas.microsoft.com/office/drawing/2014/main" id="{9DB41871-3413-400A-83F3-81DEA78ABC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1" name="Elipse 5920">
          <a:extLst>
            <a:ext uri="{FF2B5EF4-FFF2-40B4-BE49-F238E27FC236}">
              <a16:creationId xmlns:a16="http://schemas.microsoft.com/office/drawing/2014/main" id="{CB44D19B-335B-45F3-A966-FF959BCA57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2" name="Elipse 5921">
          <a:extLst>
            <a:ext uri="{FF2B5EF4-FFF2-40B4-BE49-F238E27FC236}">
              <a16:creationId xmlns:a16="http://schemas.microsoft.com/office/drawing/2014/main" id="{C9774D43-266B-4B2B-A67A-2DF26DFFD2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3" name="Elipse 5922">
          <a:extLst>
            <a:ext uri="{FF2B5EF4-FFF2-40B4-BE49-F238E27FC236}">
              <a16:creationId xmlns:a16="http://schemas.microsoft.com/office/drawing/2014/main" id="{F0649E64-C76F-4370-A1FF-9BB8AA545E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4" name="Elipse 5923">
          <a:extLst>
            <a:ext uri="{FF2B5EF4-FFF2-40B4-BE49-F238E27FC236}">
              <a16:creationId xmlns:a16="http://schemas.microsoft.com/office/drawing/2014/main" id="{701B0948-5774-42C7-A3BD-DD84403BE3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5" name="Elipse 5924">
          <a:extLst>
            <a:ext uri="{FF2B5EF4-FFF2-40B4-BE49-F238E27FC236}">
              <a16:creationId xmlns:a16="http://schemas.microsoft.com/office/drawing/2014/main" id="{6BD36693-6AB0-4B0F-BD42-A6C773E90D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6" name="Elipse 5925">
          <a:extLst>
            <a:ext uri="{FF2B5EF4-FFF2-40B4-BE49-F238E27FC236}">
              <a16:creationId xmlns:a16="http://schemas.microsoft.com/office/drawing/2014/main" id="{B906037F-BA87-4A4A-8FF0-BF8DEA659E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7" name="Elipse 5926">
          <a:extLst>
            <a:ext uri="{FF2B5EF4-FFF2-40B4-BE49-F238E27FC236}">
              <a16:creationId xmlns:a16="http://schemas.microsoft.com/office/drawing/2014/main" id="{BB4C64E3-72A8-41B1-A0CE-648473E437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8" name="Elipse 5927">
          <a:extLst>
            <a:ext uri="{FF2B5EF4-FFF2-40B4-BE49-F238E27FC236}">
              <a16:creationId xmlns:a16="http://schemas.microsoft.com/office/drawing/2014/main" id="{FCB1E82C-2F29-4FFE-89B3-E7BF25249B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9" name="Elipse 5928">
          <a:extLst>
            <a:ext uri="{FF2B5EF4-FFF2-40B4-BE49-F238E27FC236}">
              <a16:creationId xmlns:a16="http://schemas.microsoft.com/office/drawing/2014/main" id="{08F6D929-D960-4B45-89D1-4EDDF988CC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0" name="Elipse 5929">
          <a:extLst>
            <a:ext uri="{FF2B5EF4-FFF2-40B4-BE49-F238E27FC236}">
              <a16:creationId xmlns:a16="http://schemas.microsoft.com/office/drawing/2014/main" id="{19DA615F-F851-46FF-9450-A1F869804F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1" name="Elipse 5930">
          <a:extLst>
            <a:ext uri="{FF2B5EF4-FFF2-40B4-BE49-F238E27FC236}">
              <a16:creationId xmlns:a16="http://schemas.microsoft.com/office/drawing/2014/main" id="{EDCA0A6B-3BEB-4BC0-AAFA-FC1F356856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2" name="Elipse 5931">
          <a:extLst>
            <a:ext uri="{FF2B5EF4-FFF2-40B4-BE49-F238E27FC236}">
              <a16:creationId xmlns:a16="http://schemas.microsoft.com/office/drawing/2014/main" id="{5093A097-756D-43DD-A7CF-3C2B8C6455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3" name="Elipse 5932">
          <a:extLst>
            <a:ext uri="{FF2B5EF4-FFF2-40B4-BE49-F238E27FC236}">
              <a16:creationId xmlns:a16="http://schemas.microsoft.com/office/drawing/2014/main" id="{900B326E-0A87-48D3-8B01-8547910D8D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4" name="Elipse 5933">
          <a:extLst>
            <a:ext uri="{FF2B5EF4-FFF2-40B4-BE49-F238E27FC236}">
              <a16:creationId xmlns:a16="http://schemas.microsoft.com/office/drawing/2014/main" id="{BAC1BF73-7154-4085-9E6E-05DC61CE90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5" name="Elipse 5934">
          <a:extLst>
            <a:ext uri="{FF2B5EF4-FFF2-40B4-BE49-F238E27FC236}">
              <a16:creationId xmlns:a16="http://schemas.microsoft.com/office/drawing/2014/main" id="{BB9B6E9E-1FF6-439B-9CC4-A7458F3DC3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6" name="Elipse 5935">
          <a:extLst>
            <a:ext uri="{FF2B5EF4-FFF2-40B4-BE49-F238E27FC236}">
              <a16:creationId xmlns:a16="http://schemas.microsoft.com/office/drawing/2014/main" id="{0E284416-F487-4DC0-9229-0ACCCAAAD7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7" name="Elipse 5936">
          <a:extLst>
            <a:ext uri="{FF2B5EF4-FFF2-40B4-BE49-F238E27FC236}">
              <a16:creationId xmlns:a16="http://schemas.microsoft.com/office/drawing/2014/main" id="{E3F15C14-EA89-48B4-AB32-2E67ADC806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8" name="Elipse 5937">
          <a:extLst>
            <a:ext uri="{FF2B5EF4-FFF2-40B4-BE49-F238E27FC236}">
              <a16:creationId xmlns:a16="http://schemas.microsoft.com/office/drawing/2014/main" id="{7208E250-7BC5-437F-B6DE-F2447D10FD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9" name="Elipse 5938">
          <a:extLst>
            <a:ext uri="{FF2B5EF4-FFF2-40B4-BE49-F238E27FC236}">
              <a16:creationId xmlns:a16="http://schemas.microsoft.com/office/drawing/2014/main" id="{943422CA-05F8-4B34-B053-863F6CBE2B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0" name="Elipse 5939">
          <a:extLst>
            <a:ext uri="{FF2B5EF4-FFF2-40B4-BE49-F238E27FC236}">
              <a16:creationId xmlns:a16="http://schemas.microsoft.com/office/drawing/2014/main" id="{E461F8D2-EE43-4518-95E1-169149B690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1" name="Elipse 5940">
          <a:extLst>
            <a:ext uri="{FF2B5EF4-FFF2-40B4-BE49-F238E27FC236}">
              <a16:creationId xmlns:a16="http://schemas.microsoft.com/office/drawing/2014/main" id="{E5C771C6-2A77-427B-AD71-836921D0DF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2" name="Elipse 5941">
          <a:extLst>
            <a:ext uri="{FF2B5EF4-FFF2-40B4-BE49-F238E27FC236}">
              <a16:creationId xmlns:a16="http://schemas.microsoft.com/office/drawing/2014/main" id="{246606ED-0418-4270-A649-E589F82AEB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3" name="Elipse 5942">
          <a:extLst>
            <a:ext uri="{FF2B5EF4-FFF2-40B4-BE49-F238E27FC236}">
              <a16:creationId xmlns:a16="http://schemas.microsoft.com/office/drawing/2014/main" id="{7173D3D5-B367-4E97-8B11-E1DA996F4A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4" name="Elipse 5943">
          <a:extLst>
            <a:ext uri="{FF2B5EF4-FFF2-40B4-BE49-F238E27FC236}">
              <a16:creationId xmlns:a16="http://schemas.microsoft.com/office/drawing/2014/main" id="{C51F5602-6081-4139-B063-D4A8BFFB44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5" name="Elipse 5944">
          <a:extLst>
            <a:ext uri="{FF2B5EF4-FFF2-40B4-BE49-F238E27FC236}">
              <a16:creationId xmlns:a16="http://schemas.microsoft.com/office/drawing/2014/main" id="{281925A5-76AA-4B25-A5D9-E6F5421F4E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6" name="Elipse 5945">
          <a:extLst>
            <a:ext uri="{FF2B5EF4-FFF2-40B4-BE49-F238E27FC236}">
              <a16:creationId xmlns:a16="http://schemas.microsoft.com/office/drawing/2014/main" id="{FE57DC3A-16AF-486C-90C5-0F1C11BD90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7" name="Elipse 5946">
          <a:extLst>
            <a:ext uri="{FF2B5EF4-FFF2-40B4-BE49-F238E27FC236}">
              <a16:creationId xmlns:a16="http://schemas.microsoft.com/office/drawing/2014/main" id="{EA45B319-EEB9-47B7-B598-7B25A7FF4E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8" name="Elipse 5947">
          <a:extLst>
            <a:ext uri="{FF2B5EF4-FFF2-40B4-BE49-F238E27FC236}">
              <a16:creationId xmlns:a16="http://schemas.microsoft.com/office/drawing/2014/main" id="{FD058D38-FFF3-4D82-A6C3-CC12A2E067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9" name="Elipse 5948">
          <a:extLst>
            <a:ext uri="{FF2B5EF4-FFF2-40B4-BE49-F238E27FC236}">
              <a16:creationId xmlns:a16="http://schemas.microsoft.com/office/drawing/2014/main" id="{2CA7D910-8BA8-45CD-905E-38AFFCAE27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0" name="Elipse 5949">
          <a:extLst>
            <a:ext uri="{FF2B5EF4-FFF2-40B4-BE49-F238E27FC236}">
              <a16:creationId xmlns:a16="http://schemas.microsoft.com/office/drawing/2014/main" id="{E4842144-DD9C-43C7-9606-1956E53F24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1" name="Elipse 5950">
          <a:extLst>
            <a:ext uri="{FF2B5EF4-FFF2-40B4-BE49-F238E27FC236}">
              <a16:creationId xmlns:a16="http://schemas.microsoft.com/office/drawing/2014/main" id="{D58A0923-4689-4CBA-95E4-D817D3E4B3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2" name="Elipse 5951">
          <a:extLst>
            <a:ext uri="{FF2B5EF4-FFF2-40B4-BE49-F238E27FC236}">
              <a16:creationId xmlns:a16="http://schemas.microsoft.com/office/drawing/2014/main" id="{D349C6E0-688A-4EBE-8397-BB4C42DCAD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3" name="Elipse 5952">
          <a:extLst>
            <a:ext uri="{FF2B5EF4-FFF2-40B4-BE49-F238E27FC236}">
              <a16:creationId xmlns:a16="http://schemas.microsoft.com/office/drawing/2014/main" id="{F8050517-9FBD-4292-9166-D6CCA76909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4" name="Elipse 5953">
          <a:extLst>
            <a:ext uri="{FF2B5EF4-FFF2-40B4-BE49-F238E27FC236}">
              <a16:creationId xmlns:a16="http://schemas.microsoft.com/office/drawing/2014/main" id="{89C2AB64-93D4-458F-A332-C3FD057A91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5" name="Elipse 5954">
          <a:extLst>
            <a:ext uri="{FF2B5EF4-FFF2-40B4-BE49-F238E27FC236}">
              <a16:creationId xmlns:a16="http://schemas.microsoft.com/office/drawing/2014/main" id="{2481504A-795D-41D2-A4C5-CE53A6C5C4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6" name="Elipse 5955">
          <a:extLst>
            <a:ext uri="{FF2B5EF4-FFF2-40B4-BE49-F238E27FC236}">
              <a16:creationId xmlns:a16="http://schemas.microsoft.com/office/drawing/2014/main" id="{33C85DD7-12A4-412C-926C-EF5BBD19AB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7" name="Elipse 5956">
          <a:extLst>
            <a:ext uri="{FF2B5EF4-FFF2-40B4-BE49-F238E27FC236}">
              <a16:creationId xmlns:a16="http://schemas.microsoft.com/office/drawing/2014/main" id="{0EA5B9C2-0092-4361-A8F9-D27AC1ADB8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8" name="Elipse 5957">
          <a:extLst>
            <a:ext uri="{FF2B5EF4-FFF2-40B4-BE49-F238E27FC236}">
              <a16:creationId xmlns:a16="http://schemas.microsoft.com/office/drawing/2014/main" id="{EBD4B69E-80E6-4D8A-927A-116E1767D8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9" name="Elipse 5958">
          <a:extLst>
            <a:ext uri="{FF2B5EF4-FFF2-40B4-BE49-F238E27FC236}">
              <a16:creationId xmlns:a16="http://schemas.microsoft.com/office/drawing/2014/main" id="{D4DF3066-D99C-402C-AA66-FBF6E79AD5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0" name="Elipse 5959">
          <a:extLst>
            <a:ext uri="{FF2B5EF4-FFF2-40B4-BE49-F238E27FC236}">
              <a16:creationId xmlns:a16="http://schemas.microsoft.com/office/drawing/2014/main" id="{6E41CDA8-9126-4890-A1C9-AE12CF55F4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1" name="Elipse 5960">
          <a:extLst>
            <a:ext uri="{FF2B5EF4-FFF2-40B4-BE49-F238E27FC236}">
              <a16:creationId xmlns:a16="http://schemas.microsoft.com/office/drawing/2014/main" id="{AEFED046-3E8E-4040-918B-3C26319D7B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2" name="Elipse 5961">
          <a:extLst>
            <a:ext uri="{FF2B5EF4-FFF2-40B4-BE49-F238E27FC236}">
              <a16:creationId xmlns:a16="http://schemas.microsoft.com/office/drawing/2014/main" id="{3E41D3E2-EDB6-4BE7-AD2F-354EE3BEA4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3" name="Elipse 5962">
          <a:extLst>
            <a:ext uri="{FF2B5EF4-FFF2-40B4-BE49-F238E27FC236}">
              <a16:creationId xmlns:a16="http://schemas.microsoft.com/office/drawing/2014/main" id="{F9C6C2D5-BEE5-4C2D-B0C3-E04FF92451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4" name="Elipse 5963">
          <a:extLst>
            <a:ext uri="{FF2B5EF4-FFF2-40B4-BE49-F238E27FC236}">
              <a16:creationId xmlns:a16="http://schemas.microsoft.com/office/drawing/2014/main" id="{6500CED7-8F34-4633-B217-AE522012AD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5" name="Elipse 5964">
          <a:extLst>
            <a:ext uri="{FF2B5EF4-FFF2-40B4-BE49-F238E27FC236}">
              <a16:creationId xmlns:a16="http://schemas.microsoft.com/office/drawing/2014/main" id="{3A092E10-2C0D-41D9-8B04-60FE2EBE02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6" name="Elipse 5965">
          <a:extLst>
            <a:ext uri="{FF2B5EF4-FFF2-40B4-BE49-F238E27FC236}">
              <a16:creationId xmlns:a16="http://schemas.microsoft.com/office/drawing/2014/main" id="{F8FAC594-8130-40D0-8028-07C4C40FEB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7" name="Elipse 5966">
          <a:extLst>
            <a:ext uri="{FF2B5EF4-FFF2-40B4-BE49-F238E27FC236}">
              <a16:creationId xmlns:a16="http://schemas.microsoft.com/office/drawing/2014/main" id="{37B395C1-6916-4EE7-85C5-43E3942E3D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8" name="Elipse 5967">
          <a:extLst>
            <a:ext uri="{FF2B5EF4-FFF2-40B4-BE49-F238E27FC236}">
              <a16:creationId xmlns:a16="http://schemas.microsoft.com/office/drawing/2014/main" id="{10C6C73D-21FC-4605-9B75-CEA14357D4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9" name="Elipse 5968">
          <a:extLst>
            <a:ext uri="{FF2B5EF4-FFF2-40B4-BE49-F238E27FC236}">
              <a16:creationId xmlns:a16="http://schemas.microsoft.com/office/drawing/2014/main" id="{BC03B15A-F7B0-4A3F-8255-B505366094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0" name="Elipse 5969">
          <a:extLst>
            <a:ext uri="{FF2B5EF4-FFF2-40B4-BE49-F238E27FC236}">
              <a16:creationId xmlns:a16="http://schemas.microsoft.com/office/drawing/2014/main" id="{6E0E5B8D-C843-4A46-9F01-57CA11FD15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1" name="Elipse 5970">
          <a:extLst>
            <a:ext uri="{FF2B5EF4-FFF2-40B4-BE49-F238E27FC236}">
              <a16:creationId xmlns:a16="http://schemas.microsoft.com/office/drawing/2014/main" id="{0AC7B0B7-D804-4081-824E-F4592C0818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2" name="Elipse 5971">
          <a:extLst>
            <a:ext uri="{FF2B5EF4-FFF2-40B4-BE49-F238E27FC236}">
              <a16:creationId xmlns:a16="http://schemas.microsoft.com/office/drawing/2014/main" id="{2423CDB3-AFAB-406D-B1FB-4446FF9DB2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3" name="Elipse 5972">
          <a:extLst>
            <a:ext uri="{FF2B5EF4-FFF2-40B4-BE49-F238E27FC236}">
              <a16:creationId xmlns:a16="http://schemas.microsoft.com/office/drawing/2014/main" id="{B2D2BDB3-0A1D-4647-B8E8-420355C4E9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4" name="Elipse 5973">
          <a:extLst>
            <a:ext uri="{FF2B5EF4-FFF2-40B4-BE49-F238E27FC236}">
              <a16:creationId xmlns:a16="http://schemas.microsoft.com/office/drawing/2014/main" id="{E9DC37A0-3353-4EEA-99D0-F75897CDA3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5" name="Elipse 5974">
          <a:extLst>
            <a:ext uri="{FF2B5EF4-FFF2-40B4-BE49-F238E27FC236}">
              <a16:creationId xmlns:a16="http://schemas.microsoft.com/office/drawing/2014/main" id="{F5EB5E05-1F95-496C-A631-F0B6063822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6" name="Elipse 5975">
          <a:extLst>
            <a:ext uri="{FF2B5EF4-FFF2-40B4-BE49-F238E27FC236}">
              <a16:creationId xmlns:a16="http://schemas.microsoft.com/office/drawing/2014/main" id="{57B45F6F-FF3C-491E-BC79-7F144753AE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7" name="Elipse 5976">
          <a:extLst>
            <a:ext uri="{FF2B5EF4-FFF2-40B4-BE49-F238E27FC236}">
              <a16:creationId xmlns:a16="http://schemas.microsoft.com/office/drawing/2014/main" id="{D2EFB514-05F7-4094-99D4-3BF861256E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8" name="Elipse 5977">
          <a:extLst>
            <a:ext uri="{FF2B5EF4-FFF2-40B4-BE49-F238E27FC236}">
              <a16:creationId xmlns:a16="http://schemas.microsoft.com/office/drawing/2014/main" id="{AC3283F5-D973-408D-A761-FFF95BDAC4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9" name="Elipse 5978">
          <a:extLst>
            <a:ext uri="{FF2B5EF4-FFF2-40B4-BE49-F238E27FC236}">
              <a16:creationId xmlns:a16="http://schemas.microsoft.com/office/drawing/2014/main" id="{1BF01324-A00A-4F25-9D09-3720868638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0" name="Elipse 5979">
          <a:extLst>
            <a:ext uri="{FF2B5EF4-FFF2-40B4-BE49-F238E27FC236}">
              <a16:creationId xmlns:a16="http://schemas.microsoft.com/office/drawing/2014/main" id="{14BADD71-8EE9-4D9B-91F5-2A6D5FED2E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1" name="Elipse 5980">
          <a:extLst>
            <a:ext uri="{FF2B5EF4-FFF2-40B4-BE49-F238E27FC236}">
              <a16:creationId xmlns:a16="http://schemas.microsoft.com/office/drawing/2014/main" id="{8340E075-1B58-4C43-AA32-81312E8809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2" name="Elipse 5981">
          <a:extLst>
            <a:ext uri="{FF2B5EF4-FFF2-40B4-BE49-F238E27FC236}">
              <a16:creationId xmlns:a16="http://schemas.microsoft.com/office/drawing/2014/main" id="{8F542D62-FD74-4A22-A132-69B50471D5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3" name="Elipse 5982">
          <a:extLst>
            <a:ext uri="{FF2B5EF4-FFF2-40B4-BE49-F238E27FC236}">
              <a16:creationId xmlns:a16="http://schemas.microsoft.com/office/drawing/2014/main" id="{C0AB622E-ABAE-4752-9934-D275062672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4" name="Elipse 5983">
          <a:extLst>
            <a:ext uri="{FF2B5EF4-FFF2-40B4-BE49-F238E27FC236}">
              <a16:creationId xmlns:a16="http://schemas.microsoft.com/office/drawing/2014/main" id="{581B9E91-A05C-4885-857B-0319A54F67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5" name="Elipse 5984">
          <a:extLst>
            <a:ext uri="{FF2B5EF4-FFF2-40B4-BE49-F238E27FC236}">
              <a16:creationId xmlns:a16="http://schemas.microsoft.com/office/drawing/2014/main" id="{FB88C1E4-0D47-4F1E-B32A-D20EFDC94C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6" name="Elipse 5985">
          <a:extLst>
            <a:ext uri="{FF2B5EF4-FFF2-40B4-BE49-F238E27FC236}">
              <a16:creationId xmlns:a16="http://schemas.microsoft.com/office/drawing/2014/main" id="{E7E0DB19-B209-4C72-840F-10DEAC4F5C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7" name="Elipse 5986">
          <a:extLst>
            <a:ext uri="{FF2B5EF4-FFF2-40B4-BE49-F238E27FC236}">
              <a16:creationId xmlns:a16="http://schemas.microsoft.com/office/drawing/2014/main" id="{E7032836-44E2-4D39-97F9-FDECA868FD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8" name="Elipse 5987">
          <a:extLst>
            <a:ext uri="{FF2B5EF4-FFF2-40B4-BE49-F238E27FC236}">
              <a16:creationId xmlns:a16="http://schemas.microsoft.com/office/drawing/2014/main" id="{B59502B4-D9D7-413C-B05E-466D67E0E7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9" name="Elipse 5988">
          <a:extLst>
            <a:ext uri="{FF2B5EF4-FFF2-40B4-BE49-F238E27FC236}">
              <a16:creationId xmlns:a16="http://schemas.microsoft.com/office/drawing/2014/main" id="{88B53793-CB7F-411E-8A28-286A55364B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0" name="Elipse 5989">
          <a:extLst>
            <a:ext uri="{FF2B5EF4-FFF2-40B4-BE49-F238E27FC236}">
              <a16:creationId xmlns:a16="http://schemas.microsoft.com/office/drawing/2014/main" id="{23EB8240-5293-4B13-B090-EF65334C7E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1" name="Elipse 5990">
          <a:extLst>
            <a:ext uri="{FF2B5EF4-FFF2-40B4-BE49-F238E27FC236}">
              <a16:creationId xmlns:a16="http://schemas.microsoft.com/office/drawing/2014/main" id="{3F6E7C08-0977-484C-ABE6-C2554C6FC7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2" name="Elipse 5991">
          <a:extLst>
            <a:ext uri="{FF2B5EF4-FFF2-40B4-BE49-F238E27FC236}">
              <a16:creationId xmlns:a16="http://schemas.microsoft.com/office/drawing/2014/main" id="{45E2E7E8-C662-458E-A6AA-46F5E6B159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3" name="Elipse 5992">
          <a:extLst>
            <a:ext uri="{FF2B5EF4-FFF2-40B4-BE49-F238E27FC236}">
              <a16:creationId xmlns:a16="http://schemas.microsoft.com/office/drawing/2014/main" id="{8C853B5B-FD57-4A69-996A-6E0A12B1D5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4" name="Elipse 5993">
          <a:extLst>
            <a:ext uri="{FF2B5EF4-FFF2-40B4-BE49-F238E27FC236}">
              <a16:creationId xmlns:a16="http://schemas.microsoft.com/office/drawing/2014/main" id="{73A5D6B2-A077-4AD3-96FE-A8196F1B16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5" name="Elipse 5994">
          <a:extLst>
            <a:ext uri="{FF2B5EF4-FFF2-40B4-BE49-F238E27FC236}">
              <a16:creationId xmlns:a16="http://schemas.microsoft.com/office/drawing/2014/main" id="{D3232144-475D-4F1A-B2DA-4E6CDF8988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6" name="Elipse 5995">
          <a:extLst>
            <a:ext uri="{FF2B5EF4-FFF2-40B4-BE49-F238E27FC236}">
              <a16:creationId xmlns:a16="http://schemas.microsoft.com/office/drawing/2014/main" id="{94500D8F-808D-4CDA-8F40-74D8682984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7" name="Elipse 5996">
          <a:extLst>
            <a:ext uri="{FF2B5EF4-FFF2-40B4-BE49-F238E27FC236}">
              <a16:creationId xmlns:a16="http://schemas.microsoft.com/office/drawing/2014/main" id="{03F97A19-015F-4E18-8638-A76D573F20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8" name="Elipse 5997">
          <a:extLst>
            <a:ext uri="{FF2B5EF4-FFF2-40B4-BE49-F238E27FC236}">
              <a16:creationId xmlns:a16="http://schemas.microsoft.com/office/drawing/2014/main" id="{D1BDDF86-65A0-41A9-8666-31C931D3AF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9" name="Elipse 5998">
          <a:extLst>
            <a:ext uri="{FF2B5EF4-FFF2-40B4-BE49-F238E27FC236}">
              <a16:creationId xmlns:a16="http://schemas.microsoft.com/office/drawing/2014/main" id="{1F1EDC75-4019-4E3A-AA70-E938F7C385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0" name="Elipse 5999">
          <a:extLst>
            <a:ext uri="{FF2B5EF4-FFF2-40B4-BE49-F238E27FC236}">
              <a16:creationId xmlns:a16="http://schemas.microsoft.com/office/drawing/2014/main" id="{EB742153-D6CD-49E4-B05D-7E257B0B4B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1" name="Elipse 6000">
          <a:extLst>
            <a:ext uri="{FF2B5EF4-FFF2-40B4-BE49-F238E27FC236}">
              <a16:creationId xmlns:a16="http://schemas.microsoft.com/office/drawing/2014/main" id="{6BAE382B-B9C1-4B5D-B07B-C5E52F851C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2" name="Elipse 6001">
          <a:extLst>
            <a:ext uri="{FF2B5EF4-FFF2-40B4-BE49-F238E27FC236}">
              <a16:creationId xmlns:a16="http://schemas.microsoft.com/office/drawing/2014/main" id="{79F7B23B-BA8B-4DE8-8B8A-7C41A8D4A4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3" name="Elipse 6002">
          <a:extLst>
            <a:ext uri="{FF2B5EF4-FFF2-40B4-BE49-F238E27FC236}">
              <a16:creationId xmlns:a16="http://schemas.microsoft.com/office/drawing/2014/main" id="{1B505633-18E0-4466-A82A-B959745E4A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4" name="Elipse 6003">
          <a:extLst>
            <a:ext uri="{FF2B5EF4-FFF2-40B4-BE49-F238E27FC236}">
              <a16:creationId xmlns:a16="http://schemas.microsoft.com/office/drawing/2014/main" id="{E3B7F1E5-1B78-474C-9F07-B1DF6E8EB7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5" name="Elipse 6004">
          <a:extLst>
            <a:ext uri="{FF2B5EF4-FFF2-40B4-BE49-F238E27FC236}">
              <a16:creationId xmlns:a16="http://schemas.microsoft.com/office/drawing/2014/main" id="{80FCCCBA-3A0E-4AAB-9B23-83C4FD297E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6" name="Elipse 6005">
          <a:extLst>
            <a:ext uri="{FF2B5EF4-FFF2-40B4-BE49-F238E27FC236}">
              <a16:creationId xmlns:a16="http://schemas.microsoft.com/office/drawing/2014/main" id="{23762278-FA66-483E-B6A5-833BCC232C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7" name="Elipse 6006">
          <a:extLst>
            <a:ext uri="{FF2B5EF4-FFF2-40B4-BE49-F238E27FC236}">
              <a16:creationId xmlns:a16="http://schemas.microsoft.com/office/drawing/2014/main" id="{B8D9C348-B07F-49D6-88F9-1AE1ABCC35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8" name="Elipse 6007">
          <a:extLst>
            <a:ext uri="{FF2B5EF4-FFF2-40B4-BE49-F238E27FC236}">
              <a16:creationId xmlns:a16="http://schemas.microsoft.com/office/drawing/2014/main" id="{D1D82023-FA64-4A1C-B876-509C0F25B4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9" name="Elipse 6008">
          <a:extLst>
            <a:ext uri="{FF2B5EF4-FFF2-40B4-BE49-F238E27FC236}">
              <a16:creationId xmlns:a16="http://schemas.microsoft.com/office/drawing/2014/main" id="{1BD4EB25-22AF-43EF-B38C-7B1B42AF75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0" name="Elipse 6009">
          <a:extLst>
            <a:ext uri="{FF2B5EF4-FFF2-40B4-BE49-F238E27FC236}">
              <a16:creationId xmlns:a16="http://schemas.microsoft.com/office/drawing/2014/main" id="{AEB679A3-5DC7-464B-BAC2-F1E0C774CF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1" name="Elipse 6010">
          <a:extLst>
            <a:ext uri="{FF2B5EF4-FFF2-40B4-BE49-F238E27FC236}">
              <a16:creationId xmlns:a16="http://schemas.microsoft.com/office/drawing/2014/main" id="{EB75D827-28AD-4985-802B-4E5FECDA16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2" name="Elipse 6011">
          <a:extLst>
            <a:ext uri="{FF2B5EF4-FFF2-40B4-BE49-F238E27FC236}">
              <a16:creationId xmlns:a16="http://schemas.microsoft.com/office/drawing/2014/main" id="{353B0229-21C0-472C-A649-5B4DF573F3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3" name="Elipse 6012">
          <a:extLst>
            <a:ext uri="{FF2B5EF4-FFF2-40B4-BE49-F238E27FC236}">
              <a16:creationId xmlns:a16="http://schemas.microsoft.com/office/drawing/2014/main" id="{9DE30A94-6068-4413-B350-2595106219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4" name="Elipse 6013">
          <a:extLst>
            <a:ext uri="{FF2B5EF4-FFF2-40B4-BE49-F238E27FC236}">
              <a16:creationId xmlns:a16="http://schemas.microsoft.com/office/drawing/2014/main" id="{4DD739CD-5173-4BA9-9321-DEB0C8F7EC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5" name="Elipse 6014">
          <a:extLst>
            <a:ext uri="{FF2B5EF4-FFF2-40B4-BE49-F238E27FC236}">
              <a16:creationId xmlns:a16="http://schemas.microsoft.com/office/drawing/2014/main" id="{7272CA6C-0038-4E95-8F08-4FBD88DD56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6" name="Elipse 6015">
          <a:extLst>
            <a:ext uri="{FF2B5EF4-FFF2-40B4-BE49-F238E27FC236}">
              <a16:creationId xmlns:a16="http://schemas.microsoft.com/office/drawing/2014/main" id="{06FB844F-29DE-4CC8-B604-ACCE295B15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7" name="Elipse 6016">
          <a:extLst>
            <a:ext uri="{FF2B5EF4-FFF2-40B4-BE49-F238E27FC236}">
              <a16:creationId xmlns:a16="http://schemas.microsoft.com/office/drawing/2014/main" id="{34C71E98-5B22-408D-A993-3CAB2CC4CD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8" name="Elipse 6017">
          <a:extLst>
            <a:ext uri="{FF2B5EF4-FFF2-40B4-BE49-F238E27FC236}">
              <a16:creationId xmlns:a16="http://schemas.microsoft.com/office/drawing/2014/main" id="{D9E492C0-B12F-461C-B249-2EAE2340CE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9" name="Elipse 6018">
          <a:extLst>
            <a:ext uri="{FF2B5EF4-FFF2-40B4-BE49-F238E27FC236}">
              <a16:creationId xmlns:a16="http://schemas.microsoft.com/office/drawing/2014/main" id="{B31388A6-8667-489E-80DC-7FA09F09B7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0" name="Elipse 6019">
          <a:extLst>
            <a:ext uri="{FF2B5EF4-FFF2-40B4-BE49-F238E27FC236}">
              <a16:creationId xmlns:a16="http://schemas.microsoft.com/office/drawing/2014/main" id="{5A48DAE3-C10F-4394-94D3-21A98FA956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1" name="Elipse 6020">
          <a:extLst>
            <a:ext uri="{FF2B5EF4-FFF2-40B4-BE49-F238E27FC236}">
              <a16:creationId xmlns:a16="http://schemas.microsoft.com/office/drawing/2014/main" id="{D5D22A71-AD05-41B4-AA3B-6D87415D18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2" name="Elipse 6021">
          <a:extLst>
            <a:ext uri="{FF2B5EF4-FFF2-40B4-BE49-F238E27FC236}">
              <a16:creationId xmlns:a16="http://schemas.microsoft.com/office/drawing/2014/main" id="{33F9E803-7B64-4E50-AC1D-CDC8405630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3" name="Elipse 6022">
          <a:extLst>
            <a:ext uri="{FF2B5EF4-FFF2-40B4-BE49-F238E27FC236}">
              <a16:creationId xmlns:a16="http://schemas.microsoft.com/office/drawing/2014/main" id="{2D6DC328-C033-4A10-9312-AB30445597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4" name="Elipse 6023">
          <a:extLst>
            <a:ext uri="{FF2B5EF4-FFF2-40B4-BE49-F238E27FC236}">
              <a16:creationId xmlns:a16="http://schemas.microsoft.com/office/drawing/2014/main" id="{8BBB97B6-9FE4-46DA-8743-B5C5198176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5" name="Elipse 6024">
          <a:extLst>
            <a:ext uri="{FF2B5EF4-FFF2-40B4-BE49-F238E27FC236}">
              <a16:creationId xmlns:a16="http://schemas.microsoft.com/office/drawing/2014/main" id="{AEBBA4BB-10F5-48BA-B1E8-146590FDB8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6" name="Elipse 6025">
          <a:extLst>
            <a:ext uri="{FF2B5EF4-FFF2-40B4-BE49-F238E27FC236}">
              <a16:creationId xmlns:a16="http://schemas.microsoft.com/office/drawing/2014/main" id="{21D98BBE-7AAD-4117-95F8-B193BE9A4E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7" name="Elipse 6026">
          <a:extLst>
            <a:ext uri="{FF2B5EF4-FFF2-40B4-BE49-F238E27FC236}">
              <a16:creationId xmlns:a16="http://schemas.microsoft.com/office/drawing/2014/main" id="{168B68F0-1166-4F1A-BC00-EB1E96C0CC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8" name="Elipse 6027">
          <a:extLst>
            <a:ext uri="{FF2B5EF4-FFF2-40B4-BE49-F238E27FC236}">
              <a16:creationId xmlns:a16="http://schemas.microsoft.com/office/drawing/2014/main" id="{10A9BE46-C85E-4A61-A489-812B6553E3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9" name="Elipse 6028">
          <a:extLst>
            <a:ext uri="{FF2B5EF4-FFF2-40B4-BE49-F238E27FC236}">
              <a16:creationId xmlns:a16="http://schemas.microsoft.com/office/drawing/2014/main" id="{4D1C3631-15F4-455D-AFC5-5B3DFCA2DF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0" name="Elipse 6029">
          <a:extLst>
            <a:ext uri="{FF2B5EF4-FFF2-40B4-BE49-F238E27FC236}">
              <a16:creationId xmlns:a16="http://schemas.microsoft.com/office/drawing/2014/main" id="{A9CA2DB4-99EB-4A77-B6B5-073C81F819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1" name="Elipse 6030">
          <a:extLst>
            <a:ext uri="{FF2B5EF4-FFF2-40B4-BE49-F238E27FC236}">
              <a16:creationId xmlns:a16="http://schemas.microsoft.com/office/drawing/2014/main" id="{134BC023-4D4E-4A0C-82CC-4507094F9E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2" name="Elipse 6031">
          <a:extLst>
            <a:ext uri="{FF2B5EF4-FFF2-40B4-BE49-F238E27FC236}">
              <a16:creationId xmlns:a16="http://schemas.microsoft.com/office/drawing/2014/main" id="{6CF0A8DA-14C9-45D8-AC4B-97A67A4EE1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3" name="Elipse 6032">
          <a:extLst>
            <a:ext uri="{FF2B5EF4-FFF2-40B4-BE49-F238E27FC236}">
              <a16:creationId xmlns:a16="http://schemas.microsoft.com/office/drawing/2014/main" id="{535E33D0-9E1C-4E5E-866F-2E1FF9E21C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4" name="Elipse 6033">
          <a:extLst>
            <a:ext uri="{FF2B5EF4-FFF2-40B4-BE49-F238E27FC236}">
              <a16:creationId xmlns:a16="http://schemas.microsoft.com/office/drawing/2014/main" id="{EECCCF78-343B-4470-98B0-9186D15845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5" name="Elipse 6034">
          <a:extLst>
            <a:ext uri="{FF2B5EF4-FFF2-40B4-BE49-F238E27FC236}">
              <a16:creationId xmlns:a16="http://schemas.microsoft.com/office/drawing/2014/main" id="{6DD8F85A-3D23-47A1-A7B4-7D46F1D064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6" name="Elipse 6035">
          <a:extLst>
            <a:ext uri="{FF2B5EF4-FFF2-40B4-BE49-F238E27FC236}">
              <a16:creationId xmlns:a16="http://schemas.microsoft.com/office/drawing/2014/main" id="{6317F289-CA8C-4B48-9158-0758E7DB83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7" name="Elipse 6036">
          <a:extLst>
            <a:ext uri="{FF2B5EF4-FFF2-40B4-BE49-F238E27FC236}">
              <a16:creationId xmlns:a16="http://schemas.microsoft.com/office/drawing/2014/main" id="{D086A47B-301F-49A1-941C-547B460C69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8" name="Elipse 6037">
          <a:extLst>
            <a:ext uri="{FF2B5EF4-FFF2-40B4-BE49-F238E27FC236}">
              <a16:creationId xmlns:a16="http://schemas.microsoft.com/office/drawing/2014/main" id="{619D62AA-0727-48DC-B9F8-738BE087E3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9" name="Elipse 6038">
          <a:extLst>
            <a:ext uri="{FF2B5EF4-FFF2-40B4-BE49-F238E27FC236}">
              <a16:creationId xmlns:a16="http://schemas.microsoft.com/office/drawing/2014/main" id="{E8565BD1-3337-4FE4-B7A2-D9E24F5B82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0" name="Elipse 6039">
          <a:extLst>
            <a:ext uri="{FF2B5EF4-FFF2-40B4-BE49-F238E27FC236}">
              <a16:creationId xmlns:a16="http://schemas.microsoft.com/office/drawing/2014/main" id="{09783028-C183-44AC-8887-13607FE8ED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1" name="Elipse 6040">
          <a:extLst>
            <a:ext uri="{FF2B5EF4-FFF2-40B4-BE49-F238E27FC236}">
              <a16:creationId xmlns:a16="http://schemas.microsoft.com/office/drawing/2014/main" id="{B0BFC7B1-CFAE-4B7F-BCC6-268C6292E0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2" name="Elipse 6041">
          <a:extLst>
            <a:ext uri="{FF2B5EF4-FFF2-40B4-BE49-F238E27FC236}">
              <a16:creationId xmlns:a16="http://schemas.microsoft.com/office/drawing/2014/main" id="{8F933372-9FAE-43BF-9DBF-918F647ED7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3" name="Elipse 6042">
          <a:extLst>
            <a:ext uri="{FF2B5EF4-FFF2-40B4-BE49-F238E27FC236}">
              <a16:creationId xmlns:a16="http://schemas.microsoft.com/office/drawing/2014/main" id="{DBC141EF-8E23-4A9B-9C69-97BAC24A37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4" name="Elipse 6043">
          <a:extLst>
            <a:ext uri="{FF2B5EF4-FFF2-40B4-BE49-F238E27FC236}">
              <a16:creationId xmlns:a16="http://schemas.microsoft.com/office/drawing/2014/main" id="{F0EB59D8-1946-498C-ADC0-CE45BE4922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5" name="Elipse 6044">
          <a:extLst>
            <a:ext uri="{FF2B5EF4-FFF2-40B4-BE49-F238E27FC236}">
              <a16:creationId xmlns:a16="http://schemas.microsoft.com/office/drawing/2014/main" id="{A40EBC86-993D-4461-A254-1BE280FB5A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6" name="Elipse 6045">
          <a:extLst>
            <a:ext uri="{FF2B5EF4-FFF2-40B4-BE49-F238E27FC236}">
              <a16:creationId xmlns:a16="http://schemas.microsoft.com/office/drawing/2014/main" id="{01ABCB41-5783-4BA6-AB2C-9B1DEEEC82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7" name="Elipse 6046">
          <a:extLst>
            <a:ext uri="{FF2B5EF4-FFF2-40B4-BE49-F238E27FC236}">
              <a16:creationId xmlns:a16="http://schemas.microsoft.com/office/drawing/2014/main" id="{0F9E7E2E-2BB2-403F-B62C-9C9FC2AEA0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8" name="Elipse 6047">
          <a:extLst>
            <a:ext uri="{FF2B5EF4-FFF2-40B4-BE49-F238E27FC236}">
              <a16:creationId xmlns:a16="http://schemas.microsoft.com/office/drawing/2014/main" id="{37F4AA92-703C-48A0-8F3E-9CF0C793F2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9" name="Elipse 6048">
          <a:extLst>
            <a:ext uri="{FF2B5EF4-FFF2-40B4-BE49-F238E27FC236}">
              <a16:creationId xmlns:a16="http://schemas.microsoft.com/office/drawing/2014/main" id="{96F6D922-BCB6-4D6D-A4E5-36C3CF8877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0" name="Elipse 6049">
          <a:extLst>
            <a:ext uri="{FF2B5EF4-FFF2-40B4-BE49-F238E27FC236}">
              <a16:creationId xmlns:a16="http://schemas.microsoft.com/office/drawing/2014/main" id="{8C779036-E1DB-4C72-8986-DC770182B3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1" name="Elipse 6050">
          <a:extLst>
            <a:ext uri="{FF2B5EF4-FFF2-40B4-BE49-F238E27FC236}">
              <a16:creationId xmlns:a16="http://schemas.microsoft.com/office/drawing/2014/main" id="{3B444779-6330-4410-BE9A-46EA076E41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2" name="Elipse 6051">
          <a:extLst>
            <a:ext uri="{FF2B5EF4-FFF2-40B4-BE49-F238E27FC236}">
              <a16:creationId xmlns:a16="http://schemas.microsoft.com/office/drawing/2014/main" id="{9420D5E5-98FC-426C-84EE-BF9816137D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3" name="Elipse 6052">
          <a:extLst>
            <a:ext uri="{FF2B5EF4-FFF2-40B4-BE49-F238E27FC236}">
              <a16:creationId xmlns:a16="http://schemas.microsoft.com/office/drawing/2014/main" id="{A213B064-7579-4769-B894-13A4A0C326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4" name="Elipse 6053">
          <a:extLst>
            <a:ext uri="{FF2B5EF4-FFF2-40B4-BE49-F238E27FC236}">
              <a16:creationId xmlns:a16="http://schemas.microsoft.com/office/drawing/2014/main" id="{F1722276-31B3-4048-AE8A-50CA0DFEF2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5" name="Elipse 6054">
          <a:extLst>
            <a:ext uri="{FF2B5EF4-FFF2-40B4-BE49-F238E27FC236}">
              <a16:creationId xmlns:a16="http://schemas.microsoft.com/office/drawing/2014/main" id="{F70B25CE-D685-4E7E-82D6-C702D42936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6" name="Elipse 6055">
          <a:extLst>
            <a:ext uri="{FF2B5EF4-FFF2-40B4-BE49-F238E27FC236}">
              <a16:creationId xmlns:a16="http://schemas.microsoft.com/office/drawing/2014/main" id="{7EF663A5-72BE-432D-9BB1-ECA5AD0F58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7" name="Elipse 6056">
          <a:extLst>
            <a:ext uri="{FF2B5EF4-FFF2-40B4-BE49-F238E27FC236}">
              <a16:creationId xmlns:a16="http://schemas.microsoft.com/office/drawing/2014/main" id="{D7F4E1A8-44FE-4D58-A4F7-A5EC447DA1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8" name="Elipse 6057">
          <a:extLst>
            <a:ext uri="{FF2B5EF4-FFF2-40B4-BE49-F238E27FC236}">
              <a16:creationId xmlns:a16="http://schemas.microsoft.com/office/drawing/2014/main" id="{61C85392-EB39-4E46-AAF6-89E80FF418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9" name="Elipse 6058">
          <a:extLst>
            <a:ext uri="{FF2B5EF4-FFF2-40B4-BE49-F238E27FC236}">
              <a16:creationId xmlns:a16="http://schemas.microsoft.com/office/drawing/2014/main" id="{505CC551-B89B-4F03-8EFA-8018ABE31E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0" name="Elipse 6059">
          <a:extLst>
            <a:ext uri="{FF2B5EF4-FFF2-40B4-BE49-F238E27FC236}">
              <a16:creationId xmlns:a16="http://schemas.microsoft.com/office/drawing/2014/main" id="{A6763E66-3383-43FB-AFAC-6EE650F3DB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1" name="Elipse 6060">
          <a:extLst>
            <a:ext uri="{FF2B5EF4-FFF2-40B4-BE49-F238E27FC236}">
              <a16:creationId xmlns:a16="http://schemas.microsoft.com/office/drawing/2014/main" id="{F1AF8358-239F-4913-94BC-FD47143A37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2" name="Elipse 6061">
          <a:extLst>
            <a:ext uri="{FF2B5EF4-FFF2-40B4-BE49-F238E27FC236}">
              <a16:creationId xmlns:a16="http://schemas.microsoft.com/office/drawing/2014/main" id="{2301C0E4-9C14-4C3E-B222-C0D8492E7A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3" name="Elipse 6062">
          <a:extLst>
            <a:ext uri="{FF2B5EF4-FFF2-40B4-BE49-F238E27FC236}">
              <a16:creationId xmlns:a16="http://schemas.microsoft.com/office/drawing/2014/main" id="{15960A68-D324-4F48-AAD8-24CBE68AF5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4" name="Elipse 6063">
          <a:extLst>
            <a:ext uri="{FF2B5EF4-FFF2-40B4-BE49-F238E27FC236}">
              <a16:creationId xmlns:a16="http://schemas.microsoft.com/office/drawing/2014/main" id="{8643B93E-0E30-4AA4-9809-236CBF8170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5" name="Elipse 6064">
          <a:extLst>
            <a:ext uri="{FF2B5EF4-FFF2-40B4-BE49-F238E27FC236}">
              <a16:creationId xmlns:a16="http://schemas.microsoft.com/office/drawing/2014/main" id="{6962CB47-0103-4C1C-AFB7-433EB24EBB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6" name="Elipse 6065">
          <a:extLst>
            <a:ext uri="{FF2B5EF4-FFF2-40B4-BE49-F238E27FC236}">
              <a16:creationId xmlns:a16="http://schemas.microsoft.com/office/drawing/2014/main" id="{A0677788-AA92-42AE-897B-6D4AF716F1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7" name="Elipse 6066">
          <a:extLst>
            <a:ext uri="{FF2B5EF4-FFF2-40B4-BE49-F238E27FC236}">
              <a16:creationId xmlns:a16="http://schemas.microsoft.com/office/drawing/2014/main" id="{B09981CC-BFAD-482D-B999-38C7FC4EAA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8" name="Elipse 6067">
          <a:extLst>
            <a:ext uri="{FF2B5EF4-FFF2-40B4-BE49-F238E27FC236}">
              <a16:creationId xmlns:a16="http://schemas.microsoft.com/office/drawing/2014/main" id="{3748F4BB-B7B7-4DAB-86B8-7E0803E479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9" name="Elipse 6068">
          <a:extLst>
            <a:ext uri="{FF2B5EF4-FFF2-40B4-BE49-F238E27FC236}">
              <a16:creationId xmlns:a16="http://schemas.microsoft.com/office/drawing/2014/main" id="{3D4051AE-56B7-46A8-93D6-C6A1453DB8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0" name="Elipse 6069">
          <a:extLst>
            <a:ext uri="{FF2B5EF4-FFF2-40B4-BE49-F238E27FC236}">
              <a16:creationId xmlns:a16="http://schemas.microsoft.com/office/drawing/2014/main" id="{A2893E3C-26B0-493C-9325-D9E4A94C1C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1" name="Elipse 6070">
          <a:extLst>
            <a:ext uri="{FF2B5EF4-FFF2-40B4-BE49-F238E27FC236}">
              <a16:creationId xmlns:a16="http://schemas.microsoft.com/office/drawing/2014/main" id="{B7453666-9488-4006-8FCE-079E72E218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2" name="Elipse 6071">
          <a:extLst>
            <a:ext uri="{FF2B5EF4-FFF2-40B4-BE49-F238E27FC236}">
              <a16:creationId xmlns:a16="http://schemas.microsoft.com/office/drawing/2014/main" id="{505B70D8-210B-4BD9-ABE8-A43A8A05A3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3" name="Elipse 6072">
          <a:extLst>
            <a:ext uri="{FF2B5EF4-FFF2-40B4-BE49-F238E27FC236}">
              <a16:creationId xmlns:a16="http://schemas.microsoft.com/office/drawing/2014/main" id="{B622B18E-5A2B-44B4-A1A1-3461E45782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4" name="Elipse 6073">
          <a:extLst>
            <a:ext uri="{FF2B5EF4-FFF2-40B4-BE49-F238E27FC236}">
              <a16:creationId xmlns:a16="http://schemas.microsoft.com/office/drawing/2014/main" id="{3FE4425C-AD96-4F1C-BC67-EAE29CE134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5" name="Elipse 6074">
          <a:extLst>
            <a:ext uri="{FF2B5EF4-FFF2-40B4-BE49-F238E27FC236}">
              <a16:creationId xmlns:a16="http://schemas.microsoft.com/office/drawing/2014/main" id="{E0827595-44FC-4E38-8B85-C59271FC39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6" name="Elipse 6075">
          <a:extLst>
            <a:ext uri="{FF2B5EF4-FFF2-40B4-BE49-F238E27FC236}">
              <a16:creationId xmlns:a16="http://schemas.microsoft.com/office/drawing/2014/main" id="{D8E5923C-993E-42E8-97DE-39AB2F3E68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7" name="Elipse 6076">
          <a:extLst>
            <a:ext uri="{FF2B5EF4-FFF2-40B4-BE49-F238E27FC236}">
              <a16:creationId xmlns:a16="http://schemas.microsoft.com/office/drawing/2014/main" id="{F95B4A3B-4FA3-41CD-A672-8E3F4F2992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8" name="Elipse 6077">
          <a:extLst>
            <a:ext uri="{FF2B5EF4-FFF2-40B4-BE49-F238E27FC236}">
              <a16:creationId xmlns:a16="http://schemas.microsoft.com/office/drawing/2014/main" id="{AE9BB886-0E24-48E8-945C-69726560BE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9" name="Elipse 6078">
          <a:extLst>
            <a:ext uri="{FF2B5EF4-FFF2-40B4-BE49-F238E27FC236}">
              <a16:creationId xmlns:a16="http://schemas.microsoft.com/office/drawing/2014/main" id="{8A9C2863-5518-4C2D-B82A-72FF3965AB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0" name="Elipse 6079">
          <a:extLst>
            <a:ext uri="{FF2B5EF4-FFF2-40B4-BE49-F238E27FC236}">
              <a16:creationId xmlns:a16="http://schemas.microsoft.com/office/drawing/2014/main" id="{D4E7C1CD-1468-4C98-A1B8-F052D922E0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1" name="Elipse 6080">
          <a:extLst>
            <a:ext uri="{FF2B5EF4-FFF2-40B4-BE49-F238E27FC236}">
              <a16:creationId xmlns:a16="http://schemas.microsoft.com/office/drawing/2014/main" id="{5329B1EC-8EF1-468A-9E20-2231EF2FB0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2" name="Elipse 6081">
          <a:extLst>
            <a:ext uri="{FF2B5EF4-FFF2-40B4-BE49-F238E27FC236}">
              <a16:creationId xmlns:a16="http://schemas.microsoft.com/office/drawing/2014/main" id="{C4FA551F-6DCC-4A49-88CB-81FF1A8CB4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3" name="Elipse 6082">
          <a:extLst>
            <a:ext uri="{FF2B5EF4-FFF2-40B4-BE49-F238E27FC236}">
              <a16:creationId xmlns:a16="http://schemas.microsoft.com/office/drawing/2014/main" id="{2CFFA972-B14C-492A-8391-1BC445087E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4" name="Elipse 6083">
          <a:extLst>
            <a:ext uri="{FF2B5EF4-FFF2-40B4-BE49-F238E27FC236}">
              <a16:creationId xmlns:a16="http://schemas.microsoft.com/office/drawing/2014/main" id="{7306D365-F266-4A1F-BF89-6AEEB671E3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5" name="Elipse 6084">
          <a:extLst>
            <a:ext uri="{FF2B5EF4-FFF2-40B4-BE49-F238E27FC236}">
              <a16:creationId xmlns:a16="http://schemas.microsoft.com/office/drawing/2014/main" id="{BFC9B64C-F4F8-4170-B2E1-34985258C3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6" name="Elipse 6085">
          <a:extLst>
            <a:ext uri="{FF2B5EF4-FFF2-40B4-BE49-F238E27FC236}">
              <a16:creationId xmlns:a16="http://schemas.microsoft.com/office/drawing/2014/main" id="{9069CDD5-842B-46C0-ADF2-517EB8C15A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7" name="Elipse 6086">
          <a:extLst>
            <a:ext uri="{FF2B5EF4-FFF2-40B4-BE49-F238E27FC236}">
              <a16:creationId xmlns:a16="http://schemas.microsoft.com/office/drawing/2014/main" id="{1BE8E8AD-9642-4726-A9E9-80C65E81A4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8" name="Elipse 6087">
          <a:extLst>
            <a:ext uri="{FF2B5EF4-FFF2-40B4-BE49-F238E27FC236}">
              <a16:creationId xmlns:a16="http://schemas.microsoft.com/office/drawing/2014/main" id="{0E0800FE-8CF0-48F3-A6D4-2DA2C7D298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9" name="Elipse 6088">
          <a:extLst>
            <a:ext uri="{FF2B5EF4-FFF2-40B4-BE49-F238E27FC236}">
              <a16:creationId xmlns:a16="http://schemas.microsoft.com/office/drawing/2014/main" id="{CB90377B-EA24-4E5F-A277-E8F4AC5DFD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0" name="Elipse 6089">
          <a:extLst>
            <a:ext uri="{FF2B5EF4-FFF2-40B4-BE49-F238E27FC236}">
              <a16:creationId xmlns:a16="http://schemas.microsoft.com/office/drawing/2014/main" id="{82530F9E-A970-4636-A8D3-4E38C7E2EF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1" name="Elipse 6090">
          <a:extLst>
            <a:ext uri="{FF2B5EF4-FFF2-40B4-BE49-F238E27FC236}">
              <a16:creationId xmlns:a16="http://schemas.microsoft.com/office/drawing/2014/main" id="{08D9FA5A-1CC0-474A-B0BD-C92985F021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2" name="Elipse 6091">
          <a:extLst>
            <a:ext uri="{FF2B5EF4-FFF2-40B4-BE49-F238E27FC236}">
              <a16:creationId xmlns:a16="http://schemas.microsoft.com/office/drawing/2014/main" id="{BF7ABC28-DE09-46EF-9E38-454F8E2164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3" name="Elipse 6092">
          <a:extLst>
            <a:ext uri="{FF2B5EF4-FFF2-40B4-BE49-F238E27FC236}">
              <a16:creationId xmlns:a16="http://schemas.microsoft.com/office/drawing/2014/main" id="{C929047B-6CB3-4416-B6C1-49FE6EA287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4" name="Elipse 6093">
          <a:extLst>
            <a:ext uri="{FF2B5EF4-FFF2-40B4-BE49-F238E27FC236}">
              <a16:creationId xmlns:a16="http://schemas.microsoft.com/office/drawing/2014/main" id="{C01E95A8-CE6B-4C9A-9826-405598407D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5" name="Elipse 6094">
          <a:extLst>
            <a:ext uri="{FF2B5EF4-FFF2-40B4-BE49-F238E27FC236}">
              <a16:creationId xmlns:a16="http://schemas.microsoft.com/office/drawing/2014/main" id="{02FA5FAE-553E-4B82-82AD-7027C185EC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6" name="Elipse 6095">
          <a:extLst>
            <a:ext uri="{FF2B5EF4-FFF2-40B4-BE49-F238E27FC236}">
              <a16:creationId xmlns:a16="http://schemas.microsoft.com/office/drawing/2014/main" id="{A34D7316-67B5-4162-9A91-1D25D1A6B3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7" name="Elipse 6096">
          <a:extLst>
            <a:ext uri="{FF2B5EF4-FFF2-40B4-BE49-F238E27FC236}">
              <a16:creationId xmlns:a16="http://schemas.microsoft.com/office/drawing/2014/main" id="{702272F1-58D3-4D53-841B-F23EEB9E16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8" name="Elipse 6097">
          <a:extLst>
            <a:ext uri="{FF2B5EF4-FFF2-40B4-BE49-F238E27FC236}">
              <a16:creationId xmlns:a16="http://schemas.microsoft.com/office/drawing/2014/main" id="{171E65CC-BA1C-4A60-A518-371C5B463A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9" name="Elipse 6098">
          <a:extLst>
            <a:ext uri="{FF2B5EF4-FFF2-40B4-BE49-F238E27FC236}">
              <a16:creationId xmlns:a16="http://schemas.microsoft.com/office/drawing/2014/main" id="{39568D32-D77F-4920-9C16-D5E25B2330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0" name="Elipse 6099">
          <a:extLst>
            <a:ext uri="{FF2B5EF4-FFF2-40B4-BE49-F238E27FC236}">
              <a16:creationId xmlns:a16="http://schemas.microsoft.com/office/drawing/2014/main" id="{545E288D-D6FF-4849-B91B-4DD9C6EEA1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1" name="Elipse 6100">
          <a:extLst>
            <a:ext uri="{FF2B5EF4-FFF2-40B4-BE49-F238E27FC236}">
              <a16:creationId xmlns:a16="http://schemas.microsoft.com/office/drawing/2014/main" id="{6A8F3F5F-6FE7-4EBD-8F29-4B3CE8984E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2" name="Elipse 6101">
          <a:extLst>
            <a:ext uri="{FF2B5EF4-FFF2-40B4-BE49-F238E27FC236}">
              <a16:creationId xmlns:a16="http://schemas.microsoft.com/office/drawing/2014/main" id="{9678680C-0424-4C81-8259-0A49D5C55F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3" name="Elipse 6102">
          <a:extLst>
            <a:ext uri="{FF2B5EF4-FFF2-40B4-BE49-F238E27FC236}">
              <a16:creationId xmlns:a16="http://schemas.microsoft.com/office/drawing/2014/main" id="{0F0671D7-D258-47F0-8147-78BAA04613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4" name="Elipse 6103">
          <a:extLst>
            <a:ext uri="{FF2B5EF4-FFF2-40B4-BE49-F238E27FC236}">
              <a16:creationId xmlns:a16="http://schemas.microsoft.com/office/drawing/2014/main" id="{929C693E-9B4E-4590-8F7D-77D62D4E27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5" name="Elipse 6104">
          <a:extLst>
            <a:ext uri="{FF2B5EF4-FFF2-40B4-BE49-F238E27FC236}">
              <a16:creationId xmlns:a16="http://schemas.microsoft.com/office/drawing/2014/main" id="{550EE771-6D9D-4279-8EE9-B2FED9DEE7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6" name="Elipse 6105">
          <a:extLst>
            <a:ext uri="{FF2B5EF4-FFF2-40B4-BE49-F238E27FC236}">
              <a16:creationId xmlns:a16="http://schemas.microsoft.com/office/drawing/2014/main" id="{19C645A9-FECD-4CAE-9D78-6627E51153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7" name="Elipse 6106">
          <a:extLst>
            <a:ext uri="{FF2B5EF4-FFF2-40B4-BE49-F238E27FC236}">
              <a16:creationId xmlns:a16="http://schemas.microsoft.com/office/drawing/2014/main" id="{29CE3253-51C9-416E-A327-B4FD4376B4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8" name="Elipse 6107">
          <a:extLst>
            <a:ext uri="{FF2B5EF4-FFF2-40B4-BE49-F238E27FC236}">
              <a16:creationId xmlns:a16="http://schemas.microsoft.com/office/drawing/2014/main" id="{B526EAC9-95DC-4309-A40C-232A89D3EA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9" name="Elipse 6108">
          <a:extLst>
            <a:ext uri="{FF2B5EF4-FFF2-40B4-BE49-F238E27FC236}">
              <a16:creationId xmlns:a16="http://schemas.microsoft.com/office/drawing/2014/main" id="{9E7E0BAC-893F-4425-9F5C-777A8E3761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0" name="Elipse 6109">
          <a:extLst>
            <a:ext uri="{FF2B5EF4-FFF2-40B4-BE49-F238E27FC236}">
              <a16:creationId xmlns:a16="http://schemas.microsoft.com/office/drawing/2014/main" id="{57AE7D48-FB83-4818-A993-8FF409FD84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1" name="Elipse 6110">
          <a:extLst>
            <a:ext uri="{FF2B5EF4-FFF2-40B4-BE49-F238E27FC236}">
              <a16:creationId xmlns:a16="http://schemas.microsoft.com/office/drawing/2014/main" id="{147DC03E-E024-417B-9394-F30D24665B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2" name="Elipse 6111">
          <a:extLst>
            <a:ext uri="{FF2B5EF4-FFF2-40B4-BE49-F238E27FC236}">
              <a16:creationId xmlns:a16="http://schemas.microsoft.com/office/drawing/2014/main" id="{F357A3CA-6B22-49ED-8911-9BDA143E76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3" name="Elipse 6112">
          <a:extLst>
            <a:ext uri="{FF2B5EF4-FFF2-40B4-BE49-F238E27FC236}">
              <a16:creationId xmlns:a16="http://schemas.microsoft.com/office/drawing/2014/main" id="{40693972-6F64-40EF-8B48-33A7662629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4" name="Elipse 6113">
          <a:extLst>
            <a:ext uri="{FF2B5EF4-FFF2-40B4-BE49-F238E27FC236}">
              <a16:creationId xmlns:a16="http://schemas.microsoft.com/office/drawing/2014/main" id="{7E718A65-7E00-4349-AE1B-C0CD2B30A2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5" name="Elipse 6114">
          <a:extLst>
            <a:ext uri="{FF2B5EF4-FFF2-40B4-BE49-F238E27FC236}">
              <a16:creationId xmlns:a16="http://schemas.microsoft.com/office/drawing/2014/main" id="{03DEC8FB-B6F4-4882-807A-EC49649111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6" name="Elipse 6115">
          <a:extLst>
            <a:ext uri="{FF2B5EF4-FFF2-40B4-BE49-F238E27FC236}">
              <a16:creationId xmlns:a16="http://schemas.microsoft.com/office/drawing/2014/main" id="{9867C66E-BFBE-46B3-ACAF-C49521C2FD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7" name="Elipse 6116">
          <a:extLst>
            <a:ext uri="{FF2B5EF4-FFF2-40B4-BE49-F238E27FC236}">
              <a16:creationId xmlns:a16="http://schemas.microsoft.com/office/drawing/2014/main" id="{EF08DA8D-19BC-477F-B25C-15737E615D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8" name="Elipse 6117">
          <a:extLst>
            <a:ext uri="{FF2B5EF4-FFF2-40B4-BE49-F238E27FC236}">
              <a16:creationId xmlns:a16="http://schemas.microsoft.com/office/drawing/2014/main" id="{ED8B169B-2FE6-411B-B5AF-A27C3ED5FB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9" name="Elipse 6118">
          <a:extLst>
            <a:ext uri="{FF2B5EF4-FFF2-40B4-BE49-F238E27FC236}">
              <a16:creationId xmlns:a16="http://schemas.microsoft.com/office/drawing/2014/main" id="{74BE7B1C-0B17-49AC-8BB2-19EF47CC53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0" name="Elipse 6119">
          <a:extLst>
            <a:ext uri="{FF2B5EF4-FFF2-40B4-BE49-F238E27FC236}">
              <a16:creationId xmlns:a16="http://schemas.microsoft.com/office/drawing/2014/main" id="{672DD101-C594-4BEA-9037-BE2F74169E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1" name="Elipse 6120">
          <a:extLst>
            <a:ext uri="{FF2B5EF4-FFF2-40B4-BE49-F238E27FC236}">
              <a16:creationId xmlns:a16="http://schemas.microsoft.com/office/drawing/2014/main" id="{C7FA2D26-E207-4874-8855-060D443FBF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2" name="Elipse 6121">
          <a:extLst>
            <a:ext uri="{FF2B5EF4-FFF2-40B4-BE49-F238E27FC236}">
              <a16:creationId xmlns:a16="http://schemas.microsoft.com/office/drawing/2014/main" id="{B872DF6D-45DA-4218-BB46-C45E46E2E7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3" name="Elipse 6122">
          <a:extLst>
            <a:ext uri="{FF2B5EF4-FFF2-40B4-BE49-F238E27FC236}">
              <a16:creationId xmlns:a16="http://schemas.microsoft.com/office/drawing/2014/main" id="{441C5FE3-636F-4E65-86A1-87F20803AF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4" name="Elipse 6123">
          <a:extLst>
            <a:ext uri="{FF2B5EF4-FFF2-40B4-BE49-F238E27FC236}">
              <a16:creationId xmlns:a16="http://schemas.microsoft.com/office/drawing/2014/main" id="{21E83CB4-BC4D-4475-9411-B861B93B54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5" name="Elipse 6124">
          <a:extLst>
            <a:ext uri="{FF2B5EF4-FFF2-40B4-BE49-F238E27FC236}">
              <a16:creationId xmlns:a16="http://schemas.microsoft.com/office/drawing/2014/main" id="{5C44DD54-C540-47EF-9058-9CDF12B8D1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6" name="Elipse 6125">
          <a:extLst>
            <a:ext uri="{FF2B5EF4-FFF2-40B4-BE49-F238E27FC236}">
              <a16:creationId xmlns:a16="http://schemas.microsoft.com/office/drawing/2014/main" id="{F606C090-DA8A-4DBA-94D1-F83D711DF4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7" name="Elipse 6126">
          <a:extLst>
            <a:ext uri="{FF2B5EF4-FFF2-40B4-BE49-F238E27FC236}">
              <a16:creationId xmlns:a16="http://schemas.microsoft.com/office/drawing/2014/main" id="{D7EB41E3-A4BE-44F4-A546-E885286A5B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8" name="Elipse 6127">
          <a:extLst>
            <a:ext uri="{FF2B5EF4-FFF2-40B4-BE49-F238E27FC236}">
              <a16:creationId xmlns:a16="http://schemas.microsoft.com/office/drawing/2014/main" id="{CF11A84C-1EF6-402C-9E37-59A945F34A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9" name="Elipse 6128">
          <a:extLst>
            <a:ext uri="{FF2B5EF4-FFF2-40B4-BE49-F238E27FC236}">
              <a16:creationId xmlns:a16="http://schemas.microsoft.com/office/drawing/2014/main" id="{A50531F1-EAAE-42CF-9D93-8AECC578BA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0" name="Elipse 6129">
          <a:extLst>
            <a:ext uri="{FF2B5EF4-FFF2-40B4-BE49-F238E27FC236}">
              <a16:creationId xmlns:a16="http://schemas.microsoft.com/office/drawing/2014/main" id="{048F0409-E771-4866-A2F3-9A646E346B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1" name="Elipse 6130">
          <a:extLst>
            <a:ext uri="{FF2B5EF4-FFF2-40B4-BE49-F238E27FC236}">
              <a16:creationId xmlns:a16="http://schemas.microsoft.com/office/drawing/2014/main" id="{CE66CCDD-7455-479E-AE1B-A2D49DC15A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2" name="Elipse 6131">
          <a:extLst>
            <a:ext uri="{FF2B5EF4-FFF2-40B4-BE49-F238E27FC236}">
              <a16:creationId xmlns:a16="http://schemas.microsoft.com/office/drawing/2014/main" id="{03486322-A950-4497-A998-3D3FBC4F8C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3" name="Elipse 6132">
          <a:extLst>
            <a:ext uri="{FF2B5EF4-FFF2-40B4-BE49-F238E27FC236}">
              <a16:creationId xmlns:a16="http://schemas.microsoft.com/office/drawing/2014/main" id="{DC16715A-3416-4B14-9566-F783B24C63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4" name="Elipse 6133">
          <a:extLst>
            <a:ext uri="{FF2B5EF4-FFF2-40B4-BE49-F238E27FC236}">
              <a16:creationId xmlns:a16="http://schemas.microsoft.com/office/drawing/2014/main" id="{381ED8F9-DD82-4F52-AD2D-E9E3937332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5" name="Elipse 6134">
          <a:extLst>
            <a:ext uri="{FF2B5EF4-FFF2-40B4-BE49-F238E27FC236}">
              <a16:creationId xmlns:a16="http://schemas.microsoft.com/office/drawing/2014/main" id="{3D5E10C8-8898-4A33-9EC2-BF0993D210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6" name="Elipse 6135">
          <a:extLst>
            <a:ext uri="{FF2B5EF4-FFF2-40B4-BE49-F238E27FC236}">
              <a16:creationId xmlns:a16="http://schemas.microsoft.com/office/drawing/2014/main" id="{D339D3AC-36CF-4622-9055-2F0F7225D9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7" name="Elipse 6136">
          <a:extLst>
            <a:ext uri="{FF2B5EF4-FFF2-40B4-BE49-F238E27FC236}">
              <a16:creationId xmlns:a16="http://schemas.microsoft.com/office/drawing/2014/main" id="{8D16F5AB-C1A4-4CC8-8E72-9E1CFC42B1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8" name="Elipse 6137">
          <a:extLst>
            <a:ext uri="{FF2B5EF4-FFF2-40B4-BE49-F238E27FC236}">
              <a16:creationId xmlns:a16="http://schemas.microsoft.com/office/drawing/2014/main" id="{E63DC020-C421-4A63-8ABD-3CCDDFD6F2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9" name="Elipse 6138">
          <a:extLst>
            <a:ext uri="{FF2B5EF4-FFF2-40B4-BE49-F238E27FC236}">
              <a16:creationId xmlns:a16="http://schemas.microsoft.com/office/drawing/2014/main" id="{93F70B71-BBE6-4B60-86BE-28D53C8BAF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40" name="Elipse 6139">
          <a:extLst>
            <a:ext uri="{FF2B5EF4-FFF2-40B4-BE49-F238E27FC236}">
              <a16:creationId xmlns:a16="http://schemas.microsoft.com/office/drawing/2014/main" id="{65D22913-0456-4B0D-ACF6-91A2633CF6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41" name="Elipse 6140">
          <a:extLst>
            <a:ext uri="{FF2B5EF4-FFF2-40B4-BE49-F238E27FC236}">
              <a16:creationId xmlns:a16="http://schemas.microsoft.com/office/drawing/2014/main" id="{8A3DFDD3-CCE8-42DB-9C8F-7D4820DD1E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42" name="Elipse 6141">
          <a:extLst>
            <a:ext uri="{FF2B5EF4-FFF2-40B4-BE49-F238E27FC236}">
              <a16:creationId xmlns:a16="http://schemas.microsoft.com/office/drawing/2014/main" id="{E906D9EA-2F81-4485-A805-01407D49D8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43" name="Elipse 6142">
          <a:extLst>
            <a:ext uri="{FF2B5EF4-FFF2-40B4-BE49-F238E27FC236}">
              <a16:creationId xmlns:a16="http://schemas.microsoft.com/office/drawing/2014/main" id="{F40F12F2-9DBD-4CB3-BF01-C7289230BB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44" name="Elipse 6143">
          <a:extLst>
            <a:ext uri="{FF2B5EF4-FFF2-40B4-BE49-F238E27FC236}">
              <a16:creationId xmlns:a16="http://schemas.microsoft.com/office/drawing/2014/main" id="{4AA0C639-A9F5-4745-BA61-2D326DFE7B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45" name="Elipse 6144">
          <a:extLst>
            <a:ext uri="{FF2B5EF4-FFF2-40B4-BE49-F238E27FC236}">
              <a16:creationId xmlns:a16="http://schemas.microsoft.com/office/drawing/2014/main" id="{53C25F79-9C05-4D55-8C3F-480D33EEAC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7C40C-A669-442F-81DE-57BCCE0F01DC}" name="T_mat" displayName="T_mat" ref="A4:E15" totalsRowShown="0" headerRowDxfId="160">
  <autoFilter ref="A4:E15" xr:uid="{93597DE6-2C8C-4B32-BE5F-24C222058224}"/>
  <sortState xmlns:xlrd2="http://schemas.microsoft.com/office/spreadsheetml/2017/richdata2" ref="A5:E15">
    <sortCondition ref="A4:A15"/>
  </sortState>
  <tableColumns count="5">
    <tableColumn id="1" xr3:uid="{B9CBA470-0F4E-4C6B-BEDA-A78652119877}" name="DESCRIPCIÓN" dataDxfId="159"/>
    <tableColumn id="2" xr3:uid="{918FCAB7-43B0-4CC1-BE30-317D67A2DFE9}" name="CÓDIGO" dataDxfId="158"/>
    <tableColumn id="3" xr3:uid="{ADBC04E6-A647-4857-A6B8-819783D25D0A}" name="UNIDAD" dataDxfId="157"/>
    <tableColumn id="4" xr3:uid="{4F32380E-A1CB-46DF-AE38-E3A6AB7DCE7B}" name="PRECIO" dataDxfId="156"/>
    <tableColumn id="5" xr3:uid="{83F143D9-3D8B-49AE-A8B1-2944208083C4}" name="FECHA"/>
  </tableColumns>
  <tableStyleInfo name="S5S Blu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E11295-8B5E-4CA7-AA78-2C0E713B9C61}" name="T_equipos" displayName="T_equipos" ref="G4:K11" totalsRowShown="0" headerRowDxfId="155">
  <autoFilter ref="G4:K11" xr:uid="{D502F63F-86D0-4EC0-A2CF-F675FF2EDDF2}"/>
  <tableColumns count="5">
    <tableColumn id="1" xr3:uid="{41154381-25C8-4832-972D-DC1B31C710CB}" name="DESCRIPCIÓN" dataDxfId="154"/>
    <tableColumn id="2" xr3:uid="{18A60F05-652D-40BB-9163-68DC6EBD3349}" name="CÓDIGO" dataDxfId="153"/>
    <tableColumn id="3" xr3:uid="{20D81986-BCC3-4D5A-B5D4-086BEC9DEAA6}" name="UNIDAD" dataDxfId="152"/>
    <tableColumn id="4" xr3:uid="{95AA70AD-38F8-41F2-B49F-60A10F4CD1B5}" name="PRECIO" dataDxfId="151"/>
    <tableColumn id="5" xr3:uid="{292F8E04-55E1-4371-BEBD-72515838185E}" name="FECHA"/>
  </tableColumns>
  <tableStyleInfo name="S5S Blu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4F0BCB-0592-41C5-9F8E-0832448D9937}" name="T_mano" displayName="T_mano" ref="M4:Q11" totalsRowShown="0" headerRowDxfId="150">
  <autoFilter ref="M4:Q11" xr:uid="{61672D5A-6BB2-4106-B5F7-DE9DE8303183}"/>
  <sortState xmlns:xlrd2="http://schemas.microsoft.com/office/spreadsheetml/2017/richdata2" ref="M5:Q19">
    <sortCondition ref="N4"/>
  </sortState>
  <tableColumns count="5">
    <tableColumn id="1" xr3:uid="{875E6970-4C63-4FA6-8B5A-4E2C13DF4BC7}" name="DESCRIPCIÓN" dataDxfId="149"/>
    <tableColumn id="2" xr3:uid="{2E9A3B8A-0FF7-4A26-9C48-0AC2015F5D89}" name="CÓDIGO" dataDxfId="148"/>
    <tableColumn id="3" xr3:uid="{411A786D-5388-4B41-A217-B0B64ED7CD68}" name="UNIDAD" dataDxfId="147"/>
    <tableColumn id="4" xr3:uid="{4AE562FA-F475-48FD-A390-19107D6EEEDE}" name="PRECIO" dataDxfId="146"/>
    <tableColumn id="5" xr3:uid="{4F137B20-1106-4874-BE44-98D7AF0236C8}" name="FECHA"/>
  </tableColumns>
  <tableStyleInfo name="S5S Blu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9C3FE0-6BDF-4E63-B2AD-D5DE72389039}" name="T_trans" displayName="T_trans" ref="S4:W11" totalsRowShown="0" headerRowDxfId="145">
  <autoFilter ref="S4:W11" xr:uid="{BD31D128-5A51-441A-B42F-A5F2C460694D}"/>
  <sortState xmlns:xlrd2="http://schemas.microsoft.com/office/spreadsheetml/2017/richdata2" ref="S5:W15">
    <sortCondition ref="T4:T15"/>
  </sortState>
  <tableColumns count="5">
    <tableColumn id="1" xr3:uid="{1EC1AEEF-94FD-49C9-A32A-7EF433A521AF}" name="DESCRIPCIÓN" dataDxfId="144"/>
    <tableColumn id="2" xr3:uid="{89130AB1-C0F8-4B26-9B1D-6EB13DB1EF49}" name="CÓDIGO" dataDxfId="143"/>
    <tableColumn id="3" xr3:uid="{D230C26A-4295-4D19-B134-4A5428251B2B}" name="UNIDAD" dataDxfId="142"/>
    <tableColumn id="4" xr3:uid="{5FE17CCD-E59C-462A-AE7D-B11AD3F37B63}" name="PRECIO" dataDxfId="141"/>
    <tableColumn id="5" xr3:uid="{8E14E612-D605-454D-B46E-B60644E78813}" name="FECHA"/>
  </tableColumns>
  <tableStyleInfo name="S5S Blu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0F469C-8345-42E1-9007-4BB903C5A3E1}" name="T_sub" displayName="T_sub" ref="Y4:AC11" totalsRowShown="0" headerRowDxfId="140">
  <autoFilter ref="Y4:AC11" xr:uid="{52E017E0-1253-4B7D-A09A-8AD052F828AC}"/>
  <sortState xmlns:xlrd2="http://schemas.microsoft.com/office/spreadsheetml/2017/richdata2" ref="Y5:AC18">
    <sortCondition ref="Z4"/>
  </sortState>
  <tableColumns count="5">
    <tableColumn id="1" xr3:uid="{597DC2E0-A0C1-4131-8F3D-F51151ECCDD9}" name="DESCRIPCIÓN" dataDxfId="139"/>
    <tableColumn id="2" xr3:uid="{8B6959DD-2215-45D7-87FC-B49B0FD1C399}" name="CÓDIGO" dataDxfId="138"/>
    <tableColumn id="3" xr3:uid="{76416382-3E52-4799-A349-FE9F77EFCC81}" name="UNIDAD" dataDxfId="137"/>
    <tableColumn id="4" xr3:uid="{16AFFA2D-A0ED-496F-AFF6-C55F3C34B16C}" name="PRECIO" dataDxfId="136"/>
    <tableColumn id="5" xr3:uid="{C446796E-CFC5-4DA3-AA51-D06F960F89B8}" name="FECHA"/>
  </tableColumns>
  <tableStyleInfo name="S5S Blu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6ABB6A-BF14-4455-AFCC-0FE87748DED4}" name="T_otros" displayName="T_otros" ref="AK4:AO11" totalsRowShown="0" headerRowDxfId="135">
  <autoFilter ref="AK4:AO11" xr:uid="{20125A58-EC78-439D-8E98-69E7C3AB527F}"/>
  <sortState xmlns:xlrd2="http://schemas.microsoft.com/office/spreadsheetml/2017/richdata2" ref="AK5:AO18">
    <sortCondition ref="AL4"/>
  </sortState>
  <tableColumns count="5">
    <tableColumn id="1" xr3:uid="{625BB30A-5638-42D5-9410-7CA188712BBF}" name="DESCRIPCIÓN" dataDxfId="134"/>
    <tableColumn id="2" xr3:uid="{EDF18B2D-6A53-4D10-8E57-4F086A28D248}" name="CÓDIGO" dataDxfId="133"/>
    <tableColumn id="3" xr3:uid="{1F642F3B-F3DA-4712-ADC8-47607AC7A2AA}" name="UNIDAD" dataDxfId="132"/>
    <tableColumn id="4" xr3:uid="{95886C99-FF1A-420A-9FF8-986946FB4A3B}" name="PRECIO" dataDxfId="131"/>
    <tableColumn id="5" xr3:uid="{F940DD7B-88C8-4489-BA79-C9540AFB0BF8}" name="FECHA"/>
  </tableColumns>
  <tableStyleInfo name="S5S Blu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4D0223-9E44-48CF-B839-0512A27E7341}" name="T_act" displayName="T_act" ref="AE4:AI11" totalsRowShown="0" headerRowDxfId="130">
  <autoFilter ref="AE4:AI11" xr:uid="{231FD9E8-7F39-4E13-AB97-4B6BE62D1C7D}"/>
  <sortState xmlns:xlrd2="http://schemas.microsoft.com/office/spreadsheetml/2017/richdata2" ref="AE5:AI15">
    <sortCondition ref="AE4:AE15"/>
  </sortState>
  <tableColumns count="5">
    <tableColumn id="1" xr3:uid="{0B270D51-26BD-48D7-B5B0-125319BFA94B}" name="DESCRIPCIÓN" dataDxfId="129"/>
    <tableColumn id="2" xr3:uid="{B811098D-ACA1-4010-8020-E1A5A16F7F7E}" name="CÓDIGO" dataDxfId="128"/>
    <tableColumn id="3" xr3:uid="{2E13F6CF-8268-4903-A5B8-35D4B38DE185}" name="UNIDAD" dataDxfId="127"/>
    <tableColumn id="4" xr3:uid="{1A09E918-0075-44DE-BF15-8B567E9171E9}" name="PRECIO" dataDxfId="126"/>
    <tableColumn id="5" xr3:uid="{A249CD88-D5AE-4087-B33A-402AD9DD18B4}" name="FECHA"/>
  </tableColumns>
  <tableStyleInfo name="S5S Blu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256A91-67E9-4307-BC04-45DEB1044312}" name="Tabla2" displayName="Tabla2" ref="A4:H12" totalsRowCount="1">
  <autoFilter ref="A4:H11" xr:uid="{E77C5BEA-4E40-45B2-8C38-E9DF6D026C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86DE3D1-C369-46F1-AFD8-9D9D90B77BCB}" name="TIPO" totalsRowLabel="Total"/>
    <tableColumn id="2" xr3:uid="{D1C74AA6-A124-474E-BF12-DE394D38E8E9}" name="CÓDIGO"/>
    <tableColumn id="3" xr3:uid="{08891FCC-8436-4891-9E57-80517F7276BE}" name="DESCRIPCIÓN"/>
    <tableColumn id="4" xr3:uid="{DE8B0864-13D0-44C9-8C1A-6F16EF912CC1}" name="UNIDAD" dataDxfId="123"/>
    <tableColumn id="5" xr3:uid="{30343BA8-8B3B-4F52-B2F8-AAE96C456FED}" name="FACTOR" dataDxfId="122">
      <calculatedColumnFormula>1</calculatedColumnFormula>
    </tableColumn>
    <tableColumn id="6" xr3:uid="{26E88EBC-EAC6-4094-BF86-88A16A36B4A7}" name="CANTIDAD" dataDxfId="121"/>
    <tableColumn id="7" xr3:uid="{FE8CB802-8B67-4E89-BF32-7A819525D84D}" name="PRECIO" dataDxfId="120" totalsRowDxfId="108"/>
    <tableColumn id="8" xr3:uid="{7B1F217A-1A29-4707-AFF4-D72DBF9AE777}" name="TOTAL" totalsRowFunction="custom" dataDxfId="119" totalsRowDxfId="107">
      <calculatedColumnFormula>Tabla2[[#This Row],[CANTIDAD]]*Tabla2[[#This Row],[PRECIO]]*Tabla2[[#This Row],[FACTOR]]</calculatedColumnFormula>
      <totalsRowFormula>SUM(Tabla2[TOTAL])</totalsRowFormula>
    </tableColumn>
  </tableColumns>
  <tableStyleInfo name="S5S Green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69B051-DD16-428F-9922-DD6781725027}" name="Tabla3" displayName="Tabla3" ref="A16:H22" totalsRowCount="1">
  <autoFilter ref="A16:H21" xr:uid="{F6BE1C65-3E09-40BE-B320-5E6D88E224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8AC3FDB-C8FB-494F-B41C-D3EF9701908E}" name="TIPO" totalsRowLabel="Total"/>
    <tableColumn id="2" xr3:uid="{1CE56461-89F4-4F45-8399-7DA34F4D4101}" name="CÓDIGO"/>
    <tableColumn id="3" xr3:uid="{796ED161-055A-42A4-A090-D0FBEA678B6E}" name="DESCRIPCIÓN"/>
    <tableColumn id="4" xr3:uid="{6DB24E6E-8BD1-4B39-8FEB-FA21F98A9238}" name="UNIDAD" dataDxfId="118"/>
    <tableColumn id="5" xr3:uid="{15BAE934-16C3-4EED-B915-801A3F6A4B3C}" name="FACTOR" dataDxfId="117">
      <calculatedColumnFormula>1</calculatedColumnFormula>
    </tableColumn>
    <tableColumn id="6" xr3:uid="{43698FD0-A2B4-4A51-A08B-385587C44876}" name="CANTIDAD" dataDxfId="116"/>
    <tableColumn id="7" xr3:uid="{A4814904-5924-4537-A326-A196F63779BC}" name="PRECIO" dataDxfId="115" totalsRowDxfId="106"/>
    <tableColumn id="8" xr3:uid="{3C697932-FBC8-4A4E-AF38-4247AAB83A18}" name="TOTAL" totalsRowFunction="custom" dataDxfId="114" totalsRowDxfId="105">
      <calculatedColumnFormula>Tabla3[[#This Row],[CANTIDAD]]*Tabla3[[#This Row],[PRECIO]]*Tabla3[[#This Row],[FACTOR]]</calculatedColumnFormula>
      <totalsRowFormula>SUM(Tabla3[TOTAL])</totalsRowFormula>
    </tableColumn>
  </tableColumns>
  <tableStyleInfo name="S5S Green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16D3F0-CD4D-4E21-9225-D7FA508E1426}" name="Tabla13" displayName="Tabla13" ref="A26:H31" totalsRowCount="1">
  <autoFilter ref="A26:H30" xr:uid="{DE7333A7-2D41-4941-ADC7-79FD820C4C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D67DAE1-7165-41B8-88DD-5B1CFBBA10CE}" name="TIPO" totalsRowLabel="Total"/>
    <tableColumn id="2" xr3:uid="{13F02B17-96DF-448E-BE72-A91601A8A122}" name="CÓDIGO"/>
    <tableColumn id="3" xr3:uid="{6BF8263C-B750-4E51-9EF9-1F1865D5969B}" name="DESCRIPCIÓN"/>
    <tableColumn id="4" xr3:uid="{EC9D3D88-0404-40FC-A0A4-C05B1D9149C5}" name="UNIDAD" dataDxfId="113"/>
    <tableColumn id="5" xr3:uid="{0773A2F8-0ECA-4C88-BF89-EE69574569DF}" name="FACTOR" dataDxfId="112">
      <calculatedColumnFormula>1</calculatedColumnFormula>
    </tableColumn>
    <tableColumn id="6" xr3:uid="{EB9C7C60-A6A5-45D7-BB41-4EDA45E1EC84}" name="CANTIDAD" dataDxfId="111"/>
    <tableColumn id="7" xr3:uid="{FFE235B7-80DA-42EC-840A-6D0829210D23}" name="PRECIO" dataDxfId="110" totalsRowDxfId="104"/>
    <tableColumn id="8" xr3:uid="{152262BF-97DB-479F-BB96-A362C26F3EF9}" name="TOTAL" totalsRowFunction="custom" dataDxfId="109" totalsRowDxfId="103">
      <calculatedColumnFormula>Tabla13[[#This Row],[CANTIDAD]]*Tabla13[[#This Row],[PRECIO]]*Tabla13[[#This Row],[FACTOR]]</calculatedColumnFormula>
      <totalsRowFormula>SUM(Tabla13[TOTAL])</totalsRowFormula>
    </tableColumn>
  </tableColumns>
  <tableStyleInfo name="S5S Green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E4CCD12-35EA-43E2-8147-A48445362831}" name="Tabla8" displayName="Tabla8" ref="A4:H10" totalsRowCount="1">
  <autoFilter ref="A4:H9" xr:uid="{DD3406CB-F7BA-4C4C-8B76-F0B27BC4B4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20D1B71-CA96-4520-8CC7-A0E8AD26647C}" name="TIPO" totalsRowLabel="Total"/>
    <tableColumn id="2" xr3:uid="{95675AAC-FEA9-4347-9D89-F7CFF58C4FAD}" name="CÓDIGO"/>
    <tableColumn id="3" xr3:uid="{CBB1B0FE-93F7-486F-9495-0612DC053D02}" name="DESCRIPCIÓN"/>
    <tableColumn id="4" xr3:uid="{1B9550E1-986D-4481-84D8-339A0068E840}" name="UNIDAD" dataDxfId="102"/>
    <tableColumn id="5" xr3:uid="{ABAF4412-DD04-4A54-B320-6B5254D44E4A}" name="FACTOR" dataDxfId="101">
      <calculatedColumnFormula>1</calculatedColumnFormula>
    </tableColumn>
    <tableColumn id="6" xr3:uid="{54D2505F-ECFE-4B93-9F93-DB6563B30438}" name="CANTIDAD" dataDxfId="100"/>
    <tableColumn id="7" xr3:uid="{EA6EB872-67EE-4BAF-A2C9-F17B2A76BF37}" name="PRECIO" dataDxfId="99" totalsRowDxfId="73"/>
    <tableColumn id="8" xr3:uid="{804C6AD0-C2F2-4B57-B91A-C88CC782FED4}" name="TOTAL" totalsRowFunction="custom" dataDxfId="98" totalsRowDxfId="72">
      <calculatedColumnFormula>Tabla8[[#This Row],[CANTIDAD]]*Tabla8[[#This Row],[PRECIO]]*Tabla8[[#This Row],[FACTOR]]</calculatedColumnFormula>
      <totalsRowFormula>SUM(Tabla8[TOTAL])</totalsRowFormula>
    </tableColumn>
  </tableColumns>
  <tableStyleInfo name="S5S Blu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0B5B9D-34C5-4664-A014-39B7B12D6BD6}" name="Tabla10" displayName="Tabla10" ref="A14:H19" totalsRowCount="1" headerRowDxfId="97">
  <autoFilter ref="A14:H18" xr:uid="{1D888653-5844-4533-9B2B-634038CDD6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C84A305-CB36-4109-94BB-5F7A2607D0D7}" name="TIPO" totalsRowLabel="Total" totalsRowDxfId="71"/>
    <tableColumn id="2" xr3:uid="{62BD064E-8185-4103-8EB1-4FC105C4BDAC}" name="CÓDIGO"/>
    <tableColumn id="3" xr3:uid="{8D835DB7-4228-441D-82FD-F7A8601E6D73}" name="DESCRIPCIÓN"/>
    <tableColumn id="4" xr3:uid="{E44D1729-586A-4F26-8E81-12A6EBF02741}" name="UNIDAD" dataDxfId="96"/>
    <tableColumn id="5" xr3:uid="{7C5D18A1-6CC5-4000-980B-D155CFB9331E}" name="FACTOR" dataDxfId="95"/>
    <tableColumn id="6" xr3:uid="{CB44B104-E301-46FB-8AB5-4D9EE798060C}" name="CANTIDAD" dataDxfId="94"/>
    <tableColumn id="7" xr3:uid="{EB595C35-D5A0-4A1A-883E-636619EA9C0C}" name="PRECIO" dataDxfId="93" totalsRowDxfId="70"/>
    <tableColumn id="8" xr3:uid="{89DE5CA3-2654-422A-A361-4CFD4CECB124}" name="TOTAL" totalsRowFunction="custom" dataDxfId="92" totalsRowDxfId="69">
      <calculatedColumnFormula>Tabla10[[#This Row],[CANTIDAD]]*Tabla10[[#This Row],[PRECIO]]*Tabla10[[#This Row],[FACTOR]]</calculatedColumnFormula>
      <totalsRowFormula>SUM(Tabla10[TOTAL])</totalsRowFormula>
    </tableColumn>
  </tableColumns>
  <tableStyleInfo name="S5S Blu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712B6F5-828E-4280-839E-64E574CBC46A}" name="Tabla22" displayName="Tabla22" ref="A23:H28" totalsRowCount="1" headerRowDxfId="91">
  <autoFilter ref="A23:H27" xr:uid="{03504C59-46E9-4A56-92CC-E224E4183D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BA26C2F-5385-4EC5-8531-3361935277E3}" name="TIPO" totalsRowLabel="Total" totalsRowDxfId="68"/>
    <tableColumn id="2" xr3:uid="{359FFD14-462C-4A6E-A908-1FFBA14403B4}" name="CÓDIGO"/>
    <tableColumn id="3" xr3:uid="{79C4E68D-7C1F-4314-B030-FBA7584E063B}" name="DESCRIPCIÓN"/>
    <tableColumn id="4" xr3:uid="{2A54C52C-AFFD-4CD8-BE72-2DD6600B1BC5}" name="UNIDAD" dataDxfId="90"/>
    <tableColumn id="5" xr3:uid="{191C6BD7-83A0-420F-B3CE-CBCFEE5D373C}" name="FACTOR" dataDxfId="89"/>
    <tableColumn id="6" xr3:uid="{19AEAB4D-8E30-467E-B1A8-5E0B59BB21C3}" name="CANTIDAD" dataDxfId="88"/>
    <tableColumn id="7" xr3:uid="{98DD6F0E-33F9-4CF7-8067-4DC8F953FD41}" name="PRECIO" dataDxfId="87" totalsRowDxfId="67"/>
    <tableColumn id="8" xr3:uid="{34D9BA2D-A69B-4EB4-8605-63A4967204D7}" name="TOTAL" totalsRowFunction="custom" dataDxfId="86" totalsRowDxfId="66">
      <calculatedColumnFormula>Tabla22[[#This Row],[CANTIDAD]]*Tabla22[[#This Row],[PRECIO]]*Tabla22[[#This Row],[FACTOR]]</calculatedColumnFormula>
      <totalsRowFormula>SUM(Tabla22[TOTAL])</totalsRowFormula>
    </tableColumn>
  </tableColumns>
  <tableStyleInfo name="S5S Blu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C6D4892-6B62-4FCF-9F4D-145064672798}" name="Tabla163" displayName="Tabla163" ref="A32:H37" totalsRowCount="1" headerRowDxfId="85">
  <autoFilter ref="A32:H36" xr:uid="{55D2CF59-C04F-499A-84C0-D00AB4BF33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8C52C5A-A027-473A-9AD4-DD319BE60627}" name="TIPO" totalsRowLabel="Total" totalsRowDxfId="65"/>
    <tableColumn id="2" xr3:uid="{54342EAE-F077-42EE-849E-55DBA71391C1}" name="CÓDIGO"/>
    <tableColumn id="3" xr3:uid="{9D679145-4562-4248-801E-D97B842A5479}" name="DESCRIPCIÓN"/>
    <tableColumn id="4" xr3:uid="{1669E80E-E873-4ACE-B502-CA3C449B35AA}" name="UNIDAD" dataDxfId="84"/>
    <tableColumn id="5" xr3:uid="{612A63FB-74EA-4BC4-90F1-25F0802DE682}" name="FACTOR" dataDxfId="83"/>
    <tableColumn id="6" xr3:uid="{062873C4-1133-4F09-AC76-87356918B462}" name="CANTIDAD" dataDxfId="82"/>
    <tableColumn id="7" xr3:uid="{6E56AA39-DF80-4357-9806-8AB1F7D9AB18}" name="PRECIO" dataDxfId="81" totalsRowDxfId="64"/>
    <tableColumn id="8" xr3:uid="{0A194A85-EDC0-4C35-A360-4EBFC4724ECF}" name="TOTAL" totalsRowFunction="custom" dataDxfId="80" totalsRowDxfId="63">
      <calculatedColumnFormula>Tabla163[[#This Row],[CANTIDAD]]*Tabla163[[#This Row],[PRECIO]]*Tabla163[[#This Row],[FACTOR]]</calculatedColumnFormula>
      <totalsRowFormula>SUM(Tabla163[TOTAL])</totalsRowFormula>
    </tableColumn>
  </tableColumns>
  <tableStyleInfo name="S5S Blu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380C49-A4C5-4531-A0D1-9E530FE12B4D}" name="Tabla195" displayName="Tabla195" ref="A41:H46" totalsRowCount="1" headerRowDxfId="79">
  <autoFilter ref="A41:H45" xr:uid="{3D02CB89-2C6A-4BD7-86DB-0EBF51DC5F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B973E91-E4D5-4CB5-ABF0-DDE974408C0E}" name="TIPO" totalsRowLabel="Total" totalsRowDxfId="62"/>
    <tableColumn id="2" xr3:uid="{6CA4321A-1FBC-4E73-BECE-59DDE5D79E53}" name="CÓDIGO"/>
    <tableColumn id="3" xr3:uid="{3C855F20-36FE-47A4-A49B-B6EA83C77E0E}" name="DESCRIPCIÓN"/>
    <tableColumn id="4" xr3:uid="{8F5B9091-5617-45D9-931E-195817EEEA70}" name="UNIDAD" dataDxfId="78"/>
    <tableColumn id="5" xr3:uid="{76F14B47-69C8-4B76-9299-A3E1FC09BAC9}" name="FACTOR" dataDxfId="77"/>
    <tableColumn id="6" xr3:uid="{F7B748C9-A926-4FEF-95BC-A29A7757F198}" name="CANTIDAD" dataDxfId="76"/>
    <tableColumn id="7" xr3:uid="{0EFABCEE-57FF-4B16-824C-AD60AF835B44}" name="PRECIO" dataDxfId="75" totalsRowDxfId="61"/>
    <tableColumn id="8" xr3:uid="{39ECFE90-1984-4D33-B444-E97083EBCA2E}" name="TOTAL" totalsRowFunction="custom" dataDxfId="74" totalsRowDxfId="60">
      <calculatedColumnFormula>Tabla195[[#This Row],[CANTIDAD]]*Tabla195[[#This Row],[PRECIO]]*Tabla195[[#This Row],[FACTOR]]</calculatedColumnFormula>
      <totalsRowFormula>SUM(Tabla195[TOTAL])</totalsRowFormula>
    </tableColumn>
  </tableColumns>
  <tableStyleInfo name="S5S Blu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CEC89AE-A70C-4060-9AF2-2EE9DF810DCB}" name="Tabla7" displayName="Tabla7" ref="B4:H13" totalsRowCount="1" headerRowDxfId="57" dataDxfId="56" totalsRowDxfId="55">
  <autoFilter ref="B4:H12" xr:uid="{E8D2CFE5-B1A7-446A-B1D3-C7F16D00AF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48CCB72-FF4B-4FA7-9100-23CB3E99E27A}" name="CÓDIGO" totalsRowLabel="Total" dataDxfId="54" totalsRowDxfId="20"/>
    <tableColumn id="2" xr3:uid="{8AABC603-DD56-46F0-A505-48E436156A27}" name="DESCRIPCIÓN" dataDxfId="53" totalsRowDxfId="19"/>
    <tableColumn id="3" xr3:uid="{E05D0FF7-9667-45B6-896A-217E4F24AFFA}" name="UNIDAD" dataDxfId="52" totalsRowDxfId="18"/>
    <tableColumn id="4" xr3:uid="{F839AF43-8F5A-4352-9990-D20EBC16AFCB}" name="FACTOR" dataDxfId="51" totalsRowDxfId="17"/>
    <tableColumn id="5" xr3:uid="{63FC9B26-52F1-43BA-AF20-03096640A75F}" name="CANTIDAD" dataDxfId="50" totalsRowDxfId="16"/>
    <tableColumn id="6" xr3:uid="{093FA553-5720-46E9-A4AC-603735A3564B}" name="COSTO" dataDxfId="49" totalsRowDxfId="15"/>
    <tableColumn id="7" xr3:uid="{A8C2EEAC-C0A7-4170-A602-E6D3A6A5CA28}" name="TOTAL" totalsRowFunction="custom" dataDxfId="48" totalsRowDxfId="14">
      <calculatedColumnFormula>Tabla7[[#This Row],[FACTOR]]*Tabla7[[#This Row],[CANTIDAD]]*Tabla7[[#This Row],[COSTO]]</calculatedColumnFormula>
      <totalsRowFormula>SUM(Tabla7[TOTAL])</totalsRowFormula>
    </tableColumn>
  </tableColumns>
  <tableStyleInfo name="S5S Greenblu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F54F68B-4B67-4BDB-9987-86088D2455FD}" name="Tabla14" displayName="Tabla14" ref="B17:H27" totalsRowCount="1" headerRowDxfId="47" dataDxfId="46" totalsRowDxfId="45">
  <autoFilter ref="B17:H26" xr:uid="{47503146-AFD0-4DA5-B9A7-3DFB7A698A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77399BD-8D03-4CC0-A576-ECC8AA7AEDCB}" name="CÓDIGO" totalsRowLabel="Total" dataDxfId="44" totalsRowDxfId="13"/>
    <tableColumn id="2" xr3:uid="{FE5006C1-A4F2-4B9C-8D04-09D1BC1E7CA4}" name="DESCRIPCIÓN" dataDxfId="43" totalsRowDxfId="12"/>
    <tableColumn id="3" xr3:uid="{ECFC20CC-F118-47B3-8CF6-AC82AB138857}" name="UNIDAD" dataDxfId="42" totalsRowDxfId="11"/>
    <tableColumn id="4" xr3:uid="{BA407685-B778-41C1-A1D0-478E640D715F}" name="FACTOR" dataDxfId="41" totalsRowDxfId="10"/>
    <tableColumn id="5" xr3:uid="{0B51A5B7-BC12-4859-8941-1985738D5CB0}" name="CANTIDAD" dataDxfId="40" totalsRowDxfId="9"/>
    <tableColumn id="6" xr3:uid="{668939F3-C5EF-498B-AE94-AAF737D72F23}" name="COSTO" dataDxfId="39" totalsRowDxfId="8"/>
    <tableColumn id="7" xr3:uid="{8008AB4C-65F1-4C83-BB6A-50F87C832C7B}" name="TOTAL" totalsRowFunction="custom" dataDxfId="38" totalsRowDxfId="7">
      <calculatedColumnFormula>Tabla14[[#This Row],[FACTOR]]*Tabla14[[#This Row],[CANTIDAD]]*Tabla14[[#This Row],[COSTO]]</calculatedColumnFormula>
      <totalsRowFormula>SUM(Tabla14[TOTAL])</totalsRowFormula>
    </tableColumn>
  </tableColumns>
  <tableStyleInfo name="S5S Greenblu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665400D-E3F0-4C6B-885F-36324AC468AA}" name="Tabla89" displayName="Tabla89" ref="B31:H37" totalsRowCount="1" headerRowDxfId="37" dataDxfId="36">
  <autoFilter ref="B31:H36" xr:uid="{FF2445D2-C3B5-40F3-872A-DA83025CBE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E32CD73-DA8E-4361-82CB-97CD96A98EA9}" name="CÓDIGO" totalsRowLabel="Total" dataDxfId="35" totalsRowDxfId="6"/>
    <tableColumn id="2" xr3:uid="{793A2623-7E2F-48F0-B1F8-CF6DA674E18E}" name="DESCRIPCIÓN" dataDxfId="34" totalsRowDxfId="5"/>
    <tableColumn id="3" xr3:uid="{1C0E2268-0224-4C74-8565-FAB91D114E63}" name="UNIDAD" dataDxfId="33" totalsRowDxfId="4"/>
    <tableColumn id="4" xr3:uid="{91DBB8C9-CE7B-49E8-A815-51E569C77122}" name="FACTOR" dataDxfId="32" totalsRowDxfId="3"/>
    <tableColumn id="5" xr3:uid="{0C0260EA-5F25-43D8-978F-92E4938DE6D1}" name="CANTIDAD" dataDxfId="31" totalsRowDxfId="2"/>
    <tableColumn id="6" xr3:uid="{1C76409C-BEC4-431C-895E-BB81821BA060}" name="COSTO" dataDxfId="30" totalsRowDxfId="1"/>
    <tableColumn id="7" xr3:uid="{9DDC1609-A91B-467E-90CB-93AEEFC1EAB1}" name="TOTAL" totalsRowFunction="custom" dataDxfId="29" totalsRowDxfId="0">
      <calculatedColumnFormula>Tabla89[[#This Row],[FACTOR]]*Tabla89[[#This Row],[CANTIDAD]]*Tabla89[[#This Row],[COSTO]]</calculatedColumnFormula>
      <totalsRowFormula>SUM(Tabla89[TOTAL])</totalsRowFormula>
    </tableColumn>
  </tableColumns>
  <tableStyleInfo name="S5S Greenblu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46911D5-72A4-49EB-A449-D312B6B8081D}" name="Tabla90" displayName="Tabla90" ref="B41:E47" totalsRowShown="0" headerRowDxfId="28">
  <autoFilter ref="B41:E47" xr:uid="{64C09373-1896-4BD9-802D-67C44779DB14}">
    <filterColumn colId="0" hiddenButton="1"/>
    <filterColumn colId="1" hiddenButton="1"/>
    <filterColumn colId="2" hiddenButton="1"/>
    <filterColumn colId="3" hiddenButton="1"/>
  </autoFilter>
  <tableColumns count="4">
    <tableColumn id="1" xr3:uid="{D21DAF8C-AC9C-4FF7-A6C5-646C05EA577B}" name="CÓD" dataDxfId="27"/>
    <tableColumn id="2" xr3:uid="{F506A6DF-AAF6-48D8-BA5F-622AFB55D4B2}" name="CAPÍTULO" dataDxfId="26"/>
    <tableColumn id="3" xr3:uid="{DC0711EE-E886-4792-B8EB-3CD0C1C958B1}" name="PORCENTAJE" dataDxfId="25"/>
    <tableColumn id="4" xr3:uid="{11A46344-8177-41F1-81B3-0163E5601B64}" name="SUBTOTAL" dataDxfId="24"/>
  </tableColumns>
  <tableStyleInfo name="S5S Greenblu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8DBE7A6-B2CE-4863-85C4-0A72615E136C}" name="Tabla91" displayName="Tabla91" ref="C50:E57" totalsRowShown="0">
  <autoFilter ref="C50:E57" xr:uid="{5D179DDA-1CBF-41C9-A561-DF403CD57155}">
    <filterColumn colId="0" hiddenButton="1"/>
    <filterColumn colId="1" hiddenButton="1"/>
    <filterColumn colId="2" hiddenButton="1"/>
  </autoFilter>
  <tableColumns count="3">
    <tableColumn id="1" xr3:uid="{CA4F2343-2A82-43EB-8824-BFDD4184F193}" name="DESCRIPCIÓN" dataDxfId="23"/>
    <tableColumn id="2" xr3:uid="{073E622E-5EF2-44D4-AE77-D086B02FF7F4}" name="PORCENTAJE" dataDxfId="22"/>
    <tableColumn id="3" xr3:uid="{99E6EC11-F4D7-4B76-8CC3-702B571963E5}" name="SUBTOTAL" dataDxfId="21"/>
  </tableColumns>
  <tableStyleInfo name="S5S Greenblue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2C01-4283-4704-8D6C-5F589D9D420C}">
  <sheetPr codeName="Hoja2">
    <tabColor rgb="FF00AC56"/>
    <pageSetUpPr fitToPage="1"/>
  </sheetPr>
  <dimension ref="A1:AQ147"/>
  <sheetViews>
    <sheetView showGridLines="0" zoomScale="90" zoomScaleNormal="90" zoomScaleSheetLayoutView="50" workbookViewId="0">
      <selection activeCell="B4" sqref="B4"/>
    </sheetView>
  </sheetViews>
  <sheetFormatPr baseColWidth="10" defaultColWidth="8.6640625" defaultRowHeight="14.4" x14ac:dyDescent="0.3"/>
  <cols>
    <col min="1" max="1" width="30.5546875" style="2" customWidth="1"/>
    <col min="2" max="2" width="40.77734375" style="2" customWidth="1"/>
    <col min="3" max="3" width="13.6640625" style="3" bestFit="1" customWidth="1"/>
    <col min="4" max="4" width="10.44140625" style="5" bestFit="1" customWidth="1"/>
    <col min="5" max="5" width="9.6640625" bestFit="1" customWidth="1"/>
    <col min="6" max="6" width="1.6640625" customWidth="1"/>
    <col min="7" max="7" width="28.33203125" style="2" bestFit="1" customWidth="1"/>
    <col min="8" max="8" width="15" style="2" customWidth="1"/>
    <col min="9" max="9" width="15" style="3" customWidth="1"/>
    <col min="10" max="10" width="12.109375" style="4" customWidth="1"/>
    <col min="11" max="11" width="15" customWidth="1"/>
    <col min="12" max="12" width="1.109375" customWidth="1"/>
    <col min="13" max="13" width="28" style="2" customWidth="1"/>
    <col min="14" max="14" width="10.5546875" style="2" bestFit="1" customWidth="1"/>
    <col min="15" max="15" width="13.109375" style="3" bestFit="1" customWidth="1"/>
    <col min="16" max="16" width="12.109375" style="4" bestFit="1" customWidth="1"/>
    <col min="17" max="17" width="12" bestFit="1" customWidth="1"/>
    <col min="18" max="18" width="1.44140625" customWidth="1"/>
    <col min="19" max="19" width="31.33203125" style="2" bestFit="1" customWidth="1"/>
    <col min="20" max="20" width="10.5546875" style="2" bestFit="1" customWidth="1"/>
    <col min="21" max="21" width="13.109375" style="3" bestFit="1" customWidth="1"/>
    <col min="22" max="22" width="11.109375" style="4" bestFit="1" customWidth="1"/>
    <col min="23" max="23" width="11.5546875" bestFit="1" customWidth="1"/>
    <col min="24" max="24" width="1.33203125" customWidth="1"/>
    <col min="25" max="25" width="34.109375" style="2" customWidth="1"/>
    <col min="26" max="26" width="10.5546875" style="2" bestFit="1" customWidth="1"/>
    <col min="27" max="27" width="13.109375" style="3" bestFit="1" customWidth="1"/>
    <col min="28" max="28" width="12.109375" style="4" customWidth="1"/>
    <col min="29" max="29" width="11.5546875" bestFit="1" customWidth="1"/>
    <col min="30" max="30" width="1.33203125" customWidth="1"/>
    <col min="31" max="31" width="36.109375" style="2" customWidth="1"/>
    <col min="32" max="32" width="10.5546875" style="2" bestFit="1" customWidth="1"/>
    <col min="33" max="33" width="13.109375" style="3" bestFit="1" customWidth="1"/>
    <col min="34" max="34" width="12.109375" style="4" bestFit="1" customWidth="1"/>
    <col min="35" max="35" width="11.5546875" bestFit="1" customWidth="1"/>
    <col min="36" max="36" width="1.44140625" customWidth="1"/>
    <col min="37" max="37" width="28.88671875" style="2" customWidth="1"/>
    <col min="38" max="38" width="10.5546875" style="2" bestFit="1" customWidth="1"/>
    <col min="39" max="39" width="13.109375" style="3" bestFit="1" customWidth="1"/>
    <col min="40" max="40" width="11.109375" style="4" bestFit="1" customWidth="1"/>
    <col min="41" max="41" width="11.5546875" bestFit="1" customWidth="1"/>
    <col min="42" max="42" width="2" customWidth="1"/>
    <col min="43" max="43" width="11.5546875" customWidth="1"/>
    <col min="44" max="44" width="1.33203125" customWidth="1"/>
    <col min="45" max="45" width="15.33203125" bestFit="1" customWidth="1"/>
    <col min="46" max="46" width="1.33203125" customWidth="1"/>
    <col min="47" max="47" width="15.33203125" bestFit="1" customWidth="1"/>
    <col min="48" max="48" width="1.6640625" customWidth="1"/>
  </cols>
  <sheetData>
    <row r="1" spans="1:43" ht="30" customHeight="1" x14ac:dyDescent="0.3">
      <c r="A1" s="1" t="s">
        <v>0</v>
      </c>
      <c r="B1" s="1"/>
      <c r="C1" s="1"/>
      <c r="D1" s="1"/>
      <c r="E1" s="1"/>
    </row>
    <row r="2" spans="1:43" ht="3" customHeight="1" thickBot="1" x14ac:dyDescent="0.35"/>
    <row r="3" spans="1:43" ht="18.600000000000001" thickBot="1" x14ac:dyDescent="0.4">
      <c r="A3" s="6" t="s">
        <v>1</v>
      </c>
      <c r="B3" s="7"/>
      <c r="C3" s="7"/>
      <c r="D3" s="7"/>
      <c r="E3" s="8"/>
      <c r="G3" s="6" t="s">
        <v>2</v>
      </c>
      <c r="H3" s="7"/>
      <c r="I3" s="7"/>
      <c r="J3" s="7"/>
      <c r="K3" s="8"/>
      <c r="M3" s="6" t="s">
        <v>3</v>
      </c>
      <c r="N3" s="7"/>
      <c r="O3" s="7"/>
      <c r="P3" s="7"/>
      <c r="Q3" s="8"/>
      <c r="S3" s="6" t="s">
        <v>4</v>
      </c>
      <c r="T3" s="7"/>
      <c r="U3" s="7"/>
      <c r="V3" s="7"/>
      <c r="W3" s="8"/>
      <c r="Y3" s="6" t="s">
        <v>5</v>
      </c>
      <c r="Z3" s="7"/>
      <c r="AA3" s="7"/>
      <c r="AB3" s="7"/>
      <c r="AC3" s="8"/>
      <c r="AD3" s="3"/>
      <c r="AE3" s="6" t="s">
        <v>6</v>
      </c>
      <c r="AF3" s="7"/>
      <c r="AG3" s="7"/>
      <c r="AH3" s="7"/>
      <c r="AI3" s="8"/>
      <c r="AK3" s="6" t="s">
        <v>7</v>
      </c>
      <c r="AL3" s="7"/>
      <c r="AM3" s="7"/>
      <c r="AN3" s="7"/>
      <c r="AO3" s="8"/>
      <c r="AP3" s="9"/>
      <c r="AQ3" s="9"/>
    </row>
    <row r="4" spans="1:43" ht="15.6" x14ac:dyDescent="0.3">
      <c r="A4" s="10" t="s">
        <v>8</v>
      </c>
      <c r="B4" s="10" t="s">
        <v>9</v>
      </c>
      <c r="C4" s="11" t="s">
        <v>10</v>
      </c>
      <c r="D4" s="12" t="s">
        <v>11</v>
      </c>
      <c r="E4" s="13" t="s">
        <v>12</v>
      </c>
      <c r="G4" s="10" t="s">
        <v>8</v>
      </c>
      <c r="H4" s="10" t="s">
        <v>9</v>
      </c>
      <c r="I4" s="11" t="s">
        <v>10</v>
      </c>
      <c r="J4" s="14" t="s">
        <v>11</v>
      </c>
      <c r="K4" s="13" t="s">
        <v>12</v>
      </c>
      <c r="M4" s="15" t="s">
        <v>8</v>
      </c>
      <c r="N4" s="15" t="s">
        <v>9</v>
      </c>
      <c r="O4" s="16" t="s">
        <v>10</v>
      </c>
      <c r="P4" s="17" t="s">
        <v>11</v>
      </c>
      <c r="Q4" s="18" t="s">
        <v>12</v>
      </c>
      <c r="S4" s="15" t="s">
        <v>8</v>
      </c>
      <c r="T4" s="15" t="s">
        <v>9</v>
      </c>
      <c r="U4" s="16" t="s">
        <v>10</v>
      </c>
      <c r="V4" s="17" t="s">
        <v>11</v>
      </c>
      <c r="W4" s="18" t="s">
        <v>12</v>
      </c>
      <c r="Y4" s="15" t="s">
        <v>8</v>
      </c>
      <c r="Z4" s="15" t="s">
        <v>9</v>
      </c>
      <c r="AA4" s="16" t="s">
        <v>10</v>
      </c>
      <c r="AB4" s="17" t="s">
        <v>11</v>
      </c>
      <c r="AC4" s="18" t="s">
        <v>12</v>
      </c>
      <c r="AE4" s="15" t="s">
        <v>8</v>
      </c>
      <c r="AF4" s="15" t="s">
        <v>9</v>
      </c>
      <c r="AG4" s="16" t="s">
        <v>10</v>
      </c>
      <c r="AH4" s="17" t="s">
        <v>11</v>
      </c>
      <c r="AI4" s="18" t="s">
        <v>12</v>
      </c>
      <c r="AK4" s="15" t="s">
        <v>8</v>
      </c>
      <c r="AL4" s="15" t="s">
        <v>9</v>
      </c>
      <c r="AM4" s="16" t="s">
        <v>10</v>
      </c>
      <c r="AN4" s="17" t="s">
        <v>11</v>
      </c>
      <c r="AO4" s="18" t="s">
        <v>12</v>
      </c>
    </row>
    <row r="5" spans="1:43" ht="15.6" x14ac:dyDescent="0.3">
      <c r="A5" s="10" t="s">
        <v>13</v>
      </c>
      <c r="B5" s="10"/>
      <c r="C5" s="11" t="s">
        <v>14</v>
      </c>
      <c r="D5" s="12">
        <v>2694</v>
      </c>
      <c r="E5" s="19"/>
      <c r="G5" s="10" t="s">
        <v>15</v>
      </c>
      <c r="H5" s="10"/>
      <c r="I5" s="11" t="s">
        <v>16</v>
      </c>
      <c r="J5" s="12">
        <v>100000</v>
      </c>
      <c r="K5" s="19"/>
      <c r="M5" s="10" t="s">
        <v>17</v>
      </c>
      <c r="N5" s="10"/>
      <c r="O5" s="11" t="s">
        <v>18</v>
      </c>
      <c r="P5" s="12">
        <v>21793</v>
      </c>
      <c r="Q5" s="19"/>
      <c r="S5" s="15"/>
      <c r="T5" s="15"/>
      <c r="U5" s="16"/>
      <c r="V5" s="17"/>
      <c r="W5" s="18"/>
      <c r="Y5" s="15"/>
      <c r="Z5" s="15"/>
      <c r="AA5" s="16"/>
      <c r="AB5" s="17"/>
      <c r="AC5" s="18"/>
      <c r="AE5" s="15"/>
      <c r="AF5" s="15"/>
      <c r="AG5" s="16"/>
      <c r="AH5" s="17"/>
      <c r="AI5" s="18"/>
      <c r="AK5" s="15"/>
      <c r="AL5" s="15"/>
      <c r="AM5" s="16"/>
      <c r="AN5" s="17"/>
      <c r="AO5" s="18"/>
    </row>
    <row r="6" spans="1:43" ht="15.6" x14ac:dyDescent="0.3">
      <c r="A6" s="10" t="s">
        <v>19</v>
      </c>
      <c r="B6" s="10"/>
      <c r="C6" s="11" t="s">
        <v>20</v>
      </c>
      <c r="D6" s="12">
        <v>25</v>
      </c>
      <c r="E6" s="13"/>
      <c r="G6" s="10" t="s">
        <v>21</v>
      </c>
      <c r="H6" s="10"/>
      <c r="I6" s="11" t="s">
        <v>22</v>
      </c>
      <c r="J6" s="12">
        <v>110215</v>
      </c>
      <c r="K6" s="13"/>
      <c r="M6" s="15"/>
      <c r="N6" s="15"/>
      <c r="O6" s="16"/>
      <c r="P6" s="17"/>
      <c r="Q6" s="18"/>
      <c r="S6" s="15"/>
      <c r="T6" s="15"/>
      <c r="U6" s="16"/>
      <c r="V6" s="17"/>
      <c r="W6" s="18"/>
      <c r="Y6" s="15"/>
      <c r="Z6" s="15"/>
      <c r="AA6" s="16"/>
      <c r="AB6" s="17"/>
      <c r="AC6" s="18"/>
      <c r="AE6" s="15"/>
      <c r="AF6" s="15"/>
      <c r="AG6" s="16"/>
      <c r="AH6" s="17"/>
      <c r="AI6" s="18"/>
      <c r="AK6" s="15"/>
      <c r="AL6" s="15"/>
      <c r="AM6" s="16"/>
      <c r="AN6" s="17"/>
      <c r="AO6" s="18"/>
    </row>
    <row r="7" spans="1:43" ht="15.6" x14ac:dyDescent="0.3">
      <c r="A7" s="10" t="s">
        <v>23</v>
      </c>
      <c r="B7" s="10"/>
      <c r="C7" s="11" t="s">
        <v>14</v>
      </c>
      <c r="D7" s="12">
        <v>7400</v>
      </c>
      <c r="E7" s="19"/>
      <c r="G7" s="10"/>
      <c r="H7" s="10"/>
      <c r="I7" s="11"/>
      <c r="J7" s="14"/>
      <c r="K7" s="13"/>
      <c r="M7" s="15"/>
      <c r="N7" s="15"/>
      <c r="O7" s="16"/>
      <c r="P7" s="17"/>
      <c r="Q7" s="18"/>
      <c r="S7" s="15"/>
      <c r="T7" s="15"/>
      <c r="U7" s="16"/>
      <c r="V7" s="17"/>
      <c r="W7" s="18"/>
      <c r="Y7" s="15"/>
      <c r="Z7" s="15"/>
      <c r="AA7" s="16"/>
      <c r="AB7" s="17"/>
      <c r="AC7" s="18"/>
      <c r="AE7" s="15"/>
      <c r="AF7" s="15"/>
      <c r="AG7" s="16"/>
      <c r="AH7" s="17"/>
      <c r="AI7" s="18"/>
      <c r="AK7" s="15"/>
      <c r="AL7" s="15"/>
      <c r="AM7" s="16"/>
      <c r="AN7" s="17"/>
      <c r="AO7" s="18"/>
    </row>
    <row r="8" spans="1:43" ht="15.6" x14ac:dyDescent="0.3">
      <c r="A8" s="10" t="s">
        <v>24</v>
      </c>
      <c r="B8" s="10"/>
      <c r="C8" s="11" t="s">
        <v>25</v>
      </c>
      <c r="D8" s="12">
        <v>285000</v>
      </c>
      <c r="E8" s="13"/>
      <c r="G8" s="10"/>
      <c r="H8" s="10"/>
      <c r="I8" s="11"/>
      <c r="J8" s="14"/>
      <c r="K8" s="13"/>
      <c r="M8" s="15"/>
      <c r="N8" s="15"/>
      <c r="O8" s="16"/>
      <c r="P8" s="17"/>
      <c r="Q8" s="18"/>
      <c r="S8" s="15"/>
      <c r="T8" s="15"/>
      <c r="U8" s="16"/>
      <c r="V8" s="17"/>
      <c r="W8" s="18"/>
      <c r="Y8" s="15"/>
      <c r="Z8" s="15"/>
      <c r="AA8" s="16"/>
      <c r="AB8" s="17"/>
      <c r="AC8" s="18"/>
      <c r="AE8" s="15"/>
      <c r="AF8" s="15"/>
      <c r="AG8" s="16"/>
      <c r="AH8" s="17"/>
      <c r="AI8" s="18"/>
      <c r="AK8" s="15"/>
      <c r="AL8" s="15"/>
      <c r="AM8" s="16"/>
      <c r="AN8" s="17"/>
      <c r="AO8" s="18"/>
    </row>
    <row r="9" spans="1:43" ht="15.6" x14ac:dyDescent="0.3">
      <c r="A9" s="10" t="s">
        <v>26</v>
      </c>
      <c r="B9" s="10"/>
      <c r="C9" s="11" t="s">
        <v>14</v>
      </c>
      <c r="D9" s="12">
        <v>486</v>
      </c>
      <c r="E9" s="13"/>
      <c r="G9" s="10"/>
      <c r="H9" s="10"/>
      <c r="I9" s="11"/>
      <c r="J9" s="14"/>
      <c r="K9" s="13"/>
      <c r="M9" s="15"/>
      <c r="N9" s="15"/>
      <c r="O9" s="16"/>
      <c r="P9" s="17"/>
      <c r="Q9" s="18"/>
      <c r="S9" s="15"/>
      <c r="T9" s="15"/>
      <c r="U9" s="16"/>
      <c r="V9" s="17"/>
      <c r="W9" s="18"/>
      <c r="Y9" s="15"/>
      <c r="Z9" s="15"/>
      <c r="AA9" s="16"/>
      <c r="AB9" s="17"/>
      <c r="AC9" s="18"/>
      <c r="AE9" s="15"/>
      <c r="AF9" s="15"/>
      <c r="AG9" s="16"/>
      <c r="AH9" s="17"/>
      <c r="AI9" s="18"/>
      <c r="AK9" s="15"/>
      <c r="AL9" s="15"/>
      <c r="AM9" s="16"/>
      <c r="AN9" s="17"/>
      <c r="AO9" s="18"/>
    </row>
    <row r="10" spans="1:43" ht="15.6" x14ac:dyDescent="0.3">
      <c r="A10" s="10" t="s">
        <v>27</v>
      </c>
      <c r="B10" s="10"/>
      <c r="C10" s="11" t="s">
        <v>25</v>
      </c>
      <c r="D10" s="12">
        <v>72500</v>
      </c>
      <c r="E10" s="13"/>
      <c r="G10" s="10"/>
      <c r="H10" s="10"/>
      <c r="I10" s="11"/>
      <c r="J10" s="14"/>
      <c r="K10" s="13"/>
      <c r="M10" s="15"/>
      <c r="N10" s="15"/>
      <c r="O10" s="16"/>
      <c r="P10" s="17"/>
      <c r="Q10" s="18"/>
      <c r="S10" s="15"/>
      <c r="T10" s="15"/>
      <c r="U10" s="16"/>
      <c r="V10" s="17"/>
      <c r="W10" s="18"/>
      <c r="Y10" s="15"/>
      <c r="Z10" s="15"/>
      <c r="AA10" s="16"/>
      <c r="AB10" s="17"/>
      <c r="AC10" s="18"/>
      <c r="AE10" s="15"/>
      <c r="AF10" s="15"/>
      <c r="AG10" s="16"/>
      <c r="AH10" s="17"/>
      <c r="AI10" s="18"/>
      <c r="AK10" s="15"/>
      <c r="AL10" s="15"/>
      <c r="AM10" s="16"/>
      <c r="AN10" s="17"/>
      <c r="AO10" s="18"/>
    </row>
    <row r="11" spans="1:43" ht="15.6" x14ac:dyDescent="0.3">
      <c r="E11" s="13"/>
      <c r="G11" s="10"/>
      <c r="H11" s="10"/>
      <c r="I11" s="11"/>
      <c r="J11" s="14"/>
      <c r="K11" s="13"/>
      <c r="M11" s="15"/>
      <c r="N11" s="15"/>
      <c r="O11" s="16"/>
      <c r="P11" s="17"/>
      <c r="Q11" s="18"/>
      <c r="S11" s="15"/>
      <c r="T11" s="15"/>
      <c r="U11" s="16"/>
      <c r="V11" s="17"/>
      <c r="W11" s="18"/>
      <c r="Y11" s="15"/>
      <c r="Z11" s="15"/>
      <c r="AA11" s="16"/>
      <c r="AB11" s="17"/>
      <c r="AC11" s="18"/>
      <c r="AE11" s="15"/>
      <c r="AF11" s="15"/>
      <c r="AG11" s="16"/>
      <c r="AH11" s="17"/>
      <c r="AI11" s="18"/>
      <c r="AK11" s="15"/>
      <c r="AL11" s="15"/>
      <c r="AM11" s="16"/>
      <c r="AN11" s="17"/>
      <c r="AO11" s="18"/>
    </row>
    <row r="12" spans="1:43" ht="15.6" x14ac:dyDescent="0.3">
      <c r="A12" s="10"/>
      <c r="B12" s="10"/>
      <c r="C12" s="11"/>
      <c r="D12" s="12"/>
      <c r="E12" s="13"/>
    </row>
    <row r="13" spans="1:43" ht="15.6" x14ac:dyDescent="0.3">
      <c r="A13" s="10"/>
      <c r="B13" s="10"/>
      <c r="C13" s="11"/>
      <c r="D13" s="12"/>
      <c r="E13" s="13"/>
    </row>
    <row r="14" spans="1:43" ht="15.6" x14ac:dyDescent="0.3">
      <c r="A14" s="10"/>
      <c r="B14" s="10"/>
      <c r="C14" s="11"/>
      <c r="D14" s="12"/>
      <c r="E14" s="13"/>
    </row>
    <row r="15" spans="1:43" ht="15.6" x14ac:dyDescent="0.3">
      <c r="A15" s="10"/>
      <c r="B15" s="10"/>
      <c r="C15" s="11"/>
      <c r="D15" s="12"/>
      <c r="E15" s="13"/>
    </row>
    <row r="22" spans="12:39" x14ac:dyDescent="0.3">
      <c r="O22" s="20"/>
    </row>
    <row r="23" spans="12:39" x14ac:dyDescent="0.3">
      <c r="O23" s="20"/>
      <c r="T23" s="3"/>
      <c r="U23" s="21"/>
    </row>
    <row r="24" spans="12:39" x14ac:dyDescent="0.3">
      <c r="O24" s="20"/>
      <c r="AL24" s="3"/>
      <c r="AM24" s="21"/>
    </row>
    <row r="25" spans="12:39" x14ac:dyDescent="0.3">
      <c r="O25" s="20"/>
    </row>
    <row r="26" spans="12:39" x14ac:dyDescent="0.3">
      <c r="O26" s="20"/>
    </row>
    <row r="27" spans="12:39" x14ac:dyDescent="0.3">
      <c r="O27" s="20"/>
    </row>
    <row r="28" spans="12:39" x14ac:dyDescent="0.3">
      <c r="L28" s="2"/>
      <c r="O28" s="20"/>
      <c r="R28" s="2"/>
      <c r="X28" s="2"/>
      <c r="AD28" s="2"/>
      <c r="AJ28" s="2"/>
    </row>
    <row r="29" spans="12:39" x14ac:dyDescent="0.3">
      <c r="O29" s="20"/>
    </row>
    <row r="30" spans="12:39" x14ac:dyDescent="0.3">
      <c r="O30" s="20"/>
    </row>
    <row r="31" spans="12:39" x14ac:dyDescent="0.3">
      <c r="O31" s="20"/>
    </row>
    <row r="32" spans="12:39" x14ac:dyDescent="0.3">
      <c r="O32" s="20"/>
    </row>
    <row r="33" spans="15:33" x14ac:dyDescent="0.3">
      <c r="O33" s="20"/>
    </row>
    <row r="34" spans="15:33" x14ac:dyDescent="0.3">
      <c r="O34" s="20"/>
    </row>
    <row r="35" spans="15:33" x14ac:dyDescent="0.3">
      <c r="O35" s="20"/>
    </row>
    <row r="36" spans="15:33" x14ac:dyDescent="0.3">
      <c r="O36" s="20"/>
    </row>
    <row r="37" spans="15:33" x14ac:dyDescent="0.3">
      <c r="O37" s="20"/>
    </row>
    <row r="38" spans="15:33" x14ac:dyDescent="0.3">
      <c r="O38" s="20"/>
    </row>
    <row r="39" spans="15:33" x14ac:dyDescent="0.3">
      <c r="O39" s="20"/>
    </row>
    <row r="40" spans="15:33" x14ac:dyDescent="0.3">
      <c r="O40" s="20"/>
      <c r="AG40" s="20"/>
    </row>
    <row r="41" spans="15:33" x14ac:dyDescent="0.3">
      <c r="O41" s="20"/>
      <c r="AG41" s="20"/>
    </row>
    <row r="42" spans="15:33" x14ac:dyDescent="0.3">
      <c r="O42" s="20"/>
      <c r="AG42" s="20"/>
    </row>
    <row r="43" spans="15:33" x14ac:dyDescent="0.3">
      <c r="O43" s="20"/>
      <c r="AG43" s="20"/>
    </row>
    <row r="44" spans="15:33" x14ac:dyDescent="0.3">
      <c r="O44" s="20"/>
      <c r="AG44" s="20"/>
    </row>
    <row r="45" spans="15:33" x14ac:dyDescent="0.3">
      <c r="O45" s="20"/>
      <c r="AG45" s="20"/>
    </row>
    <row r="46" spans="15:33" x14ac:dyDescent="0.3">
      <c r="O46" s="20"/>
      <c r="AG46" s="20"/>
    </row>
    <row r="47" spans="15:33" x14ac:dyDescent="0.3">
      <c r="O47" s="20"/>
      <c r="AG47" s="20"/>
    </row>
    <row r="48" spans="15:33" x14ac:dyDescent="0.3">
      <c r="O48" s="20"/>
      <c r="AG48" s="20"/>
    </row>
    <row r="49" spans="9:33" x14ac:dyDescent="0.3">
      <c r="O49" s="20"/>
      <c r="AA49" s="20"/>
      <c r="AG49" s="20"/>
    </row>
    <row r="50" spans="9:33" x14ac:dyDescent="0.3">
      <c r="I50" s="20"/>
      <c r="O50" s="20"/>
      <c r="AA50" s="20"/>
      <c r="AG50" s="20"/>
    </row>
    <row r="51" spans="9:33" x14ac:dyDescent="0.3">
      <c r="I51" s="20"/>
      <c r="O51" s="20"/>
      <c r="AA51" s="20"/>
      <c r="AG51" s="20"/>
    </row>
    <row r="52" spans="9:33" x14ac:dyDescent="0.3">
      <c r="I52" s="20"/>
      <c r="O52" s="20"/>
      <c r="AA52" s="20"/>
      <c r="AG52" s="20"/>
    </row>
    <row r="53" spans="9:33" x14ac:dyDescent="0.3">
      <c r="I53" s="20"/>
      <c r="O53" s="20"/>
      <c r="AA53" s="20"/>
      <c r="AG53" s="20"/>
    </row>
    <row r="54" spans="9:33" x14ac:dyDescent="0.3">
      <c r="I54" s="20"/>
      <c r="O54" s="20"/>
      <c r="AA54" s="20"/>
      <c r="AG54" s="20"/>
    </row>
    <row r="55" spans="9:33" x14ac:dyDescent="0.3">
      <c r="I55" s="20"/>
      <c r="O55" s="20"/>
      <c r="AA55" s="20"/>
      <c r="AG55" s="20"/>
    </row>
    <row r="56" spans="9:33" x14ac:dyDescent="0.3">
      <c r="I56" s="20"/>
      <c r="O56" s="20"/>
      <c r="AA56" s="20"/>
      <c r="AG56" s="20"/>
    </row>
    <row r="57" spans="9:33" x14ac:dyDescent="0.3">
      <c r="I57" s="20"/>
      <c r="O57" s="20"/>
      <c r="AA57" s="20"/>
      <c r="AG57" s="20"/>
    </row>
    <row r="58" spans="9:33" x14ac:dyDescent="0.3">
      <c r="I58" s="20"/>
      <c r="O58" s="20"/>
      <c r="AA58" s="20"/>
      <c r="AG58" s="20"/>
    </row>
    <row r="59" spans="9:33" x14ac:dyDescent="0.3">
      <c r="I59" s="20"/>
      <c r="O59" s="20"/>
      <c r="AA59" s="20"/>
      <c r="AG59" s="20"/>
    </row>
    <row r="60" spans="9:33" x14ac:dyDescent="0.3">
      <c r="I60" s="20"/>
      <c r="O60" s="20"/>
      <c r="AA60" s="20"/>
      <c r="AG60" s="20"/>
    </row>
    <row r="61" spans="9:33" x14ac:dyDescent="0.3">
      <c r="I61" s="20"/>
      <c r="O61" s="20"/>
      <c r="AA61" s="20"/>
      <c r="AG61" s="20"/>
    </row>
    <row r="62" spans="9:33" x14ac:dyDescent="0.3">
      <c r="I62" s="20"/>
      <c r="O62" s="20"/>
      <c r="AA62" s="20"/>
      <c r="AG62" s="20"/>
    </row>
    <row r="63" spans="9:33" x14ac:dyDescent="0.3">
      <c r="I63" s="20"/>
      <c r="O63" s="20"/>
      <c r="AA63" s="20"/>
      <c r="AG63" s="20"/>
    </row>
    <row r="64" spans="9:33" x14ac:dyDescent="0.3">
      <c r="I64" s="20"/>
      <c r="O64" s="20"/>
      <c r="AA64" s="20"/>
      <c r="AG64" s="20"/>
    </row>
    <row r="65" spans="9:33" x14ac:dyDescent="0.3">
      <c r="I65" s="20"/>
      <c r="O65" s="20"/>
      <c r="AA65" s="20"/>
      <c r="AG65" s="20"/>
    </row>
    <row r="66" spans="9:33" x14ac:dyDescent="0.3">
      <c r="I66" s="20"/>
      <c r="O66" s="20"/>
      <c r="AA66" s="20"/>
      <c r="AG66" s="20"/>
    </row>
    <row r="67" spans="9:33" x14ac:dyDescent="0.3">
      <c r="I67" s="20"/>
      <c r="O67" s="20"/>
      <c r="AA67" s="20"/>
      <c r="AG67" s="20"/>
    </row>
    <row r="68" spans="9:33" x14ac:dyDescent="0.3">
      <c r="I68" s="20"/>
      <c r="O68" s="20"/>
      <c r="AA68" s="20"/>
      <c r="AG68" s="20"/>
    </row>
    <row r="69" spans="9:33" x14ac:dyDescent="0.3">
      <c r="I69" s="20"/>
      <c r="O69" s="20"/>
      <c r="AA69" s="20"/>
      <c r="AG69" s="20"/>
    </row>
    <row r="70" spans="9:33" x14ac:dyDescent="0.3">
      <c r="I70" s="20"/>
      <c r="O70" s="20"/>
      <c r="AA70" s="20"/>
      <c r="AG70" s="20"/>
    </row>
    <row r="71" spans="9:33" x14ac:dyDescent="0.3">
      <c r="I71" s="20"/>
      <c r="O71" s="20"/>
      <c r="AA71" s="20"/>
      <c r="AG71" s="20"/>
    </row>
    <row r="72" spans="9:33" x14ac:dyDescent="0.3">
      <c r="I72" s="20"/>
      <c r="O72" s="20"/>
      <c r="AA72" s="20"/>
      <c r="AG72" s="20"/>
    </row>
    <row r="73" spans="9:33" x14ac:dyDescent="0.3">
      <c r="I73" s="20"/>
      <c r="O73" s="20"/>
      <c r="U73" s="20"/>
      <c r="AA73" s="20"/>
      <c r="AG73" s="20"/>
    </row>
    <row r="74" spans="9:33" x14ac:dyDescent="0.3">
      <c r="I74" s="20"/>
      <c r="O74" s="20"/>
      <c r="U74" s="20"/>
      <c r="AA74" s="20"/>
      <c r="AG74" s="20"/>
    </row>
    <row r="75" spans="9:33" x14ac:dyDescent="0.3">
      <c r="I75" s="20"/>
      <c r="O75" s="20"/>
      <c r="U75" s="20"/>
      <c r="AA75" s="20"/>
      <c r="AG75" s="20"/>
    </row>
    <row r="76" spans="9:33" x14ac:dyDescent="0.3">
      <c r="I76" s="20"/>
      <c r="O76" s="20"/>
      <c r="U76" s="20"/>
      <c r="AA76" s="20"/>
      <c r="AG76" s="20"/>
    </row>
    <row r="77" spans="9:33" x14ac:dyDescent="0.3">
      <c r="I77" s="20"/>
      <c r="O77" s="20"/>
      <c r="U77" s="20"/>
      <c r="AA77" s="20"/>
      <c r="AG77" s="20"/>
    </row>
    <row r="78" spans="9:33" x14ac:dyDescent="0.3">
      <c r="I78" s="20"/>
      <c r="O78" s="20"/>
      <c r="U78" s="20"/>
      <c r="AA78" s="20"/>
      <c r="AG78" s="20"/>
    </row>
    <row r="79" spans="9:33" x14ac:dyDescent="0.3">
      <c r="I79" s="20"/>
      <c r="O79" s="20"/>
      <c r="U79" s="20"/>
      <c r="AA79" s="20"/>
      <c r="AG79" s="20"/>
    </row>
    <row r="80" spans="9:33" x14ac:dyDescent="0.3">
      <c r="I80" s="20"/>
      <c r="O80" s="20"/>
      <c r="U80" s="20"/>
      <c r="AA80" s="20"/>
      <c r="AG80" s="20"/>
    </row>
    <row r="81" spans="9:33" x14ac:dyDescent="0.3">
      <c r="I81" s="20"/>
      <c r="O81" s="20"/>
      <c r="U81" s="20"/>
      <c r="AA81" s="20"/>
      <c r="AG81" s="20"/>
    </row>
    <row r="82" spans="9:33" x14ac:dyDescent="0.3">
      <c r="I82" s="20"/>
      <c r="O82" s="20"/>
      <c r="U82" s="20"/>
      <c r="AA82" s="20"/>
      <c r="AG82" s="20"/>
    </row>
    <row r="83" spans="9:33" x14ac:dyDescent="0.3">
      <c r="I83" s="20"/>
      <c r="O83" s="20"/>
      <c r="U83" s="20"/>
      <c r="AA83" s="20"/>
      <c r="AG83" s="20"/>
    </row>
    <row r="84" spans="9:33" x14ac:dyDescent="0.3">
      <c r="I84" s="20"/>
      <c r="O84" s="20"/>
      <c r="U84" s="20"/>
      <c r="AA84" s="20"/>
      <c r="AG84" s="20"/>
    </row>
    <row r="85" spans="9:33" x14ac:dyDescent="0.3">
      <c r="I85" s="20"/>
      <c r="O85" s="20"/>
      <c r="U85" s="20"/>
      <c r="AA85" s="20"/>
      <c r="AG85" s="20"/>
    </row>
    <row r="86" spans="9:33" x14ac:dyDescent="0.3">
      <c r="I86" s="20"/>
      <c r="O86" s="20"/>
      <c r="U86" s="20"/>
      <c r="AA86" s="20"/>
      <c r="AG86" s="20"/>
    </row>
    <row r="87" spans="9:33" x14ac:dyDescent="0.3">
      <c r="I87" s="20"/>
      <c r="O87" s="20"/>
      <c r="U87" s="20"/>
      <c r="AA87" s="20"/>
      <c r="AG87" s="20"/>
    </row>
    <row r="88" spans="9:33" x14ac:dyDescent="0.3">
      <c r="I88" s="20"/>
      <c r="O88" s="20"/>
      <c r="U88" s="20"/>
      <c r="AA88" s="20"/>
      <c r="AG88" s="20"/>
    </row>
    <row r="89" spans="9:33" x14ac:dyDescent="0.3">
      <c r="I89" s="20"/>
      <c r="O89" s="20"/>
      <c r="U89" s="20"/>
      <c r="AA89" s="20"/>
      <c r="AG89" s="20"/>
    </row>
    <row r="90" spans="9:33" x14ac:dyDescent="0.3">
      <c r="I90" s="20"/>
      <c r="O90" s="20"/>
      <c r="U90" s="20"/>
      <c r="AA90" s="20"/>
      <c r="AG90" s="20"/>
    </row>
    <row r="91" spans="9:33" x14ac:dyDescent="0.3">
      <c r="I91" s="20"/>
      <c r="O91" s="20"/>
      <c r="U91" s="20"/>
      <c r="AA91" s="20"/>
      <c r="AG91" s="20"/>
    </row>
    <row r="92" spans="9:33" x14ac:dyDescent="0.3">
      <c r="I92" s="20"/>
      <c r="O92" s="20"/>
      <c r="U92" s="20"/>
      <c r="AA92" s="20"/>
      <c r="AG92" s="20"/>
    </row>
    <row r="93" spans="9:33" x14ac:dyDescent="0.3">
      <c r="I93" s="20"/>
      <c r="O93" s="20"/>
      <c r="U93" s="20"/>
      <c r="AA93" s="20"/>
      <c r="AG93" s="20"/>
    </row>
    <row r="94" spans="9:33" x14ac:dyDescent="0.3">
      <c r="I94" s="20"/>
      <c r="O94" s="20"/>
      <c r="U94" s="20"/>
      <c r="AA94" s="20"/>
      <c r="AG94" s="20"/>
    </row>
    <row r="95" spans="9:33" x14ac:dyDescent="0.3">
      <c r="I95" s="20"/>
      <c r="O95" s="20"/>
      <c r="U95" s="20"/>
      <c r="AA95" s="20"/>
      <c r="AG95" s="20"/>
    </row>
    <row r="96" spans="9:33" x14ac:dyDescent="0.3">
      <c r="I96" s="20"/>
      <c r="O96" s="20"/>
      <c r="U96" s="20"/>
      <c r="AA96" s="20"/>
      <c r="AG96" s="20"/>
    </row>
    <row r="97" spans="9:33" x14ac:dyDescent="0.3">
      <c r="I97" s="20"/>
      <c r="U97" s="20"/>
      <c r="AA97" s="20"/>
      <c r="AG97" s="20"/>
    </row>
    <row r="98" spans="9:33" x14ac:dyDescent="0.3">
      <c r="I98" s="20"/>
      <c r="U98" s="20"/>
      <c r="AA98" s="20"/>
      <c r="AG98" s="20"/>
    </row>
    <row r="99" spans="9:33" x14ac:dyDescent="0.3">
      <c r="I99" s="20"/>
      <c r="U99" s="20"/>
      <c r="AA99" s="20"/>
      <c r="AG99" s="20"/>
    </row>
    <row r="100" spans="9:33" x14ac:dyDescent="0.3">
      <c r="I100" s="20"/>
      <c r="U100" s="20"/>
      <c r="AA100" s="20"/>
      <c r="AG100" s="20"/>
    </row>
    <row r="101" spans="9:33" x14ac:dyDescent="0.3">
      <c r="I101" s="20"/>
      <c r="U101" s="20"/>
      <c r="AA101" s="20"/>
      <c r="AG101" s="20"/>
    </row>
    <row r="102" spans="9:33" x14ac:dyDescent="0.3">
      <c r="I102" s="20"/>
      <c r="U102" s="20"/>
      <c r="AA102" s="20"/>
      <c r="AG102" s="20"/>
    </row>
    <row r="103" spans="9:33" x14ac:dyDescent="0.3">
      <c r="I103" s="20"/>
      <c r="U103" s="20"/>
      <c r="AA103" s="20"/>
      <c r="AG103" s="20"/>
    </row>
    <row r="104" spans="9:33" x14ac:dyDescent="0.3">
      <c r="I104" s="20"/>
      <c r="U104" s="20"/>
      <c r="AA104" s="20"/>
      <c r="AG104" s="20"/>
    </row>
    <row r="105" spans="9:33" x14ac:dyDescent="0.3">
      <c r="I105" s="20"/>
      <c r="U105" s="20"/>
      <c r="AA105" s="20"/>
      <c r="AG105" s="20"/>
    </row>
    <row r="106" spans="9:33" x14ac:dyDescent="0.3">
      <c r="I106" s="20"/>
      <c r="U106" s="20"/>
      <c r="AA106" s="20"/>
      <c r="AG106" s="20"/>
    </row>
    <row r="107" spans="9:33" x14ac:dyDescent="0.3">
      <c r="I107" s="20"/>
      <c r="U107" s="20"/>
      <c r="AA107" s="20"/>
      <c r="AG107" s="20"/>
    </row>
    <row r="108" spans="9:33" x14ac:dyDescent="0.3">
      <c r="I108" s="20"/>
      <c r="U108" s="20"/>
      <c r="AA108" s="20"/>
      <c r="AG108" s="20"/>
    </row>
    <row r="109" spans="9:33" x14ac:dyDescent="0.3">
      <c r="I109" s="20"/>
      <c r="U109" s="20"/>
      <c r="AA109" s="20"/>
      <c r="AG109" s="20"/>
    </row>
    <row r="110" spans="9:33" x14ac:dyDescent="0.3">
      <c r="I110" s="20"/>
      <c r="U110" s="20"/>
      <c r="AA110" s="20"/>
      <c r="AG110" s="20"/>
    </row>
    <row r="111" spans="9:33" x14ac:dyDescent="0.3">
      <c r="I111" s="20"/>
      <c r="U111" s="20"/>
      <c r="AA111" s="20"/>
      <c r="AG111" s="20"/>
    </row>
    <row r="112" spans="9:33" x14ac:dyDescent="0.3">
      <c r="I112" s="20"/>
      <c r="U112" s="20"/>
      <c r="AA112" s="20"/>
      <c r="AG112" s="20"/>
    </row>
    <row r="113" spans="9:33" x14ac:dyDescent="0.3">
      <c r="I113" s="20"/>
      <c r="U113" s="20"/>
      <c r="AA113" s="20"/>
      <c r="AG113" s="20"/>
    </row>
    <row r="114" spans="9:33" x14ac:dyDescent="0.3">
      <c r="I114" s="20"/>
      <c r="U114" s="20"/>
      <c r="AA114" s="20"/>
      <c r="AG114" s="20"/>
    </row>
    <row r="115" spans="9:33" x14ac:dyDescent="0.3">
      <c r="I115" s="20"/>
      <c r="U115" s="20"/>
      <c r="AA115" s="20"/>
    </row>
    <row r="116" spans="9:33" x14ac:dyDescent="0.3">
      <c r="I116" s="20"/>
      <c r="U116" s="20"/>
      <c r="AA116" s="20"/>
    </row>
    <row r="117" spans="9:33" x14ac:dyDescent="0.3">
      <c r="I117" s="20"/>
      <c r="U117" s="20"/>
      <c r="AA117" s="20"/>
    </row>
    <row r="118" spans="9:33" x14ac:dyDescent="0.3">
      <c r="I118" s="20"/>
      <c r="U118" s="20"/>
      <c r="AA118" s="20"/>
    </row>
    <row r="119" spans="9:33" x14ac:dyDescent="0.3">
      <c r="I119" s="20"/>
      <c r="U119" s="20"/>
      <c r="AA119" s="20"/>
    </row>
    <row r="120" spans="9:33" x14ac:dyDescent="0.3">
      <c r="I120" s="20"/>
      <c r="U120" s="20"/>
      <c r="AA120" s="20"/>
    </row>
    <row r="121" spans="9:33" x14ac:dyDescent="0.3">
      <c r="I121" s="20"/>
      <c r="U121" s="20"/>
      <c r="AA121" s="20"/>
    </row>
    <row r="122" spans="9:33" x14ac:dyDescent="0.3">
      <c r="I122" s="20"/>
      <c r="U122" s="20"/>
      <c r="AA122" s="20"/>
    </row>
    <row r="123" spans="9:33" x14ac:dyDescent="0.3">
      <c r="I123" s="20"/>
      <c r="U123" s="20"/>
      <c r="AA123" s="20"/>
    </row>
    <row r="124" spans="9:33" x14ac:dyDescent="0.3">
      <c r="I124" s="20"/>
      <c r="U124" s="20"/>
    </row>
    <row r="125" spans="9:33" x14ac:dyDescent="0.3">
      <c r="U125" s="20"/>
    </row>
    <row r="126" spans="9:33" x14ac:dyDescent="0.3">
      <c r="U126" s="20"/>
    </row>
    <row r="127" spans="9:33" x14ac:dyDescent="0.3">
      <c r="U127" s="20"/>
    </row>
    <row r="128" spans="9:33" x14ac:dyDescent="0.3">
      <c r="U128" s="20"/>
    </row>
    <row r="129" spans="21:21" x14ac:dyDescent="0.3">
      <c r="U129" s="20"/>
    </row>
    <row r="130" spans="21:21" x14ac:dyDescent="0.3">
      <c r="U130" s="20"/>
    </row>
    <row r="131" spans="21:21" x14ac:dyDescent="0.3">
      <c r="U131" s="20"/>
    </row>
    <row r="132" spans="21:21" x14ac:dyDescent="0.3">
      <c r="U132" s="20"/>
    </row>
    <row r="133" spans="21:21" x14ac:dyDescent="0.3">
      <c r="U133" s="20"/>
    </row>
    <row r="134" spans="21:21" x14ac:dyDescent="0.3">
      <c r="U134" s="20"/>
    </row>
    <row r="135" spans="21:21" x14ac:dyDescent="0.3">
      <c r="U135" s="20"/>
    </row>
    <row r="136" spans="21:21" x14ac:dyDescent="0.3">
      <c r="U136" s="20"/>
    </row>
    <row r="137" spans="21:21" x14ac:dyDescent="0.3">
      <c r="U137" s="20"/>
    </row>
    <row r="138" spans="21:21" x14ac:dyDescent="0.3">
      <c r="U138" s="20"/>
    </row>
    <row r="139" spans="21:21" x14ac:dyDescent="0.3">
      <c r="U139" s="20"/>
    </row>
    <row r="140" spans="21:21" x14ac:dyDescent="0.3">
      <c r="U140" s="20"/>
    </row>
    <row r="141" spans="21:21" x14ac:dyDescent="0.3">
      <c r="U141" s="20"/>
    </row>
    <row r="142" spans="21:21" x14ac:dyDescent="0.3">
      <c r="U142" s="20"/>
    </row>
    <row r="143" spans="21:21" x14ac:dyDescent="0.3">
      <c r="U143" s="20"/>
    </row>
    <row r="144" spans="21:21" x14ac:dyDescent="0.3">
      <c r="U144" s="20"/>
    </row>
    <row r="145" spans="21:21" x14ac:dyDescent="0.3">
      <c r="U145" s="20"/>
    </row>
    <row r="146" spans="21:21" x14ac:dyDescent="0.3">
      <c r="U146" s="20"/>
    </row>
    <row r="147" spans="21:21" x14ac:dyDescent="0.3">
      <c r="U147" s="20"/>
    </row>
  </sheetData>
  <mergeCells count="8">
    <mergeCell ref="AE3:AI3"/>
    <mergeCell ref="AK3:AO3"/>
    <mergeCell ref="A1:E1"/>
    <mergeCell ref="A3:E3"/>
    <mergeCell ref="G3:K3"/>
    <mergeCell ref="M3:Q3"/>
    <mergeCell ref="S3:W3"/>
    <mergeCell ref="Y3:AC3"/>
  </mergeCells>
  <pageMargins left="0.7" right="0.7" top="0.75" bottom="0.75" header="0.3" footer="0.3"/>
  <pageSetup paperSize="9" scale="15" fitToHeight="0" orientation="portrait" cellComments="atEnd" r:id="rId1"/>
  <colBreaks count="8" manualBreakCount="8">
    <brk id="5" max="1048575" man="1"/>
    <brk id="6" max="1048575" man="1"/>
    <brk id="11" max="1048575" man="1"/>
    <brk id="17" max="1048575" man="1"/>
    <brk id="23" max="1048575" man="1"/>
    <brk id="29" max="1048575" man="1"/>
    <brk id="35" max="1048575" man="1"/>
    <brk id="41" max="1048575" man="1"/>
  </colBreak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FF10-D65B-4A70-B8BE-63CD2DB63425}">
  <sheetPr codeName="Hoja1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EC07-6F39-44C9-A20C-FEF13C26B6B9}">
  <sheetPr codeName="Hoja3">
    <tabColor rgb="FF0088CC"/>
    <outlinePr summaryBelow="0"/>
    <pageSetUpPr fitToPage="1"/>
  </sheetPr>
  <dimension ref="A1:H84"/>
  <sheetViews>
    <sheetView showGridLines="0" topLeftCell="A13" zoomScale="110" zoomScaleNormal="110" zoomScaleSheetLayoutView="110" workbookViewId="0">
      <selection activeCell="A26" sqref="A26:A31"/>
    </sheetView>
  </sheetViews>
  <sheetFormatPr baseColWidth="10" defaultRowHeight="14.4" outlineLevelRow="1" x14ac:dyDescent="0.3"/>
  <cols>
    <col min="1" max="1" width="11.77734375" bestFit="1" customWidth="1"/>
    <col min="2" max="2" width="7.77734375" bestFit="1" customWidth="1"/>
    <col min="3" max="3" width="40.77734375" customWidth="1"/>
    <col min="4" max="4" width="7.77734375" bestFit="1" customWidth="1"/>
    <col min="5" max="5" width="7.5546875" bestFit="1" customWidth="1"/>
    <col min="6" max="6" width="9.6640625" bestFit="1" customWidth="1"/>
    <col min="7" max="8" width="8.77734375" style="21" bestFit="1" customWidth="1"/>
    <col min="9" max="9" width="1.33203125" customWidth="1"/>
  </cols>
  <sheetData>
    <row r="1" spans="1:8" ht="30" customHeight="1" x14ac:dyDescent="0.3">
      <c r="A1" s="22" t="s">
        <v>28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G2"/>
      <c r="H2"/>
    </row>
    <row r="3" spans="1:8" ht="15" thickBot="1" x14ac:dyDescent="0.35">
      <c r="A3" s="23" t="s">
        <v>29</v>
      </c>
      <c r="B3" s="24" t="s">
        <v>30</v>
      </c>
      <c r="C3" s="25"/>
      <c r="D3" s="25"/>
      <c r="E3" s="25"/>
      <c r="F3" s="25"/>
      <c r="G3" s="26"/>
      <c r="H3" s="27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s="18"/>
      <c r="D5" s="3"/>
      <c r="E5">
        <v>1</v>
      </c>
      <c r="G5" s="4"/>
      <c r="H5" s="4">
        <v>0</v>
      </c>
    </row>
    <row r="6" spans="1:8" outlineLevel="1" x14ac:dyDescent="0.3">
      <c r="A6" s="18" t="s">
        <v>1</v>
      </c>
      <c r="B6">
        <v>0</v>
      </c>
      <c r="C6" t="s">
        <v>24</v>
      </c>
      <c r="D6" s="3" t="s">
        <v>25</v>
      </c>
      <c r="E6">
        <v>1</v>
      </c>
      <c r="F6">
        <v>2</v>
      </c>
      <c r="G6" s="4">
        <v>285000</v>
      </c>
      <c r="H6" s="4">
        <v>570000</v>
      </c>
    </row>
    <row r="7" spans="1:8" outlineLevel="1" x14ac:dyDescent="0.3">
      <c r="A7" s="18"/>
      <c r="D7" s="3"/>
      <c r="E7">
        <v>1</v>
      </c>
      <c r="G7" s="4"/>
      <c r="H7" s="4">
        <v>0</v>
      </c>
    </row>
    <row r="8" spans="1:8" outlineLevel="1" x14ac:dyDescent="0.3">
      <c r="A8" s="18"/>
      <c r="D8" s="3"/>
      <c r="E8">
        <v>1</v>
      </c>
      <c r="G8" s="4"/>
      <c r="H8" s="4">
        <v>0</v>
      </c>
    </row>
    <row r="9" spans="1:8" outlineLevel="1" x14ac:dyDescent="0.3">
      <c r="A9" s="18"/>
      <c r="D9" s="3"/>
      <c r="E9">
        <v>1</v>
      </c>
      <c r="G9" s="4"/>
      <c r="H9" s="4">
        <v>0</v>
      </c>
    </row>
    <row r="10" spans="1:8" outlineLevel="1" x14ac:dyDescent="0.3">
      <c r="A10" s="18"/>
      <c r="D10" s="3"/>
      <c r="E10">
        <v>1</v>
      </c>
      <c r="G10" s="4"/>
      <c r="H10" s="4">
        <v>0</v>
      </c>
    </row>
    <row r="11" spans="1:8" outlineLevel="1" x14ac:dyDescent="0.3">
      <c r="D11" s="3"/>
      <c r="E11">
        <v>1</v>
      </c>
      <c r="G11" s="4"/>
      <c r="H11" s="4">
        <v>0</v>
      </c>
    </row>
    <row r="12" spans="1:8" x14ac:dyDescent="0.3">
      <c r="A12" t="s">
        <v>36</v>
      </c>
      <c r="G12" s="4"/>
      <c r="H12" s="4">
        <f>SUM(Tabla2[TOTAL])</f>
        <v>570000</v>
      </c>
    </row>
    <row r="13" spans="1:8" x14ac:dyDescent="0.3">
      <c r="G13"/>
      <c r="H13"/>
    </row>
    <row r="14" spans="1:8" ht="15" thickBot="1" x14ac:dyDescent="0.35">
      <c r="G14"/>
      <c r="H14"/>
    </row>
    <row r="15" spans="1:8" ht="15" thickBot="1" x14ac:dyDescent="0.35">
      <c r="A15" s="23" t="s">
        <v>29</v>
      </c>
      <c r="B15" s="24" t="s">
        <v>30</v>
      </c>
      <c r="C15" s="25"/>
      <c r="D15" s="25"/>
      <c r="E15" s="25"/>
      <c r="F15" s="25"/>
      <c r="G15" s="26"/>
      <c r="H15" s="27" t="s">
        <v>31</v>
      </c>
    </row>
    <row r="16" spans="1:8" outlineLevel="1" x14ac:dyDescent="0.3">
      <c r="A16" t="s">
        <v>32</v>
      </c>
      <c r="B16" t="s">
        <v>9</v>
      </c>
      <c r="C16" t="s">
        <v>8</v>
      </c>
      <c r="D16" t="s">
        <v>10</v>
      </c>
      <c r="E16" t="s">
        <v>33</v>
      </c>
      <c r="F16" t="s">
        <v>34</v>
      </c>
      <c r="G16" t="s">
        <v>11</v>
      </c>
      <c r="H16" t="s">
        <v>35</v>
      </c>
    </row>
    <row r="17" spans="1:8" outlineLevel="1" x14ac:dyDescent="0.3">
      <c r="A17" s="18"/>
      <c r="D17" s="3"/>
      <c r="E17">
        <v>1</v>
      </c>
      <c r="G17" s="4"/>
      <c r="H17" s="4">
        <v>0</v>
      </c>
    </row>
    <row r="18" spans="1:8" outlineLevel="1" x14ac:dyDescent="0.3">
      <c r="A18" s="18" t="s">
        <v>1</v>
      </c>
      <c r="B18">
        <v>0</v>
      </c>
      <c r="C18" t="s">
        <v>24</v>
      </c>
      <c r="D18" s="3" t="s">
        <v>25</v>
      </c>
      <c r="E18">
        <v>1</v>
      </c>
      <c r="F18">
        <v>2</v>
      </c>
      <c r="G18" s="4">
        <v>285000</v>
      </c>
      <c r="H18" s="4">
        <v>570000</v>
      </c>
    </row>
    <row r="19" spans="1:8" outlineLevel="1" x14ac:dyDescent="0.3">
      <c r="A19" s="18"/>
      <c r="D19" s="3"/>
      <c r="E19">
        <v>1</v>
      </c>
      <c r="G19" s="4"/>
      <c r="H19" s="4">
        <v>0</v>
      </c>
    </row>
    <row r="20" spans="1:8" outlineLevel="1" x14ac:dyDescent="0.3">
      <c r="D20" s="3"/>
      <c r="E20">
        <v>1</v>
      </c>
      <c r="G20" s="4"/>
      <c r="H20" s="4">
        <v>0</v>
      </c>
    </row>
    <row r="21" spans="1:8" outlineLevel="1" x14ac:dyDescent="0.3">
      <c r="D21" s="3"/>
      <c r="E21">
        <v>1</v>
      </c>
      <c r="G21" s="4"/>
      <c r="H21" s="4">
        <v>0</v>
      </c>
    </row>
    <row r="22" spans="1:8" x14ac:dyDescent="0.3">
      <c r="A22" t="s">
        <v>36</v>
      </c>
      <c r="G22" s="4"/>
      <c r="H22" s="4">
        <f>SUM(Tabla3[TOTAL])</f>
        <v>570000</v>
      </c>
    </row>
    <row r="23" spans="1:8" x14ac:dyDescent="0.3">
      <c r="G23"/>
      <c r="H23"/>
    </row>
    <row r="24" spans="1:8" ht="15" thickBot="1" x14ac:dyDescent="0.35">
      <c r="G24"/>
      <c r="H24"/>
    </row>
    <row r="25" spans="1:8" ht="15" thickBot="1" x14ac:dyDescent="0.35">
      <c r="A25" s="23" t="s">
        <v>29</v>
      </c>
      <c r="B25" s="24" t="s">
        <v>37</v>
      </c>
      <c r="C25" s="25"/>
      <c r="D25" s="25"/>
      <c r="E25" s="25"/>
      <c r="F25" s="25"/>
      <c r="G25" s="26"/>
      <c r="H25" s="27" t="s">
        <v>31</v>
      </c>
    </row>
    <row r="26" spans="1:8" outlineLevel="1" x14ac:dyDescent="0.3">
      <c r="A26" t="s">
        <v>32</v>
      </c>
      <c r="B26" t="s">
        <v>9</v>
      </c>
      <c r="C26" t="s">
        <v>8</v>
      </c>
      <c r="D26" t="s">
        <v>10</v>
      </c>
      <c r="E26" t="s">
        <v>33</v>
      </c>
      <c r="F26" t="s">
        <v>34</v>
      </c>
      <c r="G26" t="s">
        <v>11</v>
      </c>
      <c r="H26" t="s">
        <v>35</v>
      </c>
    </row>
    <row r="27" spans="1:8" outlineLevel="1" x14ac:dyDescent="0.3">
      <c r="A27" s="18" t="s">
        <v>1</v>
      </c>
      <c r="B27">
        <v>0</v>
      </c>
      <c r="C27" t="s">
        <v>24</v>
      </c>
      <c r="D27" s="3" t="s">
        <v>25</v>
      </c>
      <c r="E27">
        <v>1</v>
      </c>
      <c r="F27">
        <v>2</v>
      </c>
      <c r="G27" s="4">
        <v>285000</v>
      </c>
      <c r="H27" s="4">
        <v>570000</v>
      </c>
    </row>
    <row r="28" spans="1:8" outlineLevel="1" x14ac:dyDescent="0.3">
      <c r="A28" s="18"/>
      <c r="D28" s="3"/>
      <c r="E28">
        <v>1</v>
      </c>
      <c r="G28" s="4"/>
      <c r="H28" s="4">
        <v>0</v>
      </c>
    </row>
    <row r="29" spans="1:8" outlineLevel="1" x14ac:dyDescent="0.3">
      <c r="D29" s="3"/>
      <c r="E29">
        <v>1</v>
      </c>
      <c r="G29" s="4"/>
      <c r="H29" s="4">
        <v>0</v>
      </c>
    </row>
    <row r="30" spans="1:8" outlineLevel="1" x14ac:dyDescent="0.3">
      <c r="D30" s="3"/>
      <c r="E30">
        <v>1</v>
      </c>
      <c r="G30" s="4"/>
      <c r="H30" s="4">
        <v>0</v>
      </c>
    </row>
    <row r="31" spans="1:8" x14ac:dyDescent="0.3">
      <c r="A31" t="s">
        <v>36</v>
      </c>
      <c r="G31" s="4"/>
      <c r="H31" s="4">
        <f>SUM(Tabla13[TOTAL])</f>
        <v>570000</v>
      </c>
    </row>
    <row r="32" spans="1:8" x14ac:dyDescent="0.3">
      <c r="G32"/>
      <c r="H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</sheetData>
  <mergeCells count="4">
    <mergeCell ref="A1:H1"/>
    <mergeCell ref="B3:G3"/>
    <mergeCell ref="B15:G15"/>
    <mergeCell ref="B25:G25"/>
  </mergeCells>
  <dataValidations count="2">
    <dataValidation type="list" allowBlank="1" showInputMessage="1" showErrorMessage="1" sqref="C5:C10 C18 C27" xr:uid="{051C07A2-ADCF-4A74-97DA-4EC795D3FC89}">
      <formula1>MATERIALES</formula1>
    </dataValidation>
    <dataValidation type="list" allowBlank="1" showInputMessage="1" showErrorMessage="1" sqref="A17:A21 A27:A30 A5:A11" xr:uid="{C99647EF-616D-426A-B1ED-908CBE316D9B}">
      <formula1>"MATERIALES,EQUIPOS,MANO DE OBRA,TRANSPORTE,SUBCONTRATOS,ACTIVIDADES,OTROS"</formula1>
    </dataValidation>
  </dataValidations>
  <pageMargins left="0.7" right="0.7" top="0.75" bottom="0.75" header="0.3" footer="0.3"/>
  <pageSetup paperSize="9" scale="73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6F9D-3AE1-44CF-8F5C-38F88BC8CDEE}">
  <sheetPr codeName="Hoja7">
    <tabColor rgb="FF00AC56"/>
    <outlinePr summaryBelow="0"/>
    <pageSetUpPr fitToPage="1"/>
  </sheetPr>
  <dimension ref="A1:H70"/>
  <sheetViews>
    <sheetView showGridLines="0" showWhiteSpace="0" topLeftCell="A31" zoomScale="110" zoomScaleNormal="110" zoomScaleSheetLayoutView="110" workbookViewId="0">
      <selection activeCell="F43" sqref="F43"/>
    </sheetView>
  </sheetViews>
  <sheetFormatPr baseColWidth="10" defaultColWidth="11.44140625" defaultRowHeight="14.4" outlineLevelRow="1" x14ac:dyDescent="0.3"/>
  <cols>
    <col min="1" max="1" width="12" bestFit="1" customWidth="1"/>
    <col min="2" max="2" width="8" bestFit="1" customWidth="1"/>
    <col min="3" max="3" width="40.77734375" customWidth="1"/>
    <col min="4" max="4" width="7.88671875" bestFit="1" customWidth="1"/>
    <col min="5" max="5" width="7.6640625" bestFit="1" customWidth="1"/>
    <col min="6" max="6" width="9.88671875" bestFit="1" customWidth="1"/>
    <col min="7" max="7" width="8.77734375" style="21" bestFit="1" customWidth="1"/>
    <col min="8" max="8" width="15" style="21" bestFit="1" customWidth="1"/>
    <col min="9" max="9" width="1.33203125" customWidth="1"/>
  </cols>
  <sheetData>
    <row r="1" spans="1:8" ht="30" customHeight="1" x14ac:dyDescent="0.3">
      <c r="A1" s="22" t="s">
        <v>38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A2" s="28"/>
      <c r="B2" s="29"/>
      <c r="C2" s="30"/>
      <c r="D2" s="30"/>
      <c r="E2" s="28"/>
      <c r="F2" s="28"/>
      <c r="G2" s="28"/>
      <c r="H2" s="31"/>
    </row>
    <row r="3" spans="1:8" ht="15" thickBot="1" x14ac:dyDescent="0.35">
      <c r="A3" s="32" t="s">
        <v>29</v>
      </c>
      <c r="B3" s="33" t="s">
        <v>39</v>
      </c>
      <c r="C3" s="34"/>
      <c r="D3" s="34"/>
      <c r="E3" s="34"/>
      <c r="F3" s="34"/>
      <c r="G3" s="35"/>
      <c r="H3" s="36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t="s">
        <v>1</v>
      </c>
      <c r="B5">
        <v>0</v>
      </c>
      <c r="C5" t="s">
        <v>27</v>
      </c>
      <c r="D5" s="3" t="s">
        <v>25</v>
      </c>
      <c r="E5">
        <v>1</v>
      </c>
      <c r="F5">
        <v>2</v>
      </c>
      <c r="G5" s="4">
        <v>72500</v>
      </c>
      <c r="H5" s="4">
        <v>145000</v>
      </c>
    </row>
    <row r="6" spans="1:8" outlineLevel="1" x14ac:dyDescent="0.3">
      <c r="D6" s="3"/>
      <c r="E6">
        <v>1</v>
      </c>
      <c r="G6" s="4"/>
      <c r="H6" s="4">
        <v>0</v>
      </c>
    </row>
    <row r="7" spans="1:8" outlineLevel="1" x14ac:dyDescent="0.3">
      <c r="A7" t="s">
        <v>2</v>
      </c>
      <c r="B7">
        <v>0</v>
      </c>
      <c r="C7" t="s">
        <v>21</v>
      </c>
      <c r="D7" s="3" t="s">
        <v>22</v>
      </c>
      <c r="E7">
        <v>1</v>
      </c>
      <c r="F7">
        <v>2</v>
      </c>
      <c r="G7" s="4">
        <v>110215</v>
      </c>
      <c r="H7" s="4">
        <v>220430</v>
      </c>
    </row>
    <row r="8" spans="1:8" outlineLevel="1" x14ac:dyDescent="0.3">
      <c r="D8" s="3"/>
      <c r="E8">
        <v>1</v>
      </c>
      <c r="G8" s="4"/>
      <c r="H8" s="4">
        <v>0</v>
      </c>
    </row>
    <row r="9" spans="1:8" outlineLevel="1" x14ac:dyDescent="0.3">
      <c r="D9" s="3"/>
      <c r="E9">
        <v>1</v>
      </c>
      <c r="G9" s="4"/>
      <c r="H9" s="4">
        <v>0</v>
      </c>
    </row>
    <row r="10" spans="1:8" x14ac:dyDescent="0.3">
      <c r="A10" t="s">
        <v>36</v>
      </c>
      <c r="G10" s="4"/>
      <c r="H10" s="4">
        <f>SUM(Tabla8[TOTAL])</f>
        <v>365430</v>
      </c>
    </row>
    <row r="11" spans="1:8" x14ac:dyDescent="0.3">
      <c r="G11"/>
      <c r="H11"/>
    </row>
    <row r="12" spans="1:8" ht="15" thickBot="1" x14ac:dyDescent="0.35">
      <c r="G12"/>
      <c r="H12"/>
    </row>
    <row r="13" spans="1:8" ht="15" thickBot="1" x14ac:dyDescent="0.35">
      <c r="A13" s="37" t="s">
        <v>29</v>
      </c>
      <c r="B13" s="38" t="s">
        <v>40</v>
      </c>
      <c r="C13" s="39"/>
      <c r="D13" s="39"/>
      <c r="E13" s="39"/>
      <c r="F13" s="39"/>
      <c r="G13" s="40"/>
      <c r="H13" s="41" t="s">
        <v>31</v>
      </c>
    </row>
    <row r="14" spans="1:8" outlineLevel="1" x14ac:dyDescent="0.3">
      <c r="A14" s="18" t="s">
        <v>32</v>
      </c>
      <c r="B14" s="18" t="s">
        <v>9</v>
      </c>
      <c r="C14" s="18" t="s">
        <v>8</v>
      </c>
      <c r="D14" s="18" t="s">
        <v>10</v>
      </c>
      <c r="E14" s="18" t="s">
        <v>33</v>
      </c>
      <c r="F14" s="18" t="s">
        <v>34</v>
      </c>
      <c r="G14" s="18" t="s">
        <v>11</v>
      </c>
      <c r="H14" s="18" t="s">
        <v>35</v>
      </c>
    </row>
    <row r="15" spans="1:8" outlineLevel="1" x14ac:dyDescent="0.3">
      <c r="A15" t="s">
        <v>41</v>
      </c>
      <c r="B15" t="s">
        <v>29</v>
      </c>
      <c r="C15" t="s">
        <v>30</v>
      </c>
      <c r="D15" s="3" t="s">
        <v>31</v>
      </c>
      <c r="E15">
        <v>1</v>
      </c>
      <c r="F15">
        <v>4</v>
      </c>
      <c r="G15" s="4">
        <v>570000</v>
      </c>
      <c r="H15" s="4">
        <v>2280000</v>
      </c>
    </row>
    <row r="16" spans="1:8" outlineLevel="1" x14ac:dyDescent="0.3">
      <c r="A16" t="s">
        <v>41</v>
      </c>
      <c r="B16" t="s">
        <v>29</v>
      </c>
      <c r="C16" t="s">
        <v>30</v>
      </c>
      <c r="D16" s="3" t="s">
        <v>31</v>
      </c>
      <c r="E16">
        <v>1</v>
      </c>
      <c r="F16">
        <v>5</v>
      </c>
      <c r="G16" s="4">
        <v>570000</v>
      </c>
      <c r="H16" s="4">
        <v>2850000</v>
      </c>
    </row>
    <row r="17" spans="1:8" outlineLevel="1" x14ac:dyDescent="0.3">
      <c r="D17" s="3"/>
      <c r="E17">
        <v>1</v>
      </c>
      <c r="G17" s="4"/>
      <c r="H17" s="4">
        <v>0</v>
      </c>
    </row>
    <row r="18" spans="1:8" outlineLevel="1" x14ac:dyDescent="0.3">
      <c r="D18" s="3"/>
      <c r="E18">
        <v>1</v>
      </c>
      <c r="G18" s="4"/>
      <c r="H18" s="4">
        <v>0</v>
      </c>
    </row>
    <row r="19" spans="1:8" x14ac:dyDescent="0.3">
      <c r="A19" s="18" t="s">
        <v>36</v>
      </c>
      <c r="G19" s="4"/>
      <c r="H19" s="17">
        <f>SUM(Tabla10[TOTAL])</f>
        <v>5130000</v>
      </c>
    </row>
    <row r="20" spans="1:8" x14ac:dyDescent="0.3">
      <c r="G20"/>
      <c r="H20"/>
    </row>
    <row r="21" spans="1:8" ht="15" thickBot="1" x14ac:dyDescent="0.35">
      <c r="G21"/>
      <c r="H21"/>
    </row>
    <row r="22" spans="1:8" ht="15" thickBot="1" x14ac:dyDescent="0.35">
      <c r="A22" s="37" t="s">
        <v>29</v>
      </c>
      <c r="B22" s="38" t="s">
        <v>40</v>
      </c>
      <c r="C22" s="39"/>
      <c r="D22" s="39"/>
      <c r="E22" s="39"/>
      <c r="F22" s="39"/>
      <c r="G22" s="40"/>
      <c r="H22" s="41" t="s">
        <v>31</v>
      </c>
    </row>
    <row r="23" spans="1:8" outlineLevel="1" x14ac:dyDescent="0.3">
      <c r="A23" s="18" t="s">
        <v>32</v>
      </c>
      <c r="B23" s="18" t="s">
        <v>9</v>
      </c>
      <c r="C23" s="18" t="s">
        <v>8</v>
      </c>
      <c r="D23" s="18" t="s">
        <v>10</v>
      </c>
      <c r="E23" s="18" t="s">
        <v>33</v>
      </c>
      <c r="F23" s="18" t="s">
        <v>34</v>
      </c>
      <c r="G23" s="18" t="s">
        <v>11</v>
      </c>
      <c r="H23" s="18" t="s">
        <v>35</v>
      </c>
    </row>
    <row r="24" spans="1:8" outlineLevel="1" x14ac:dyDescent="0.3">
      <c r="A24" t="s">
        <v>41</v>
      </c>
      <c r="B24" t="s">
        <v>29</v>
      </c>
      <c r="C24" t="s">
        <v>30</v>
      </c>
      <c r="D24" s="3" t="s">
        <v>31</v>
      </c>
      <c r="E24">
        <v>1</v>
      </c>
      <c r="F24">
        <v>4</v>
      </c>
      <c r="G24" s="4">
        <v>570000</v>
      </c>
      <c r="H24" s="4">
        <v>2280000</v>
      </c>
    </row>
    <row r="25" spans="1:8" outlineLevel="1" x14ac:dyDescent="0.3">
      <c r="A25" t="s">
        <v>41</v>
      </c>
      <c r="B25" t="s">
        <v>29</v>
      </c>
      <c r="C25" t="s">
        <v>30</v>
      </c>
      <c r="D25" s="3" t="s">
        <v>31</v>
      </c>
      <c r="E25">
        <v>1</v>
      </c>
      <c r="F25">
        <v>5</v>
      </c>
      <c r="G25" s="4">
        <v>570000</v>
      </c>
      <c r="H25" s="4">
        <v>2850000</v>
      </c>
    </row>
    <row r="26" spans="1:8" outlineLevel="1" x14ac:dyDescent="0.3">
      <c r="D26" s="3"/>
      <c r="E26">
        <v>1</v>
      </c>
      <c r="G26" s="4"/>
      <c r="H26" s="4">
        <v>0</v>
      </c>
    </row>
    <row r="27" spans="1:8" outlineLevel="1" x14ac:dyDescent="0.3">
      <c r="D27" s="3"/>
      <c r="E27">
        <v>1</v>
      </c>
      <c r="G27" s="4"/>
      <c r="H27" s="4">
        <v>0</v>
      </c>
    </row>
    <row r="28" spans="1:8" x14ac:dyDescent="0.3">
      <c r="A28" s="18" t="s">
        <v>36</v>
      </c>
      <c r="G28" s="4"/>
      <c r="H28" s="17">
        <f>SUM(Tabla22[TOTAL])</f>
        <v>5130000</v>
      </c>
    </row>
    <row r="29" spans="1:8" x14ac:dyDescent="0.3">
      <c r="G29"/>
      <c r="H29"/>
    </row>
    <row r="30" spans="1:8" ht="15" thickBot="1" x14ac:dyDescent="0.35">
      <c r="G30"/>
      <c r="H30"/>
    </row>
    <row r="31" spans="1:8" ht="15" thickBot="1" x14ac:dyDescent="0.35">
      <c r="A31" s="37" t="s">
        <v>29</v>
      </c>
      <c r="B31" s="38" t="s">
        <v>40</v>
      </c>
      <c r="C31" s="39"/>
      <c r="D31" s="39"/>
      <c r="E31" s="39"/>
      <c r="F31" s="39"/>
      <c r="G31" s="40"/>
      <c r="H31" s="41" t="s">
        <v>31</v>
      </c>
    </row>
    <row r="32" spans="1:8" outlineLevel="1" x14ac:dyDescent="0.3">
      <c r="A32" s="18" t="s">
        <v>32</v>
      </c>
      <c r="B32" s="18" t="s">
        <v>9</v>
      </c>
      <c r="C32" s="18" t="s">
        <v>8</v>
      </c>
      <c r="D32" s="18" t="s">
        <v>10</v>
      </c>
      <c r="E32" s="18" t="s">
        <v>33</v>
      </c>
      <c r="F32" s="18" t="s">
        <v>34</v>
      </c>
      <c r="G32" s="18" t="s">
        <v>11</v>
      </c>
      <c r="H32" s="18" t="s">
        <v>35</v>
      </c>
    </row>
    <row r="33" spans="1:8" outlineLevel="1" x14ac:dyDescent="0.3">
      <c r="A33" t="s">
        <v>41</v>
      </c>
      <c r="B33" t="s">
        <v>29</v>
      </c>
      <c r="C33" t="s">
        <v>30</v>
      </c>
      <c r="D33" s="3" t="s">
        <v>31</v>
      </c>
      <c r="E33">
        <v>1</v>
      </c>
      <c r="F33">
        <v>212</v>
      </c>
      <c r="G33" s="4">
        <v>570000</v>
      </c>
      <c r="H33" s="4">
        <v>120840000</v>
      </c>
    </row>
    <row r="34" spans="1:8" outlineLevel="1" x14ac:dyDescent="0.3">
      <c r="A34" t="s">
        <v>41</v>
      </c>
      <c r="B34" t="s">
        <v>29</v>
      </c>
      <c r="C34" t="s">
        <v>30</v>
      </c>
      <c r="D34" s="3" t="s">
        <v>31</v>
      </c>
      <c r="E34">
        <v>1</v>
      </c>
      <c r="F34">
        <v>31201</v>
      </c>
      <c r="G34" s="4">
        <v>570000</v>
      </c>
      <c r="H34" s="4">
        <v>17784570000</v>
      </c>
    </row>
    <row r="35" spans="1:8" outlineLevel="1" x14ac:dyDescent="0.3">
      <c r="D35" s="3"/>
      <c r="E35">
        <v>1</v>
      </c>
      <c r="G35" s="4"/>
      <c r="H35" s="4">
        <v>0</v>
      </c>
    </row>
    <row r="36" spans="1:8" outlineLevel="1" x14ac:dyDescent="0.3">
      <c r="D36" s="3"/>
      <c r="E36">
        <v>1</v>
      </c>
      <c r="G36" s="4"/>
      <c r="H36" s="4">
        <v>0</v>
      </c>
    </row>
    <row r="37" spans="1:8" x14ac:dyDescent="0.3">
      <c r="A37" s="18" t="s">
        <v>36</v>
      </c>
      <c r="G37" s="4"/>
      <c r="H37" s="17">
        <f>SUM(Tabla163[TOTAL])</f>
        <v>17905410000</v>
      </c>
    </row>
    <row r="38" spans="1:8" x14ac:dyDescent="0.3">
      <c r="G38"/>
      <c r="H38"/>
    </row>
    <row r="39" spans="1:8" ht="15" thickBot="1" x14ac:dyDescent="0.35">
      <c r="G39"/>
      <c r="H39"/>
    </row>
    <row r="40" spans="1:8" ht="15" thickBot="1" x14ac:dyDescent="0.35">
      <c r="A40" s="37" t="s">
        <v>29</v>
      </c>
      <c r="B40" s="38" t="s">
        <v>40</v>
      </c>
      <c r="C40" s="39"/>
      <c r="D40" s="39"/>
      <c r="E40" s="39"/>
      <c r="F40" s="39"/>
      <c r="G40" s="40"/>
      <c r="H40" s="41" t="s">
        <v>31</v>
      </c>
    </row>
    <row r="41" spans="1:8" outlineLevel="1" x14ac:dyDescent="0.3">
      <c r="A41" s="18" t="s">
        <v>32</v>
      </c>
      <c r="B41" s="18" t="s">
        <v>9</v>
      </c>
      <c r="C41" s="18" t="s">
        <v>8</v>
      </c>
      <c r="D41" s="18" t="s">
        <v>10</v>
      </c>
      <c r="E41" s="18" t="s">
        <v>33</v>
      </c>
      <c r="F41" s="18" t="s">
        <v>34</v>
      </c>
      <c r="G41" s="18" t="s">
        <v>11</v>
      </c>
      <c r="H41" s="18" t="s">
        <v>35</v>
      </c>
    </row>
    <row r="42" spans="1:8" outlineLevel="1" x14ac:dyDescent="0.3">
      <c r="A42" t="s">
        <v>41</v>
      </c>
      <c r="B42" t="s">
        <v>29</v>
      </c>
      <c r="C42" t="s">
        <v>37</v>
      </c>
      <c r="D42" s="3" t="s">
        <v>31</v>
      </c>
      <c r="E42">
        <v>1</v>
      </c>
      <c r="F42">
        <v>12421</v>
      </c>
      <c r="G42" s="4">
        <v>570000</v>
      </c>
      <c r="H42" s="4">
        <v>7079970000</v>
      </c>
    </row>
    <row r="43" spans="1:8" outlineLevel="1" x14ac:dyDescent="0.3">
      <c r="A43" t="s">
        <v>41</v>
      </c>
      <c r="B43" t="s">
        <v>29</v>
      </c>
      <c r="C43" t="s">
        <v>30</v>
      </c>
      <c r="D43" s="3" t="s">
        <v>31</v>
      </c>
      <c r="E43">
        <v>1</v>
      </c>
      <c r="F43">
        <v>31201</v>
      </c>
      <c r="G43" s="4">
        <v>570000</v>
      </c>
      <c r="H43" s="4">
        <v>17784570000</v>
      </c>
    </row>
    <row r="44" spans="1:8" outlineLevel="1" x14ac:dyDescent="0.3">
      <c r="D44" s="3"/>
      <c r="E44">
        <v>1</v>
      </c>
      <c r="G44" s="4"/>
      <c r="H44" s="4">
        <v>0</v>
      </c>
    </row>
    <row r="45" spans="1:8" outlineLevel="1" x14ac:dyDescent="0.3">
      <c r="D45" s="3"/>
      <c r="E45">
        <v>1</v>
      </c>
      <c r="G45" s="4"/>
      <c r="H45" s="4">
        <v>0</v>
      </c>
    </row>
    <row r="46" spans="1:8" x14ac:dyDescent="0.3">
      <c r="A46" s="18" t="s">
        <v>36</v>
      </c>
      <c r="G46" s="4"/>
      <c r="H46" s="17">
        <f>SUM(Tabla195[TOTAL])</f>
        <v>24864540000</v>
      </c>
    </row>
    <row r="47" spans="1:8" x14ac:dyDescent="0.3">
      <c r="G47"/>
      <c r="H47"/>
    </row>
    <row r="48" spans="1:8" x14ac:dyDescent="0.3">
      <c r="G48"/>
      <c r="H48"/>
    </row>
    <row r="49" spans="7:8" x14ac:dyDescent="0.3">
      <c r="G49"/>
      <c r="H49"/>
    </row>
    <row r="50" spans="7:8" x14ac:dyDescent="0.3">
      <c r="G50"/>
      <c r="H50"/>
    </row>
    <row r="51" spans="7:8" x14ac:dyDescent="0.3">
      <c r="G51"/>
      <c r="H51"/>
    </row>
    <row r="52" spans="7:8" x14ac:dyDescent="0.3">
      <c r="G52"/>
      <c r="H52"/>
    </row>
    <row r="53" spans="7:8" x14ac:dyDescent="0.3">
      <c r="G53"/>
      <c r="H53"/>
    </row>
    <row r="54" spans="7:8" x14ac:dyDescent="0.3">
      <c r="G54"/>
      <c r="H54"/>
    </row>
    <row r="55" spans="7:8" x14ac:dyDescent="0.3">
      <c r="G55"/>
      <c r="H55"/>
    </row>
    <row r="56" spans="7:8" x14ac:dyDescent="0.3">
      <c r="G56"/>
      <c r="H56"/>
    </row>
    <row r="57" spans="7:8" x14ac:dyDescent="0.3">
      <c r="G57"/>
      <c r="H57"/>
    </row>
    <row r="58" spans="7:8" x14ac:dyDescent="0.3">
      <c r="G58"/>
      <c r="H58"/>
    </row>
    <row r="59" spans="7:8" x14ac:dyDescent="0.3">
      <c r="G59"/>
      <c r="H59"/>
    </row>
    <row r="60" spans="7:8" x14ac:dyDescent="0.3">
      <c r="G60"/>
      <c r="H60"/>
    </row>
    <row r="61" spans="7:8" x14ac:dyDescent="0.3">
      <c r="G61"/>
      <c r="H61"/>
    </row>
    <row r="62" spans="7:8" x14ac:dyDescent="0.3">
      <c r="G62"/>
      <c r="H62"/>
    </row>
    <row r="63" spans="7:8" x14ac:dyDescent="0.3">
      <c r="G63"/>
      <c r="H63"/>
    </row>
    <row r="64" spans="7:8" x14ac:dyDescent="0.3">
      <c r="G64"/>
      <c r="H64"/>
    </row>
    <row r="65" spans="1:8" x14ac:dyDescent="0.3">
      <c r="G65"/>
      <c r="H65"/>
    </row>
    <row r="66" spans="1:8" x14ac:dyDescent="0.3">
      <c r="A66" s="28"/>
      <c r="B66" s="29"/>
      <c r="C66" s="30"/>
      <c r="D66" s="30"/>
      <c r="E66" s="28"/>
      <c r="F66" s="28"/>
      <c r="G66" s="28"/>
      <c r="H66" s="31"/>
    </row>
    <row r="67" spans="1:8" x14ac:dyDescent="0.3">
      <c r="A67" s="28"/>
      <c r="B67" s="29"/>
      <c r="C67" s="30"/>
      <c r="D67" s="30"/>
      <c r="E67" s="28"/>
      <c r="F67" s="28"/>
      <c r="G67" s="28"/>
      <c r="H67" s="31"/>
    </row>
    <row r="68" spans="1:8" x14ac:dyDescent="0.3">
      <c r="G68"/>
      <c r="H68"/>
    </row>
    <row r="69" spans="1:8" x14ac:dyDescent="0.3">
      <c r="A69" s="28"/>
      <c r="B69" s="29"/>
      <c r="C69" s="30"/>
      <c r="D69" s="30"/>
      <c r="E69" s="28"/>
      <c r="F69" s="28"/>
      <c r="G69" s="28"/>
      <c r="H69" s="31"/>
    </row>
    <row r="70" spans="1:8" x14ac:dyDescent="0.3">
      <c r="A70" s="28"/>
      <c r="B70" s="29"/>
      <c r="C70" s="30"/>
      <c r="D70" s="30"/>
      <c r="E70" s="28"/>
      <c r="F70" s="28"/>
      <c r="G70" s="28"/>
      <c r="H70" s="31"/>
    </row>
  </sheetData>
  <mergeCells count="6">
    <mergeCell ref="A1:H1"/>
    <mergeCell ref="B3:G3"/>
    <mergeCell ref="B13:G13"/>
    <mergeCell ref="B22:G22"/>
    <mergeCell ref="B31:G31"/>
    <mergeCell ref="B40:G40"/>
  </mergeCells>
  <dataValidations count="4">
    <dataValidation type="list" allowBlank="1" showInputMessage="1" showErrorMessage="1" sqref="C15:C17 C24:C25 C33:C34 C42:C43" xr:uid="{A2E234E0-0774-4A89-B744-26E2BA2B641B}">
      <formula1>BÁSICOS</formula1>
    </dataValidation>
    <dataValidation type="list" allowBlank="1" showInputMessage="1" showErrorMessage="1" sqref="C5" xr:uid="{A26562A8-0B30-498D-A359-4798A5879FCD}">
      <formula1>MATERIALES</formula1>
    </dataValidation>
    <dataValidation type="list" allowBlank="1" showInputMessage="1" showErrorMessage="1" sqref="C6:C7" xr:uid="{9836751E-629E-4EB4-A54D-29A0F1DB72B2}">
      <formula1>EQUIPOS</formula1>
    </dataValidation>
    <dataValidation type="list" allowBlank="1" showInputMessage="1" showErrorMessage="1" sqref="A5:A9 A15:A18 A24:A27 A33:A36 A42:A45" xr:uid="{B161231D-A705-4172-9785-5839F9DE12AD}">
      <formula1>"MATERIALES,EQUIPOS,MANO DE OBRA,TRANSPORTE,SUBCONTRATOS,ACTIVIDADES,OTROS,APU BÁSICOS"</formula1>
    </dataValidation>
  </dataValidations>
  <pageMargins left="0.7" right="0.7" top="0.75" bottom="0.75" header="0.3" footer="0.3"/>
  <pageSetup paperSize="9" scale="84" fitToHeight="0" orientation="portrait" cellComments="atEnd" r:id="rId1"/>
  <colBreaks count="1" manualBreakCount="1">
    <brk id="8" max="1048575" man="1"/>
  </colBreaks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1882-A791-4017-829E-15E10706961F}">
  <sheetPr codeName="Hoja4">
    <tabColor rgb="FF0088CC"/>
    <outlinePr summaryBelow="0"/>
    <pageSetUpPr fitToPage="1"/>
  </sheetPr>
  <dimension ref="A1:H57"/>
  <sheetViews>
    <sheetView showGridLines="0" tabSelected="1" topLeftCell="B37" zoomScale="90" zoomScaleNormal="90" zoomScaleSheetLayoutView="90" workbookViewId="0">
      <selection activeCell="C51" sqref="C51:E51"/>
    </sheetView>
  </sheetViews>
  <sheetFormatPr baseColWidth="10" defaultColWidth="11.44140625" defaultRowHeight="15" outlineLevelRow="1" x14ac:dyDescent="0.25"/>
  <cols>
    <col min="1" max="1" width="1.44140625" style="43" hidden="1" customWidth="1"/>
    <col min="2" max="2" width="11.5546875" style="44" bestFit="1" customWidth="1"/>
    <col min="3" max="3" width="40.77734375" style="45" customWidth="1"/>
    <col min="4" max="4" width="23" style="44" bestFit="1" customWidth="1"/>
    <col min="5" max="5" width="16.88671875" style="46" bestFit="1" customWidth="1"/>
    <col min="6" max="6" width="14.21875" style="46" bestFit="1" customWidth="1"/>
    <col min="7" max="7" width="13.6640625" style="46" bestFit="1" customWidth="1"/>
    <col min="8" max="8" width="16.88671875" style="46" bestFit="1" customWidth="1"/>
    <col min="9" max="9" width="1.33203125" style="43" customWidth="1"/>
    <col min="10" max="16384" width="11.44140625" style="43"/>
  </cols>
  <sheetData>
    <row r="1" spans="2:8" ht="30" customHeight="1" x14ac:dyDescent="0.25">
      <c r="B1" s="42" t="s">
        <v>42</v>
      </c>
      <c r="C1" s="42"/>
      <c r="D1" s="42"/>
      <c r="E1" s="42"/>
      <c r="F1" s="42"/>
      <c r="G1" s="42"/>
      <c r="H1" s="42"/>
    </row>
    <row r="2" spans="2:8" ht="15.6" thickBot="1" x14ac:dyDescent="0.3"/>
    <row r="3" spans="2:8" ht="16.2" thickBot="1" x14ac:dyDescent="0.3">
      <c r="B3" s="47" t="s">
        <v>43</v>
      </c>
      <c r="C3" s="48"/>
      <c r="D3" s="48"/>
      <c r="E3" s="48"/>
      <c r="F3" s="48"/>
      <c r="G3" s="49"/>
      <c r="H3" s="50" t="s">
        <v>29</v>
      </c>
    </row>
    <row r="4" spans="2:8" ht="15.6" outlineLevel="1" x14ac:dyDescent="0.3">
      <c r="B4" s="51" t="s">
        <v>9</v>
      </c>
      <c r="C4" s="52" t="s">
        <v>8</v>
      </c>
      <c r="D4" s="51" t="s">
        <v>10</v>
      </c>
      <c r="E4" s="53" t="s">
        <v>33</v>
      </c>
      <c r="F4" s="53" t="s">
        <v>34</v>
      </c>
      <c r="G4" s="53" t="s">
        <v>44</v>
      </c>
      <c r="H4" s="53" t="s">
        <v>35</v>
      </c>
    </row>
    <row r="5" spans="2:8" outlineLevel="1" x14ac:dyDescent="0.25">
      <c r="B5" s="44" t="s">
        <v>29</v>
      </c>
      <c r="C5" s="45" t="s">
        <v>40</v>
      </c>
      <c r="D5" s="44" t="s">
        <v>31</v>
      </c>
      <c r="E5" s="46">
        <v>1</v>
      </c>
      <c r="F5" s="46">
        <v>4</v>
      </c>
      <c r="G5" s="46">
        <v>5130000</v>
      </c>
      <c r="H5" s="46">
        <v>20520000</v>
      </c>
    </row>
    <row r="6" spans="2:8" outlineLevel="1" x14ac:dyDescent="0.25">
      <c r="B6" s="44" t="s">
        <v>29</v>
      </c>
      <c r="C6" s="45" t="s">
        <v>39</v>
      </c>
      <c r="D6" s="44" t="s">
        <v>31</v>
      </c>
      <c r="E6" s="46">
        <v>1</v>
      </c>
      <c r="F6" s="46">
        <v>2</v>
      </c>
      <c r="G6" s="46">
        <v>365430</v>
      </c>
      <c r="H6" s="46">
        <v>730860</v>
      </c>
    </row>
    <row r="7" spans="2:8" outlineLevel="1" x14ac:dyDescent="0.25">
      <c r="B7" s="44" t="s">
        <v>29</v>
      </c>
      <c r="C7" s="45" t="s">
        <v>40</v>
      </c>
      <c r="D7" s="44" t="s">
        <v>31</v>
      </c>
      <c r="E7" s="46">
        <v>1</v>
      </c>
      <c r="F7" s="46">
        <v>1</v>
      </c>
      <c r="G7" s="46">
        <v>5130000</v>
      </c>
      <c r="H7" s="46">
        <v>5130000</v>
      </c>
    </row>
    <row r="8" spans="2:8" outlineLevel="1" x14ac:dyDescent="0.25">
      <c r="B8" s="44" t="s">
        <v>29</v>
      </c>
      <c r="C8" s="45" t="s">
        <v>40</v>
      </c>
      <c r="D8" s="44" t="s">
        <v>31</v>
      </c>
      <c r="E8" s="46">
        <v>1</v>
      </c>
      <c r="G8" s="46">
        <v>5130000</v>
      </c>
      <c r="H8" s="46">
        <v>0</v>
      </c>
    </row>
    <row r="9" spans="2:8" outlineLevel="1" x14ac:dyDescent="0.25">
      <c r="B9" s="44" t="s">
        <v>29</v>
      </c>
      <c r="C9" s="45" t="s">
        <v>40</v>
      </c>
      <c r="D9" s="44" t="s">
        <v>31</v>
      </c>
      <c r="E9" s="46">
        <v>1</v>
      </c>
      <c r="F9" s="46">
        <v>5</v>
      </c>
      <c r="G9" s="46">
        <v>5130000</v>
      </c>
      <c r="H9" s="46">
        <v>25650000</v>
      </c>
    </row>
    <row r="10" spans="2:8" outlineLevel="1" x14ac:dyDescent="0.25">
      <c r="B10" s="44" t="s">
        <v>29</v>
      </c>
      <c r="C10" s="45" t="s">
        <v>39</v>
      </c>
      <c r="D10" s="44" t="s">
        <v>31</v>
      </c>
      <c r="E10" s="46">
        <v>1</v>
      </c>
      <c r="F10" s="46">
        <v>5</v>
      </c>
      <c r="G10" s="46">
        <v>365430</v>
      </c>
      <c r="H10" s="46">
        <v>1827150</v>
      </c>
    </row>
    <row r="11" spans="2:8" outlineLevel="1" x14ac:dyDescent="0.25">
      <c r="B11" s="44" t="s">
        <v>29</v>
      </c>
      <c r="C11" s="45" t="s">
        <v>39</v>
      </c>
      <c r="D11" s="44" t="s">
        <v>31</v>
      </c>
      <c r="E11" s="46">
        <v>1</v>
      </c>
      <c r="F11" s="46">
        <v>1</v>
      </c>
      <c r="G11" s="46">
        <v>365430</v>
      </c>
      <c r="H11" s="46">
        <v>365430</v>
      </c>
    </row>
    <row r="12" spans="2:8" outlineLevel="1" x14ac:dyDescent="0.25">
      <c r="E12" s="46">
        <v>1</v>
      </c>
      <c r="H12" s="46">
        <v>0</v>
      </c>
    </row>
    <row r="13" spans="2:8" ht="15.6" x14ac:dyDescent="0.3">
      <c r="B13" s="51" t="s">
        <v>36</v>
      </c>
      <c r="H13" s="53">
        <f>SUM(Tabla7[TOTAL])</f>
        <v>54223440</v>
      </c>
    </row>
    <row r="15" spans="2:8" ht="15.6" thickBot="1" x14ac:dyDescent="0.3"/>
    <row r="16" spans="2:8" ht="16.2" thickBot="1" x14ac:dyDescent="0.3">
      <c r="B16" s="47" t="s">
        <v>45</v>
      </c>
      <c r="C16" s="48"/>
      <c r="D16" s="48"/>
      <c r="E16" s="48"/>
      <c r="F16" s="48"/>
      <c r="G16" s="49"/>
      <c r="H16" s="50" t="s">
        <v>29</v>
      </c>
    </row>
    <row r="17" spans="2:8" ht="15.6" outlineLevel="1" x14ac:dyDescent="0.3">
      <c r="B17" s="51" t="s">
        <v>9</v>
      </c>
      <c r="C17" s="52" t="s">
        <v>8</v>
      </c>
      <c r="D17" s="51" t="s">
        <v>10</v>
      </c>
      <c r="E17" s="53" t="s">
        <v>33</v>
      </c>
      <c r="F17" s="53" t="s">
        <v>34</v>
      </c>
      <c r="G17" s="53" t="s">
        <v>44</v>
      </c>
      <c r="H17" s="53" t="s">
        <v>35</v>
      </c>
    </row>
    <row r="18" spans="2:8" outlineLevel="1" x14ac:dyDescent="0.25">
      <c r="B18" s="44" t="s">
        <v>29</v>
      </c>
      <c r="C18" s="45" t="s">
        <v>39</v>
      </c>
      <c r="D18" s="44" t="s">
        <v>31</v>
      </c>
      <c r="E18" s="46">
        <v>1</v>
      </c>
      <c r="F18" s="46">
        <v>3</v>
      </c>
      <c r="G18" s="46">
        <v>365430</v>
      </c>
      <c r="H18" s="46">
        <v>1096290</v>
      </c>
    </row>
    <row r="19" spans="2:8" outlineLevel="1" x14ac:dyDescent="0.25">
      <c r="B19" s="44" t="s">
        <v>29</v>
      </c>
      <c r="C19" s="45" t="s">
        <v>39</v>
      </c>
      <c r="D19" s="44" t="s">
        <v>31</v>
      </c>
      <c r="E19" s="46">
        <v>1</v>
      </c>
      <c r="F19" s="46">
        <v>3</v>
      </c>
      <c r="G19" s="46">
        <v>365430</v>
      </c>
      <c r="H19" s="46">
        <v>1096290</v>
      </c>
    </row>
    <row r="20" spans="2:8" outlineLevel="1" x14ac:dyDescent="0.25">
      <c r="B20" s="44" t="s">
        <v>29</v>
      </c>
      <c r="C20" s="45" t="s">
        <v>40</v>
      </c>
      <c r="D20" s="44" t="s">
        <v>31</v>
      </c>
      <c r="E20" s="46">
        <v>1</v>
      </c>
      <c r="F20" s="46">
        <v>2</v>
      </c>
      <c r="G20" s="46">
        <v>5130000</v>
      </c>
      <c r="H20" s="46">
        <v>10260000</v>
      </c>
    </row>
    <row r="21" spans="2:8" outlineLevel="1" x14ac:dyDescent="0.25">
      <c r="E21" s="46">
        <v>1</v>
      </c>
      <c r="H21" s="46">
        <v>0</v>
      </c>
    </row>
    <row r="22" spans="2:8" outlineLevel="1" x14ac:dyDescent="0.25">
      <c r="E22" s="46">
        <v>1</v>
      </c>
      <c r="H22" s="46">
        <v>0</v>
      </c>
    </row>
    <row r="23" spans="2:8" outlineLevel="1" x14ac:dyDescent="0.25">
      <c r="B23" s="44" t="s">
        <v>29</v>
      </c>
      <c r="C23" s="45" t="s">
        <v>40</v>
      </c>
      <c r="D23" s="44" t="s">
        <v>31</v>
      </c>
      <c r="E23" s="46">
        <v>1</v>
      </c>
      <c r="F23" s="46">
        <v>5</v>
      </c>
      <c r="G23" s="46">
        <v>5130000</v>
      </c>
      <c r="H23" s="46">
        <v>25650000</v>
      </c>
    </row>
    <row r="24" spans="2:8" outlineLevel="1" x14ac:dyDescent="0.25">
      <c r="B24" s="44" t="s">
        <v>29</v>
      </c>
      <c r="C24" s="45" t="s">
        <v>39</v>
      </c>
      <c r="D24" s="44" t="s">
        <v>31</v>
      </c>
      <c r="E24" s="46">
        <v>1</v>
      </c>
      <c r="F24" s="46">
        <v>1</v>
      </c>
      <c r="G24" s="46">
        <v>365430</v>
      </c>
      <c r="H24" s="46">
        <v>365430</v>
      </c>
    </row>
    <row r="25" spans="2:8" outlineLevel="1" x14ac:dyDescent="0.25">
      <c r="B25" s="44" t="s">
        <v>29</v>
      </c>
      <c r="C25" s="45" t="s">
        <v>40</v>
      </c>
      <c r="D25" s="44" t="s">
        <v>31</v>
      </c>
      <c r="E25" s="46">
        <v>1</v>
      </c>
      <c r="F25" s="46">
        <v>1</v>
      </c>
      <c r="G25" s="46">
        <v>5130000</v>
      </c>
      <c r="H25" s="46">
        <v>5130000</v>
      </c>
    </row>
    <row r="26" spans="2:8" outlineLevel="1" x14ac:dyDescent="0.25">
      <c r="E26" s="46">
        <v>1</v>
      </c>
      <c r="H26" s="46">
        <v>0</v>
      </c>
    </row>
    <row r="27" spans="2:8" ht="15.6" x14ac:dyDescent="0.3">
      <c r="B27" s="51" t="s">
        <v>36</v>
      </c>
      <c r="H27" s="53">
        <f>SUM(Tabla14[TOTAL])</f>
        <v>43598010</v>
      </c>
    </row>
    <row r="29" spans="2:8" ht="15.6" thickBot="1" x14ac:dyDescent="0.3"/>
    <row r="30" spans="2:8" ht="16.2" thickBot="1" x14ac:dyDescent="0.3">
      <c r="B30" s="47" t="s">
        <v>46</v>
      </c>
      <c r="C30" s="48"/>
      <c r="D30" s="48"/>
      <c r="E30" s="48"/>
      <c r="F30" s="48"/>
      <c r="G30" s="49"/>
      <c r="H30" s="50" t="s">
        <v>29</v>
      </c>
    </row>
    <row r="31" spans="2:8" ht="15.6" outlineLevel="1" x14ac:dyDescent="0.3">
      <c r="B31" s="51" t="s">
        <v>9</v>
      </c>
      <c r="C31" s="52" t="s">
        <v>8</v>
      </c>
      <c r="D31" s="51" t="s">
        <v>10</v>
      </c>
      <c r="E31" s="53" t="s">
        <v>33</v>
      </c>
      <c r="F31" s="53" t="s">
        <v>34</v>
      </c>
      <c r="G31" s="53" t="s">
        <v>44</v>
      </c>
      <c r="H31" s="53" t="s">
        <v>35</v>
      </c>
    </row>
    <row r="32" spans="2:8" outlineLevel="1" x14ac:dyDescent="0.25">
      <c r="B32" s="44" t="s">
        <v>29</v>
      </c>
      <c r="C32" s="45" t="s">
        <v>39</v>
      </c>
      <c r="D32" s="44" t="s">
        <v>31</v>
      </c>
      <c r="E32" s="46">
        <v>1</v>
      </c>
      <c r="F32" s="46">
        <v>3</v>
      </c>
      <c r="G32" s="46">
        <v>365430</v>
      </c>
      <c r="H32" s="46">
        <v>1096290</v>
      </c>
    </row>
    <row r="33" spans="2:8" outlineLevel="1" x14ac:dyDescent="0.25">
      <c r="B33" s="44" t="s">
        <v>29</v>
      </c>
      <c r="C33" s="45" t="s">
        <v>39</v>
      </c>
      <c r="D33" s="44" t="s">
        <v>31</v>
      </c>
      <c r="E33" s="46">
        <v>1</v>
      </c>
      <c r="F33" s="46">
        <v>232</v>
      </c>
      <c r="G33" s="46">
        <v>365430</v>
      </c>
      <c r="H33" s="46">
        <v>84779760</v>
      </c>
    </row>
    <row r="34" spans="2:8" outlineLevel="1" x14ac:dyDescent="0.25">
      <c r="B34" s="44" t="s">
        <v>29</v>
      </c>
      <c r="C34" s="45" t="s">
        <v>40</v>
      </c>
      <c r="D34" s="44" t="s">
        <v>31</v>
      </c>
      <c r="E34" s="46">
        <v>1</v>
      </c>
      <c r="F34" s="46">
        <v>32</v>
      </c>
      <c r="G34" s="46">
        <v>5130000</v>
      </c>
      <c r="H34" s="46">
        <v>164160000</v>
      </c>
    </row>
    <row r="35" spans="2:8" outlineLevel="1" x14ac:dyDescent="0.25">
      <c r="B35" s="44" t="s">
        <v>29</v>
      </c>
      <c r="C35" s="45" t="s">
        <v>39</v>
      </c>
      <c r="D35" s="44" t="s">
        <v>31</v>
      </c>
      <c r="E35" s="46">
        <v>1</v>
      </c>
      <c r="F35" s="46">
        <v>21</v>
      </c>
      <c r="G35" s="46">
        <v>365430</v>
      </c>
      <c r="H35" s="46">
        <v>7674030</v>
      </c>
    </row>
    <row r="36" spans="2:8" outlineLevel="1" x14ac:dyDescent="0.25">
      <c r="E36" s="46">
        <v>1</v>
      </c>
      <c r="H36" s="46">
        <v>0</v>
      </c>
    </row>
    <row r="37" spans="2:8" ht="15.6" x14ac:dyDescent="0.3">
      <c r="B37" s="54" t="s">
        <v>36</v>
      </c>
      <c r="C37" s="55"/>
      <c r="D37" s="56"/>
      <c r="E37" s="43"/>
      <c r="F37" s="43"/>
      <c r="G37" s="43"/>
      <c r="H37" s="53">
        <f>SUM(Tabla89[TOTAL])</f>
        <v>257710080</v>
      </c>
    </row>
    <row r="40" spans="2:8" ht="15.6" x14ac:dyDescent="0.3">
      <c r="F40" s="51"/>
      <c r="G40" s="51"/>
      <c r="H40" s="53"/>
    </row>
    <row r="41" spans="2:8" ht="15.6" x14ac:dyDescent="0.3">
      <c r="B41" s="51" t="s">
        <v>29</v>
      </c>
      <c r="C41" s="52" t="s">
        <v>46</v>
      </c>
      <c r="D41" s="51" t="s">
        <v>47</v>
      </c>
      <c r="E41" s="53" t="s">
        <v>48</v>
      </c>
      <c r="F41" s="44"/>
      <c r="G41" s="44"/>
    </row>
    <row r="42" spans="2:8" x14ac:dyDescent="0.25">
      <c r="B42" s="44" t="s">
        <v>29</v>
      </c>
      <c r="C42" s="45" t="s">
        <v>43</v>
      </c>
      <c r="D42" s="57">
        <v>0.15251373063874252</v>
      </c>
      <c r="E42" s="46">
        <v>54223440</v>
      </c>
      <c r="F42" s="44"/>
      <c r="G42" s="44"/>
    </row>
    <row r="43" spans="2:8" x14ac:dyDescent="0.25">
      <c r="B43" s="44" t="s">
        <v>29</v>
      </c>
      <c r="C43" s="45" t="s">
        <v>45</v>
      </c>
      <c r="D43" s="57">
        <v>0.12262768930789344</v>
      </c>
      <c r="E43" s="46">
        <v>43598010</v>
      </c>
      <c r="F43" s="44"/>
      <c r="G43" s="44"/>
    </row>
    <row r="44" spans="2:8" x14ac:dyDescent="0.25">
      <c r="B44" s="44" t="s">
        <v>29</v>
      </c>
      <c r="C44" s="45" t="s">
        <v>46</v>
      </c>
      <c r="D44" s="57">
        <v>0.72485858005336401</v>
      </c>
      <c r="E44" s="46">
        <v>257710080</v>
      </c>
      <c r="F44" s="44"/>
      <c r="G44" s="44"/>
    </row>
    <row r="47" spans="2:8" ht="15.6" x14ac:dyDescent="0.3">
      <c r="B47" s="58"/>
      <c r="C47" s="59"/>
      <c r="D47" s="60" t="s">
        <v>49</v>
      </c>
      <c r="E47" s="61">
        <v>355531530</v>
      </c>
    </row>
    <row r="48" spans="2:8" x14ac:dyDescent="0.25">
      <c r="B48" s="62" t="s">
        <v>50</v>
      </c>
      <c r="C48" s="62"/>
      <c r="D48" s="62"/>
      <c r="E48" s="62"/>
    </row>
    <row r="50" spans="3:5" ht="15.6" x14ac:dyDescent="0.3">
      <c r="C50" s="52" t="s">
        <v>8</v>
      </c>
      <c r="D50" s="51" t="s">
        <v>47</v>
      </c>
      <c r="E50" s="53" t="s">
        <v>48</v>
      </c>
    </row>
    <row r="51" spans="3:5" x14ac:dyDescent="0.25">
      <c r="C51" s="45" t="s">
        <v>51</v>
      </c>
      <c r="D51" s="63">
        <v>0.05</v>
      </c>
      <c r="E51" s="64">
        <v>17776576.5</v>
      </c>
    </row>
    <row r="52" spans="3:5" x14ac:dyDescent="0.25">
      <c r="C52" s="45" t="s">
        <v>52</v>
      </c>
      <c r="D52" s="63">
        <v>0.05</v>
      </c>
      <c r="E52" s="64">
        <v>17776576.5</v>
      </c>
    </row>
    <row r="53" spans="3:5" x14ac:dyDescent="0.25">
      <c r="C53" s="45" t="s">
        <v>53</v>
      </c>
      <c r="D53" s="63">
        <v>0.1</v>
      </c>
      <c r="E53" s="64">
        <v>35553153</v>
      </c>
    </row>
    <row r="54" spans="3:5" x14ac:dyDescent="0.25">
      <c r="C54" s="45" t="s">
        <v>54</v>
      </c>
      <c r="D54" s="63">
        <v>0.19</v>
      </c>
      <c r="E54" s="64">
        <v>6755099.0700000003</v>
      </c>
    </row>
    <row r="55" spans="3:5" ht="15.6" x14ac:dyDescent="0.3">
      <c r="D55" s="65" t="s">
        <v>55</v>
      </c>
      <c r="E55" s="66">
        <v>77861405.069999993</v>
      </c>
    </row>
    <row r="56" spans="3:5" x14ac:dyDescent="0.25">
      <c r="E56" s="64"/>
    </row>
    <row r="57" spans="3:5" ht="15.6" x14ac:dyDescent="0.3">
      <c r="D57" s="51" t="s">
        <v>56</v>
      </c>
      <c r="E57" s="66">
        <v>433392935.06999999</v>
      </c>
    </row>
  </sheetData>
  <dataConsolidate/>
  <mergeCells count="5">
    <mergeCell ref="B1:H1"/>
    <mergeCell ref="B3:G3"/>
    <mergeCell ref="B16:G16"/>
    <mergeCell ref="B30:G30"/>
    <mergeCell ref="B48:E48"/>
  </mergeCells>
  <dataValidations count="1">
    <dataValidation type="list" allowBlank="1" showInputMessage="1" showErrorMessage="1" sqref="C18:C26 C32:C36 C5:C12" xr:uid="{0CB4A5B2-9335-4321-B130-0CEB5318E4F5}">
      <formula1>BD_APUS</formula1>
    </dataValidation>
  </dataValidations>
  <pageMargins left="0.7" right="0.7" top="0.75" bottom="0.75" header="0.3" footer="0.3"/>
  <pageSetup paperSize="9" scale="62" fitToHeight="0" orientation="portrait" cellComments="atEnd" r:id="rId1"/>
  <colBreaks count="1" manualBreakCount="1">
    <brk id="8" max="1048575" man="1"/>
  </colBreaks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INSUMOS</vt:lpstr>
      <vt:lpstr>Hoja1</vt:lpstr>
      <vt:lpstr>BÁSICOS</vt:lpstr>
      <vt:lpstr>APU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Triana</dc:creator>
  <cp:lastModifiedBy>Javier Triana</cp:lastModifiedBy>
  <dcterms:created xsi:type="dcterms:W3CDTF">2025-01-07T20:22:48Z</dcterms:created>
  <dcterms:modified xsi:type="dcterms:W3CDTF">2025-01-07T20:22:50Z</dcterms:modified>
</cp:coreProperties>
</file>