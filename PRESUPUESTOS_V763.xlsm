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4fc35ed2b148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32970E9B-DC9D-4614-8160-B4B3A05DEA0B}" xr6:coauthVersionLast="47" xr6:coauthVersionMax="47" xr10:uidLastSave="{00000000-0000-0000-0000-000000000000}"/>
  <workbookProtection workbookAlgorithmName="SHA-512" workbookHashValue="ZLDK1dUhao8bI4mXOCfaqptecWDUYLxU2iNdIKp3MeE82+Ky6kiAYBMaTt6ARgU3AAFlDNOe7yCJU0mtsfUBvQ==" workbookSaltValue="VA3BZzMUEvPgiGROe6bnoA==" workbookSpinCount="100000" lockStructure="1"/>
  <bookViews>
    <workbookView xWindow="5868" yWindow="-108" windowWidth="17280" windowHeight="8880" tabRatio="992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4" l="1"/>
  <c r="D5" i="104"/>
  <c r="E3" i="10"/>
  <c r="D3" i="10"/>
  <c r="C3" i="10"/>
  <c r="B3" i="10"/>
  <c r="D3" i="4"/>
  <c r="C3" i="4"/>
  <c r="B3" i="4"/>
  <c r="B5" i="102"/>
  <c r="D5" i="102"/>
  <c r="G5" i="102"/>
  <c r="C15" i="104" l="1"/>
  <c r="B15" i="104"/>
  <c r="H9" i="104"/>
  <c r="H8" i="104"/>
  <c r="H7" i="104"/>
  <c r="H6" i="104"/>
  <c r="E7" i="103"/>
  <c r="H7" i="103" s="1"/>
  <c r="E6" i="103"/>
  <c r="H6" i="103" s="1"/>
  <c r="E5" i="103"/>
  <c r="H5" i="103" s="1"/>
  <c r="H8" i="103" s="1"/>
  <c r="E3" i="4" s="1"/>
  <c r="G5" i="104" s="1"/>
  <c r="H5" i="104" s="1"/>
  <c r="H7" i="102"/>
  <c r="E7" i="102"/>
  <c r="H6" i="102"/>
  <c r="E6" i="102"/>
  <c r="E5" i="102"/>
  <c r="H5" i="102" s="1"/>
  <c r="H8" i="102" s="1"/>
  <c r="H10" i="104" l="1"/>
  <c r="E15" i="104" s="1"/>
  <c r="E18" i="104" s="1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<sst xmlns="http://schemas.openxmlformats.org/spreadsheetml/2006/main" count="126" uniqueCount="51">
  <si>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</si>
  <si>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</si>
  <si>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</si>
  <si>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</si>
  <si>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</si>
  <si>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</si>
  <si>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</si>
  <si>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</si>
  <si>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</si>
  <si>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</si>
  <si>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</si>
  <si>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</si>
  <si>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</si>
  <si>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</si>
  <si>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</si>
  <si>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</si>
  <si>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</si>
  <si>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</si>
  <si>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</si>
  <si>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</si>
  <si>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</si>
  <si>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</si>
  <si>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</si>
  <si>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</si>
  <si>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</si>
  <si>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</si>
  <si>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</si>
  <si>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</si>
  <si>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</si>
  <si>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</si>
  <si>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</si>
  <si>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</si>
  <si>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</si>
  <si>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</si>
  <si>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</si>
  <si>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</si>
  <si>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</si>
  <si>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</si>
  <si>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</si>
  <si>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 xml:space="preserve">No se debe permitir eliminar la ultima tabla de apu </t>
  </si>
  <si>
    <t>la primera fila del apu tiene negrilla</t>
  </si>
  <si>
    <t>el nombre del apu debe estar en celdas combinadas sino al ajustar el ancho de las columnas estas quedan muy grandes</t>
  </si>
  <si>
    <t>ok</t>
  </si>
  <si>
    <t>al cargar la plantilla limpia da error al actualizar listas de basicos y apus</t>
  </si>
  <si>
    <t>mejora, en listas apu poder buscar repetidos</t>
  </si>
  <si>
    <t>mejora, poder cambiar nombre de apu con boton para actualizar en todo el proyecto</t>
  </si>
  <si>
    <t>NOMBRE A.P.U.</t>
  </si>
  <si>
    <t>NOMBRE A.P.U. BÁSICO</t>
  </si>
  <si>
    <t>algo</t>
  </si>
  <si>
    <t>kg</t>
  </si>
  <si>
    <t>actualizar listas debe serl el mismo boton para basicos y para apu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</si>
</sst>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2" fillId="2" borderId="0" xfId="0" applyFont="1" applyFill="1"/>
    <xf numFmtId="164" fontId="2" fillId="2" borderId="0" xfId="0" applyNumberFormat="1" applyFont="1" applyFill="1"/>
    <xf numFmtId="0" fontId="10" fillId="0" borderId="0" xfId="9" applyFont="1"/>
    <xf numFmtId="0" fontId="8" fillId="0" borderId="0" xfId="9" applyAlignment="1">
      <alignment horizontal="center" vertical="center"/>
    </xf>
    <xf numFmtId="41" fontId="8" fillId="0" borderId="0" xfId="9" applyNumberFormat="1"/>
    <xf numFmtId="41" fontId="7" fillId="0" borderId="0" xfId="11" applyNumberFormat="1"/>
    <xf numFmtId="0" fontId="2" fillId="0" borderId="0" xfId="0" applyNumberFormat="1" applyFont="1" applyBorder="1" applyAlignment="1">
      <alignment horizontal="left"/>
    </xf>
    <xf numFmtId="0" fontId="8" fillId="0" borderId="0" xfId="9" applyNumberFormat="1"/>
    <xf numFmtId="0" fontId="0" fillId="0" borderId="0" xfId="0" applyNumberFormat="1"/>
    <xf numFmtId="164" fontId="0" fillId="0" borderId="0" xfId="0" applyNumberFormat="1" applyBorder="1" applyAlignment="1">
      <alignment horizontal="left"/>
    </xf>
    <xf numFmtId="41" fontId="6" fillId="0" borderId="0" xfId="0" applyNumberFormat="1" applyFont="1" applyFill="1" applyAlignment="1">
      <alignment horizontal="left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10" fillId="0" borderId="13" xfId="9" applyFont="1" applyBorder="1" applyAlignment="1">
      <alignment horizontal="left" vertical="top"/>
    </xf>
    <xf numFmtId="164" fontId="2" fillId="0" borderId="14" xfId="11" applyNumberFormat="1" applyFont="1" applyBorder="1" applyAlignment="1">
      <alignment horizontal="left" vertical="top"/>
    </xf>
    <xf numFmtId="0" fontId="2" fillId="0" borderId="0" xfId="11" applyFont="1"/>
    <xf numFmtId="0" fontId="10" fillId="0" borderId="0" xfId="9" applyFont="1" applyAlignment="1">
      <alignment vertical="center"/>
    </xf>
    <xf numFmtId="164" fontId="2" fillId="0" borderId="0" xfId="11" applyNumberFormat="1" applyFont="1"/>
    <xf numFmtId="0" fontId="10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41" fontId="6" fillId="0" borderId="0" xfId="13" applyNumberFormat="1" applyFont="1" applyAlignment="1">
      <alignment horizontal="center"/>
    </xf>
    <xf numFmtId="41" fontId="5" fillId="0" borderId="0" xfId="13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9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4"/>
      <tableStyleElement type="headerRow" dxfId="123"/>
    </tableStyle>
    <tableStyle name="S5S Green" pivot="0" count="2" xr9:uid="{00000000-0011-0000-FFFF-FFFF02000000}">
      <tableStyleElement type="wholeTable" dxfId="122"/>
      <tableStyleElement type="headerRow" dxfId="121"/>
    </tableStyle>
    <tableStyle name="S5S Greenblue" pivot="0" count="2" xr9:uid="{00000000-0011-0000-FFFF-FFFF03000000}">
      <tableStyleElement type="wholeTable" dxfId="120"/>
      <tableStyleElement type="headerRow" dxfId="119"/>
    </tableStyle>
    <tableStyle name="S5S2" pivot="0" count="2" xr9:uid="{00000000-0011-0000-FFFF-FFFF04000000}">
      <tableStyleElement type="wholeTable" dxfId="118"/>
      <tableStyleElement type="headerRow" dxfId="117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91063D-6478-42FD-BF42-B890A082AE7F}" name="T_mat" displayName="T_mat" ref="A4:E11" totalsRowShown="0" headerRowDxfId="116">
  <autoFilter ref="A4:E11" xr:uid="{4391063D-6478-42FD-BF42-B890A082AE7F}"/>
  <sortState xmlns:xlrd2="http://schemas.microsoft.com/office/spreadsheetml/2017/richdata2" ref="A5:E89">
    <sortCondition ref="A3:A88"/>
  </sortState>
  <tableColumns count="5">
    <tableColumn id="1" xr3:uid="{2AC869C6-7181-4590-9AC7-69E269E17EAF}" name="DESCRIPCIÓN" dataDxfId="115"/>
    <tableColumn id="2" xr3:uid="{31E761F6-2548-44F2-8F92-D5634E687A4C}" name="CÓDIGO" dataDxfId="114"/>
    <tableColumn id="3" xr3:uid="{B8048D5F-DB9D-4058-AD90-5584D21B599A}" name="UNIDAD" dataDxfId="113"/>
    <tableColumn id="4" xr3:uid="{BC2AFB55-E162-41EB-892D-7B39A0057E41}" name="PRECIO" dataDxfId="112"/>
    <tableColumn id="5" xr3:uid="{05F42EDD-24FF-47EE-A285-5F7A70777ADD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66B270-3659-441E-985F-A659C797272B}" name="T_equipos" displayName="T_equipos" ref="G4:K11" totalsRowShown="0" headerRowDxfId="111">
  <autoFilter ref="G4:K11" xr:uid="{7566B270-3659-441E-985F-A659C797272B}"/>
  <tableColumns count="5">
    <tableColumn id="1" xr3:uid="{3063B082-60E6-4267-B280-190CFBCD9CF0}" name="DESCRIPCIÓN" dataDxfId="110"/>
    <tableColumn id="2" xr3:uid="{89058A46-EFF2-405F-BA04-6D64710664F8}" name="CÓDIGO" dataDxfId="109"/>
    <tableColumn id="3" xr3:uid="{334D33BC-2096-4B67-86E1-31964B8D36C6}" name="UNIDAD" dataDxfId="108"/>
    <tableColumn id="4" xr3:uid="{1004621B-BD62-4D6D-A8E9-5CEE37FA1C5C}" name="PRECIO" dataDxfId="107"/>
    <tableColumn id="5" xr3:uid="{8113DAD2-ACCF-4910-B581-01CC1500ECD9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A06B3-CADC-4833-BF11-6D1DB40254AE}" name="T_mano" displayName="T_mano" ref="M4:Q11" totalsRowShown="0" headerRowDxfId="106">
  <autoFilter ref="M4:Q11" xr:uid="{A03A06B3-CADC-4833-BF11-6D1DB40254AE}"/>
  <sortState xmlns:xlrd2="http://schemas.microsoft.com/office/spreadsheetml/2017/richdata2" ref="M5:Q19">
    <sortCondition ref="N4"/>
  </sortState>
  <tableColumns count="5">
    <tableColumn id="1" xr3:uid="{6E690446-B4BF-47DB-A57A-AAF6777FBB83}" name="DESCRIPCIÓN" dataDxfId="105"/>
    <tableColumn id="2" xr3:uid="{808C3C53-F6FA-41A2-BCA3-0629F7847B97}" name="CÓDIGO" dataDxfId="104"/>
    <tableColumn id="3" xr3:uid="{97BD9235-B062-4073-8FF2-E917F3A5303A}" name="UNIDAD" dataDxfId="103"/>
    <tableColumn id="4" xr3:uid="{55B15EBD-B01B-4510-9A54-08792DADFA39}" name="PRECIO" dataDxfId="102"/>
    <tableColumn id="5" xr3:uid="{99561726-589A-4787-86BB-F31238893C4A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593ED1-8A4E-470C-8A93-766DBF3F5B75}" name="T_trans" displayName="T_trans" ref="S4:W11" totalsRowShown="0" headerRowDxfId="101">
  <autoFilter ref="S4:W11" xr:uid="{3F593ED1-8A4E-470C-8A93-766DBF3F5B75}"/>
  <sortState xmlns:xlrd2="http://schemas.microsoft.com/office/spreadsheetml/2017/richdata2" ref="S5:W15">
    <sortCondition ref="T4:T15"/>
  </sortState>
  <tableColumns count="5">
    <tableColumn id="1" xr3:uid="{C936638E-5DFD-4C1D-A3A2-818B6A75E5C6}" name="DESCRIPCIÓN" dataDxfId="100"/>
    <tableColumn id="2" xr3:uid="{5A72A435-B9B3-4903-BF32-B19566842D4E}" name="CÓDIGO" dataDxfId="99"/>
    <tableColumn id="3" xr3:uid="{068C8792-3773-4F28-BC5C-5002B4F08CDD}" name="UNIDAD" dataDxfId="98"/>
    <tableColumn id="4" xr3:uid="{7DBD3B89-BB63-4CCF-B86E-3F954631A758}" name="PRECIO" dataDxfId="97"/>
    <tableColumn id="5" xr3:uid="{C1BE1723-AB5D-4B41-A8CB-25E4EA20D55A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25EB1E-1E75-4BE7-9489-B58922F03CC0}" name="T_sub" displayName="T_sub" ref="Y4:AC11" totalsRowShown="0" headerRowDxfId="96">
  <autoFilter ref="Y4:AC11" xr:uid="{AA25EB1E-1E75-4BE7-9489-B58922F03CC0}"/>
  <sortState xmlns:xlrd2="http://schemas.microsoft.com/office/spreadsheetml/2017/richdata2" ref="Y5:AC18">
    <sortCondition ref="Z4"/>
  </sortState>
  <tableColumns count="5">
    <tableColumn id="1" xr3:uid="{0658A21B-DDBA-4B23-9748-FC3BABEE0098}" name="DESCRIPCIÓN" dataDxfId="95"/>
    <tableColumn id="2" xr3:uid="{F533A24F-70E5-4174-A51C-D12CCF1BC70B}" name="CÓDIGO" dataDxfId="94"/>
    <tableColumn id="3" xr3:uid="{807E43D7-F2BA-4E88-8D2A-94E0EDD9C1BD}" name="UNIDAD" dataDxfId="93"/>
    <tableColumn id="4" xr3:uid="{7609B23A-8ECD-4201-9251-42A2CC0A9FE0}" name="PRECIO" dataDxfId="92"/>
    <tableColumn id="5" xr3:uid="{D5A02305-0F2B-475E-B471-A2465B849358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38CE3B-E9C0-4EDD-A966-10F89F9407C2}" name="T_otros" displayName="T_otros" ref="AK4:AO11" totalsRowShown="0" headerRowDxfId="91">
  <autoFilter ref="AK4:AO11" xr:uid="{DE38CE3B-E9C0-4EDD-A966-10F89F9407C2}"/>
  <sortState xmlns:xlrd2="http://schemas.microsoft.com/office/spreadsheetml/2017/richdata2" ref="AK5:AO18">
    <sortCondition ref="AL4"/>
  </sortState>
  <tableColumns count="5">
    <tableColumn id="1" xr3:uid="{73CD1010-F218-47FF-977D-47B2B9939312}" name="DESCRIPCIÓN" dataDxfId="90"/>
    <tableColumn id="2" xr3:uid="{A5EBAB58-B5A9-436A-BFB3-FEA47104FC13}" name="CÓDIGO" dataDxfId="89"/>
    <tableColumn id="3" xr3:uid="{59875EBE-C0B0-4343-960C-0B75969581C6}" name="UNIDAD" dataDxfId="88"/>
    <tableColumn id="4" xr3:uid="{6640EEB2-0B23-4B5D-A440-874FEB685B24}" name="PRECIO" dataDxfId="87"/>
    <tableColumn id="5" xr3:uid="{9CAEFF1F-5BEC-4B93-A993-E3C4EECF6C6F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FAC69-611A-4648-A77B-EA70059AC770}" name="T_act" displayName="T_act" ref="AE4:AI11" totalsRowShown="0" headerRowDxfId="86">
  <autoFilter ref="AE4:AI11" xr:uid="{C1DFAC69-611A-4648-A77B-EA70059AC770}"/>
  <sortState xmlns:xlrd2="http://schemas.microsoft.com/office/spreadsheetml/2017/richdata2" ref="AE5:AI15">
    <sortCondition ref="AE4:AE15"/>
  </sortState>
  <tableColumns count="5">
    <tableColumn id="1" xr3:uid="{BDBCD4B0-B4DD-4D21-8554-19E90A45600F}" name="DESCRIPCIÓN" dataDxfId="85"/>
    <tableColumn id="2" xr3:uid="{37A088B3-5D94-4E7D-8D8E-B348BC37C8FC}" name="CÓDIGO" dataDxfId="84"/>
    <tableColumn id="3" xr3:uid="{98A195FE-3E44-4B04-B1FB-6D0C62BE1999}" name="UNIDAD" dataDxfId="83"/>
    <tableColumn id="4" xr3:uid="{A263CEAC-728E-448C-957D-1012BC98291F}" name="PRECIO" dataDxfId="82"/>
    <tableColumn id="5" xr3:uid="{04D66A5B-5564-4CC7-9461-79B57C2A520C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AC6F1D-30A4-4750-A73C-70385E3A6C9C}" name="Tabla3" displayName="Tabla3" ref="A4:H8" totalsRowCount="1" headerRowDxfId="81">
  <autoFilter ref="A4:H7" xr:uid="{8EAC6F1D-30A4-4750-A73C-70385E3A6C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705CFB-3B55-4A79-B6C3-5FE066DB3E6A}" name="TIPO" totalsRowLabel="Total" totalsRowDxfId="80"/>
    <tableColumn id="2" xr3:uid="{A801B3A0-A31A-4135-A6D3-D97330D1B010}" name="CÓDIGO"/>
    <tableColumn id="3" xr3:uid="{551DC225-6D88-4F9A-AAE8-EF6319366809}" name="DESCRIPCIÓN"/>
    <tableColumn id="4" xr3:uid="{7F742635-7937-4A50-A17E-C085536E86A8}" name="UNIDAD" dataDxfId="79"/>
    <tableColumn id="5" xr3:uid="{0A662240-1840-4175-BAD3-E35D1804138B}" name="FACTOR" dataDxfId="78">
      <calculatedColumnFormula xml:space="preserve"> 1</calculatedColumnFormula>
    </tableColumn>
    <tableColumn id="6" xr3:uid="{1C695D62-966D-486B-A73B-43381B3C1866}" name="CANTIDAD" dataDxfId="77"/>
    <tableColumn id="7" xr3:uid="{A775B833-5592-402C-966D-65B3E2201115}" name="PRECIO" dataDxfId="76" totalsRowDxfId="75"/>
    <tableColumn id="8" xr3:uid="{342A9E96-F677-41A8-AFDB-69C5A00851BF}" name="TOTAL" totalsRowFunction="custom" dataDxfId="74" totalsRowDxfId="73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EEFBC8-C9FE-4FB1-ADF6-991F1E687B8B}" name="Tabla5" displayName="Tabla5" ref="A4:H8" totalsRowCount="1" headerRowDxfId="72" headerRowCellStyle="Normal 41" dataCellStyle="Normal 41">
  <autoFilter ref="A4:H7" xr:uid="{3AEEFBC8-C9FE-4FB1-ADF6-991F1E687B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2B3BA60-DDF4-4D32-A949-18E817303C07}" name="TIPO" totalsRowLabel="Total" totalsRowDxfId="7" dataCellStyle="Normal 41"/>
    <tableColumn id="2" xr3:uid="{8ACF4A8E-0866-4CCF-80F0-C0414EB35468}" name="CÓDIGO" totalsRowDxfId="6" dataCellStyle="Normal 12 3"/>
    <tableColumn id="3" xr3:uid="{B882E76A-F14B-4633-800E-3DA1422BF65E}" name="DESCRIPCIÓN" dataDxfId="71" totalsRowDxfId="5" dataCellStyle="Normal 41"/>
    <tableColumn id="4" xr3:uid="{D3A42F55-EFB3-45DB-8720-1381ECBCFE2A}" name="UNIDAD" dataDxfId="70" totalsRowDxfId="4" dataCellStyle="Normal 41"/>
    <tableColumn id="5" xr3:uid="{6BA1949E-29CB-4904-AFFE-5A4EA908CE50}" name="FACTOR" dataDxfId="69" totalsRowDxfId="3" dataCellStyle="Normal 41">
      <calculatedColumnFormula xml:space="preserve"> 1</calculatedColumnFormula>
    </tableColumn>
    <tableColumn id="6" xr3:uid="{1C7C6DD7-6C73-4797-A415-DC76803BBBD9}" name="CANTIDAD" dataDxfId="68" totalsRowDxfId="2" dataCellStyle="Normal 41"/>
    <tableColumn id="7" xr3:uid="{D1EAA3B4-4D3B-49B5-8288-ED0B83933205}" name="PRECIO" dataDxfId="67" totalsRowDxfId="1" dataCellStyle="Normal 41"/>
    <tableColumn id="8" xr3:uid="{2F93EF9C-5B69-4C4A-B2F9-6F33BE0209BF}" name="TOTAL" totalsRowFunction="custom" dataDxfId="66" totalsRowDxfId="0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DEA55AD-F7CF-476D-BB73-3F297316520C}" name="Tabla7" displayName="Tabla7" ref="B4:H10" totalsRowCount="1" headerRowDxfId="65" dataDxfId="64" totalsRowDxfId="63">
  <autoFilter ref="B4:H9" xr:uid="{BDEA55AD-F7CF-476D-BB73-3F29731652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18B4300-E0F9-4043-857B-6CD657D56F3A}" name="CÓDIGO" totalsRowLabel="Total" dataDxfId="62" totalsRowDxfId="61"/>
    <tableColumn id="2" xr3:uid="{156E7654-50B2-4725-A649-3F982A583487}" name="DESCRIPCIÓN" dataDxfId="60" totalsRowDxfId="59"/>
    <tableColumn id="3" xr3:uid="{89405FEA-442E-4022-ABC7-1AF31FCBAA96}" name="UNIDAD" dataDxfId="58" totalsRowDxfId="57"/>
    <tableColumn id="4" xr3:uid="{3AD46F30-6A9E-4259-9AAF-1A36035F3777}" name="FACTOR" dataDxfId="56" totalsRowDxfId="55"/>
    <tableColumn id="5" xr3:uid="{2137B98D-50C8-4B9A-9B49-52C1B5108CE3}" name="CANTIDAD" dataDxfId="54" totalsRowDxfId="53"/>
    <tableColumn id="6" xr3:uid="{F7EDE072-BF0F-4292-A8A5-E89BF4E81D6F}" name="COSTO" dataDxfId="52" totalsRowDxfId="51"/>
    <tableColumn id="7" xr3:uid="{C76D502C-F986-41EB-85E8-EF3B44442680}" name="TOTAL" totalsRowFunction="custom" dataDxfId="50" totalsRowDxfId="49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2B9F18-450A-4863-AA45-9EB25E82475C}" name="Tabla12" displayName="Tabla12" ref="B14:E18" totalsRowShown="0" headerRowDxfId="48" dataDxfId="47">
  <autoFilter ref="B14:E18" xr:uid="{382B9F18-450A-4863-AA45-9EB25E82475C}">
    <filterColumn colId="0" hiddenButton="1"/>
    <filterColumn colId="1" hiddenButton="1"/>
    <filterColumn colId="2" hiddenButton="1"/>
    <filterColumn colId="3" hiddenButton="1"/>
  </autoFilter>
  <tableColumns count="4">
    <tableColumn id="1" xr3:uid="{4A612080-2489-470C-AEBB-92A77245C448}" name="CÓD" dataDxfId="46"/>
    <tableColumn id="2" xr3:uid="{E7965E93-60E3-4A82-A08D-2123B18FEA3F}" name="CAPÍTULO" dataDxfId="45"/>
    <tableColumn id="3" xr3:uid="{4A781A13-D4A2-4A52-9B81-E9753A3C240C}" name="PORCENTAJE" dataDxfId="44"/>
    <tableColumn id="4" xr3:uid="{5273304D-C9E8-4AF3-AF7B-C70B90544DA3}" name="SUBTOTAL" dataDxfId="4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7FDCC8-941D-45C0-B780-F4ACCAA6ACB3}" name="Tabla13" displayName="Tabla13" ref="C21:E28" totalsRowShown="0" headerRowDxfId="42" dataDxfId="41">
  <autoFilter ref="C21:E28" xr:uid="{EB7FDCC8-941D-45C0-B780-F4ACCAA6ACB3}">
    <filterColumn colId="0" hiddenButton="1"/>
    <filterColumn colId="1" hiddenButton="1"/>
    <filterColumn colId="2" hiddenButton="1"/>
  </autoFilter>
  <tableColumns count="3">
    <tableColumn id="1" xr3:uid="{2DE5CB66-FD35-46A6-978E-CA22551624A2}" name="DESCRIPCIÓN" dataDxfId="40"/>
    <tableColumn id="2" xr3:uid="{49A77311-C84D-4EDF-9CFC-F9B88A80CE75}" name="PORCENTAJE" dataDxfId="39"/>
    <tableColumn id="3" xr3:uid="{A30976B2-640A-4D3E-92CF-554F9786B319}" name="SUBTOTAL" dataDxfId="38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37" dataDxfId="35" headerRowBorderDxfId="36" tableBorderDxfId="34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33" totalsRowDxfId="32"/>
    <tableColumn id="2" xr3:uid="{00000000-0010-0000-0C00-000002000000}" name="CÓDIGO" totalsRowDxfId="31"/>
    <tableColumn id="3" xr3:uid="{00000000-0010-0000-0C00-000003000000}" name="UNIDAD " totalsRowDxfId="30"/>
    <tableColumn id="4" xr3:uid="{00000000-0010-0000-0C00-000004000000}" name="COSTO" dataDxfId="29" totalsRowDxfId="28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5" headerRowDxfId="27" dataDxfId="26" tableBorderDxfId="25">
  <autoFilter ref="B2:E5" xr:uid="{00000000-0009-0000-0100-000006000000}"/>
  <sortState xmlns:xlrd2="http://schemas.microsoft.com/office/spreadsheetml/2017/richdata2" ref="B3:E5">
    <sortCondition ref="B2:B5"/>
  </sortState>
  <tableColumns count="4">
    <tableColumn id="1" xr3:uid="{00000000-0010-0000-0D00-000001000000}" name="DESCRIPCIÓN" dataDxfId="24" totalsRowDxfId="23"/>
    <tableColumn id="2" xr3:uid="{00000000-0010-0000-0D00-000002000000}" name="CÓDIGO" totalsRowDxfId="22"/>
    <tableColumn id="3" xr3:uid="{00000000-0010-0000-0D00-000003000000}" name="UNIDAD " totalsRowDxfId="21"/>
    <tableColumn id="4" xr3:uid="{00000000-0010-0000-0D00-000004000000}" name="COSTO" dataDxfId="20" totalsRowDxfId="19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8" totalsRowDxfId="17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16"/>
    <tableColumn id="2" xr3:uid="{00000000-0010-0000-0E00-000002000000}" name="UNIDAD" dataDxfId="15" totalsRowDxfId="14"/>
    <tableColumn id="3" xr3:uid="{00000000-0010-0000-0E00-000003000000}" name="PRECIO" dataDxfId="13" totalsRowDxfId="12"/>
    <tableColumn id="4" xr3:uid="{00000000-0010-0000-0E00-000004000000}" name="CANTIDAD" dataDxfId="11" totalsRowDxfId="10"/>
    <tableColumn id="5" xr3:uid="{00000000-0010-0000-0E00-000005000000}" name="TOTAL" totalsRowFunction="sum" dataDxfId="9" totalsRowDxfId="8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40" zoomScaleNormal="40" zoomScaleSheetLayoutView="50" workbookViewId="0">
      <selection activeCell="B12" sqref="B12"/>
    </sheetView>
  </sheetViews>
  <sheetFormatPr baseColWidth="10" defaultColWidth="8.6640625" defaultRowHeight="14.4" x14ac:dyDescent="0.3"/>
  <cols>
    <col min="1" max="1" width="30.5546875" style="16" customWidth="1"/>
    <col min="2" max="2" width="40.77734375" style="16" customWidth="1"/>
    <col min="3" max="3" width="13.6640625" style="17" bestFit="1" customWidth="1"/>
    <col min="4" max="4" width="10.44140625" style="31" bestFit="1" customWidth="1"/>
    <col min="5" max="5" width="9.6640625" bestFit="1" customWidth="1"/>
    <col min="6" max="6" width="1.6640625" customWidth="1"/>
    <col min="7" max="7" width="28.33203125" style="16" bestFit="1" customWidth="1"/>
    <col min="8" max="8" width="15" style="16" customWidth="1"/>
    <col min="9" max="9" width="15" style="17" customWidth="1"/>
    <col min="10" max="10" width="12.109375" style="34" customWidth="1"/>
    <col min="11" max="11" width="15" customWidth="1"/>
    <col min="12" max="12" width="1.109375" customWidth="1"/>
    <col min="13" max="13" width="28" style="16" customWidth="1"/>
    <col min="14" max="14" width="10.5546875" style="16" bestFit="1" customWidth="1"/>
    <col min="15" max="15" width="13.109375" style="17" bestFit="1" customWidth="1"/>
    <col min="16" max="16" width="12.109375" style="34" bestFit="1" customWidth="1"/>
    <col min="17" max="17" width="12" bestFit="1" customWidth="1"/>
    <col min="18" max="18" width="1.44140625" customWidth="1"/>
    <col min="19" max="19" width="31.33203125" style="16" bestFit="1" customWidth="1"/>
    <col min="20" max="20" width="10.5546875" style="16" bestFit="1" customWidth="1"/>
    <col min="21" max="21" width="13.109375" style="17" bestFit="1" customWidth="1"/>
    <col min="22" max="22" width="11.109375" style="34" bestFit="1" customWidth="1"/>
    <col min="23" max="23" width="11.5546875" bestFit="1" customWidth="1"/>
    <col min="24" max="24" width="1.33203125" customWidth="1"/>
    <col min="25" max="25" width="34.109375" style="16" customWidth="1"/>
    <col min="26" max="26" width="10.5546875" style="16" bestFit="1" customWidth="1"/>
    <col min="27" max="27" width="13.109375" style="17" bestFit="1" customWidth="1"/>
    <col min="28" max="28" width="12.109375" style="34" customWidth="1"/>
    <col min="29" max="29" width="11.5546875" bestFit="1" customWidth="1"/>
    <col min="30" max="30" width="1.33203125" customWidth="1"/>
    <col min="31" max="31" width="36.109375" style="16" customWidth="1"/>
    <col min="32" max="32" width="10.5546875" style="16" bestFit="1" customWidth="1"/>
    <col min="33" max="33" width="13.109375" style="17" bestFit="1" customWidth="1"/>
    <col min="34" max="34" width="12.109375" style="34" bestFit="1" customWidth="1"/>
    <col min="35" max="35" width="11.5546875" bestFit="1" customWidth="1"/>
    <col min="36" max="36" width="1.44140625" customWidth="1"/>
    <col min="37" max="37" width="28.88671875" style="16" customWidth="1"/>
    <col min="38" max="38" width="10.5546875" style="16" bestFit="1" customWidth="1"/>
    <col min="39" max="39" width="13.109375" style="17" bestFit="1" customWidth="1"/>
    <col min="40" max="40" width="11.109375" style="34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9" t="s">
        <v>34</v>
      </c>
      <c r="B1" s="79"/>
      <c r="C1" s="79"/>
      <c r="D1" s="79"/>
      <c r="E1" s="79"/>
    </row>
    <row r="2" spans="1:43" ht="3" customHeight="1" thickBot="1" x14ac:dyDescent="0.35"/>
    <row r="3" spans="1:43" ht="18.600000000000001" thickBot="1" x14ac:dyDescent="0.4">
      <c r="A3" s="80" t="s">
        <v>4</v>
      </c>
      <c r="B3" s="81"/>
      <c r="C3" s="81"/>
      <c r="D3" s="81"/>
      <c r="E3" s="82"/>
      <c r="G3" s="80" t="s">
        <v>5</v>
      </c>
      <c r="H3" s="81"/>
      <c r="I3" s="81"/>
      <c r="J3" s="81"/>
      <c r="K3" s="82"/>
      <c r="M3" s="80" t="s">
        <v>6</v>
      </c>
      <c r="N3" s="81"/>
      <c r="O3" s="81"/>
      <c r="P3" s="81"/>
      <c r="Q3" s="82"/>
      <c r="S3" s="80" t="s">
        <v>7</v>
      </c>
      <c r="T3" s="81"/>
      <c r="U3" s="81"/>
      <c r="V3" s="81"/>
      <c r="W3" s="82"/>
      <c r="Y3" s="80" t="s">
        <v>8</v>
      </c>
      <c r="Z3" s="81"/>
      <c r="AA3" s="81"/>
      <c r="AB3" s="81"/>
      <c r="AC3" s="82"/>
      <c r="AD3" s="17"/>
      <c r="AE3" s="80" t="s">
        <v>9</v>
      </c>
      <c r="AF3" s="81"/>
      <c r="AG3" s="81"/>
      <c r="AH3" s="81"/>
      <c r="AI3" s="82"/>
      <c r="AK3" s="80" t="s">
        <v>10</v>
      </c>
      <c r="AL3" s="81"/>
      <c r="AM3" s="81"/>
      <c r="AN3" s="81"/>
      <c r="AO3" s="82"/>
      <c r="AP3" s="43"/>
      <c r="AQ3" s="43"/>
    </row>
    <row r="4" spans="1:43" ht="15.6" x14ac:dyDescent="0.3">
      <c r="A4" s="19" t="s">
        <v>1</v>
      </c>
      <c r="B4" s="19" t="s">
        <v>0</v>
      </c>
      <c r="C4" s="20" t="s">
        <v>11</v>
      </c>
      <c r="D4" s="44" t="s">
        <v>12</v>
      </c>
      <c r="E4" s="21" t="s">
        <v>13</v>
      </c>
      <c r="G4" s="19" t="s">
        <v>1</v>
      </c>
      <c r="H4" s="19" t="s">
        <v>0</v>
      </c>
      <c r="I4" s="20" t="s">
        <v>11</v>
      </c>
      <c r="J4" s="45" t="s">
        <v>12</v>
      </c>
      <c r="K4" s="21" t="s">
        <v>13</v>
      </c>
      <c r="M4" s="22" t="s">
        <v>1</v>
      </c>
      <c r="N4" s="22" t="s">
        <v>0</v>
      </c>
      <c r="O4" s="23" t="s">
        <v>11</v>
      </c>
      <c r="P4" s="35" t="s">
        <v>12</v>
      </c>
      <c r="Q4" s="24" t="s">
        <v>13</v>
      </c>
      <c r="S4" s="22" t="s">
        <v>1</v>
      </c>
      <c r="T4" s="22" t="s">
        <v>0</v>
      </c>
      <c r="U4" s="23" t="s">
        <v>11</v>
      </c>
      <c r="V4" s="35" t="s">
        <v>12</v>
      </c>
      <c r="W4" s="24" t="s">
        <v>13</v>
      </c>
      <c r="Y4" s="22" t="s">
        <v>1</v>
      </c>
      <c r="Z4" s="22" t="s">
        <v>0</v>
      </c>
      <c r="AA4" s="23" t="s">
        <v>11</v>
      </c>
      <c r="AB4" s="35" t="s">
        <v>12</v>
      </c>
      <c r="AC4" s="24" t="s">
        <v>13</v>
      </c>
      <c r="AE4" s="22" t="s">
        <v>1</v>
      </c>
      <c r="AF4" s="22" t="s">
        <v>0</v>
      </c>
      <c r="AG4" s="23" t="s">
        <v>11</v>
      </c>
      <c r="AH4" s="35" t="s">
        <v>12</v>
      </c>
      <c r="AI4" s="24" t="s">
        <v>13</v>
      </c>
      <c r="AK4" s="22" t="s">
        <v>1</v>
      </c>
      <c r="AL4" s="22" t="s">
        <v>0</v>
      </c>
      <c r="AM4" s="23" t="s">
        <v>11</v>
      </c>
      <c r="AN4" s="35" t="s">
        <v>12</v>
      </c>
      <c r="AO4" s="24" t="s">
        <v>13</v>
      </c>
    </row>
    <row r="5" spans="1:43" ht="15.6" x14ac:dyDescent="0.3">
      <c r="A5" s="19" t="s">
        <v>48</v>
      </c>
      <c r="B5" s="19"/>
      <c r="C5" s="20" t="s">
        <v>49</v>
      </c>
      <c r="D5" s="44">
        <v>30</v>
      </c>
      <c r="E5" s="46"/>
      <c r="G5" s="19"/>
      <c r="H5" s="19"/>
      <c r="I5" s="20"/>
      <c r="J5" s="44"/>
      <c r="K5" s="46"/>
      <c r="M5" s="19"/>
      <c r="N5" s="19"/>
      <c r="O5" s="20"/>
      <c r="P5" s="44"/>
      <c r="Q5" s="46"/>
      <c r="S5" s="22"/>
      <c r="T5" s="22"/>
      <c r="U5" s="23"/>
      <c r="V5" s="35"/>
      <c r="W5" s="24"/>
      <c r="Y5" s="22"/>
      <c r="Z5" s="22"/>
      <c r="AA5" s="23"/>
      <c r="AB5" s="35"/>
      <c r="AC5" s="24"/>
      <c r="AE5" s="22"/>
      <c r="AF5" s="22"/>
      <c r="AG5" s="23"/>
      <c r="AH5" s="35"/>
      <c r="AI5" s="24"/>
      <c r="AK5" s="22"/>
      <c r="AL5" s="22"/>
      <c r="AM5" s="23"/>
      <c r="AN5" s="35"/>
      <c r="AO5" s="24"/>
    </row>
    <row r="6" spans="1:43" ht="15.6" x14ac:dyDescent="0.3">
      <c r="A6" s="19"/>
      <c r="B6" s="19"/>
      <c r="C6" s="20"/>
      <c r="D6" s="44"/>
      <c r="E6" s="46"/>
      <c r="G6" s="19"/>
      <c r="H6" s="19"/>
      <c r="I6" s="20"/>
      <c r="J6" s="45"/>
      <c r="K6" s="21"/>
      <c r="M6" s="22"/>
      <c r="N6" s="22"/>
      <c r="O6" s="23"/>
      <c r="P6" s="35"/>
      <c r="Q6" s="24"/>
      <c r="S6" s="22"/>
      <c r="T6" s="22"/>
      <c r="U6" s="23"/>
      <c r="V6" s="35"/>
      <c r="W6" s="24"/>
      <c r="Y6" s="22"/>
      <c r="Z6" s="22"/>
      <c r="AA6" s="23"/>
      <c r="AB6" s="35"/>
      <c r="AC6" s="24"/>
      <c r="AE6" s="22"/>
      <c r="AF6" s="22"/>
      <c r="AG6" s="23"/>
      <c r="AH6" s="35"/>
      <c r="AI6" s="24"/>
      <c r="AK6" s="22"/>
      <c r="AL6" s="22"/>
      <c r="AM6" s="23"/>
      <c r="AN6" s="35"/>
      <c r="AO6" s="24"/>
    </row>
    <row r="7" spans="1:43" ht="15.6" x14ac:dyDescent="0.3">
      <c r="A7" s="19"/>
      <c r="B7" s="19"/>
      <c r="C7" s="20"/>
      <c r="D7" s="44"/>
      <c r="E7" s="21"/>
      <c r="G7" s="19"/>
      <c r="H7" s="19"/>
      <c r="I7" s="20"/>
      <c r="J7" s="45"/>
      <c r="K7" s="21"/>
      <c r="M7" s="22"/>
      <c r="N7" s="22"/>
      <c r="O7" s="23"/>
      <c r="P7" s="35"/>
      <c r="Q7" s="24"/>
      <c r="S7" s="22"/>
      <c r="T7" s="22"/>
      <c r="U7" s="23"/>
      <c r="V7" s="35"/>
      <c r="W7" s="24"/>
      <c r="Y7" s="22"/>
      <c r="Z7" s="22"/>
      <c r="AA7" s="23"/>
      <c r="AB7" s="35"/>
      <c r="AC7" s="24"/>
      <c r="AE7" s="22"/>
      <c r="AF7" s="22"/>
      <c r="AG7" s="23"/>
      <c r="AH7" s="35"/>
      <c r="AI7" s="24"/>
      <c r="AK7" s="22"/>
      <c r="AL7" s="22"/>
      <c r="AM7" s="23"/>
      <c r="AN7" s="35"/>
      <c r="AO7" s="24"/>
    </row>
    <row r="8" spans="1:43" ht="15.6" x14ac:dyDescent="0.3">
      <c r="A8" s="19"/>
      <c r="B8" s="19"/>
      <c r="C8" s="20"/>
      <c r="D8" s="44"/>
      <c r="E8" s="21"/>
      <c r="G8" s="19"/>
      <c r="H8" s="19"/>
      <c r="I8" s="20"/>
      <c r="J8" s="45"/>
      <c r="K8" s="21"/>
      <c r="M8" s="22"/>
      <c r="N8" s="22"/>
      <c r="O8" s="23"/>
      <c r="P8" s="35"/>
      <c r="Q8" s="24"/>
      <c r="S8" s="22"/>
      <c r="T8" s="22"/>
      <c r="U8" s="23"/>
      <c r="V8" s="35"/>
      <c r="W8" s="24"/>
      <c r="Y8" s="22"/>
      <c r="Z8" s="22"/>
      <c r="AA8" s="23"/>
      <c r="AB8" s="35"/>
      <c r="AC8" s="24"/>
      <c r="AE8" s="22"/>
      <c r="AF8" s="22"/>
      <c r="AG8" s="23"/>
      <c r="AH8" s="35"/>
      <c r="AI8" s="24"/>
      <c r="AK8" s="22"/>
      <c r="AL8" s="22"/>
      <c r="AM8" s="23"/>
      <c r="AN8" s="35"/>
      <c r="AO8" s="24"/>
    </row>
    <row r="9" spans="1:43" ht="15.6" x14ac:dyDescent="0.3">
      <c r="A9" s="19"/>
      <c r="B9" s="19"/>
      <c r="C9" s="20"/>
      <c r="D9" s="44"/>
      <c r="E9" s="21"/>
      <c r="G9" s="19"/>
      <c r="H9" s="19"/>
      <c r="I9" s="20"/>
      <c r="J9" s="45"/>
      <c r="K9" s="21"/>
      <c r="M9" s="22"/>
      <c r="N9" s="22"/>
      <c r="O9" s="23"/>
      <c r="P9" s="35"/>
      <c r="Q9" s="24"/>
      <c r="S9" s="22"/>
      <c r="T9" s="22"/>
      <c r="U9" s="23"/>
      <c r="V9" s="35"/>
      <c r="W9" s="24"/>
      <c r="Y9" s="22"/>
      <c r="Z9" s="22"/>
      <c r="AA9" s="23"/>
      <c r="AB9" s="35"/>
      <c r="AC9" s="24"/>
      <c r="AE9" s="22"/>
      <c r="AF9" s="22"/>
      <c r="AG9" s="23"/>
      <c r="AH9" s="35"/>
      <c r="AI9" s="24"/>
      <c r="AK9" s="22"/>
      <c r="AL9" s="22"/>
      <c r="AM9" s="23"/>
      <c r="AN9" s="35"/>
      <c r="AO9" s="24"/>
    </row>
    <row r="10" spans="1:43" ht="15.6" x14ac:dyDescent="0.3">
      <c r="A10" s="19"/>
      <c r="B10" s="19"/>
      <c r="C10" s="20"/>
      <c r="D10" s="44"/>
      <c r="E10" s="21"/>
      <c r="G10" s="19"/>
      <c r="H10" s="19"/>
      <c r="I10" s="20"/>
      <c r="J10" s="45"/>
      <c r="K10" s="21"/>
      <c r="M10" s="22"/>
      <c r="N10" s="22"/>
      <c r="O10" s="23"/>
      <c r="P10" s="35"/>
      <c r="Q10" s="24"/>
      <c r="S10" s="22"/>
      <c r="T10" s="22"/>
      <c r="U10" s="23"/>
      <c r="V10" s="35"/>
      <c r="W10" s="24"/>
      <c r="Y10" s="22"/>
      <c r="Z10" s="22"/>
      <c r="AA10" s="23"/>
      <c r="AB10" s="35"/>
      <c r="AC10" s="24"/>
      <c r="AE10" s="22"/>
      <c r="AF10" s="22"/>
      <c r="AG10" s="23"/>
      <c r="AH10" s="35"/>
      <c r="AI10" s="24"/>
      <c r="AK10" s="22"/>
      <c r="AL10" s="22"/>
      <c r="AM10" s="23"/>
      <c r="AN10" s="35"/>
      <c r="AO10" s="24"/>
    </row>
    <row r="11" spans="1:43" ht="15.6" x14ac:dyDescent="0.3">
      <c r="A11" s="19"/>
      <c r="B11" s="19"/>
      <c r="C11" s="20"/>
      <c r="D11" s="44"/>
      <c r="E11" s="21"/>
      <c r="G11" s="19"/>
      <c r="H11" s="19"/>
      <c r="I11" s="20"/>
      <c r="J11" s="45"/>
      <c r="K11" s="21"/>
      <c r="M11" s="22"/>
      <c r="N11" s="22"/>
      <c r="O11" s="23"/>
      <c r="P11" s="35"/>
      <c r="Q11" s="24"/>
      <c r="S11" s="22"/>
      <c r="T11" s="22"/>
      <c r="U11" s="23"/>
      <c r="V11" s="35"/>
      <c r="W11" s="24"/>
      <c r="Y11" s="22"/>
      <c r="Z11" s="22"/>
      <c r="AA11" s="23"/>
      <c r="AB11" s="35"/>
      <c r="AC11" s="24"/>
      <c r="AE11" s="22"/>
      <c r="AF11" s="22"/>
      <c r="AG11" s="23"/>
      <c r="AH11" s="35"/>
      <c r="AI11" s="24"/>
      <c r="AK11" s="22"/>
      <c r="AL11" s="22"/>
      <c r="AM11" s="23"/>
      <c r="AN11" s="35"/>
      <c r="AO11" s="24"/>
    </row>
    <row r="22" spans="12:39" x14ac:dyDescent="0.3">
      <c r="O22" s="25"/>
    </row>
    <row r="23" spans="12:39" x14ac:dyDescent="0.3">
      <c r="O23" s="25"/>
      <c r="T23" s="17"/>
      <c r="U23" s="18"/>
    </row>
    <row r="24" spans="12:39" x14ac:dyDescent="0.3">
      <c r="O24" s="25"/>
      <c r="AL24" s="17"/>
      <c r="AM24" s="18"/>
    </row>
    <row r="25" spans="12:39" x14ac:dyDescent="0.3">
      <c r="O25" s="25"/>
    </row>
    <row r="26" spans="12:39" x14ac:dyDescent="0.3">
      <c r="O26" s="25"/>
    </row>
    <row r="27" spans="12:39" x14ac:dyDescent="0.3">
      <c r="O27" s="25"/>
    </row>
    <row r="28" spans="12:39" x14ac:dyDescent="0.3">
      <c r="L28" s="16"/>
      <c r="O28" s="25"/>
      <c r="R28" s="16"/>
      <c r="X28" s="16"/>
      <c r="AD28" s="16"/>
      <c r="AJ28" s="16"/>
    </row>
    <row r="29" spans="12:39" x14ac:dyDescent="0.3">
      <c r="O29" s="25"/>
    </row>
    <row r="30" spans="12:39" x14ac:dyDescent="0.3">
      <c r="O30" s="25"/>
    </row>
    <row r="31" spans="12:39" x14ac:dyDescent="0.3">
      <c r="O31" s="25"/>
    </row>
    <row r="32" spans="12:39" x14ac:dyDescent="0.3">
      <c r="O32" s="25"/>
    </row>
    <row r="33" spans="15:33" x14ac:dyDescent="0.3">
      <c r="O33" s="25"/>
    </row>
    <row r="34" spans="15:33" x14ac:dyDescent="0.3">
      <c r="O34" s="25"/>
    </row>
    <row r="35" spans="15:33" x14ac:dyDescent="0.3">
      <c r="O35" s="25"/>
    </row>
    <row r="36" spans="15:33" x14ac:dyDescent="0.3">
      <c r="O36" s="25"/>
    </row>
    <row r="37" spans="15:33" x14ac:dyDescent="0.3">
      <c r="O37" s="25"/>
    </row>
    <row r="38" spans="15:33" x14ac:dyDescent="0.3">
      <c r="O38" s="25"/>
    </row>
    <row r="39" spans="15:33" x14ac:dyDescent="0.3">
      <c r="O39" s="25"/>
    </row>
    <row r="40" spans="15:33" x14ac:dyDescent="0.3">
      <c r="O40" s="25"/>
      <c r="AG40" s="25"/>
    </row>
    <row r="41" spans="15:33" x14ac:dyDescent="0.3">
      <c r="O41" s="25"/>
      <c r="AG41" s="25"/>
    </row>
    <row r="42" spans="15:33" x14ac:dyDescent="0.3">
      <c r="O42" s="25"/>
      <c r="AG42" s="25"/>
    </row>
    <row r="43" spans="15:33" x14ac:dyDescent="0.3">
      <c r="O43" s="25"/>
      <c r="AG43" s="25"/>
    </row>
    <row r="44" spans="15:33" x14ac:dyDescent="0.3">
      <c r="O44" s="25"/>
      <c r="AG44" s="25"/>
    </row>
    <row r="45" spans="15:33" x14ac:dyDescent="0.3">
      <c r="O45" s="25"/>
      <c r="AG45" s="25"/>
    </row>
    <row r="46" spans="15:33" x14ac:dyDescent="0.3">
      <c r="O46" s="25"/>
      <c r="AG46" s="25"/>
    </row>
    <row r="47" spans="15:33" x14ac:dyDescent="0.3">
      <c r="O47" s="25"/>
      <c r="AG47" s="25"/>
    </row>
    <row r="48" spans="15:33" x14ac:dyDescent="0.3">
      <c r="O48" s="25"/>
      <c r="AG48" s="25"/>
    </row>
    <row r="49" spans="9:33" x14ac:dyDescent="0.3">
      <c r="O49" s="25"/>
      <c r="AA49" s="25"/>
      <c r="AG49" s="25"/>
    </row>
    <row r="50" spans="9:33" x14ac:dyDescent="0.3">
      <c r="I50" s="25"/>
      <c r="O50" s="25"/>
      <c r="AA50" s="25"/>
      <c r="AG50" s="25"/>
    </row>
    <row r="51" spans="9:33" x14ac:dyDescent="0.3">
      <c r="I51" s="25"/>
      <c r="O51" s="25"/>
      <c r="AA51" s="25"/>
      <c r="AG51" s="25"/>
    </row>
    <row r="52" spans="9:33" x14ac:dyDescent="0.3">
      <c r="I52" s="25"/>
      <c r="O52" s="25"/>
      <c r="AA52" s="25"/>
      <c r="AG52" s="25"/>
    </row>
    <row r="53" spans="9:33" x14ac:dyDescent="0.3">
      <c r="I53" s="25"/>
      <c r="O53" s="25"/>
      <c r="AA53" s="25"/>
      <c r="AG53" s="25"/>
    </row>
    <row r="54" spans="9:33" x14ac:dyDescent="0.3">
      <c r="I54" s="25"/>
      <c r="O54" s="25"/>
      <c r="AA54" s="25"/>
      <c r="AG54" s="25"/>
    </row>
    <row r="55" spans="9:33" x14ac:dyDescent="0.3">
      <c r="I55" s="25"/>
      <c r="O55" s="25"/>
      <c r="AA55" s="25"/>
      <c r="AG55" s="25"/>
    </row>
    <row r="56" spans="9:33" x14ac:dyDescent="0.3">
      <c r="I56" s="25"/>
      <c r="O56" s="25"/>
      <c r="AA56" s="25"/>
      <c r="AG56" s="25"/>
    </row>
    <row r="57" spans="9:33" x14ac:dyDescent="0.3">
      <c r="I57" s="25"/>
      <c r="O57" s="25"/>
      <c r="AA57" s="25"/>
      <c r="AG57" s="25"/>
    </row>
    <row r="58" spans="9:33" x14ac:dyDescent="0.3">
      <c r="I58" s="25"/>
      <c r="O58" s="25"/>
      <c r="AA58" s="25"/>
      <c r="AG58" s="25"/>
    </row>
    <row r="59" spans="9:33" x14ac:dyDescent="0.3">
      <c r="I59" s="25"/>
      <c r="O59" s="25"/>
      <c r="AA59" s="25"/>
      <c r="AG59" s="25"/>
    </row>
    <row r="60" spans="9:33" x14ac:dyDescent="0.3">
      <c r="I60" s="25"/>
      <c r="O60" s="25"/>
      <c r="AA60" s="25"/>
      <c r="AG60" s="25"/>
    </row>
    <row r="61" spans="9:33" x14ac:dyDescent="0.3">
      <c r="I61" s="25"/>
      <c r="O61" s="25"/>
      <c r="AA61" s="25"/>
      <c r="AG61" s="25"/>
    </row>
    <row r="62" spans="9:33" x14ac:dyDescent="0.3">
      <c r="I62" s="25"/>
      <c r="O62" s="25"/>
      <c r="AA62" s="25"/>
      <c r="AG62" s="25"/>
    </row>
    <row r="63" spans="9:33" x14ac:dyDescent="0.3">
      <c r="I63" s="25"/>
      <c r="O63" s="25"/>
      <c r="AA63" s="25"/>
      <c r="AG63" s="25"/>
    </row>
    <row r="64" spans="9:33" x14ac:dyDescent="0.3">
      <c r="I64" s="25"/>
      <c r="O64" s="25"/>
      <c r="AA64" s="25"/>
      <c r="AG64" s="25"/>
    </row>
    <row r="65" spans="9:33" x14ac:dyDescent="0.3">
      <c r="I65" s="25"/>
      <c r="O65" s="25"/>
      <c r="AA65" s="25"/>
      <c r="AG65" s="25"/>
    </row>
    <row r="66" spans="9:33" x14ac:dyDescent="0.3">
      <c r="I66" s="25"/>
      <c r="O66" s="25"/>
      <c r="AA66" s="25"/>
      <c r="AG66" s="25"/>
    </row>
    <row r="67" spans="9:33" x14ac:dyDescent="0.3">
      <c r="I67" s="25"/>
      <c r="O67" s="25"/>
      <c r="AA67" s="25"/>
      <c r="AG67" s="25"/>
    </row>
    <row r="68" spans="9:33" x14ac:dyDescent="0.3">
      <c r="I68" s="25"/>
      <c r="O68" s="25"/>
      <c r="AA68" s="25"/>
      <c r="AG68" s="25"/>
    </row>
    <row r="69" spans="9:33" x14ac:dyDescent="0.3">
      <c r="I69" s="25"/>
      <c r="O69" s="25"/>
      <c r="AA69" s="25"/>
      <c r="AG69" s="25"/>
    </row>
    <row r="70" spans="9:33" x14ac:dyDescent="0.3">
      <c r="I70" s="25"/>
      <c r="O70" s="25"/>
      <c r="AA70" s="25"/>
      <c r="AG70" s="25"/>
    </row>
    <row r="71" spans="9:33" x14ac:dyDescent="0.3">
      <c r="I71" s="25"/>
      <c r="O71" s="25"/>
      <c r="AA71" s="25"/>
      <c r="AG71" s="25"/>
    </row>
    <row r="72" spans="9:33" x14ac:dyDescent="0.3">
      <c r="I72" s="25"/>
      <c r="O72" s="25"/>
      <c r="AA72" s="25"/>
      <c r="AG72" s="25"/>
    </row>
    <row r="73" spans="9:33" x14ac:dyDescent="0.3">
      <c r="I73" s="25"/>
      <c r="O73" s="25"/>
      <c r="U73" s="25"/>
      <c r="AA73" s="25"/>
      <c r="AG73" s="25"/>
    </row>
    <row r="74" spans="9:33" x14ac:dyDescent="0.3">
      <c r="I74" s="25"/>
      <c r="O74" s="25"/>
      <c r="U74" s="25"/>
      <c r="AA74" s="25"/>
      <c r="AG74" s="25"/>
    </row>
    <row r="75" spans="9:33" x14ac:dyDescent="0.3">
      <c r="I75" s="25"/>
      <c r="O75" s="25"/>
      <c r="U75" s="25"/>
      <c r="AA75" s="25"/>
      <c r="AG75" s="25"/>
    </row>
    <row r="76" spans="9:33" x14ac:dyDescent="0.3">
      <c r="I76" s="25"/>
      <c r="O76" s="25"/>
      <c r="U76" s="25"/>
      <c r="AA76" s="25"/>
      <c r="AG76" s="25"/>
    </row>
    <row r="77" spans="9:33" x14ac:dyDescent="0.3">
      <c r="I77" s="25"/>
      <c r="O77" s="25"/>
      <c r="U77" s="25"/>
      <c r="AA77" s="25"/>
      <c r="AG77" s="25"/>
    </row>
    <row r="78" spans="9:33" x14ac:dyDescent="0.3">
      <c r="I78" s="25"/>
      <c r="O78" s="25"/>
      <c r="U78" s="25"/>
      <c r="AA78" s="25"/>
      <c r="AG78" s="25"/>
    </row>
    <row r="79" spans="9:33" x14ac:dyDescent="0.3">
      <c r="I79" s="25"/>
      <c r="O79" s="25"/>
      <c r="U79" s="25"/>
      <c r="AA79" s="25"/>
      <c r="AG79" s="25"/>
    </row>
    <row r="80" spans="9:33" x14ac:dyDescent="0.3">
      <c r="I80" s="25"/>
      <c r="O80" s="25"/>
      <c r="U80" s="25"/>
      <c r="AA80" s="25"/>
      <c r="AG80" s="25"/>
    </row>
    <row r="81" spans="9:33" x14ac:dyDescent="0.3">
      <c r="I81" s="25"/>
      <c r="O81" s="25"/>
      <c r="U81" s="25"/>
      <c r="AA81" s="25"/>
      <c r="AG81" s="25"/>
    </row>
    <row r="82" spans="9:33" x14ac:dyDescent="0.3">
      <c r="I82" s="25"/>
      <c r="O82" s="25"/>
      <c r="U82" s="25"/>
      <c r="AA82" s="25"/>
      <c r="AG82" s="25"/>
    </row>
    <row r="83" spans="9:33" x14ac:dyDescent="0.3">
      <c r="I83" s="25"/>
      <c r="O83" s="25"/>
      <c r="U83" s="25"/>
      <c r="AA83" s="25"/>
      <c r="AG83" s="25"/>
    </row>
    <row r="84" spans="9:33" x14ac:dyDescent="0.3">
      <c r="I84" s="25"/>
      <c r="O84" s="25"/>
      <c r="U84" s="25"/>
      <c r="AA84" s="25"/>
      <c r="AG84" s="25"/>
    </row>
    <row r="85" spans="9:33" x14ac:dyDescent="0.3">
      <c r="I85" s="25"/>
      <c r="O85" s="25"/>
      <c r="U85" s="25"/>
      <c r="AA85" s="25"/>
      <c r="AG85" s="25"/>
    </row>
    <row r="86" spans="9:33" x14ac:dyDescent="0.3">
      <c r="I86" s="25"/>
      <c r="O86" s="25"/>
      <c r="U86" s="25"/>
      <c r="AA86" s="25"/>
      <c r="AG86" s="25"/>
    </row>
    <row r="87" spans="9:33" x14ac:dyDescent="0.3">
      <c r="I87" s="25"/>
      <c r="O87" s="25"/>
      <c r="U87" s="25"/>
      <c r="AA87" s="25"/>
      <c r="AG87" s="25"/>
    </row>
    <row r="88" spans="9:33" x14ac:dyDescent="0.3">
      <c r="I88" s="25"/>
      <c r="O88" s="25"/>
      <c r="U88" s="25"/>
      <c r="AA88" s="25"/>
      <c r="AG88" s="25"/>
    </row>
    <row r="89" spans="9:33" x14ac:dyDescent="0.3">
      <c r="I89" s="25"/>
      <c r="O89" s="25"/>
      <c r="U89" s="25"/>
      <c r="AA89" s="25"/>
      <c r="AG89" s="25"/>
    </row>
    <row r="90" spans="9:33" x14ac:dyDescent="0.3">
      <c r="I90" s="25"/>
      <c r="O90" s="25"/>
      <c r="U90" s="25"/>
      <c r="AA90" s="25"/>
      <c r="AG90" s="25"/>
    </row>
    <row r="91" spans="9:33" x14ac:dyDescent="0.3">
      <c r="I91" s="25"/>
      <c r="O91" s="25"/>
      <c r="U91" s="25"/>
      <c r="AA91" s="25"/>
      <c r="AG91" s="25"/>
    </row>
    <row r="92" spans="9:33" x14ac:dyDescent="0.3">
      <c r="I92" s="25"/>
      <c r="O92" s="25"/>
      <c r="U92" s="25"/>
      <c r="AA92" s="25"/>
      <c r="AG92" s="25"/>
    </row>
    <row r="93" spans="9:33" x14ac:dyDescent="0.3">
      <c r="I93" s="25"/>
      <c r="O93" s="25"/>
      <c r="U93" s="25"/>
      <c r="AA93" s="25"/>
      <c r="AG93" s="25"/>
    </row>
    <row r="94" spans="9:33" x14ac:dyDescent="0.3">
      <c r="I94" s="25"/>
      <c r="O94" s="25"/>
      <c r="U94" s="25"/>
      <c r="AA94" s="25"/>
      <c r="AG94" s="25"/>
    </row>
    <row r="95" spans="9:33" x14ac:dyDescent="0.3">
      <c r="I95" s="25"/>
      <c r="O95" s="25"/>
      <c r="U95" s="25"/>
      <c r="AA95" s="25"/>
      <c r="AG95" s="25"/>
    </row>
    <row r="96" spans="9:33" x14ac:dyDescent="0.3">
      <c r="I96" s="25"/>
      <c r="O96" s="25"/>
      <c r="U96" s="25"/>
      <c r="AA96" s="25"/>
      <c r="AG96" s="25"/>
    </row>
    <row r="97" spans="9:33" x14ac:dyDescent="0.3">
      <c r="I97" s="25"/>
      <c r="U97" s="25"/>
      <c r="AA97" s="25"/>
      <c r="AG97" s="25"/>
    </row>
    <row r="98" spans="9:33" x14ac:dyDescent="0.3">
      <c r="I98" s="25"/>
      <c r="U98" s="25"/>
      <c r="AA98" s="25"/>
      <c r="AG98" s="25"/>
    </row>
    <row r="99" spans="9:33" x14ac:dyDescent="0.3">
      <c r="I99" s="25"/>
      <c r="U99" s="25"/>
      <c r="AA99" s="25"/>
      <c r="AG99" s="25"/>
    </row>
    <row r="100" spans="9:33" x14ac:dyDescent="0.3">
      <c r="I100" s="25"/>
      <c r="U100" s="25"/>
      <c r="AA100" s="25"/>
      <c r="AG100" s="25"/>
    </row>
    <row r="101" spans="9:33" x14ac:dyDescent="0.3">
      <c r="I101" s="25"/>
      <c r="U101" s="25"/>
      <c r="AA101" s="25"/>
      <c r="AG101" s="25"/>
    </row>
    <row r="102" spans="9:33" x14ac:dyDescent="0.3">
      <c r="I102" s="25"/>
      <c r="U102" s="25"/>
      <c r="AA102" s="25"/>
      <c r="AG102" s="25"/>
    </row>
    <row r="103" spans="9:33" x14ac:dyDescent="0.3">
      <c r="I103" s="25"/>
      <c r="U103" s="25"/>
      <c r="AA103" s="25"/>
      <c r="AG103" s="25"/>
    </row>
    <row r="104" spans="9:33" x14ac:dyDescent="0.3">
      <c r="I104" s="25"/>
      <c r="U104" s="25"/>
      <c r="AA104" s="25"/>
      <c r="AG104" s="25"/>
    </row>
    <row r="105" spans="9:33" x14ac:dyDescent="0.3">
      <c r="I105" s="25"/>
      <c r="U105" s="25"/>
      <c r="AA105" s="25"/>
      <c r="AG105" s="25"/>
    </row>
    <row r="106" spans="9:33" x14ac:dyDescent="0.3">
      <c r="I106" s="25"/>
      <c r="U106" s="25"/>
      <c r="AA106" s="25"/>
      <c r="AG106" s="25"/>
    </row>
    <row r="107" spans="9:33" x14ac:dyDescent="0.3">
      <c r="I107" s="25"/>
      <c r="U107" s="25"/>
      <c r="AA107" s="25"/>
      <c r="AG107" s="25"/>
    </row>
    <row r="108" spans="9:33" x14ac:dyDescent="0.3">
      <c r="I108" s="25"/>
      <c r="U108" s="25"/>
      <c r="AA108" s="25"/>
      <c r="AG108" s="25"/>
    </row>
    <row r="109" spans="9:33" x14ac:dyDescent="0.3">
      <c r="I109" s="25"/>
      <c r="U109" s="25"/>
      <c r="AA109" s="25"/>
      <c r="AG109" s="25"/>
    </row>
    <row r="110" spans="9:33" x14ac:dyDescent="0.3">
      <c r="I110" s="25"/>
      <c r="U110" s="25"/>
      <c r="AA110" s="25"/>
      <c r="AG110" s="25"/>
    </row>
    <row r="111" spans="9:33" x14ac:dyDescent="0.3">
      <c r="I111" s="25"/>
      <c r="U111" s="25"/>
      <c r="AA111" s="25"/>
      <c r="AG111" s="25"/>
    </row>
    <row r="112" spans="9:33" x14ac:dyDescent="0.3">
      <c r="I112" s="25"/>
      <c r="U112" s="25"/>
      <c r="AA112" s="25"/>
      <c r="AG112" s="25"/>
    </row>
    <row r="113" spans="9:33" x14ac:dyDescent="0.3">
      <c r="I113" s="25"/>
      <c r="U113" s="25"/>
      <c r="AA113" s="25"/>
      <c r="AG113" s="25"/>
    </row>
    <row r="114" spans="9:33" x14ac:dyDescent="0.3">
      <c r="I114" s="25"/>
      <c r="U114" s="25"/>
      <c r="AA114" s="25"/>
      <c r="AG114" s="25"/>
    </row>
    <row r="115" spans="9:33" x14ac:dyDescent="0.3">
      <c r="I115" s="25"/>
      <c r="U115" s="25"/>
      <c r="AA115" s="25"/>
    </row>
    <row r="116" spans="9:33" x14ac:dyDescent="0.3">
      <c r="I116" s="25"/>
      <c r="U116" s="25"/>
      <c r="AA116" s="25"/>
    </row>
    <row r="117" spans="9:33" x14ac:dyDescent="0.3">
      <c r="I117" s="25"/>
      <c r="U117" s="25"/>
      <c r="AA117" s="25"/>
    </row>
    <row r="118" spans="9:33" x14ac:dyDescent="0.3">
      <c r="I118" s="25"/>
      <c r="U118" s="25"/>
      <c r="AA118" s="25"/>
    </row>
    <row r="119" spans="9:33" x14ac:dyDescent="0.3">
      <c r="I119" s="25"/>
      <c r="U119" s="25"/>
      <c r="AA119" s="25"/>
    </row>
    <row r="120" spans="9:33" x14ac:dyDescent="0.3">
      <c r="I120" s="25"/>
      <c r="U120" s="25"/>
      <c r="AA120" s="25"/>
    </row>
    <row r="121" spans="9:33" x14ac:dyDescent="0.3">
      <c r="I121" s="25"/>
      <c r="U121" s="25"/>
      <c r="AA121" s="25"/>
    </row>
    <row r="122" spans="9:33" x14ac:dyDescent="0.3">
      <c r="I122" s="25"/>
      <c r="U122" s="25"/>
      <c r="AA122" s="25"/>
    </row>
    <row r="123" spans="9:33" x14ac:dyDescent="0.3">
      <c r="I123" s="25"/>
      <c r="U123" s="25"/>
      <c r="AA123" s="25"/>
    </row>
    <row r="124" spans="9:33" x14ac:dyDescent="0.3">
      <c r="I124" s="25"/>
      <c r="U124" s="25"/>
    </row>
    <row r="125" spans="9:33" x14ac:dyDescent="0.3">
      <c r="U125" s="25"/>
    </row>
    <row r="126" spans="9:33" x14ac:dyDescent="0.3">
      <c r="U126" s="25"/>
    </row>
    <row r="127" spans="9:33" x14ac:dyDescent="0.3">
      <c r="U127" s="25"/>
    </row>
    <row r="128" spans="9:33" x14ac:dyDescent="0.3">
      <c r="U128" s="25"/>
    </row>
    <row r="129" spans="21:21" x14ac:dyDescent="0.3">
      <c r="U129" s="25"/>
    </row>
    <row r="130" spans="21:21" x14ac:dyDescent="0.3">
      <c r="U130" s="25"/>
    </row>
    <row r="131" spans="21:21" x14ac:dyDescent="0.3">
      <c r="U131" s="25"/>
    </row>
    <row r="132" spans="21:21" x14ac:dyDescent="0.3">
      <c r="U132" s="25"/>
    </row>
    <row r="133" spans="21:21" x14ac:dyDescent="0.3">
      <c r="U133" s="25"/>
    </row>
    <row r="134" spans="21:21" x14ac:dyDescent="0.3">
      <c r="U134" s="25"/>
    </row>
    <row r="135" spans="21:21" x14ac:dyDescent="0.3">
      <c r="U135" s="25"/>
    </row>
    <row r="136" spans="21:21" x14ac:dyDescent="0.3">
      <c r="U136" s="25"/>
    </row>
    <row r="137" spans="21:21" x14ac:dyDescent="0.3">
      <c r="U137" s="25"/>
    </row>
    <row r="138" spans="21:21" x14ac:dyDescent="0.3">
      <c r="U138" s="25"/>
    </row>
    <row r="139" spans="21:21" x14ac:dyDescent="0.3">
      <c r="U139" s="25"/>
    </row>
    <row r="140" spans="21:21" x14ac:dyDescent="0.3">
      <c r="U140" s="25"/>
    </row>
    <row r="141" spans="21:21" x14ac:dyDescent="0.3">
      <c r="U141" s="25"/>
    </row>
    <row r="142" spans="21:21" x14ac:dyDescent="0.3">
      <c r="U142" s="25"/>
    </row>
    <row r="143" spans="21:21" x14ac:dyDescent="0.3">
      <c r="U143" s="25"/>
    </row>
    <row r="144" spans="21:21" x14ac:dyDescent="0.3">
      <c r="U144" s="25"/>
    </row>
    <row r="145" spans="21:21" x14ac:dyDescent="0.3">
      <c r="U145" s="25"/>
    </row>
    <row r="146" spans="21:21" x14ac:dyDescent="0.3">
      <c r="U146" s="25"/>
    </row>
    <row r="147" spans="21:21" x14ac:dyDescent="0.3">
      <c r="U147" s="25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zoomScale="55" zoomScaleNormal="55" zoomScaleSheetLayoutView="110" workbookViewId="0">
      <selection activeCell="D19" sqref="D19"/>
    </sheetView>
  </sheetViews>
  <sheetFormatPr baseColWidth="10" defaultRowHeight="14.4" outlineLevelRow="1" x14ac:dyDescent="0.3"/>
  <cols>
    <col min="1" max="1" width="11.44140625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7.21875" style="18" bestFit="1" customWidth="1"/>
    <col min="8" max="8" width="6.44140625" style="18" bestFit="1" customWidth="1"/>
    <col min="9" max="9" width="1.33203125" customWidth="1"/>
  </cols>
  <sheetData>
    <row r="1" spans="1:8" ht="30" customHeight="1" x14ac:dyDescent="0.3">
      <c r="A1" s="83" t="s">
        <v>35</v>
      </c>
      <c r="B1" s="83"/>
      <c r="C1" s="83"/>
      <c r="D1" s="83"/>
      <c r="E1" s="83"/>
      <c r="F1" s="83"/>
      <c r="G1" s="83"/>
      <c r="H1" s="83"/>
    </row>
    <row r="2" spans="1:8" ht="15" thickBot="1" x14ac:dyDescent="0.35">
      <c r="G2"/>
      <c r="H2"/>
    </row>
    <row r="3" spans="1:8" ht="15" thickBot="1" x14ac:dyDescent="0.35">
      <c r="A3" s="65" t="s">
        <v>19</v>
      </c>
      <c r="B3" s="84" t="s">
        <v>47</v>
      </c>
      <c r="C3" s="85"/>
      <c r="D3" s="85"/>
      <c r="E3" s="85"/>
      <c r="F3" s="85"/>
      <c r="G3" s="86"/>
      <c r="H3" s="66" t="s">
        <v>38</v>
      </c>
    </row>
    <row r="4" spans="1:8" outlineLevel="1" x14ac:dyDescent="0.3">
      <c r="A4" s="24" t="s">
        <v>14</v>
      </c>
      <c r="B4" s="24" t="s">
        <v>0</v>
      </c>
      <c r="C4" s="24" t="s">
        <v>1</v>
      </c>
      <c r="D4" s="24" t="s">
        <v>11</v>
      </c>
      <c r="E4" s="24" t="s">
        <v>15</v>
      </c>
      <c r="F4" s="24" t="s">
        <v>16</v>
      </c>
      <c r="G4" s="24" t="s">
        <v>12</v>
      </c>
      <c r="H4" s="24" t="s">
        <v>17</v>
      </c>
    </row>
    <row r="5" spans="1:8" outlineLevel="1" x14ac:dyDescent="0.3">
      <c r="A5" t="s">
        <v>4</v>
      </c>
      <c r="B5">
        <f>VLOOKUP(Tabla3[[#This Row],[DESCRIPCIÓN]],T_mat[[DESCRIPCIÓN]:[PRECIO]],2,FALSE)</f>
        <v>0</v>
      </c>
      <c r="C5" t="s">
        <v>48</v>
      </c>
      <c r="D5" s="17" t="str">
        <f>VLOOKUP(Tabla3[[#This Row],[DESCRIPCIÓN]],T_mat[[DESCRIPCIÓN]:[PRECIO]],3,FALSE)</f>
        <v>kg</v>
      </c>
      <c r="E5" s="62">
        <f xml:space="preserve"> 1</f>
        <v>1</v>
      </c>
      <c r="F5" s="62">
        <v>32</v>
      </c>
      <c r="G5" s="34">
        <f>VLOOKUP(Tabla3[[#This Row],[DESCRIPCIÓN]],T_mat[[DESCRIPCIÓN]:[PRECIO]],4,FALSE)</f>
        <v>30</v>
      </c>
      <c r="H5" s="34">
        <f>Tabla3[[#This Row],[CANTIDAD]]*Tabla3[[#This Row],[PRECIO]]*Tabla3[[#This Row],[FACTOR]]</f>
        <v>960</v>
      </c>
    </row>
    <row r="6" spans="1:8" outlineLevel="1" x14ac:dyDescent="0.3">
      <c r="D6" s="17"/>
      <c r="E6">
        <f xml:space="preserve"> 1</f>
        <v>1</v>
      </c>
      <c r="G6" s="34"/>
      <c r="H6" s="34">
        <f>Tabla3[[#This Row],[CANTIDAD]]*Tabla3[[#This Row],[PRECIO]]*Tabla3[[#This Row],[FACTOR]]</f>
        <v>0</v>
      </c>
    </row>
    <row r="7" spans="1:8" outlineLevel="1" x14ac:dyDescent="0.3">
      <c r="D7" s="17"/>
      <c r="E7">
        <f xml:space="preserve"> 1</f>
        <v>1</v>
      </c>
      <c r="G7" s="34"/>
      <c r="H7" s="34">
        <f>Tabla3[[#This Row],[CANTIDAD]]*Tabla3[[#This Row],[PRECIO]]*Tabla3[[#This Row],[FACTOR]]</f>
        <v>0</v>
      </c>
    </row>
    <row r="8" spans="1:8" x14ac:dyDescent="0.3">
      <c r="A8" s="24" t="s">
        <v>18</v>
      </c>
      <c r="G8" s="34"/>
      <c r="H8" s="35">
        <f>SUM(Tabla3[TOTAL])</f>
        <v>960</v>
      </c>
    </row>
    <row r="9" spans="1:8" x14ac:dyDescent="0.3">
      <c r="G9"/>
      <c r="H9"/>
    </row>
  </sheetData>
  <mergeCells count="2">
    <mergeCell ref="A1:H1"/>
    <mergeCell ref="B3:G3"/>
  </mergeCells>
  <dataValidations count="2">
    <dataValidation type="list" allowBlank="1" showInputMessage="1" showErrorMessage="1" sqref="A5:A7" xr:uid="{86323FED-B807-4E5A-AA24-9367F95E6065}">
      <formula1>"MATERIALES,EQUIPOS,MANO DE OBRA,TRANSPORTE,SUBCONTRATOS,ACTIVIDADES,OTROS"</formula1>
    </dataValidation>
    <dataValidation type="list" allowBlank="1" showInputMessage="1" showErrorMessage="1" sqref="C5" xr:uid="{462D85FA-6A44-441B-92E7-66E3F2C0FBCA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tabSelected="1" showWhiteSpace="0" zoomScale="70" zoomScaleNormal="70" zoomScaleSheetLayoutView="110" workbookViewId="0">
      <selection activeCell="C5" sqref="C5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8" bestFit="1" customWidth="1"/>
    <col min="3" max="3" width="40.77734375" customWidth="1"/>
    <col min="4" max="4" width="8" bestFit="1" customWidth="1"/>
    <col min="5" max="5" width="8.5546875" bestFit="1" customWidth="1"/>
    <col min="6" max="6" width="10.44140625" bestFit="1" customWidth="1"/>
    <col min="7" max="7" width="8" style="18" bestFit="1" customWidth="1"/>
    <col min="8" max="8" width="7.88671875" style="18" bestFit="1" customWidth="1"/>
    <col min="9" max="9" width="1.33203125" customWidth="1"/>
  </cols>
  <sheetData>
    <row r="1" spans="1:8" ht="30" customHeight="1" x14ac:dyDescent="0.3">
      <c r="A1" s="83" t="s">
        <v>36</v>
      </c>
      <c r="B1" s="83"/>
      <c r="C1" s="83"/>
      <c r="D1" s="83"/>
      <c r="E1" s="83"/>
      <c r="F1" s="83"/>
      <c r="G1" s="83"/>
      <c r="H1" s="83"/>
    </row>
    <row r="2" spans="1:8" ht="15" thickBot="1" x14ac:dyDescent="0.35">
      <c r="A2" s="32"/>
      <c r="B2" s="33"/>
      <c r="C2" s="47"/>
      <c r="D2" s="47"/>
      <c r="E2" s="32"/>
      <c r="F2" s="32"/>
      <c r="G2" s="32"/>
      <c r="H2" s="48"/>
    </row>
    <row r="3" spans="1:8" ht="15" thickBot="1" x14ac:dyDescent="0.35">
      <c r="A3" s="67" t="s">
        <v>19</v>
      </c>
      <c r="B3" s="87" t="s">
        <v>46</v>
      </c>
      <c r="C3" s="88"/>
      <c r="D3" s="88"/>
      <c r="E3" s="88"/>
      <c r="F3" s="88"/>
      <c r="G3" s="89"/>
      <c r="H3" s="68" t="s">
        <v>38</v>
      </c>
    </row>
    <row r="4" spans="1:8" outlineLevel="1" x14ac:dyDescent="0.3">
      <c r="A4" s="56" t="s">
        <v>14</v>
      </c>
      <c r="B4" s="69" t="s">
        <v>0</v>
      </c>
      <c r="C4" s="70" t="s">
        <v>1</v>
      </c>
      <c r="D4" s="70" t="s">
        <v>11</v>
      </c>
      <c r="E4" s="56" t="s">
        <v>15</v>
      </c>
      <c r="F4" s="56" t="s">
        <v>16</v>
      </c>
      <c r="G4" s="56" t="s">
        <v>12</v>
      </c>
      <c r="H4" s="71" t="s">
        <v>17</v>
      </c>
    </row>
    <row r="5" spans="1:8" outlineLevel="1" x14ac:dyDescent="0.3">
      <c r="A5" s="32" t="s">
        <v>4</v>
      </c>
      <c r="C5" s="47" t="s">
        <v>47</v>
      </c>
      <c r="E5" s="61">
        <f xml:space="preserve"> 1</f>
        <v>1</v>
      </c>
      <c r="F5" s="61">
        <v>32</v>
      </c>
      <c r="G5"/>
      <c r="H5" s="59">
        <f>Tabla5[[#This Row],[CANTIDAD]]*Tabla5[[#This Row],[PRECIO]]*Tabla5[[#This Row],[FACTOR]]</f>
        <v>0</v>
      </c>
    </row>
    <row r="6" spans="1:8" outlineLevel="1" x14ac:dyDescent="0.3">
      <c r="A6" s="32"/>
      <c r="B6" s="33"/>
      <c r="C6" s="47"/>
      <c r="D6" s="57"/>
      <c r="E6" s="32">
        <f xml:space="preserve"> 1</f>
        <v>1</v>
      </c>
      <c r="F6" s="32"/>
      <c r="G6" s="58"/>
      <c r="H6" s="59">
        <f>Tabla5[[#This Row],[CANTIDAD]]*Tabla5[[#This Row],[PRECIO]]*Tabla5[[#This Row],[FACTOR]]</f>
        <v>0</v>
      </c>
    </row>
    <row r="7" spans="1:8" outlineLevel="1" x14ac:dyDescent="0.3">
      <c r="A7" s="32"/>
      <c r="B7" s="33"/>
      <c r="C7" s="47"/>
      <c r="D7" s="57"/>
      <c r="E7" s="32">
        <f xml:space="preserve"> 1</f>
        <v>1</v>
      </c>
      <c r="F7" s="32"/>
      <c r="G7" s="58"/>
      <c r="H7" s="59">
        <f>Tabla5[[#This Row],[CANTIDAD]]*Tabla5[[#This Row],[PRECIO]]*Tabla5[[#This Row],[FACTOR]]</f>
        <v>0</v>
      </c>
    </row>
    <row r="8" spans="1:8" x14ac:dyDescent="0.3">
      <c r="A8" s="72" t="s">
        <v>18</v>
      </c>
      <c r="B8" s="73"/>
      <c r="C8" s="74"/>
      <c r="D8" s="74"/>
      <c r="E8" s="75"/>
      <c r="F8" s="75"/>
      <c r="G8" s="76"/>
      <c r="H8" s="35">
        <f>SUM(Tabla5[TOTAL])</f>
        <v>0</v>
      </c>
    </row>
    <row r="9" spans="1:8" x14ac:dyDescent="0.3">
      <c r="A9" s="32"/>
      <c r="B9" s="33"/>
      <c r="C9" s="47"/>
      <c r="D9" s="47"/>
      <c r="E9" s="32"/>
      <c r="F9" s="32"/>
      <c r="G9" s="32"/>
      <c r="H9" s="48"/>
    </row>
    <row r="10" spans="1:8" x14ac:dyDescent="0.3">
      <c r="A10" s="32"/>
      <c r="B10" s="33"/>
      <c r="C10" s="47"/>
      <c r="D10" s="47"/>
      <c r="E10" s="32"/>
      <c r="F10" s="32"/>
      <c r="G10" s="32"/>
      <c r="H10" s="48"/>
    </row>
    <row r="11" spans="1:8" x14ac:dyDescent="0.3">
      <c r="G11"/>
      <c r="H11"/>
    </row>
    <row r="12" spans="1:8" x14ac:dyDescent="0.3">
      <c r="A12" s="32"/>
      <c r="B12" s="33"/>
      <c r="C12" s="47"/>
      <c r="D12" s="47"/>
      <c r="E12" s="32"/>
      <c r="F12" s="32"/>
      <c r="G12" s="32"/>
      <c r="H12" s="48"/>
    </row>
    <row r="13" spans="1:8" x14ac:dyDescent="0.3">
      <c r="A13" s="32"/>
      <c r="B13" s="33"/>
      <c r="C13" s="47"/>
      <c r="D13" s="47"/>
      <c r="E13" s="32"/>
      <c r="F13" s="32"/>
      <c r="G13" s="32"/>
      <c r="H13" s="48"/>
    </row>
  </sheetData>
  <mergeCells count="2">
    <mergeCell ref="A1:H1"/>
    <mergeCell ref="B3:G3"/>
  </mergeCells>
  <dataValidations count="1">
    <dataValidation type="list" allowBlank="1" showInputMessage="1" showErrorMessage="1" sqref="A5:A7" xr:uid="{0716FE20-F0F6-4B4B-AC0C-4F27F143063B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70" zoomScaleNormal="70" zoomScaleSheetLayoutView="90" workbookViewId="0">
      <selection activeCell="C5" sqref="C5"/>
    </sheetView>
  </sheetViews>
  <sheetFormatPr baseColWidth="10" defaultColWidth="11.44140625" defaultRowHeight="15" outlineLevelRow="1" x14ac:dyDescent="0.25"/>
  <cols>
    <col min="1" max="1" width="1.44140625" style="49" hidden="1" customWidth="1"/>
    <col min="2" max="2" width="11.5546875" style="36" bestFit="1" customWidth="1"/>
    <col min="3" max="3" width="40.77734375" style="50" customWidth="1"/>
    <col min="4" max="4" width="23.109375" style="36" bestFit="1" customWidth="1"/>
    <col min="5" max="5" width="14.6640625" style="37" bestFit="1" customWidth="1"/>
    <col min="6" max="6" width="14.33203125" style="37" bestFit="1" customWidth="1"/>
    <col min="7" max="7" width="10.6640625" style="37" bestFit="1" customWidth="1"/>
    <col min="8" max="8" width="10.5546875" style="37" bestFit="1" customWidth="1"/>
    <col min="9" max="9" width="1.33203125" style="49" customWidth="1"/>
    <col min="10" max="16384" width="11.44140625" style="49"/>
  </cols>
  <sheetData>
    <row r="1" spans="2:8" ht="30" customHeight="1" x14ac:dyDescent="0.25">
      <c r="B1" s="90" t="s">
        <v>37</v>
      </c>
      <c r="C1" s="90"/>
      <c r="D1" s="90"/>
      <c r="E1" s="90"/>
      <c r="F1" s="90"/>
      <c r="G1" s="90"/>
      <c r="H1" s="90"/>
    </row>
    <row r="2" spans="2:8" ht="15.6" thickBot="1" x14ac:dyDescent="0.3"/>
    <row r="3" spans="2:8" ht="16.2" thickBot="1" x14ac:dyDescent="0.3">
      <c r="B3" s="91" t="s">
        <v>20</v>
      </c>
      <c r="C3" s="92"/>
      <c r="D3" s="92"/>
      <c r="E3" s="92"/>
      <c r="F3" s="92"/>
      <c r="G3" s="93"/>
      <c r="H3" s="38" t="s">
        <v>19</v>
      </c>
    </row>
    <row r="4" spans="2:8" ht="15.6" outlineLevel="1" x14ac:dyDescent="0.3">
      <c r="B4" s="39" t="s">
        <v>0</v>
      </c>
      <c r="C4" s="51" t="s">
        <v>1</v>
      </c>
      <c r="D4" s="39" t="s">
        <v>11</v>
      </c>
      <c r="E4" s="40" t="s">
        <v>15</v>
      </c>
      <c r="F4" s="40" t="s">
        <v>16</v>
      </c>
      <c r="G4" s="40" t="s">
        <v>3</v>
      </c>
      <c r="H4" s="40" t="s">
        <v>17</v>
      </c>
    </row>
    <row r="5" spans="2:8" outlineLevel="1" x14ac:dyDescent="0.25">
      <c r="B5" s="36" t="str">
        <f>VLOOKUP(Tabla7[[#This Row],[DESCRIPCIÓN]],T_apus[[DESCRIPCIÓN]:[COSTO]],2,FALSE)</f>
        <v>CÓD</v>
      </c>
      <c r="C5" s="64" t="s">
        <v>46</v>
      </c>
      <c r="D5" s="36" t="str">
        <f>VLOOKUP(Tabla7[[#This Row],[DESCRIPCIÓN]],T_apus[[DESCRIPCIÓN]:[COSTO]],3,FALSE)</f>
        <v>UND</v>
      </c>
      <c r="E5" s="37">
        <v>1</v>
      </c>
      <c r="F5" s="37">
        <v>32</v>
      </c>
      <c r="G5" s="37">
        <f>VLOOKUP(Tabla7[[#This Row],[DESCRIPCIÓN]],T_apus[[DESCRIPCIÓN]:[COSTO]],4,FALSE)</f>
        <v>0</v>
      </c>
      <c r="H5" s="37">
        <f>Tabla7[[#This Row],[FACTOR]]*Tabla7[[#This Row],[CANTIDAD]]*Tabla7[[#This Row],[COSTO]]</f>
        <v>0</v>
      </c>
    </row>
    <row r="6" spans="2:8" outlineLevel="1" x14ac:dyDescent="0.25">
      <c r="C6" s="64"/>
      <c r="E6" s="37">
        <v>1</v>
      </c>
      <c r="H6" s="37">
        <f>Tabla7[[#This Row],[FACTOR]]*Tabla7[[#This Row],[CANTIDAD]]*Tabla7[[#This Row],[COSTO]]</f>
        <v>0</v>
      </c>
    </row>
    <row r="7" spans="2:8" outlineLevel="1" x14ac:dyDescent="0.25">
      <c r="C7" s="64"/>
      <c r="E7" s="37">
        <v>1</v>
      </c>
      <c r="H7" s="37">
        <f>Tabla7[[#This Row],[FACTOR]]*Tabla7[[#This Row],[CANTIDAD]]*Tabla7[[#This Row],[COSTO]]</f>
        <v>0</v>
      </c>
    </row>
    <row r="8" spans="2:8" outlineLevel="1" x14ac:dyDescent="0.25">
      <c r="C8" s="64"/>
      <c r="E8" s="37">
        <v>1</v>
      </c>
      <c r="H8" s="37">
        <f>Tabla7[[#This Row],[FACTOR]]*Tabla7[[#This Row],[CANTIDAD]]*Tabla7[[#This Row],[COSTO]]</f>
        <v>0</v>
      </c>
    </row>
    <row r="9" spans="2:8" outlineLevel="1" x14ac:dyDescent="0.25">
      <c r="C9" s="64"/>
      <c r="E9" s="37">
        <v>1</v>
      </c>
      <c r="H9" s="37">
        <f>Tabla7[[#This Row],[FACTOR]]*Tabla7[[#This Row],[CANTIDAD]]*Tabla7[[#This Row],[COSTO]]</f>
        <v>0</v>
      </c>
    </row>
    <row r="10" spans="2:8" ht="15.6" x14ac:dyDescent="0.3">
      <c r="B10" s="39" t="s">
        <v>18</v>
      </c>
      <c r="H10" s="40">
        <f>SUM(Tabla7[TOTAL])</f>
        <v>0</v>
      </c>
    </row>
    <row r="13" spans="2:8" ht="15.6" x14ac:dyDescent="0.3">
      <c r="F13" s="39"/>
      <c r="G13" s="39"/>
      <c r="H13" s="40"/>
    </row>
    <row r="14" spans="2:8" ht="15.6" x14ac:dyDescent="0.3">
      <c r="B14" s="39" t="s">
        <v>19</v>
      </c>
      <c r="C14" s="51" t="s">
        <v>20</v>
      </c>
      <c r="D14" s="39" t="s">
        <v>21</v>
      </c>
      <c r="E14" s="40" t="s">
        <v>22</v>
      </c>
      <c r="F14" s="36"/>
      <c r="G14" s="36"/>
    </row>
    <row r="15" spans="2:8" x14ac:dyDescent="0.25">
      <c r="B15" s="36" t="str">
        <f>$H$3</f>
        <v>CÓD</v>
      </c>
      <c r="C15" s="50" t="str">
        <f>$B$3</f>
        <v>CAPÍTULO</v>
      </c>
      <c r="D15" s="36" t="e">
        <f>(E15)/(E18)</f>
        <v>#DIV/0!</v>
      </c>
      <c r="E15" s="37">
        <f>$H$10</f>
        <v>0</v>
      </c>
      <c r="F15" s="36"/>
      <c r="G15" s="36"/>
    </row>
    <row r="16" spans="2:8" x14ac:dyDescent="0.25">
      <c r="F16" s="36"/>
      <c r="G16" s="36"/>
    </row>
    <row r="17" spans="2:7" x14ac:dyDescent="0.25">
      <c r="F17" s="36"/>
      <c r="G17" s="36"/>
    </row>
    <row r="18" spans="2:7" ht="15.6" x14ac:dyDescent="0.3">
      <c r="B18" s="41"/>
      <c r="C18" s="52"/>
      <c r="D18" s="42" t="s">
        <v>30</v>
      </c>
      <c r="E18" s="53">
        <f>SUM(E15:E17)</f>
        <v>0</v>
      </c>
    </row>
    <row r="21" spans="2:7" ht="15.6" x14ac:dyDescent="0.3">
      <c r="C21" s="51" t="s">
        <v>1</v>
      </c>
      <c r="D21" s="39" t="s">
        <v>21</v>
      </c>
      <c r="E21" s="40" t="s">
        <v>22</v>
      </c>
    </row>
    <row r="22" spans="2:7" x14ac:dyDescent="0.25">
      <c r="C22" s="50" t="s">
        <v>26</v>
      </c>
      <c r="D22" s="77">
        <v>0</v>
      </c>
      <c r="E22" s="36">
        <f>Tabla13[[#This Row],[PORCENTAJE]]*E18</f>
        <v>0</v>
      </c>
    </row>
    <row r="23" spans="2:7" x14ac:dyDescent="0.25">
      <c r="C23" s="50" t="s">
        <v>27</v>
      </c>
      <c r="D23" s="77">
        <v>0</v>
      </c>
      <c r="E23" s="36">
        <f>Tabla13[[#This Row],[PORCENTAJE]]*E18</f>
        <v>0</v>
      </c>
    </row>
    <row r="24" spans="2:7" x14ac:dyDescent="0.25">
      <c r="C24" s="50" t="s">
        <v>28</v>
      </c>
      <c r="D24" s="77">
        <v>0</v>
      </c>
      <c r="E24" s="36">
        <f>Tabla13[[#This Row],[PORCENTAJE]]*E18</f>
        <v>0</v>
      </c>
    </row>
    <row r="25" spans="2:7" x14ac:dyDescent="0.25">
      <c r="C25" s="50" t="s">
        <v>25</v>
      </c>
      <c r="D25" s="77">
        <v>0</v>
      </c>
      <c r="E25" s="36">
        <f>Tabla13[[#This Row],[PORCENTAJE]]*E24</f>
        <v>0</v>
      </c>
    </row>
    <row r="26" spans="2:7" ht="15.6" x14ac:dyDescent="0.3">
      <c r="D26" s="78" t="s">
        <v>29</v>
      </c>
      <c r="E26" s="39">
        <f>SUM(E22:E25)</f>
        <v>0</v>
      </c>
    </row>
    <row r="27" spans="2:7" x14ac:dyDescent="0.25">
      <c r="E27" s="36"/>
    </row>
    <row r="28" spans="2:7" ht="15.6" x14ac:dyDescent="0.3">
      <c r="D28" s="39" t="s">
        <v>24</v>
      </c>
      <c r="E28" s="39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E9E7D5DD-6751-47E3-B83F-7EC7B96EC0E5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8"/>
  <sheetViews>
    <sheetView showGridLines="0" topLeftCell="WXY1" zoomScale="110" zoomScaleNormal="110" zoomScaleSheetLayoutView="130" workbookViewId="0">
      <selection activeCell="WYC3" sqref="WYC3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6" bestFit="1" customWidth="1"/>
    <col min="6" max="16384" width="11.44140625" style="3"/>
  </cols>
  <sheetData>
    <row r="1" spans="2:7 16200:16200" ht="30" customHeight="1" x14ac:dyDescent="0.3">
      <c r="B1" s="94" t="s">
        <v>31</v>
      </c>
      <c r="C1" s="94"/>
      <c r="D1" s="94"/>
      <c r="E1" s="94"/>
    </row>
    <row r="2" spans="2:7 16200:16200" ht="15.6" x14ac:dyDescent="0.3">
      <c r="B2" s="9" t="s">
        <v>1</v>
      </c>
      <c r="C2" s="10" t="s">
        <v>0</v>
      </c>
      <c r="D2" s="12" t="s">
        <v>2</v>
      </c>
      <c r="E2" s="11" t="s">
        <v>3</v>
      </c>
      <c r="G2" s="8"/>
      <c r="WYB2" s="8"/>
    </row>
    <row r="3" spans="2:7 16200:16200" ht="15.6" x14ac:dyDescent="0.3">
      <c r="B3" s="9" t="str">
        <f>BÁSICOS!B3</f>
        <v>NOMBRE A.P.U. BÁSICO</v>
      </c>
      <c r="C3" s="10" t="str">
        <f>BÁSICOS!A3</f>
        <v>CÓD</v>
      </c>
      <c r="D3" s="12" t="str">
        <f>BÁSICOS!H3</f>
        <v>UND</v>
      </c>
      <c r="E3" s="11">
        <f>BÁSICOS!H8</f>
        <v>960</v>
      </c>
      <c r="G3" s="8"/>
      <c r="WYB3" s="8"/>
    </row>
    <row r="4" spans="2:7 16200:16200" x14ac:dyDescent="0.3">
      <c r="B4" s="2"/>
      <c r="E4" s="63"/>
      <c r="G4" s="8"/>
      <c r="WYB4" s="8"/>
    </row>
    <row r="5" spans="2:7 16200:16200" x14ac:dyDescent="0.3">
      <c r="B5" s="2"/>
      <c r="E5" s="63"/>
      <c r="G5" s="8"/>
      <c r="WYB5" s="8"/>
    </row>
    <row r="6" spans="2:7 16200:16200" x14ac:dyDescent="0.3">
      <c r="G6" s="8"/>
      <c r="WYB6" s="8"/>
    </row>
    <row r="7" spans="2:7 16200:16200" x14ac:dyDescent="0.3">
      <c r="G7" s="8"/>
      <c r="WYB7" s="8"/>
    </row>
    <row r="8" spans="2:7 16200:16200" x14ac:dyDescent="0.3">
      <c r="G8" s="8"/>
      <c r="WYB8" s="8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7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3" style="5" customWidth="1"/>
    <col min="6" max="16384" width="11.44140625" style="3"/>
  </cols>
  <sheetData>
    <row r="1" spans="2:5" s="7" customFormat="1" ht="30" customHeight="1" x14ac:dyDescent="0.3">
      <c r="B1" s="94" t="s">
        <v>33</v>
      </c>
      <c r="C1" s="94"/>
      <c r="D1" s="94"/>
      <c r="E1" s="94"/>
    </row>
    <row r="2" spans="2:5" ht="15" customHeight="1" x14ac:dyDescent="0.3">
      <c r="B2" s="13" t="s">
        <v>1</v>
      </c>
      <c r="C2" s="13" t="s">
        <v>0</v>
      </c>
      <c r="D2" s="14" t="s">
        <v>2</v>
      </c>
      <c r="E2" s="15" t="s">
        <v>3</v>
      </c>
    </row>
    <row r="3" spans="2:5" ht="15" customHeight="1" x14ac:dyDescent="0.3">
      <c r="B3" s="60" t="str">
        <f>APU!B3</f>
        <v>NOMBRE A.P.U.</v>
      </c>
      <c r="C3" s="13" t="str">
        <f>APU!A3</f>
        <v>CÓD</v>
      </c>
      <c r="D3" s="14" t="str">
        <f>APU!H3</f>
        <v>UND</v>
      </c>
      <c r="E3" s="15">
        <f>APU!H8</f>
        <v>0</v>
      </c>
    </row>
    <row r="4" spans="2:5" ht="15" customHeight="1" x14ac:dyDescent="0.3">
      <c r="E4" s="63"/>
    </row>
    <row r="5" spans="2:5" ht="15" customHeight="1" x14ac:dyDescent="0.3">
      <c r="E5" s="63"/>
    </row>
    <row r="6" spans="2:5" ht="15" customHeight="1" x14ac:dyDescent="0.3"/>
    <row r="7" spans="2:5" ht="15" customHeight="1" x14ac:dyDescent="0.3"/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E11" sqref="E11"/>
    </sheetView>
  </sheetViews>
  <sheetFormatPr baseColWidth="10" defaultRowHeight="14.4" x14ac:dyDescent="0.3"/>
  <cols>
    <col min="1" max="1" width="30.77734375" customWidth="1"/>
    <col min="2" max="2" width="12.21875" style="17" bestFit="1" customWidth="1"/>
    <col min="3" max="3" width="12.88671875" style="18" bestFit="1" customWidth="1"/>
    <col min="4" max="4" width="14.109375" style="28" bestFit="1" customWidth="1"/>
    <col min="5" max="5" width="12.109375" style="18" bestFit="1" customWidth="1"/>
    <col min="8" max="8" width="15.6640625" customWidth="1"/>
  </cols>
  <sheetData>
    <row r="1" spans="1:6" ht="30" customHeight="1" x14ac:dyDescent="0.3">
      <c r="A1" s="94" t="s">
        <v>32</v>
      </c>
      <c r="B1" s="94"/>
      <c r="C1" s="94"/>
      <c r="D1" s="94"/>
      <c r="E1" s="94"/>
    </row>
    <row r="2" spans="1:6" x14ac:dyDescent="0.3">
      <c r="A2" s="17" t="s">
        <v>23</v>
      </c>
      <c r="B2" s="17" t="s">
        <v>11</v>
      </c>
      <c r="C2" s="25" t="s">
        <v>12</v>
      </c>
      <c r="D2" s="29" t="s">
        <v>16</v>
      </c>
      <c r="E2" s="25" t="s">
        <v>17</v>
      </c>
      <c r="F2" s="17"/>
    </row>
    <row r="4" spans="1:6" x14ac:dyDescent="0.3">
      <c r="A4" s="54" t="s">
        <v>18</v>
      </c>
      <c r="B4" s="26"/>
      <c r="C4" s="27"/>
      <c r="D4" s="30"/>
      <c r="E4" s="55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B16"/>
  <sheetViews>
    <sheetView workbookViewId="0">
      <selection activeCell="B8" sqref="B8"/>
    </sheetView>
  </sheetViews>
  <sheetFormatPr baseColWidth="10" defaultRowHeight="14.4" x14ac:dyDescent="0.3"/>
  <cols>
    <col min="1" max="1" width="5.77734375" style="17" customWidth="1"/>
  </cols>
  <sheetData>
    <row r="2" spans="1:2" x14ac:dyDescent="0.3">
      <c r="B2" t="s">
        <v>39</v>
      </c>
    </row>
    <row r="3" spans="1:2" x14ac:dyDescent="0.3">
      <c r="B3" t="s">
        <v>40</v>
      </c>
    </row>
    <row r="4" spans="1:2" x14ac:dyDescent="0.3">
      <c r="A4" s="17" t="s">
        <v>42</v>
      </c>
      <c r="B4" t="s">
        <v>41</v>
      </c>
    </row>
    <row r="5" spans="1:2" x14ac:dyDescent="0.3">
      <c r="B5" t="s">
        <v>43</v>
      </c>
    </row>
    <row r="6" spans="1:2" x14ac:dyDescent="0.3">
      <c r="B6" t="s">
        <v>50</v>
      </c>
    </row>
    <row r="15" spans="1:2" x14ac:dyDescent="0.3">
      <c r="B15" t="s">
        <v>44</v>
      </c>
    </row>
    <row r="16" spans="1:2" x14ac:dyDescent="0.3">
      <c r="B16" t="s">
        <v>45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2024-09-02T15:49:27Z</dcterms:modified>
</cp:coreProperties>
</file>