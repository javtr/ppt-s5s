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EF2A8618-E987-4519-B077-01DADA60A75C}" xr6:coauthVersionLast="47" xr6:coauthVersionMax="47" xr10:uidLastSave="{00000000-0000-0000-0000-000000000000}"/>
  <workbookProtection workbookAlgorithmName="SHA-512" workbookHashValue="Tl/UU72zVO9aaCGlVfs3hgGHg3u24cQxrm6hD5YJCa36yu7q4McjmdtJ9v+UohrcTnlb4B36iiUwysSLz69ERQ==" workbookSaltValue="ag37tR0jeq55Ljk7/jZgmA==" workbookSpinCount="100000" lockStructure="1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0" l="1"/>
  <c r="D5" i="10"/>
  <c r="C5" i="10"/>
  <c r="B5" i="10"/>
  <c r="E4" i="10"/>
  <c r="D4" i="10"/>
  <c r="C4" i="10"/>
  <c r="B4" i="10"/>
  <c r="E3" i="10"/>
  <c r="D3" i="10"/>
  <c r="C3" i="10"/>
  <c r="B3" i="10"/>
  <c r="B27" i="102"/>
  <c r="D27" i="102"/>
  <c r="G27" i="102"/>
  <c r="B18" i="102"/>
  <c r="D18" i="102"/>
  <c r="G18" i="102"/>
  <c r="E5" i="4"/>
  <c r="D5" i="4"/>
  <c r="C5" i="4"/>
  <c r="B5" i="4"/>
  <c r="E4" i="4"/>
  <c r="D4" i="4"/>
  <c r="C4" i="4"/>
  <c r="B4" i="4"/>
  <c r="E3" i="4"/>
  <c r="D3" i="4"/>
  <c r="C3" i="4"/>
  <c r="B3" i="4"/>
  <c r="E25" i="103"/>
  <c r="H25" i="103"/>
  <c r="E26" i="103"/>
  <c r="H26" i="103"/>
  <c r="B5" i="103"/>
  <c r="D5" i="103"/>
  <c r="G5" i="103"/>
  <c r="E7" i="102"/>
  <c r="H7" i="102"/>
  <c r="E8" i="102"/>
  <c r="H8" i="102"/>
  <c r="E9" i="102"/>
  <c r="H9" i="102"/>
  <c r="B6" i="102"/>
  <c r="D6" i="102"/>
  <c r="G6" i="102"/>
  <c r="E6" i="102"/>
  <c r="E28" i="102"/>
  <c r="H28" i="102"/>
  <c r="E19" i="102"/>
  <c r="H19" i="102" s="1"/>
  <c r="E5" i="102"/>
  <c r="H5" i="102" s="1"/>
  <c r="E10" i="102"/>
  <c r="H10" i="102" s="1"/>
  <c r="E17" i="103"/>
  <c r="H17" i="103" s="1"/>
  <c r="E28" i="103"/>
  <c r="H28" i="103" s="1"/>
  <c r="E27" i="103"/>
  <c r="H27" i="103" s="1"/>
  <c r="E24" i="103"/>
  <c r="H24" i="103" s="1"/>
  <c r="E6" i="103"/>
  <c r="H6" i="103" s="1"/>
  <c r="B7" i="103"/>
  <c r="D7" i="103"/>
  <c r="G7" i="103"/>
  <c r="E7" i="103"/>
  <c r="E30" i="102"/>
  <c r="H30" i="102" s="1"/>
  <c r="E29" i="102"/>
  <c r="H29" i="102" s="1"/>
  <c r="E27" i="102"/>
  <c r="H27" i="102" s="1"/>
  <c r="E18" i="102"/>
  <c r="E21" i="102"/>
  <c r="H21" i="102" s="1"/>
  <c r="E20" i="102"/>
  <c r="H20" i="102" s="1"/>
  <c r="E17" i="102"/>
  <c r="H17" i="102" s="1"/>
  <c r="E11" i="102"/>
  <c r="H11" i="102" s="1"/>
  <c r="H18" i="102" l="1"/>
  <c r="H6" i="102"/>
  <c r="H29" i="103"/>
  <c r="H7" i="103"/>
  <c r="H31" i="102"/>
  <c r="H22" i="102"/>
  <c r="K6" i="103" l="1"/>
  <c r="H12" i="102"/>
  <c r="E5" i="103"/>
  <c r="B24" i="104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D9" i="104" l="1"/>
  <c r="B33" i="104"/>
  <c r="B10" i="104"/>
  <c r="D34" i="104"/>
  <c r="B34" i="104"/>
  <c r="D35" i="104"/>
  <c r="B20" i="104"/>
  <c r="D25" i="104"/>
  <c r="D10" i="104"/>
  <c r="D11" i="104"/>
  <c r="D23" i="104"/>
  <c r="B23" i="104"/>
  <c r="B9" i="104"/>
  <c r="D18" i="104"/>
  <c r="D5" i="104"/>
  <c r="B5" i="104"/>
  <c r="B19" i="104"/>
  <c r="D6" i="104"/>
  <c r="D20" i="104"/>
  <c r="B6" i="104"/>
  <c r="B7" i="104"/>
  <c r="D8" i="104"/>
  <c r="D24" i="104"/>
  <c r="B25" i="104"/>
  <c r="D32" i="104"/>
  <c r="B32" i="104"/>
  <c r="D33" i="104"/>
  <c r="B11" i="104"/>
  <c r="B18" i="104"/>
  <c r="D19" i="104"/>
  <c r="B35" i="104"/>
  <c r="D7" i="104"/>
  <c r="B8" i="104"/>
  <c r="H16" i="103"/>
  <c r="H5" i="103"/>
  <c r="E8" i="106"/>
  <c r="K5" i="103" l="1"/>
  <c r="H10" i="103"/>
  <c r="H15" i="103"/>
  <c r="H19" i="103" s="1"/>
  <c r="P9" i="103" l="1"/>
  <c r="P8" i="103"/>
  <c r="P6" i="103"/>
  <c r="P7" i="103"/>
  <c r="L5" i="103"/>
  <c r="L6" i="103"/>
  <c r="P5" i="103"/>
  <c r="G24" i="104"/>
  <c r="H24" i="104" s="1"/>
  <c r="G8" i="104"/>
  <c r="H8" i="104" s="1"/>
  <c r="G7" i="104"/>
  <c r="H7" i="104" s="1"/>
  <c r="G25" i="104"/>
  <c r="H25" i="104" s="1"/>
  <c r="G9" i="104"/>
  <c r="H9" i="104" s="1"/>
  <c r="G20" i="104"/>
  <c r="H20" i="104" s="1"/>
  <c r="G34" i="104"/>
  <c r="H34" i="104" s="1"/>
  <c r="G23" i="104"/>
  <c r="H23" i="104" s="1"/>
  <c r="G5" i="104"/>
  <c r="H5" i="104" s="1"/>
  <c r="G11" i="104" l="1"/>
  <c r="H11" i="104" s="1"/>
  <c r="G18" i="104"/>
  <c r="H18" i="104" s="1"/>
  <c r="G33" i="104"/>
  <c r="H33" i="104" s="1"/>
  <c r="G6" i="104"/>
  <c r="H6" i="104" s="1"/>
  <c r="G32" i="104"/>
  <c r="H32" i="104" s="1"/>
  <c r="G19" i="104"/>
  <c r="H19" i="104" s="1"/>
  <c r="H27" i="104" s="1"/>
  <c r="E43" i="104" s="1"/>
  <c r="G35" i="104"/>
  <c r="H35" i="104" s="1"/>
  <c r="G10" i="104"/>
  <c r="H10" i="104" s="1"/>
  <c r="H13" i="104" s="1"/>
  <c r="E42" i="104" s="1"/>
  <c r="H37" i="104" l="1"/>
  <c r="E44" i="104" s="1"/>
  <c r="E47" i="104" s="1"/>
  <c r="E52" i="104" s="1"/>
  <c r="D42" i="104" l="1"/>
  <c r="E51" i="104"/>
  <c r="D44" i="104"/>
  <c r="D43" i="104"/>
  <c r="E53" i="104"/>
  <c r="E54" i="104" s="1"/>
  <c r="E55" i="104" l="1"/>
  <c r="E57" i="104" s="1"/>
</calcChain>
</file>

<file path=xl/sharedStrings.xml><?xml version="1.0" encoding="utf-8"?>
<sst xmlns="http://schemas.openxmlformats.org/spreadsheetml/2006/main" count="251" uniqueCount="71">
  <si>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</si>
  <si>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</si>
  <si>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</si>
  <si>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</si>
  <si>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</si>
  <si>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</si>
  <si>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</si>
  <si>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</si>
  <si>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</si>
  <si>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</si>
  <si>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</si>
  <si>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</si>
  <si>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</si>
  <si>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</si>
  <si>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</si>
  <si>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</si>
  <si>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</si>
  <si>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</si>
  <si>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</si>
  <si>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</si>
  <si>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</si>
  <si>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</si>
  <si>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</si>
  <si>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</si>
  <si>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</si>
  <si>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</si>
  <si>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</si>
  <si>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</si>
  <si>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</si>
  <si>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</si>
  <si>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</si>
  <si>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</si>
  <si>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</si>
  <si>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</si>
  <si>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</si>
  <si>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</si>
  <si>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</si>
  <si>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</si>
  <si>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</si>
  <si>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</si>
  <si>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</si>
  <si>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</si>
  <si>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</si>
  <si>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</si>
  <si>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</si>
  <si>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</si>
  <si>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</si>
  <si>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</si>
  <si>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</si>
  <si>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</si>
  <si>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</si>
  <si>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</si>
  <si>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</si>
  <si>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</si>
  <si>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</si>
  <si>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</si>
  <si>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</si>
  <si>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</si>
  <si>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</si>
  <si>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</si>
  <si>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</si>
  <si>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</si>
  <si>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</si>
  <si>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</si>
  <si>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</si>
  <si>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</si>
  <si>
    <t>INCIDENCIA POR TIPO</t>
  </si>
  <si>
    <t>INCIDENCIA</t>
  </si>
  <si>
    <t>INCIDENCIA POR INSUMO</t>
  </si>
  <si>
    <t xml:space="preserve"> 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</si>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</sst>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164" formatCode="_-* #,##0\ _€_-;\-* #,##0\ _€_-;_-* &quot;-&quot;\ _€_-;_-@_-"/>
    <numFmt numFmtId="165" formatCode="#,##0.00_ ;\-#,##0.00\ "/>
    <numFmt numFmtId="166" formatCode="[$$-240A]\ #,##0"/>
    <numFmt numFmtId="167" formatCode="0.0%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AC56"/>
        <bgColor indexed="64"/>
      </patternFill>
    </fill>
    <fill>
      <patternFill patternType="solid">
        <fgColor rgb="FF0088CC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0" borderId="0" xfId="0" applyNumberFormat="1"/>
    <xf numFmtId="166" fontId="0" fillId="0" borderId="0" xfId="0" applyNumberFormat="1"/>
    <xf numFmtId="0" fontId="10" fillId="0" borderId="0" xfId="0" applyFont="1"/>
    <xf numFmtId="10" fontId="0" fillId="0" borderId="0" xfId="0" applyNumberFormat="1"/>
    <xf numFmtId="167" fontId="0" fillId="0" borderId="0" xfId="13" applyNumberFormat="1" applyFont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9" fillId="3" borderId="0" xfId="0" applyFont="1" applyFill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10" fillId="5" borderId="0" xfId="0" applyFont="1" applyFill="1" applyAlignment="1">
      <alignment horizontal="left" vertical="top"/>
    </xf>
    <xf numFmtId="0" fontId="10" fillId="6" borderId="0" xfId="0" applyFont="1" applyFill="1" applyAlignment="1">
      <alignment horizontal="left" vertical="top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79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167" formatCode="0.0%"/>
    </dxf>
    <dxf>
      <font>
        <b/>
        <color theme="0"/>
        <family val="2"/>
      </font>
    </dxf>
    <dxf>
      <font>
        <b/>
        <color theme="0"/>
        <family val="2"/>
      </font>
    </dxf>
    <dxf>
      <numFmt numFmtId="166" formatCode="[$$-240A]\ #,##0"/>
    </dxf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78"/>
      <tableStyleElement type="headerRow" dxfId="177"/>
    </tableStyle>
    <tableStyle name="S5S Green" pivot="0" count="2" xr9:uid="{00000000-0011-0000-FFFF-FFFF02000000}">
      <tableStyleElement type="wholeTable" dxfId="176"/>
      <tableStyleElement type="headerRow" dxfId="175"/>
    </tableStyle>
    <tableStyle name="S5S Greenblue" pivot="0" count="2" xr9:uid="{00000000-0011-0000-FFFF-FFFF03000000}">
      <tableStyleElement type="wholeTable" dxfId="174"/>
      <tableStyleElement type="headerRow" dxfId="173"/>
    </tableStyle>
    <tableStyle name="S5S2" pivot="0" count="2" xr9:uid="{00000000-0011-0000-FFFF-FFFF04000000}">
      <tableStyleElement type="wholeTable" dxfId="172"/>
      <tableStyleElement type="headerRow" dxfId="171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504274492911471E-2"/>
          <c:y val="3.4920641467436848E-2"/>
          <c:w val="0.47008548985822945"/>
          <c:h val="0.6984128293487369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APU!$J$5:$J$6</c:f>
              <c:strCache>
                <c:ptCount val="2"/>
                <c:pt idx="0">
                  <c:v>MATERIALES</c:v>
                </c:pt>
                <c:pt idx="1">
                  <c:v>EQUIPOS</c:v>
                </c:pt>
              </c:strCache>
            </c:strRef>
          </c:cat>
          <c:val>
            <c:numRef>
              <c:f>APU!$L$5:$L$6</c:f>
              <c:numCache>
                <c:formatCode>0.00%</c:formatCode>
                <c:ptCount val="2"/>
                <c:pt idx="0">
                  <c:v>0.39679281941821964</c:v>
                </c:pt>
                <c:pt idx="1">
                  <c:v>0.60320718058178036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8-43CB-9C32-073BCB948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358976435114088"/>
          <c:y val="3.4920641467436848E-2"/>
          <c:w val="0.50641023564885912"/>
          <c:h val="0.9650793585325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00AC56"/>
      </a:solidFill>
      <a:prstDash val="solid"/>
      <a:round/>
      <a:headEnd type="none" w="med" len="med"/>
      <a:tailEnd type="none" w="med" len="med"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481697911654272E-2"/>
          <c:y val="3.4920641467436848E-2"/>
          <c:w val="0.46963395823308546"/>
          <c:h val="0.6984128293487369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APU!$O$5:$O$9</c:f>
              <c:strCache>
                <c:ptCount val="3"/>
                <c:pt idx="0">
                  <c:v>grava 1"</c:v>
                </c:pt>
                <c:pt idx="2">
                  <c:v>concretadora trompo 3 sacos</c:v>
                </c:pt>
              </c:strCache>
            </c:strRef>
          </c:cat>
          <c:val>
            <c:numRef>
              <c:f>APU!$P$5:$P$9</c:f>
              <c:numCache>
                <c:formatCode>0.0%</c:formatCode>
                <c:ptCount val="5"/>
                <c:pt idx="0">
                  <c:v>0.39679281941821964</c:v>
                </c:pt>
                <c:pt idx="1">
                  <c:v>0</c:v>
                </c:pt>
                <c:pt idx="2">
                  <c:v>0.60320718058178036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A-4211-B16E-DD43E0F6F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311565614473973"/>
          <c:y val="3.4920641467436848E-2"/>
          <c:w val="0.50688434385526027"/>
          <c:h val="0.9650793585325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0088CC"/>
      </a:solidFill>
      <a:prstDash val="solid"/>
      <a:round/>
      <a:headEnd type="none" w="med" len="med"/>
      <a:tailEnd type="none" w="med" len="med"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14</xdr:col>
      <xdr:colOff>0</xdr:colOff>
      <xdr:row>10</xdr:row>
      <xdr:rowOff>0</xdr:rowOff>
    </xdr:to>
    <xdr:graphicFrame macro="">
      <xdr:nvGraphicFramePr>
        <xdr:cNvPr id="22" name="Grafico_Tabla8">
          <a:extLst>
            <a:ext uri="{FF2B5EF4-FFF2-40B4-BE49-F238E27FC236}">
              <a16:creationId xmlns:a16="http://schemas.microsoft.com/office/drawing/2014/main" id="{5B1E645B-BA6B-46C2-ACBB-60F0E2B35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769619</xdr:colOff>
      <xdr:row>2</xdr:row>
      <xdr:rowOff>0</xdr:rowOff>
    </xdr:from>
    <xdr:to>
      <xdr:col>17</xdr:col>
      <xdr:colOff>1630679</xdr:colOff>
      <xdr:row>10</xdr:row>
      <xdr:rowOff>0</xdr:rowOff>
    </xdr:to>
    <xdr:graphicFrame macro="">
      <xdr:nvGraphicFramePr>
        <xdr:cNvPr id="23" name="Grafico_ITabla8">
          <a:extLst>
            <a:ext uri="{FF2B5EF4-FFF2-40B4-BE49-F238E27FC236}">
              <a16:creationId xmlns:a16="http://schemas.microsoft.com/office/drawing/2014/main" id="{EAF0090B-D4F7-4274-89E7-051B004A6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70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69"/>
    <tableColumn id="2" xr3:uid="{590D80B6-266A-40AE-96E2-4B8C49A0ED2D}" name="CÓDIGO" dataDxfId="168"/>
    <tableColumn id="3" xr3:uid="{19A5DD5B-76DF-412C-B456-961C17712F44}" name="UNIDAD" dataDxfId="167"/>
    <tableColumn id="4" xr3:uid="{A5C9AC68-4573-46E5-9519-6D1125A0C35F}" name="PRECIO" dataDxfId="166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65">
  <autoFilter ref="G4:K11" xr:uid="{3EC432AD-E3FE-4AF6-8C30-AA847C0BBC39}"/>
  <tableColumns count="5">
    <tableColumn id="1" xr3:uid="{1D3C53CE-0CF7-4BE4-B9E2-9FA5A48A7FE1}" name="DESCRIPCIÓN" dataDxfId="164"/>
    <tableColumn id="2" xr3:uid="{B929374C-D65D-4AEC-98CD-C5375CD07C26}" name="CÓDIGO" dataDxfId="163"/>
    <tableColumn id="3" xr3:uid="{51C9E9F3-E289-464F-B582-BF64E576D1FB}" name="UNIDAD" dataDxfId="162"/>
    <tableColumn id="4" xr3:uid="{1DAED865-92E7-4746-95F7-EF29DD6C80EE}" name="PRECIO" dataDxfId="161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60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59"/>
    <tableColumn id="2" xr3:uid="{FB67F346-D0B1-4202-AE10-5EBDF4B9ADA2}" name="CÓDIGO" dataDxfId="158"/>
    <tableColumn id="3" xr3:uid="{61447079-C2DA-467E-8F4E-CB2D3B62E402}" name="UNIDAD" dataDxfId="157"/>
    <tableColumn id="4" xr3:uid="{827DC2EB-289E-4D5D-AF01-CA9E16107176}" name="PRECIO" dataDxfId="156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55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54"/>
    <tableColumn id="2" xr3:uid="{C93FF0F3-5C51-4E52-A7FD-0A97B94261FA}" name="CÓDIGO" dataDxfId="153"/>
    <tableColumn id="3" xr3:uid="{DF323099-BE87-475A-A71B-25EACA6CB3A7}" name="UNIDAD" dataDxfId="152"/>
    <tableColumn id="4" xr3:uid="{43CFAE15-C7AF-4CBA-B15F-CAB5946940D0}" name="PRECIO" dataDxfId="151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50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49"/>
    <tableColumn id="2" xr3:uid="{BECD9356-A90A-4458-B2A6-C91CA57E3BF3}" name="CÓDIGO" dataDxfId="148"/>
    <tableColumn id="3" xr3:uid="{06850437-E874-4D8C-9ECA-54256C1C66F6}" name="UNIDAD" dataDxfId="147"/>
    <tableColumn id="4" xr3:uid="{65C0ED23-3E2A-492A-BCA2-FDF0692C8FFD}" name="PRECIO" dataDxfId="146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45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44"/>
    <tableColumn id="2" xr3:uid="{9F8D2D16-7F2E-4007-B55E-8C176DFA54DF}" name="CÓDIGO" dataDxfId="143"/>
    <tableColumn id="3" xr3:uid="{D3D1120B-1558-4FCD-99D8-A5E29D3CDBFC}" name="UNIDAD" dataDxfId="142"/>
    <tableColumn id="4" xr3:uid="{862E80EA-6627-48D7-B8EB-7DB311EABE08}" name="PRECIO" dataDxfId="141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40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39"/>
    <tableColumn id="2" xr3:uid="{A4604D4F-CFC0-4F7E-90A4-827CF550A33E}" name="CÓDIGO" dataDxfId="138"/>
    <tableColumn id="3" xr3:uid="{59E31BB8-5436-4C08-9670-728BD258AC63}" name="UNIDAD" dataDxfId="137"/>
    <tableColumn id="4" xr3:uid="{9A9C7FC3-5F98-4C2A-8274-196411916C6E}" name="PRECIO" dataDxfId="136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29ADC1-5B94-4715-993F-F3219AB27B7D}" name="Tabla2" displayName="Tabla2" ref="A4:H12" totalsRowCount="1">
  <autoFilter ref="A4:H11" xr:uid="{9D29ADC1-5B94-4715-993F-F3219AB27B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A541A2-21D8-4382-9A08-B76AF6CB3CEF}" name="TIPO" totalsRowLabel="Total"/>
    <tableColumn id="2" xr3:uid="{66B4EDD8-05D1-48BB-A029-DC568ED6D11E}" name="CÓDIGO"/>
    <tableColumn id="3" xr3:uid="{247B6D31-0A5D-42F6-A2EA-93DEC305D693}" name="DESCRIPCIÓN"/>
    <tableColumn id="4" xr3:uid="{E851E966-7037-4227-9C15-74EFFC9A7EB6}" name="UNIDAD" dataDxfId="135"/>
    <tableColumn id="5" xr3:uid="{2B14B636-D183-4E5E-A99A-113CE236173F}" name="FACTOR" dataDxfId="134">
      <calculatedColumnFormula>1</calculatedColumnFormula>
    </tableColumn>
    <tableColumn id="6" xr3:uid="{8B5AC80A-FD9B-42B7-8C8E-9D4650A38CAE}" name="CANTIDAD" dataDxfId="133"/>
    <tableColumn id="7" xr3:uid="{37AD99DF-8D2E-4B45-AFD4-3D7180032F86}" name="PRECIO" dataDxfId="132" totalsRowDxfId="5"/>
    <tableColumn id="8" xr3:uid="{500DEEFE-6082-4223-9519-152F4A8060CB}" name="TOTAL" totalsRowFunction="custom" dataDxfId="131" totalsRowDxfId="4">
      <calculatedColumnFormula>Tabla2[[#This Row],[CANTIDAD]]*Tabla2[[#This Row],[PRECIO]]*Tabla2[[#This Row],[FACTOR]]</calculatedColumnFormula>
      <totalsRowFormula>SUM(Tabla2[TOTAL])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2AA72-B15D-479B-BD8E-AE9763F46E0C}" name="Tabla3" displayName="Tabla3" ref="A16:H22" totalsRowCount="1">
  <autoFilter ref="A16:H21" xr:uid="{D5D2AA72-B15D-479B-BD8E-AE9763F46E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71EC1B-07AB-414B-B59A-C363DD659270}" name="TIPO" totalsRowLabel="Total"/>
    <tableColumn id="2" xr3:uid="{262E1842-1704-4B27-A322-86E6E415AD6D}" name="CÓDIGO"/>
    <tableColumn id="3" xr3:uid="{84C9ADFD-2D0A-420B-883F-7CB3414629D8}" name="DESCRIPCIÓN"/>
    <tableColumn id="4" xr3:uid="{1C110E9A-617F-4C7B-96F3-8900EC1A71CF}" name="UNIDAD" dataDxfId="130"/>
    <tableColumn id="5" xr3:uid="{8FF6DC30-E6C2-4203-988F-78519600B27E}" name="FACTOR" dataDxfId="129">
      <calculatedColumnFormula>1</calculatedColumnFormula>
    </tableColumn>
    <tableColumn id="6" xr3:uid="{93372A23-061F-4E12-850E-DE314A672760}" name="CANTIDAD" dataDxfId="128"/>
    <tableColumn id="7" xr3:uid="{5F5E6947-CD79-4E50-9077-372355C9C09F}" name="PRECIO" dataDxfId="127" totalsRowDxfId="3"/>
    <tableColumn id="8" xr3:uid="{B17E79B2-208D-4A1E-BF36-8F97110AF09C}" name="TOTAL" totalsRowFunction="custom" dataDxfId="126" totalsRowDxfId="2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CD9120-8BB2-4E9E-91B6-A1BEC182C506}" name="Tabla13" displayName="Tabla13" ref="A26:H31" totalsRowCount="1">
  <autoFilter ref="A26:H30" xr:uid="{7CCD9120-8BB2-4E9E-91B6-A1BEC182C5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F7D9CA-BDFB-4E9A-AB99-51D9991EDB96}" name="TIPO" totalsRowLabel="Total"/>
    <tableColumn id="2" xr3:uid="{9C9DCF5B-94A9-4981-9F79-47208CB35ACE}" name="CÓDIGO"/>
    <tableColumn id="3" xr3:uid="{9A98BAB3-DCE1-4D8C-B699-E47A6153ADB1}" name="DESCRIPCIÓN"/>
    <tableColumn id="4" xr3:uid="{1B8D3013-E52B-42D5-AA69-0A0EBB966AD1}" name="UNIDAD" dataDxfId="125"/>
    <tableColumn id="5" xr3:uid="{B6456FD6-73F2-44C3-98F3-54604A1C915A}" name="FACTOR" dataDxfId="124">
      <calculatedColumnFormula>1</calculatedColumnFormula>
    </tableColumn>
    <tableColumn id="6" xr3:uid="{DC8CD202-3BE6-498D-BF49-E6F072FE49CF}" name="CANTIDAD" dataDxfId="123"/>
    <tableColumn id="7" xr3:uid="{DE9ADFDD-62D8-476B-BE3F-5625F1B86C39}" name="PRECIO" dataDxfId="122" totalsRowDxfId="1"/>
    <tableColumn id="8" xr3:uid="{48D495EA-DCE7-41E3-AE73-28909E38A4EF}" name="TOTAL" totalsRowFunction="custom" dataDxfId="121" totalsRowDxfId="0">
      <calculatedColumnFormula>Tabla13[[#This Row],[CANTIDAD]]*Tabla13[[#This Row],[PRECIO]]*Tabla13[[#This Row],[FACTOR]]</calculatedColumnFormula>
      <totalsRowFormula>SUM(Tabla13[TOTAL])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0" totalsRowCount="1">
  <autoFilter ref="A4:H9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20"/>
    <tableColumn id="5" xr3:uid="{C34105AC-404D-40A3-8CB0-99A64376F644}" name="FACTOR" dataDxfId="119">
      <calculatedColumnFormula>1</calculatedColumnFormula>
    </tableColumn>
    <tableColumn id="6" xr3:uid="{E80257D3-6472-4C87-9960-309FECFC181C}" name="CANTIDAD" dataDxfId="118"/>
    <tableColumn id="7" xr3:uid="{2DAC665D-F927-441D-83C6-F6A308031674}" name="PRECIO" dataDxfId="117" totalsRowDxfId="13"/>
    <tableColumn id="8" xr3:uid="{C638DF3E-2A17-44E0-8EFC-246FF7997AF9}" name="TOTAL" totalsRowFunction="custom" dataDxfId="116" totalsRowDxfId="12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4:H19" totalsRowCount="1" headerRowDxfId="115">
  <autoFilter ref="A14:H18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114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113"/>
    <tableColumn id="5" xr3:uid="{C7727569-A9B1-489F-A59F-CA766CE2CF60}" name="FACTOR" dataDxfId="112"/>
    <tableColumn id="6" xr3:uid="{25242530-91B4-4B7E-9570-27531DDB0EDE}" name="CANTIDAD" dataDxfId="111"/>
    <tableColumn id="7" xr3:uid="{7167513A-3241-481A-9576-A994D60D5482}" name="PRECIO" dataDxfId="110" totalsRowDxfId="109"/>
    <tableColumn id="8" xr3:uid="{A5D1A74F-AD86-49D1-AAB0-CC3982FFCB2D}" name="TOTAL" totalsRowFunction="custom" dataDxfId="108" totalsRowDxfId="107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17DC69-2AA0-4DAC-A7FE-E5A2BE9D472B}" name="Tabla21" displayName="Tabla21" ref="A23:H29" totalsRowCount="1">
  <autoFilter ref="A23:H28" xr:uid="{B417DC69-2AA0-4DAC-A7FE-E5A2BE9D472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334356-F50B-4742-BF2E-0B19539F1022}" name="TIPO" totalsRowLabel="Total"/>
    <tableColumn id="2" xr3:uid="{77D054DF-04BB-4A56-82FE-E1569EB6D98D}" name="CÓDIGO"/>
    <tableColumn id="3" xr3:uid="{4917C236-CFE9-48FF-90F9-58CC137C04F3}" name="DESCRIPCIÓN"/>
    <tableColumn id="4" xr3:uid="{696D8006-7608-4913-8AEF-C69BA2C3BC17}" name="UNIDAD" dataDxfId="106"/>
    <tableColumn id="5" xr3:uid="{8A7B239E-041A-4D99-8F10-25A5A17FC9B5}" name="FACTOR" dataDxfId="105">
      <calculatedColumnFormula>1</calculatedColumnFormula>
    </tableColumn>
    <tableColumn id="6" xr3:uid="{1C03225C-1D36-495B-BDDD-D57684910572}" name="CANTIDAD" dataDxfId="104"/>
    <tableColumn id="7" xr3:uid="{0DB8039F-E114-4E6C-A63B-E83E8500F3BF}" name="PRECIO" dataDxfId="103" totalsRowDxfId="7"/>
    <tableColumn id="8" xr3:uid="{B0D521D2-0A5B-447D-8938-1AD73B74C9DD}" name="TOTAL" totalsRowFunction="custom" dataDxfId="102" totalsRowDxfId="6">
      <calculatedColumnFormula>Tabla21[[#This Row],[CANTIDAD]]*Tabla21[[#This Row],[PRECIO]]*Tabla21[[#This Row],[FACTOR]]</calculatedColumnFormula>
      <totalsRowFormula>SUM(Tabla21[TOTAL])</totalsRowFormula>
    </tableColumn>
  </tableColumns>
  <tableStyleInfo name="S5S 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45E990-E709-41D4-8E0F-3E33FE669683}" name="Tabla25" displayName="Tabla25" ref="J4:L9" totalsRowShown="0" headerRowDxfId="10">
  <autoFilter ref="J4:L9" xr:uid="{9945E990-E709-41D4-8E0F-3E33FE669683}">
    <filterColumn colId="0" hiddenButton="1"/>
    <filterColumn colId="1" hiddenButton="1"/>
    <filterColumn colId="2" hiddenButton="1"/>
  </autoFilter>
  <tableColumns count="3">
    <tableColumn id="1" xr3:uid="{8967CF45-B1FC-4947-9C63-9673B1A4C170}" name="TIPO"/>
    <tableColumn id="2" xr3:uid="{0A9AD200-1CC6-4C7F-BFF1-C0AF347C1FAB}" name="TOTAL" dataDxfId="11"/>
    <tableColumn id="3" xr3:uid="{A205D38F-9838-42B5-9C86-DA3312F4D869}" name="INCIDENCIA"/>
  </tableColumns>
  <tableStyleInfo name="S5S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C11ACBB-19FB-4336-B907-9B2372B03C6A}" name="Tabla26" displayName="Tabla26" ref="O4:P9" totalsRowShown="0" headerRowDxfId="9">
  <autoFilter ref="O4:P9" xr:uid="{1C11ACBB-19FB-4336-B907-9B2372B03C6A}">
    <filterColumn colId="0" hiddenButton="1"/>
    <filterColumn colId="1" hiddenButton="1"/>
  </autoFilter>
  <tableColumns count="2">
    <tableColumn id="1" xr3:uid="{AAD63CE0-4DE0-4F62-8234-4F2A567AB8B3}" name="INSUMO"/>
    <tableColumn id="2" xr3:uid="{C7F266FC-65DA-4F98-A380-B165EACE8CBC}" name=" " dataDxfId="8" dataCellStyle="Porcentaje"/>
  </tableColumns>
  <tableStyleInfo name="S5S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101" dataDxfId="100" totalsRowDxfId="99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98" totalsRowDxfId="97"/>
    <tableColumn id="2" xr3:uid="{9E4A8911-B1F6-4798-B7A8-393CF0AC0087}" name="DESCRIPCIÓN" dataDxfId="96" totalsRowDxfId="95"/>
    <tableColumn id="3" xr3:uid="{A1AE07CE-2D7B-4A2B-96FB-56923B301155}" name="UNIDAD" dataDxfId="94" totalsRowDxfId="93"/>
    <tableColumn id="4" xr3:uid="{34B40167-98C6-43B4-ACE3-814B43CEEF4D}" name="FACTOR" dataDxfId="92" totalsRowDxfId="91"/>
    <tableColumn id="5" xr3:uid="{4774C47A-FCFE-4EFB-A37B-C782BBB55CD0}" name="CANTIDAD" dataDxfId="90" totalsRowDxfId="89"/>
    <tableColumn id="6" xr3:uid="{A7D9AF6D-518C-461D-AACA-AB4424887819}" name="COSTO" dataDxfId="88" totalsRowDxfId="87"/>
    <tableColumn id="7" xr3:uid="{42342F48-7E8C-4010-A99A-EA5943ADDBC7}" name="TOTAL" totalsRowFunction="custom" dataDxfId="86" totalsRowDxfId="85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84" dataDxfId="83" totalsRowDxfId="82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81" totalsRowDxfId="80"/>
    <tableColumn id="2" xr3:uid="{7B7026C8-5732-41EE-8015-AFFBBE29D398}" name="DESCRIPCIÓN" dataDxfId="79" totalsRowDxfId="78"/>
    <tableColumn id="3" xr3:uid="{4C38D328-722B-4A28-8CF5-30E68B140749}" name="UNIDAD" dataDxfId="77" totalsRowDxfId="76"/>
    <tableColumn id="4" xr3:uid="{BE8B3E57-1D68-47B5-A101-D68769928F3C}" name="FACTOR" dataDxfId="75" totalsRowDxfId="74"/>
    <tableColumn id="5" xr3:uid="{5B147115-067F-4462-8F12-6C1048890CC9}" name="CANTIDAD" dataDxfId="73" totalsRowDxfId="72"/>
    <tableColumn id="6" xr3:uid="{955A2662-8045-4115-857E-2647ED977388}" name="COSTO" dataDxfId="71" totalsRowDxfId="70"/>
    <tableColumn id="7" xr3:uid="{62DEB7EA-E79D-4A3F-9BE0-7F3BBCB43F23}" name="TOTAL" totalsRowFunction="custom" dataDxfId="69" totalsRowDxfId="68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67" dataDxfId="66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65" totalsRowDxfId="64"/>
    <tableColumn id="2" xr3:uid="{63AB7991-3171-4CFC-B894-5591ADF27BD0}" name="DESCRIPCIÓN" dataDxfId="63" totalsRowDxfId="62"/>
    <tableColumn id="3" xr3:uid="{72B32921-1C76-4D87-B0A1-AC042005BE73}" name="UNIDAD" dataDxfId="61" totalsRowDxfId="60"/>
    <tableColumn id="4" xr3:uid="{CFCE981E-C0CD-4810-80AE-7487E1688532}" name="FACTOR" dataDxfId="59" totalsRowDxfId="58"/>
    <tableColumn id="5" xr3:uid="{14E91AA0-6A64-47EB-AE7D-50E5CE3ADE75}" name="CANTIDAD" dataDxfId="57" totalsRowDxfId="56"/>
    <tableColumn id="6" xr3:uid="{08CF8B6D-9475-4CC8-8403-E646267C1F75}" name="COSTO" dataDxfId="55" totalsRowDxfId="54"/>
    <tableColumn id="7" xr3:uid="{18657652-05A7-4B33-933A-7DC55F031EE2}" name="TOTAL" totalsRowFunction="custom" dataDxfId="53" totalsRowDxfId="52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51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50"/>
    <tableColumn id="2" xr3:uid="{370B0231-4F9C-48C9-9F57-C90F8A632628}" name="CAPÍTULO" dataDxfId="49"/>
    <tableColumn id="3" xr3:uid="{4A4CC8D5-96D5-4282-A30A-1CC3A389B7B1}" name="PORCENTAJE" dataDxfId="48"/>
    <tableColumn id="4" xr3:uid="{41945A50-0A11-4145-893F-B2A711295293}" name="SUBTOTAL" dataDxfId="47"/>
  </tableColumns>
  <tableStyleInfo name="S5S Green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46"/>
    <tableColumn id="2" xr3:uid="{29F24675-DB97-4EF0-BFFA-862DF3A82C23}" name="PORCENTAJE" dataDxfId="45"/>
    <tableColumn id="3" xr3:uid="{A8FB70AB-F141-461C-9C8C-442B5352E67A}" name="SUBTOTAL" dataDxfId="44"/>
  </tableColumns>
  <tableStyleInfo name="S5S Greenblu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43" dataDxfId="41" headerRowBorderDxfId="42" tableBorderDxfId="40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39" totalsRowDxfId="38"/>
    <tableColumn id="2" xr3:uid="{00000000-0010-0000-0C00-000002000000}" name="CÓDIGO" totalsRowDxfId="37"/>
    <tableColumn id="3" xr3:uid="{00000000-0010-0000-0C00-000003000000}" name="UNIDAD " totalsRowDxfId="36"/>
    <tableColumn id="4" xr3:uid="{00000000-0010-0000-0C00-000004000000}" name="COSTO" dataDxfId="35" totalsRowDxfId="34"/>
  </tableColumns>
  <tableStyleInfo name="S5S Blu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7" headerRowDxfId="33" dataDxfId="32" tableBorderDxfId="31">
  <autoFilter ref="B2:E7" xr:uid="{00000000-0009-0000-0100-000006000000}"/>
  <sortState xmlns:xlrd2="http://schemas.microsoft.com/office/spreadsheetml/2017/richdata2" ref="B3:E7">
    <sortCondition ref="B2:B7"/>
  </sortState>
  <tableColumns count="4">
    <tableColumn id="1" xr3:uid="{00000000-0010-0000-0D00-000001000000}" name="DESCRIPCIÓN" dataDxfId="30" totalsRowDxfId="29"/>
    <tableColumn id="2" xr3:uid="{00000000-0010-0000-0D00-000002000000}" name="CÓDIGO" totalsRowDxfId="28"/>
    <tableColumn id="3" xr3:uid="{00000000-0010-0000-0D00-000003000000}" name="UNIDAD " totalsRowDxfId="27"/>
    <tableColumn id="4" xr3:uid="{00000000-0010-0000-0D00-000004000000}" name="COSTO" dataDxfId="26" totalsRowDxfId="25"/>
  </tableColumns>
  <tableStyleInfo name="S5S Blu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24" totalsRowDxfId="23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22"/>
    <tableColumn id="2" xr3:uid="{00000000-0010-0000-0E00-000002000000}" name="UNIDAD" dataDxfId="21" totalsRowDxfId="20"/>
    <tableColumn id="3" xr3:uid="{00000000-0010-0000-0E00-000003000000}" name="PRECIO" dataDxfId="19" totalsRowDxfId="18"/>
    <tableColumn id="4" xr3:uid="{00000000-0010-0000-0E00-000004000000}" name="CANTIDAD" dataDxfId="17" totalsRowDxfId="16"/>
    <tableColumn id="5" xr3:uid="{00000000-0010-0000-0E00-000005000000}" name="TOTAL" totalsRowFunction="sum" dataDxfId="15" totalsRowDxfId="14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7" t="s">
        <v>34</v>
      </c>
      <c r="B1" s="77"/>
      <c r="C1" s="77"/>
      <c r="D1" s="77"/>
      <c r="E1" s="77"/>
    </row>
    <row r="2" spans="1:43" ht="3" customHeight="1" thickBot="1" x14ac:dyDescent="0.35"/>
    <row r="3" spans="1:43" ht="18.600000000000001" thickBot="1" x14ac:dyDescent="0.4">
      <c r="A3" s="78" t="s">
        <v>4</v>
      </c>
      <c r="B3" s="79"/>
      <c r="C3" s="79"/>
      <c r="D3" s="79"/>
      <c r="E3" s="80"/>
      <c r="G3" s="78" t="s">
        <v>5</v>
      </c>
      <c r="H3" s="79"/>
      <c r="I3" s="79"/>
      <c r="J3" s="79"/>
      <c r="K3" s="80"/>
      <c r="M3" s="78" t="s">
        <v>6</v>
      </c>
      <c r="N3" s="79"/>
      <c r="O3" s="79"/>
      <c r="P3" s="79"/>
      <c r="Q3" s="80"/>
      <c r="S3" s="78" t="s">
        <v>7</v>
      </c>
      <c r="T3" s="79"/>
      <c r="U3" s="79"/>
      <c r="V3" s="79"/>
      <c r="W3" s="80"/>
      <c r="Y3" s="78" t="s">
        <v>8</v>
      </c>
      <c r="Z3" s="79"/>
      <c r="AA3" s="79"/>
      <c r="AB3" s="79"/>
      <c r="AC3" s="80"/>
      <c r="AD3" s="18"/>
      <c r="AE3" s="78" t="s">
        <v>9</v>
      </c>
      <c r="AF3" s="79"/>
      <c r="AG3" s="79"/>
      <c r="AH3" s="79"/>
      <c r="AI3" s="80"/>
      <c r="AK3" s="78" t="s">
        <v>10</v>
      </c>
      <c r="AL3" s="79"/>
      <c r="AM3" s="79"/>
      <c r="AN3" s="79"/>
      <c r="AO3" s="80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84"/>
  <sheetViews>
    <sheetView showGridLines="0" tabSelected="1" topLeftCell="A10" zoomScale="110" zoomScaleNormal="110" zoomScaleSheetLayoutView="110" workbookViewId="0">
      <selection activeCell="F23" sqref="F23"/>
    </sheetView>
  </sheetViews>
  <sheetFormatPr baseColWidth="10" defaultRowHeight="14.4" outlineLevelRow="1" x14ac:dyDescent="0.3"/>
  <cols>
    <col min="1" max="1" width="11.77734375" bestFit="1" customWidth="1"/>
    <col min="2" max="2" width="7.77734375" bestFit="1" customWidth="1"/>
    <col min="3" max="3" width="40.77734375" customWidth="1"/>
    <col min="4" max="4" width="7.77734375" bestFit="1" customWidth="1"/>
    <col min="5" max="5" width="7.5546875" bestFit="1" customWidth="1"/>
    <col min="6" max="6" width="9.6640625" bestFit="1" customWidth="1"/>
    <col min="7" max="8" width="8.77734375" style="19" bestFit="1" customWidth="1"/>
    <col min="9" max="9" width="1.33203125" customWidth="1"/>
    <col min="10" max="10" width="15.77734375" customWidth="1"/>
    <col min="11" max="11" width="9" bestFit="1" customWidth="1"/>
    <col min="12" max="12" width="11" bestFit="1" customWidth="1"/>
    <col min="13" max="13" width="7.77734375" customWidth="1"/>
    <col min="14" max="14" width="23.77734375" customWidth="1"/>
    <col min="15" max="15" width="15.77734375" customWidth="1"/>
    <col min="16" max="16" width="7" bestFit="1" customWidth="1"/>
    <col min="17" max="17" width="7.77734375" customWidth="1"/>
    <col min="18" max="18" width="23.77734375" customWidth="1"/>
  </cols>
  <sheetData>
    <row r="1" spans="1:8" ht="30" customHeight="1" x14ac:dyDescent="0.3">
      <c r="A1" s="84" t="s">
        <v>35</v>
      </c>
      <c r="B1" s="84"/>
      <c r="C1" s="84"/>
      <c r="D1" s="84"/>
      <c r="E1" s="84"/>
      <c r="F1" s="84"/>
      <c r="G1" s="84"/>
      <c r="H1" s="84"/>
    </row>
    <row r="2" spans="1:8" ht="15" thickBot="1" x14ac:dyDescent="0.35">
      <c r="G2"/>
      <c r="H2"/>
    </row>
    <row r="3" spans="1:8" ht="15" thickBot="1" x14ac:dyDescent="0.35">
      <c r="A3" s="55" t="s">
        <v>19</v>
      </c>
      <c r="B3" s="81" t="s">
        <v>65</v>
      </c>
      <c r="C3" s="82"/>
      <c r="D3" s="82"/>
      <c r="E3" s="82"/>
      <c r="F3" s="82"/>
      <c r="G3" s="83"/>
      <c r="H3" s="56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/>
      <c r="D5" s="18"/>
      <c r="E5" s="72">
        <f>1</f>
        <v>1</v>
      </c>
      <c r="F5" s="72"/>
      <c r="G5" s="35"/>
      <c r="H5" s="35">
        <f>Tabla2[[#This Row],[CANTIDAD]]*Tabla2[[#This Row],[PRECIO]]*Tabla2[[#This Row],[FACTOR]]</f>
        <v>0</v>
      </c>
    </row>
    <row r="6" spans="1:8" outlineLevel="1" x14ac:dyDescent="0.3">
      <c r="A6" s="25" t="s">
        <v>4</v>
      </c>
      <c r="B6">
        <f>VLOOKUP(Tabla2[[#This Row],[DESCRIPCIÓN]],T_mat[[DESCRIPCIÓN]:[PRECIO]],2,FALSE)</f>
        <v>0</v>
      </c>
      <c r="C6" t="s">
        <v>50</v>
      </c>
      <c r="D6" s="18" t="str">
        <f>VLOOKUP(Tabla2[[#This Row],[DESCRIPCIÓN]],T_mat[[DESCRIPCIÓN]:[PRECIO]],3,FALSE)</f>
        <v>m3</v>
      </c>
      <c r="E6" s="72">
        <f>1</f>
        <v>1</v>
      </c>
      <c r="F6" s="72">
        <v>2</v>
      </c>
      <c r="G6" s="35">
        <f>VLOOKUP(Tabla2[[#This Row],[DESCRIPCIÓN]],T_mat[[DESCRIPCIÓN]:[PRECIO]],4,FALSE)</f>
        <v>285000</v>
      </c>
      <c r="H6" s="35">
        <f>Tabla2[[#This Row],[CANTIDAD]]*Tabla2[[#This Row],[PRECIO]]*Tabla2[[#This Row],[FACTOR]]</f>
        <v>570000</v>
      </c>
    </row>
    <row r="7" spans="1:8" outlineLevel="1" x14ac:dyDescent="0.3">
      <c r="A7" s="25"/>
      <c r="D7" s="18"/>
      <c r="E7" s="72">
        <f>1</f>
        <v>1</v>
      </c>
      <c r="F7" s="72"/>
      <c r="G7" s="35"/>
      <c r="H7" s="35">
        <f>Tabla2[[#This Row],[CANTIDAD]]*Tabla2[[#This Row],[PRECIO]]*Tabla2[[#This Row],[FACTOR]]</f>
        <v>0</v>
      </c>
    </row>
    <row r="8" spans="1:8" outlineLevel="1" x14ac:dyDescent="0.3">
      <c r="A8" s="25"/>
      <c r="D8" s="18"/>
      <c r="E8" s="72">
        <f>1</f>
        <v>1</v>
      </c>
      <c r="F8" s="72"/>
      <c r="G8" s="35"/>
      <c r="H8" s="35">
        <f>Tabla2[[#This Row],[CANTIDAD]]*Tabla2[[#This Row],[PRECIO]]*Tabla2[[#This Row],[FACTOR]]</f>
        <v>0</v>
      </c>
    </row>
    <row r="9" spans="1:8" outlineLevel="1" x14ac:dyDescent="0.3">
      <c r="A9" s="25"/>
      <c r="D9" s="18"/>
      <c r="E9" s="72">
        <f>1</f>
        <v>1</v>
      </c>
      <c r="F9" s="72"/>
      <c r="G9" s="35"/>
      <c r="H9" s="35">
        <f>Tabla2[[#This Row],[CANTIDAD]]*Tabla2[[#This Row],[PRECIO]]*Tabla2[[#This Row],[FACTOR]]</f>
        <v>0</v>
      </c>
    </row>
    <row r="10" spans="1:8" outlineLevel="1" x14ac:dyDescent="0.3">
      <c r="A10" s="25"/>
      <c r="D10" s="18"/>
      <c r="E10" s="72">
        <f>1</f>
        <v>1</v>
      </c>
      <c r="F10" s="72"/>
      <c r="G10" s="35"/>
      <c r="H10" s="35">
        <f>Tabla2[[#This Row],[CANTIDAD]]*Tabla2[[#This Row],[PRECIO]]*Tabla2[[#This Row],[FACTOR]]</f>
        <v>0</v>
      </c>
    </row>
    <row r="11" spans="1:8" outlineLevel="1" x14ac:dyDescent="0.3">
      <c r="D11" s="18"/>
      <c r="E11" s="72">
        <f>1</f>
        <v>1</v>
      </c>
      <c r="F11" s="72"/>
      <c r="G11" s="35"/>
      <c r="H11" s="35">
        <f>Tabla2[[#This Row],[CANTIDAD]]*Tabla2[[#This Row],[PRECIO]]*Tabla2[[#This Row],[FACTOR]]</f>
        <v>0</v>
      </c>
    </row>
    <row r="12" spans="1:8" x14ac:dyDescent="0.3">
      <c r="A12" t="s">
        <v>18</v>
      </c>
      <c r="G12" s="35"/>
      <c r="H12" s="35">
        <f>SUM(Tabla2[TOTAL])</f>
        <v>570000</v>
      </c>
    </row>
    <row r="13" spans="1:8" x14ac:dyDescent="0.3">
      <c r="G13"/>
      <c r="H13"/>
    </row>
    <row r="14" spans="1:8" ht="15" thickBot="1" x14ac:dyDescent="0.35">
      <c r="G14"/>
      <c r="H14"/>
    </row>
    <row r="15" spans="1:8" ht="15" thickBot="1" x14ac:dyDescent="0.35">
      <c r="A15" s="55" t="s">
        <v>19</v>
      </c>
      <c r="B15" s="81" t="s">
        <v>65</v>
      </c>
      <c r="C15" s="82"/>
      <c r="D15" s="82"/>
      <c r="E15" s="82"/>
      <c r="F15" s="82"/>
      <c r="G15" s="83"/>
      <c r="H15" s="56" t="s">
        <v>38</v>
      </c>
    </row>
    <row r="16" spans="1:8" outlineLevel="1" x14ac:dyDescent="0.3">
      <c r="A16" t="s">
        <v>14</v>
      </c>
      <c r="B16" t="s">
        <v>0</v>
      </c>
      <c r="C16" t="s">
        <v>1</v>
      </c>
      <c r="D16" t="s">
        <v>11</v>
      </c>
      <c r="E16" t="s">
        <v>15</v>
      </c>
      <c r="F16" t="s">
        <v>16</v>
      </c>
      <c r="G16" t="s">
        <v>12</v>
      </c>
      <c r="H16" t="s">
        <v>17</v>
      </c>
    </row>
    <row r="17" spans="1:11" outlineLevel="1" x14ac:dyDescent="0.3">
      <c r="A17" s="25"/>
      <c r="D17" s="18"/>
      <c r="E17" s="72">
        <f>1</f>
        <v>1</v>
      </c>
      <c r="F17" s="72"/>
      <c r="G17" s="35"/>
      <c r="H17" s="35">
        <f>Tabla3[[#This Row],[CANTIDAD]]*Tabla3[[#This Row],[PRECIO]]*Tabla3[[#This Row],[FACTOR]]</f>
        <v>0</v>
      </c>
    </row>
    <row r="18" spans="1:11" outlineLevel="1" x14ac:dyDescent="0.3">
      <c r="A18" s="25" t="s">
        <v>4</v>
      </c>
      <c r="B18">
        <f>VLOOKUP(Tabla3[[#This Row],[DESCRIPCIÓN]],T_mat[[DESCRIPCIÓN]:[PRECIO]],2,FALSE)</f>
        <v>0</v>
      </c>
      <c r="C18" t="s">
        <v>50</v>
      </c>
      <c r="D18" s="18" t="str">
        <f>VLOOKUP(Tabla3[[#This Row],[DESCRIPCIÓN]],T_mat[[DESCRIPCIÓN]:[PRECIO]],3,FALSE)</f>
        <v>m3</v>
      </c>
      <c r="E18" s="72">
        <f>1</f>
        <v>1</v>
      </c>
      <c r="F18" s="72">
        <v>2</v>
      </c>
      <c r="G18" s="35">
        <f>VLOOKUP(Tabla3[[#This Row],[DESCRIPCIÓN]],T_mat[[DESCRIPCIÓN]:[PRECIO]],4,FALSE)</f>
        <v>285000</v>
      </c>
      <c r="H18" s="35">
        <f>Tabla3[[#This Row],[CANTIDAD]]*Tabla3[[#This Row],[PRECIO]]*Tabla3[[#This Row],[FACTOR]]</f>
        <v>570000</v>
      </c>
      <c r="K18" s="73"/>
    </row>
    <row r="19" spans="1:11" outlineLevel="1" x14ac:dyDescent="0.3">
      <c r="A19" s="25"/>
      <c r="D19" s="18"/>
      <c r="E19" s="72">
        <f>1</f>
        <v>1</v>
      </c>
      <c r="F19" s="72"/>
      <c r="G19" s="35"/>
      <c r="H19" s="35">
        <f>Tabla3[[#This Row],[CANTIDAD]]*Tabla3[[#This Row],[PRECIO]]*Tabla3[[#This Row],[FACTOR]]</f>
        <v>0</v>
      </c>
      <c r="K19" s="73"/>
    </row>
    <row r="20" spans="1:11" outlineLevel="1" x14ac:dyDescent="0.3">
      <c r="D20" s="18"/>
      <c r="E20" s="72">
        <f>1</f>
        <v>1</v>
      </c>
      <c r="F20" s="72"/>
      <c r="G20" s="35"/>
      <c r="H20" s="35">
        <f>Tabla3[[#This Row],[CANTIDAD]]*Tabla3[[#This Row],[PRECIO]]*Tabla3[[#This Row],[FACTOR]]</f>
        <v>0</v>
      </c>
      <c r="K20" s="73"/>
    </row>
    <row r="21" spans="1:11" outlineLevel="1" x14ac:dyDescent="0.3">
      <c r="D21" s="18"/>
      <c r="E21" s="72">
        <f>1</f>
        <v>1</v>
      </c>
      <c r="F21" s="72"/>
      <c r="G21" s="35"/>
      <c r="H21" s="35">
        <f>Tabla3[[#This Row],[CANTIDAD]]*Tabla3[[#This Row],[PRECIO]]*Tabla3[[#This Row],[FACTOR]]</f>
        <v>0</v>
      </c>
      <c r="K21" s="73"/>
    </row>
    <row r="22" spans="1:11" x14ac:dyDescent="0.3">
      <c r="A22" t="s">
        <v>18</v>
      </c>
      <c r="G22" s="35"/>
      <c r="H22" s="35">
        <f>SUM(Tabla3[TOTAL])</f>
        <v>570000</v>
      </c>
      <c r="K22" s="73"/>
    </row>
    <row r="23" spans="1:11" x14ac:dyDescent="0.3">
      <c r="G23"/>
      <c r="H23"/>
    </row>
    <row r="24" spans="1:11" ht="15" thickBot="1" x14ac:dyDescent="0.35">
      <c r="G24"/>
      <c r="H24"/>
    </row>
    <row r="25" spans="1:11" ht="15" thickBot="1" x14ac:dyDescent="0.35">
      <c r="A25" s="55" t="s">
        <v>19</v>
      </c>
      <c r="B25" s="81" t="s">
        <v>65</v>
      </c>
      <c r="C25" s="82"/>
      <c r="D25" s="82"/>
      <c r="E25" s="82"/>
      <c r="F25" s="82"/>
      <c r="G25" s="83"/>
      <c r="H25" s="56" t="s">
        <v>38</v>
      </c>
    </row>
    <row r="26" spans="1:11" outlineLevel="1" x14ac:dyDescent="0.3">
      <c r="A26" t="s">
        <v>14</v>
      </c>
      <c r="B26" t="s">
        <v>0</v>
      </c>
      <c r="C26" t="s">
        <v>1</v>
      </c>
      <c r="D26" t="s">
        <v>11</v>
      </c>
      <c r="E26" t="s">
        <v>15</v>
      </c>
      <c r="F26" t="s">
        <v>16</v>
      </c>
      <c r="G26" t="s">
        <v>12</v>
      </c>
      <c r="H26" t="s">
        <v>17</v>
      </c>
    </row>
    <row r="27" spans="1:11" outlineLevel="1" x14ac:dyDescent="0.3">
      <c r="A27" s="25" t="s">
        <v>4</v>
      </c>
      <c r="B27">
        <f>VLOOKUP(Tabla13[[#This Row],[DESCRIPCIÓN]],T_mat[[DESCRIPCIÓN]:[PRECIO]],2,FALSE)</f>
        <v>0</v>
      </c>
      <c r="C27" t="s">
        <v>50</v>
      </c>
      <c r="D27" s="18" t="str">
        <f>VLOOKUP(Tabla13[[#This Row],[DESCRIPCIÓN]],T_mat[[DESCRIPCIÓN]:[PRECIO]],3,FALSE)</f>
        <v>m3</v>
      </c>
      <c r="E27" s="72">
        <f>1</f>
        <v>1</v>
      </c>
      <c r="F27" s="72">
        <v>2</v>
      </c>
      <c r="G27" s="35">
        <f>VLOOKUP(Tabla13[[#This Row],[DESCRIPCIÓN]],T_mat[[DESCRIPCIÓN]:[PRECIO]],4,FALSE)</f>
        <v>285000</v>
      </c>
      <c r="H27" s="35">
        <f>Tabla13[[#This Row],[CANTIDAD]]*Tabla13[[#This Row],[PRECIO]]*Tabla13[[#This Row],[FACTOR]]</f>
        <v>570000</v>
      </c>
    </row>
    <row r="28" spans="1:11" outlineLevel="1" x14ac:dyDescent="0.3">
      <c r="A28" s="25"/>
      <c r="D28" s="18"/>
      <c r="E28" s="72">
        <f>1</f>
        <v>1</v>
      </c>
      <c r="F28" s="72"/>
      <c r="G28" s="35"/>
      <c r="H28" s="35">
        <f>Tabla13[[#This Row],[CANTIDAD]]*Tabla13[[#This Row],[PRECIO]]*Tabla13[[#This Row],[FACTOR]]</f>
        <v>0</v>
      </c>
    </row>
    <row r="29" spans="1:11" outlineLevel="1" x14ac:dyDescent="0.3">
      <c r="D29" s="18"/>
      <c r="E29" s="72">
        <f>1</f>
        <v>1</v>
      </c>
      <c r="F29" s="72"/>
      <c r="G29" s="35"/>
      <c r="H29" s="35">
        <f>Tabla13[[#This Row],[CANTIDAD]]*Tabla13[[#This Row],[PRECIO]]*Tabla13[[#This Row],[FACTOR]]</f>
        <v>0</v>
      </c>
      <c r="K29" s="73"/>
    </row>
    <row r="30" spans="1:11" outlineLevel="1" x14ac:dyDescent="0.3">
      <c r="D30" s="18"/>
      <c r="E30" s="72">
        <f>1</f>
        <v>1</v>
      </c>
      <c r="F30" s="72"/>
      <c r="G30" s="35"/>
      <c r="H30" s="35">
        <f>Tabla13[[#This Row],[CANTIDAD]]*Tabla13[[#This Row],[PRECIO]]*Tabla13[[#This Row],[FACTOR]]</f>
        <v>0</v>
      </c>
    </row>
    <row r="31" spans="1:11" x14ac:dyDescent="0.3">
      <c r="A31" t="s">
        <v>18</v>
      </c>
      <c r="G31" s="35"/>
      <c r="H31" s="35">
        <f>SUM(Tabla13[TOTAL])</f>
        <v>570000</v>
      </c>
    </row>
    <row r="32" spans="1:11" x14ac:dyDescent="0.3">
      <c r="G32"/>
      <c r="H32"/>
    </row>
    <row r="33" spans="7:11" x14ac:dyDescent="0.3">
      <c r="G33"/>
      <c r="H33"/>
    </row>
    <row r="34" spans="7:11" x14ac:dyDescent="0.3">
      <c r="G34"/>
      <c r="H34"/>
      <c r="K34" s="73"/>
    </row>
    <row r="35" spans="7:11" x14ac:dyDescent="0.3">
      <c r="G35"/>
      <c r="H35"/>
      <c r="K35" s="73"/>
    </row>
    <row r="36" spans="7:11" x14ac:dyDescent="0.3">
      <c r="G36"/>
      <c r="H36"/>
    </row>
    <row r="37" spans="7:11" x14ac:dyDescent="0.3">
      <c r="G37"/>
      <c r="H37"/>
    </row>
    <row r="38" spans="7:11" x14ac:dyDescent="0.3">
      <c r="G38"/>
      <c r="H38"/>
    </row>
    <row r="39" spans="7:11" x14ac:dyDescent="0.3">
      <c r="G39"/>
      <c r="H39"/>
    </row>
    <row r="40" spans="7:11" x14ac:dyDescent="0.3">
      <c r="G40"/>
      <c r="H40"/>
    </row>
    <row r="41" spans="7:11" x14ac:dyDescent="0.3">
      <c r="G41"/>
      <c r="H41"/>
    </row>
    <row r="42" spans="7:11" x14ac:dyDescent="0.3">
      <c r="G42"/>
      <c r="H42"/>
    </row>
    <row r="43" spans="7:11" x14ac:dyDescent="0.3">
      <c r="G43"/>
      <c r="H43"/>
    </row>
    <row r="44" spans="7:11" x14ac:dyDescent="0.3">
      <c r="G44"/>
      <c r="H44"/>
    </row>
    <row r="45" spans="7:11" x14ac:dyDescent="0.3">
      <c r="G45"/>
      <c r="H45"/>
    </row>
    <row r="46" spans="7:11" x14ac:dyDescent="0.3">
      <c r="G46"/>
      <c r="H46"/>
    </row>
    <row r="47" spans="7:11" x14ac:dyDescent="0.3">
      <c r="G47"/>
      <c r="H47"/>
    </row>
    <row r="48" spans="7:11" x14ac:dyDescent="0.3">
      <c r="G48"/>
      <c r="H48"/>
    </row>
    <row r="49" spans="7:8" x14ac:dyDescent="0.3">
      <c r="G49"/>
      <c r="H49"/>
    </row>
    <row r="50" spans="7:8" x14ac:dyDescent="0.3">
      <c r="G50"/>
      <c r="H50"/>
    </row>
    <row r="51" spans="7:8" x14ac:dyDescent="0.3">
      <c r="G51"/>
      <c r="H51"/>
    </row>
    <row r="52" spans="7:8" x14ac:dyDescent="0.3">
      <c r="G52"/>
      <c r="H52"/>
    </row>
    <row r="53" spans="7:8" x14ac:dyDescent="0.3">
      <c r="G53"/>
      <c r="H53"/>
    </row>
    <row r="54" spans="7:8" x14ac:dyDescent="0.3">
      <c r="G54"/>
      <c r="H54"/>
    </row>
    <row r="55" spans="7:8" x14ac:dyDescent="0.3">
      <c r="G55"/>
      <c r="H55"/>
    </row>
    <row r="56" spans="7:8" x14ac:dyDescent="0.3">
      <c r="G56"/>
      <c r="H56"/>
    </row>
    <row r="57" spans="7:8" x14ac:dyDescent="0.3">
      <c r="G57"/>
      <c r="H57"/>
    </row>
    <row r="58" spans="7:8" x14ac:dyDescent="0.3">
      <c r="G58"/>
      <c r="H58"/>
    </row>
    <row r="59" spans="7:8" x14ac:dyDescent="0.3">
      <c r="G59"/>
      <c r="H59"/>
    </row>
    <row r="60" spans="7:8" x14ac:dyDescent="0.3">
      <c r="G60"/>
      <c r="H60"/>
    </row>
    <row r="61" spans="7:8" x14ac:dyDescent="0.3">
      <c r="G61"/>
      <c r="H61"/>
    </row>
    <row r="62" spans="7:8" x14ac:dyDescent="0.3">
      <c r="G62"/>
      <c r="H62"/>
    </row>
    <row r="63" spans="7:8" x14ac:dyDescent="0.3">
      <c r="G63"/>
      <c r="H63"/>
    </row>
    <row r="64" spans="7:8" x14ac:dyDescent="0.3">
      <c r="G64"/>
      <c r="H64"/>
    </row>
    <row r="65" spans="7:8" x14ac:dyDescent="0.3">
      <c r="G65"/>
      <c r="H65"/>
    </row>
    <row r="66" spans="7:8" x14ac:dyDescent="0.3">
      <c r="G66"/>
      <c r="H66"/>
    </row>
    <row r="67" spans="7:8" x14ac:dyDescent="0.3">
      <c r="G67"/>
      <c r="H67"/>
    </row>
    <row r="68" spans="7:8" x14ac:dyDescent="0.3">
      <c r="G68"/>
      <c r="H68"/>
    </row>
    <row r="69" spans="7:8" x14ac:dyDescent="0.3">
      <c r="G69"/>
      <c r="H69"/>
    </row>
    <row r="70" spans="7:8" x14ac:dyDescent="0.3">
      <c r="G70"/>
      <c r="H70"/>
    </row>
    <row r="71" spans="7:8" x14ac:dyDescent="0.3">
      <c r="G71"/>
      <c r="H71"/>
    </row>
    <row r="72" spans="7:8" x14ac:dyDescent="0.3">
      <c r="G72"/>
      <c r="H72"/>
    </row>
    <row r="73" spans="7:8" x14ac:dyDescent="0.3">
      <c r="G73"/>
      <c r="H73"/>
    </row>
    <row r="74" spans="7:8" x14ac:dyDescent="0.3">
      <c r="G74"/>
      <c r="H74"/>
    </row>
    <row r="75" spans="7:8" x14ac:dyDescent="0.3">
      <c r="G75"/>
      <c r="H75"/>
    </row>
    <row r="76" spans="7:8" x14ac:dyDescent="0.3">
      <c r="G76"/>
      <c r="H76"/>
    </row>
    <row r="77" spans="7:8" x14ac:dyDescent="0.3">
      <c r="G77"/>
      <c r="H77"/>
    </row>
    <row r="78" spans="7:8" x14ac:dyDescent="0.3">
      <c r="G78"/>
      <c r="H78"/>
    </row>
    <row r="79" spans="7:8" x14ac:dyDescent="0.3">
      <c r="G79"/>
      <c r="H79"/>
    </row>
    <row r="80" spans="7:8" x14ac:dyDescent="0.3">
      <c r="G80"/>
      <c r="H80"/>
    </row>
    <row r="81" spans="7:8" x14ac:dyDescent="0.3">
      <c r="G81"/>
      <c r="H81"/>
    </row>
    <row r="82" spans="7:8" x14ac:dyDescent="0.3">
      <c r="G82"/>
      <c r="H82"/>
    </row>
    <row r="83" spans="7:8" x14ac:dyDescent="0.3">
      <c r="G83"/>
      <c r="H83"/>
    </row>
    <row r="84" spans="7:8" x14ac:dyDescent="0.3">
      <c r="G84"/>
      <c r="H84"/>
    </row>
  </sheetData>
  <mergeCells count="4">
    <mergeCell ref="B25:G25"/>
    <mergeCell ref="A1:H1"/>
    <mergeCell ref="B3:G3"/>
    <mergeCell ref="B15:G15"/>
  </mergeCells>
  <dataValidations count="2">
    <dataValidation type="list" allowBlank="1" showInputMessage="1" showErrorMessage="1" sqref="A17:A21 A27:A30 A5:A6 A8:A11 A7" xr:uid="{E6404BFF-D194-4B9A-83FD-DC09C4548847}">
      <formula1>"MATERIALES,EQUIPOS,MANO DE OBRA,TRANSPORTE,SUBCONTRATOS,ACTIVIDADES,OTROS"</formula1>
    </dataValidation>
    <dataValidation type="list" allowBlank="1" showInputMessage="1" showErrorMessage="1" sqref="C5:C10 C18 C27" xr:uid="{061A93BB-738C-4D90-A9BC-F66A14F214D8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P65"/>
  <sheetViews>
    <sheetView showGridLines="0" showWhiteSpace="0" zoomScale="110" zoomScaleNormal="110" zoomScaleSheetLayoutView="110" workbookViewId="0">
      <selection activeCell="C8" sqref="C8"/>
    </sheetView>
  </sheetViews>
  <sheetFormatPr baseColWidth="10" defaultColWidth="11.44140625" defaultRowHeight="14.4" outlineLevelRow="1" x14ac:dyDescent="0.3"/>
  <cols>
    <col min="1" max="1" width="12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8" width="8.77734375" style="19" bestFit="1" customWidth="1"/>
    <col min="9" max="9" width="1.33203125" customWidth="1"/>
    <col min="10" max="10" width="15.77734375" customWidth="1"/>
    <col min="11" max="11" width="9" bestFit="1" customWidth="1"/>
    <col min="12" max="12" width="11" bestFit="1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16" ht="30" customHeight="1" x14ac:dyDescent="0.3">
      <c r="A1" s="84" t="s">
        <v>36</v>
      </c>
      <c r="B1" s="84"/>
      <c r="C1" s="84"/>
      <c r="D1" s="84"/>
      <c r="E1" s="84"/>
      <c r="F1" s="84"/>
      <c r="G1" s="84"/>
      <c r="H1" s="84"/>
    </row>
    <row r="2" spans="1:16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16" ht="15" thickBot="1" x14ac:dyDescent="0.35">
      <c r="A3" s="57" t="s">
        <v>19</v>
      </c>
      <c r="B3" s="85" t="s">
        <v>59</v>
      </c>
      <c r="C3" s="86"/>
      <c r="D3" s="86"/>
      <c r="E3" s="86"/>
      <c r="F3" s="86"/>
      <c r="G3" s="87"/>
      <c r="H3" s="58" t="s">
        <v>38</v>
      </c>
      <c r="J3" s="91" t="s">
        <v>66</v>
      </c>
      <c r="K3" s="91"/>
      <c r="L3" s="91"/>
      <c r="O3" s="92" t="s">
        <v>68</v>
      </c>
      <c r="P3" s="92"/>
    </row>
    <row r="4" spans="1:16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  <c r="J4" s="74" t="s">
        <v>14</v>
      </c>
      <c r="K4" s="74" t="s">
        <v>17</v>
      </c>
      <c r="L4" s="74" t="s">
        <v>67</v>
      </c>
      <c r="O4" s="74" t="s">
        <v>23</v>
      </c>
      <c r="P4" s="74" t="s">
        <v>69</v>
      </c>
    </row>
    <row r="5" spans="1:16" outlineLevel="1" x14ac:dyDescent="0.3">
      <c r="A5" t="s">
        <v>4</v>
      </c>
      <c r="B5">
        <f>VLOOKUP(Tabla8[[#This Row],[DESCRIPCIÓN]],T_mat[[DESCRIPCIÓN]:[PRECIO]],2,FALSE)</f>
        <v>0</v>
      </c>
      <c r="C5" t="s">
        <v>52</v>
      </c>
      <c r="D5" s="18" t="str">
        <f>VLOOKUP(Tabla8[[#This Row],[DESCRIPCIÓN]],T_mat[[DESCRIPCIÓN]:[PRECIO]],3,FALSE)</f>
        <v>m3</v>
      </c>
      <c r="E5" s="72">
        <f>1</f>
        <v>1</v>
      </c>
      <c r="F5" s="72">
        <v>2</v>
      </c>
      <c r="G5" s="35">
        <f>VLOOKUP(Tabla8[[#This Row],[DESCRIPCIÓN]],T_mat[[DESCRIPCIÓN]:[PRECIO]],4,FALSE)</f>
        <v>72500</v>
      </c>
      <c r="H5" s="35">
        <f>Tabla8[[#This Row],[CANTIDAD]]*Tabla8[[#This Row],[PRECIO]]*Tabla8[[#This Row],[FACTOR]]</f>
        <v>145000</v>
      </c>
      <c r="J5" t="s">
        <v>4</v>
      </c>
      <c r="K5" s="73">
        <f>H5</f>
        <v>145000</v>
      </c>
      <c r="L5" s="75">
        <f>Tabla25[[#This Row],[TOTAL]]/SUM(Tabla25[TOTAL])</f>
        <v>0.39679281941821964</v>
      </c>
      <c r="O5" t="s">
        <v>52</v>
      </c>
      <c r="P5" s="76">
        <f>(H5)/(H10)</f>
        <v>0.39679281941821964</v>
      </c>
    </row>
    <row r="6" spans="1:16" outlineLevel="1" x14ac:dyDescent="0.3">
      <c r="D6" s="18"/>
      <c r="E6" s="72">
        <f>1</f>
        <v>1</v>
      </c>
      <c r="F6" s="72"/>
      <c r="G6" s="35"/>
      <c r="H6" s="35">
        <f>Tabla8[[#This Row],[CANTIDAD]]*Tabla8[[#This Row],[PRECIO]]*Tabla8[[#This Row],[FACTOR]]</f>
        <v>0</v>
      </c>
      <c r="J6" t="s">
        <v>5</v>
      </c>
      <c r="K6" s="73">
        <f>H7</f>
        <v>220430</v>
      </c>
      <c r="L6" s="75">
        <f>Tabla25[[#This Row],[TOTAL]]/SUM(Tabla25[TOTAL])</f>
        <v>0.60320718058178036</v>
      </c>
      <c r="P6" s="76">
        <f>(H6)/(H10)</f>
        <v>0</v>
      </c>
    </row>
    <row r="7" spans="1:16" outlineLevel="1" x14ac:dyDescent="0.3">
      <c r="A7" t="s">
        <v>5</v>
      </c>
      <c r="B7">
        <f>VLOOKUP(Tabla8[[#This Row],[DESCRIPCIÓN]],T_equipos[[DESCRIPCIÓN]:[PRECIO]],2,FALSE)</f>
        <v>0</v>
      </c>
      <c r="C7" t="s">
        <v>55</v>
      </c>
      <c r="D7" s="18" t="str">
        <f>VLOOKUP(Tabla8[[#This Row],[DESCRIPCIÓN]],T_equipos[[DESCRIPCIÓN]:[PRECIO]],3,FALSE)</f>
        <v>d</v>
      </c>
      <c r="E7" s="72">
        <f>1</f>
        <v>1</v>
      </c>
      <c r="F7" s="72">
        <v>2</v>
      </c>
      <c r="G7" s="35">
        <f>VLOOKUP(Tabla8[[#This Row],[DESCRIPCIÓN]],T_equipos[[DESCRIPCIÓN]:[PRECIO]],4,FALSE)</f>
        <v>110215</v>
      </c>
      <c r="H7" s="35">
        <f>Tabla8[[#This Row],[CANTIDAD]]*Tabla8[[#This Row],[PRECIO]]*Tabla8[[#This Row],[FACTOR]]</f>
        <v>220430</v>
      </c>
      <c r="K7" s="73"/>
      <c r="L7" s="75"/>
      <c r="O7" t="s">
        <v>55</v>
      </c>
      <c r="P7" s="76">
        <f>(H7)/(H10)</f>
        <v>0.60320718058178036</v>
      </c>
    </row>
    <row r="8" spans="1:16" outlineLevel="1" x14ac:dyDescent="0.3">
      <c r="D8" s="18"/>
      <c r="E8">
        <v>1</v>
      </c>
      <c r="G8" s="35"/>
      <c r="H8" s="35">
        <v>0</v>
      </c>
      <c r="K8" s="73"/>
      <c r="L8" s="75"/>
      <c r="P8" s="76">
        <f>(H8)/(H10)</f>
        <v>0</v>
      </c>
    </row>
    <row r="9" spans="1:16" outlineLevel="1" x14ac:dyDescent="0.3">
      <c r="D9" s="18"/>
      <c r="E9">
        <v>1</v>
      </c>
      <c r="G9" s="35"/>
      <c r="H9" s="35">
        <v>0</v>
      </c>
      <c r="K9" s="73"/>
      <c r="L9" s="75"/>
      <c r="P9" s="76">
        <f>(H9)/(H10)</f>
        <v>0</v>
      </c>
    </row>
    <row r="10" spans="1:16" x14ac:dyDescent="0.3">
      <c r="A10" t="s">
        <v>18</v>
      </c>
      <c r="G10" s="35"/>
      <c r="H10" s="35">
        <f>SUM(Tabla8[TOTAL])</f>
        <v>365430</v>
      </c>
      <c r="K10" s="73"/>
    </row>
    <row r="11" spans="1:16" x14ac:dyDescent="0.3">
      <c r="G11"/>
      <c r="H11"/>
      <c r="K11" s="73"/>
    </row>
    <row r="12" spans="1:16" ht="15" thickBot="1" x14ac:dyDescent="0.35">
      <c r="G12"/>
      <c r="H12"/>
      <c r="K12" s="73"/>
    </row>
    <row r="13" spans="1:16" ht="15" thickBot="1" x14ac:dyDescent="0.35">
      <c r="A13" s="62" t="s">
        <v>19</v>
      </c>
      <c r="B13" s="88" t="s">
        <v>61</v>
      </c>
      <c r="C13" s="89"/>
      <c r="D13" s="89"/>
      <c r="E13" s="89"/>
      <c r="F13" s="89"/>
      <c r="G13" s="90"/>
      <c r="H13" s="63" t="s">
        <v>38</v>
      </c>
    </row>
    <row r="14" spans="1:16" outlineLevel="1" x14ac:dyDescent="0.3">
      <c r="A14" s="25" t="s">
        <v>14</v>
      </c>
      <c r="B14" s="25" t="s">
        <v>0</v>
      </c>
      <c r="C14" s="25" t="s">
        <v>1</v>
      </c>
      <c r="D14" s="25" t="s">
        <v>11</v>
      </c>
      <c r="E14" s="25" t="s">
        <v>15</v>
      </c>
      <c r="F14" s="25" t="s">
        <v>16</v>
      </c>
      <c r="G14" s="25" t="s">
        <v>12</v>
      </c>
      <c r="H14" s="25" t="s">
        <v>17</v>
      </c>
    </row>
    <row r="15" spans="1:16" outlineLevel="1" x14ac:dyDescent="0.3">
      <c r="A15" t="s">
        <v>45</v>
      </c>
      <c r="C15" t="s">
        <v>58</v>
      </c>
      <c r="D15" s="18"/>
      <c r="E15">
        <v>1</v>
      </c>
      <c r="F15">
        <v>4</v>
      </c>
      <c r="G15" s="35"/>
      <c r="H15" s="35">
        <f>Tabla10[[#This Row],[CANTIDAD]]*Tabla10[[#This Row],[PRECIO]]*Tabla10[[#This Row],[FACTOR]]</f>
        <v>0</v>
      </c>
    </row>
    <row r="16" spans="1:16" outlineLevel="1" x14ac:dyDescent="0.3">
      <c r="A16" t="s">
        <v>45</v>
      </c>
      <c r="C16" t="s">
        <v>60</v>
      </c>
      <c r="D16" s="18"/>
      <c r="E16">
        <v>1</v>
      </c>
      <c r="F16">
        <v>5</v>
      </c>
      <c r="G16" s="35"/>
      <c r="H16" s="35">
        <f>Tabla10[[#This Row],[CANTIDAD]]*Tabla10[[#This Row],[PRECIO]]*Tabla10[[#This Row],[FACTOR]]</f>
        <v>0</v>
      </c>
    </row>
    <row r="17" spans="1:11" outlineLevel="1" x14ac:dyDescent="0.3">
      <c r="D17" s="18"/>
      <c r="E17" s="72">
        <f>1</f>
        <v>1</v>
      </c>
      <c r="F17" s="72"/>
      <c r="G17" s="35"/>
      <c r="H17" s="35">
        <f>Tabla10[[#This Row],[CANTIDAD]]*Tabla10[[#This Row],[PRECIO]]*Tabla10[[#This Row],[FACTOR]]</f>
        <v>0</v>
      </c>
    </row>
    <row r="18" spans="1:11" outlineLevel="1" x14ac:dyDescent="0.3">
      <c r="D18" s="18"/>
      <c r="E18">
        <v>1</v>
      </c>
      <c r="G18" s="35"/>
      <c r="H18" s="35">
        <v>0</v>
      </c>
      <c r="K18" s="73"/>
    </row>
    <row r="19" spans="1:11" x14ac:dyDescent="0.3">
      <c r="A19" s="25" t="s">
        <v>18</v>
      </c>
      <c r="G19" s="35"/>
      <c r="H19" s="36">
        <f>SUM(Tabla10[TOTAL])</f>
        <v>0</v>
      </c>
      <c r="K19" s="73"/>
    </row>
    <row r="20" spans="1:11" x14ac:dyDescent="0.3">
      <c r="G20"/>
      <c r="H20"/>
    </row>
    <row r="21" spans="1:11" ht="15" thickBot="1" x14ac:dyDescent="0.35">
      <c r="G21"/>
      <c r="H21"/>
    </row>
    <row r="22" spans="1:11" ht="15" thickBot="1" x14ac:dyDescent="0.35">
      <c r="A22" s="57" t="s">
        <v>19</v>
      </c>
      <c r="B22" s="85" t="s">
        <v>70</v>
      </c>
      <c r="C22" s="86"/>
      <c r="D22" s="86"/>
      <c r="E22" s="86"/>
      <c r="F22" s="86"/>
      <c r="G22" s="87"/>
      <c r="H22" s="58" t="s">
        <v>38</v>
      </c>
    </row>
    <row r="23" spans="1:11" outlineLevel="1" x14ac:dyDescent="0.3">
      <c r="A23" t="s">
        <v>14</v>
      </c>
      <c r="B23" t="s">
        <v>0</v>
      </c>
      <c r="C23" t="s">
        <v>1</v>
      </c>
      <c r="D23" t="s">
        <v>11</v>
      </c>
      <c r="E23" t="s">
        <v>15</v>
      </c>
      <c r="F23" t="s">
        <v>16</v>
      </c>
      <c r="G23" t="s">
        <v>12</v>
      </c>
      <c r="H23" t="s">
        <v>17</v>
      </c>
    </row>
    <row r="24" spans="1:11" outlineLevel="1" x14ac:dyDescent="0.3">
      <c r="A24" s="25"/>
      <c r="D24" s="18"/>
      <c r="E24" s="72">
        <f>1</f>
        <v>1</v>
      </c>
      <c r="F24" s="72"/>
      <c r="G24" s="35"/>
      <c r="H24" s="35">
        <f>Tabla21[[#This Row],[CANTIDAD]]*Tabla21[[#This Row],[PRECIO]]*Tabla21[[#This Row],[FACTOR]]</f>
        <v>0</v>
      </c>
    </row>
    <row r="25" spans="1:11" outlineLevel="1" x14ac:dyDescent="0.3">
      <c r="A25" s="25"/>
      <c r="D25" s="18"/>
      <c r="E25" s="72">
        <f>1</f>
        <v>1</v>
      </c>
      <c r="F25" s="72"/>
      <c r="G25" s="35"/>
      <c r="H25" s="35">
        <f>Tabla21[[#This Row],[CANTIDAD]]*Tabla21[[#This Row],[PRECIO]]*Tabla21[[#This Row],[FACTOR]]</f>
        <v>0</v>
      </c>
    </row>
    <row r="26" spans="1:11" outlineLevel="1" x14ac:dyDescent="0.3">
      <c r="A26" s="25"/>
      <c r="D26" s="18"/>
      <c r="E26" s="72">
        <f>1</f>
        <v>1</v>
      </c>
      <c r="F26" s="72"/>
      <c r="G26" s="35"/>
      <c r="H26" s="35">
        <f>Tabla21[[#This Row],[CANTIDAD]]*Tabla21[[#This Row],[PRECIO]]*Tabla21[[#This Row],[FACTOR]]</f>
        <v>0</v>
      </c>
    </row>
    <row r="27" spans="1:11" outlineLevel="1" x14ac:dyDescent="0.3">
      <c r="D27" s="18"/>
      <c r="E27" s="72">
        <f>1</f>
        <v>1</v>
      </c>
      <c r="F27" s="72"/>
      <c r="G27" s="35"/>
      <c r="H27" s="35">
        <f>Tabla21[[#This Row],[CANTIDAD]]*Tabla21[[#This Row],[PRECIO]]*Tabla21[[#This Row],[FACTOR]]</f>
        <v>0</v>
      </c>
    </row>
    <row r="28" spans="1:11" outlineLevel="1" x14ac:dyDescent="0.3">
      <c r="D28" s="18"/>
      <c r="E28" s="72">
        <f>1</f>
        <v>1</v>
      </c>
      <c r="F28" s="72"/>
      <c r="G28" s="35"/>
      <c r="H28" s="35">
        <f>Tabla21[[#This Row],[CANTIDAD]]*Tabla21[[#This Row],[PRECIO]]*Tabla21[[#This Row],[FACTOR]]</f>
        <v>0</v>
      </c>
    </row>
    <row r="29" spans="1:11" x14ac:dyDescent="0.3">
      <c r="A29" t="s">
        <v>18</v>
      </c>
      <c r="G29" s="35"/>
      <c r="H29" s="35">
        <f>SUM(Tabla21[TOTAL])</f>
        <v>0</v>
      </c>
    </row>
    <row r="30" spans="1:11" x14ac:dyDescent="0.3">
      <c r="G30"/>
      <c r="H30"/>
    </row>
    <row r="31" spans="1:11" x14ac:dyDescent="0.3">
      <c r="G31"/>
      <c r="H31"/>
    </row>
    <row r="32" spans="1:11" x14ac:dyDescent="0.3">
      <c r="G32"/>
      <c r="H32"/>
    </row>
    <row r="33" spans="1:8" x14ac:dyDescent="0.3">
      <c r="G33"/>
      <c r="H33"/>
    </row>
    <row r="34" spans="1:8" x14ac:dyDescent="0.3">
      <c r="G34"/>
      <c r="H34"/>
    </row>
    <row r="35" spans="1:8" x14ac:dyDescent="0.3">
      <c r="G35"/>
      <c r="H35"/>
    </row>
    <row r="36" spans="1:8" x14ac:dyDescent="0.3">
      <c r="G36"/>
      <c r="H36"/>
    </row>
    <row r="37" spans="1:8" x14ac:dyDescent="0.3">
      <c r="G37"/>
      <c r="H37"/>
    </row>
    <row r="38" spans="1:8" x14ac:dyDescent="0.3">
      <c r="G38"/>
      <c r="H38"/>
    </row>
    <row r="39" spans="1:8" x14ac:dyDescent="0.3">
      <c r="G39"/>
      <c r="H39"/>
    </row>
    <row r="40" spans="1:8" x14ac:dyDescent="0.3">
      <c r="G40"/>
      <c r="H40"/>
    </row>
    <row r="41" spans="1:8" x14ac:dyDescent="0.3">
      <c r="G41"/>
      <c r="H41"/>
    </row>
    <row r="42" spans="1:8" x14ac:dyDescent="0.3">
      <c r="G42"/>
      <c r="H42"/>
    </row>
    <row r="43" spans="1:8" x14ac:dyDescent="0.3">
      <c r="G43"/>
      <c r="H43"/>
    </row>
    <row r="44" spans="1:8" x14ac:dyDescent="0.3">
      <c r="G44"/>
      <c r="H44"/>
    </row>
    <row r="45" spans="1:8" x14ac:dyDescent="0.3">
      <c r="G45"/>
      <c r="H45"/>
    </row>
    <row r="46" spans="1:8" x14ac:dyDescent="0.3">
      <c r="A46" s="33"/>
      <c r="B46" s="34"/>
      <c r="C46" s="48"/>
      <c r="D46" s="48"/>
      <c r="E46" s="33"/>
      <c r="F46" s="33"/>
      <c r="G46" s="33"/>
      <c r="H46" s="49"/>
    </row>
    <row r="47" spans="1:8" x14ac:dyDescent="0.3">
      <c r="A47" s="33"/>
      <c r="B47" s="34"/>
      <c r="C47" s="48"/>
      <c r="D47" s="48"/>
      <c r="E47" s="33"/>
      <c r="F47" s="33"/>
      <c r="G47" s="33"/>
      <c r="H47" s="49"/>
    </row>
    <row r="48" spans="1:8" x14ac:dyDescent="0.3">
      <c r="G48"/>
      <c r="H48"/>
    </row>
    <row r="49" spans="1:11" x14ac:dyDescent="0.3">
      <c r="A49" s="33"/>
      <c r="B49" s="34"/>
      <c r="C49" s="48"/>
      <c r="D49" s="48"/>
      <c r="E49" s="33"/>
      <c r="F49" s="33"/>
      <c r="G49" s="33"/>
      <c r="H49" s="49"/>
    </row>
    <row r="50" spans="1:11" x14ac:dyDescent="0.3">
      <c r="A50" s="33"/>
      <c r="B50" s="34"/>
      <c r="C50" s="48"/>
      <c r="D50" s="48"/>
      <c r="E50" s="33"/>
      <c r="F50" s="33"/>
      <c r="G50" s="33"/>
      <c r="H50" s="49"/>
    </row>
    <row r="64" spans="1:11" x14ac:dyDescent="0.3">
      <c r="K64" s="73"/>
    </row>
    <row r="65" spans="11:11" x14ac:dyDescent="0.3">
      <c r="K65" s="73"/>
    </row>
  </sheetData>
  <mergeCells count="6">
    <mergeCell ref="O3:P3"/>
    <mergeCell ref="J3:L3"/>
    <mergeCell ref="B22:G22"/>
    <mergeCell ref="B13:G13"/>
    <mergeCell ref="A1:H1"/>
    <mergeCell ref="B3:G3"/>
  </mergeCells>
  <dataValidations count="4">
    <dataValidation type="list" allowBlank="1" showInputMessage="1" showErrorMessage="1" sqref="A5:A9 A15:A18 A24 A26:A28 A25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7 C6" xr:uid="{84ADB258-F000-43AB-A0A5-2BD26A14872D}">
      <formula1>EQUIPOS</formula1>
    </dataValidation>
    <dataValidation type="list" allowBlank="1" showInputMessage="1" showErrorMessage="1" sqref="C5" xr:uid="{AF27FCD3-FFE9-49F1-944E-3CFCC52ADAC2}">
      <formula1>MATERIALES</formula1>
    </dataValidation>
    <dataValidation type="list" allowBlank="1" showInputMessage="1" showErrorMessage="1" sqref="C15:C17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10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7" t="s">
        <v>37</v>
      </c>
      <c r="C1" s="97"/>
      <c r="D1" s="97"/>
      <c r="E1" s="97"/>
      <c r="F1" s="97"/>
      <c r="G1" s="97"/>
      <c r="H1" s="97"/>
    </row>
    <row r="2" spans="2:8" ht="15.6" thickBot="1" x14ac:dyDescent="0.3"/>
    <row r="3" spans="2:8" ht="16.2" thickBot="1" x14ac:dyDescent="0.3">
      <c r="B3" s="93" t="s">
        <v>63</v>
      </c>
      <c r="C3" s="94"/>
      <c r="D3" s="94"/>
      <c r="E3" s="94"/>
      <c r="F3" s="94"/>
      <c r="G3" s="95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0</v>
      </c>
      <c r="H5" s="38">
        <f>Tabla7[[#This Row],[FACTOR]]*Tabla7[[#This Row],[CANTIDAD]]*Tabla7[[#This Row],[COSTO]]</f>
        <v>0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>
        <f>VLOOKUP(Tabla7[[#This Row],[DESCRIPCIÓN]],T_apus[[DESCRIPCIÓN]:[COSTO]],4,FALSE)</f>
        <v>365430</v>
      </c>
      <c r="H6" s="38">
        <f>Tabla7[[#This Row],[FACTOR]]*Tabla7[[#This Row],[CANTIDAD]]*Tabla7[[#This Row],[COSTO]]</f>
        <v>730860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>
        <f>VLOOKUP(Tabla7[[#This Row],[DESCRIPCIÓN]],T_apus[[DESCRIPCIÓN]:[COSTO]],4,FALSE)</f>
        <v>0</v>
      </c>
      <c r="H7" s="38">
        <f>Tabla7[[#This Row],[FACTOR]]*Tabla7[[#This Row],[CANTIDAD]]*Tabla7[[#This Row],[COSTO]]</f>
        <v>0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>
        <f>VLOOKUP(Tabla7[[#This Row],[DESCRIPCIÓN]],T_apus[[DESCRIPCIÓN]:[COSTO]],4,FALSE)</f>
        <v>0</v>
      </c>
      <c r="H8" s="38">
        <f>Tabla7[[#This Row],[FACTOR]]*Tabla7[[#This Row],[CANTIDAD]]*Tabla7[[#This Row],[COSTO]]</f>
        <v>0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>
        <f>VLOOKUP(Tabla7[[#This Row],[DESCRIPCIÓN]],T_apus[[DESCRIPCIÓN]:[COSTO]],4,FALSE)</f>
        <v>0</v>
      </c>
      <c r="H9" s="38">
        <f>Tabla7[[#This Row],[FACTOR]]*Tabla7[[#This Row],[CANTIDAD]]*Tabla7[[#This Row],[COSTO]]</f>
        <v>0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>
        <f>VLOOKUP(Tabla7[[#This Row],[DESCRIPCIÓN]],T_apus[[DESCRIPCIÓN]:[COSTO]],4,FALSE)</f>
        <v>365430</v>
      </c>
      <c r="H10" s="38">
        <f>Tabla7[[#This Row],[FACTOR]]*Tabla7[[#This Row],[CANTIDAD]]*Tabla7[[#This Row],[COSTO]]</f>
        <v>1827150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>
        <f>VLOOKUP(Tabla7[[#This Row],[DESCRIPCIÓN]],T_apus[[DESCRIPCIÓN]:[COSTO]],4,FALSE)</f>
        <v>365430</v>
      </c>
      <c r="H11" s="38">
        <f>Tabla7[[#This Row],[FACTOR]]*Tabla7[[#This Row],[CANTIDAD]]*Tabla7[[#This Row],[COSTO]]</f>
        <v>365430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>
        <f>SUM(Tabla7[TOTAL])</f>
        <v>2923440</v>
      </c>
    </row>
    <row r="15" spans="2:8" ht="15.6" thickBot="1" x14ac:dyDescent="0.3"/>
    <row r="16" spans="2:8" ht="16.2" thickBot="1" x14ac:dyDescent="0.3">
      <c r="B16" s="93" t="s">
        <v>64</v>
      </c>
      <c r="C16" s="94"/>
      <c r="D16" s="94"/>
      <c r="E16" s="94"/>
      <c r="F16" s="94"/>
      <c r="G16" s="95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>
        <f>VLOOKUP(Tabla14[[#This Row],[DESCRIPCIÓN]],T_apus[[DESCRIPCIÓN]:[COSTO]],4,FALSE)</f>
        <v>365430</v>
      </c>
      <c r="H18" s="38">
        <f>Tabla14[[#This Row],[FACTOR]]*Tabla14[[#This Row],[CANTIDAD]]*Tabla14[[#This Row],[COSTO]]</f>
        <v>1096290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>
        <f>VLOOKUP(Tabla14[[#This Row],[DESCRIPCIÓN]],T_apus[[DESCRIPCIÓN]:[COSTO]],4,FALSE)</f>
        <v>365430</v>
      </c>
      <c r="H19" s="38">
        <f>Tabla14[[#This Row],[FACTOR]]*Tabla14[[#This Row],[CANTIDAD]]*Tabla14[[#This Row],[COSTO]]</f>
        <v>1096290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>
        <f>VLOOKUP(Tabla14[[#This Row],[DESCRIPCIÓN]],T_apus[[DESCRIPCIÓN]:[COSTO]],4,FALSE)</f>
        <v>0</v>
      </c>
      <c r="H20" s="38">
        <f>Tabla14[[#This Row],[FACTOR]]*Tabla14[[#This Row],[CANTIDAD]]*Tabla14[[#This Row],[COSTO]]</f>
        <v>0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>
        <f>VLOOKUP(Tabla14[[#This Row],[DESCRIPCIÓN]],T_apus[[DESCRIPCIÓN]:[COSTO]],4,FALSE)</f>
        <v>0</v>
      </c>
      <c r="H23" s="38">
        <f>Tabla14[[#This Row],[FACTOR]]*Tabla14[[#This Row],[CANTIDAD]]*Tabla14[[#This Row],[COSTO]]</f>
        <v>0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>
        <f>VLOOKUP(Tabla14[[#This Row],[DESCRIPCIÓN]],T_apus[[DESCRIPCIÓN]:[COSTO]],4,FALSE)</f>
        <v>365430</v>
      </c>
      <c r="H24" s="38">
        <f>Tabla14[[#This Row],[FACTOR]]*Tabla14[[#This Row],[CANTIDAD]]*Tabla14[[#This Row],[COSTO]]</f>
        <v>365430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>
        <f>VLOOKUP(Tabla14[[#This Row],[DESCRIPCIÓN]],T_apus[[DESCRIPCIÓN]:[COSTO]],4,FALSE)</f>
        <v>0</v>
      </c>
      <c r="H25" s="38">
        <f>Tabla14[[#This Row],[FACTOR]]*Tabla14[[#This Row],[CANTIDAD]]*Tabla14[[#This Row],[COSTO]]</f>
        <v>0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>
        <f>SUM(Tabla14[TOTAL])</f>
        <v>2558010</v>
      </c>
    </row>
    <row r="29" spans="2:8" ht="15.6" thickBot="1" x14ac:dyDescent="0.3"/>
    <row r="30" spans="2:8" ht="16.2" thickBot="1" x14ac:dyDescent="0.3">
      <c r="B30" s="93" t="s">
        <v>20</v>
      </c>
      <c r="C30" s="94"/>
      <c r="D30" s="94"/>
      <c r="E30" s="94"/>
      <c r="F30" s="94"/>
      <c r="G30" s="95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>
        <f>VLOOKUP(Tabla89[[#This Row],[DESCRIPCIÓN]],T_apus[[DESCRIPCIÓN]:[COSTO]],4,FALSE)</f>
        <v>365430</v>
      </c>
      <c r="H32" s="38">
        <f>Tabla89[[#This Row],[FACTOR]]*Tabla89[[#This Row],[CANTIDAD]]*Tabla89[[#This Row],[COSTO]]</f>
        <v>1096290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>
        <f>VLOOKUP(Tabla89[[#This Row],[DESCRIPCIÓN]],T_apus[[DESCRIPCIÓN]:[COSTO]],4,FALSE)</f>
        <v>365430</v>
      </c>
      <c r="H33" s="38">
        <f>Tabla89[[#This Row],[FACTOR]]*Tabla89[[#This Row],[CANTIDAD]]*Tabla89[[#This Row],[COSTO]]</f>
        <v>84779760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>
        <f>VLOOKUP(Tabla89[[#This Row],[DESCRIPCIÓN]],T_apus[[DESCRIPCIÓN]:[COSTO]],4,FALSE)</f>
        <v>0</v>
      </c>
      <c r="H34" s="38">
        <f>Tabla89[[#This Row],[FACTOR]]*Tabla89[[#This Row],[CANTIDAD]]*Tabla89[[#This Row],[COSTO]]</f>
        <v>0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>
        <f>VLOOKUP(Tabla89[[#This Row],[DESCRIPCIÓN]],T_apus[[DESCRIPCIÓN]:[COSTO]],4,FALSE)</f>
        <v>365430</v>
      </c>
      <c r="H35" s="38">
        <f>Tabla89[[#This Row],[FACTOR]]*Tabla89[[#This Row],[CANTIDAD]]*Tabla89[[#This Row],[COSTO]]</f>
        <v>7674030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6" t="s">
        <v>18</v>
      </c>
      <c r="C37" s="65"/>
      <c r="D37" s="64"/>
      <c r="E37" s="50"/>
      <c r="F37" s="50"/>
      <c r="G37" s="50"/>
      <c r="H37" s="41">
        <f>SUM(Tabla89[TOTAL])</f>
        <v>93550080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67">
        <f>(E42)/(E47)</f>
        <v>2.9520295202952029E-2</v>
      </c>
      <c r="E42" s="38">
        <f>$H$13</f>
        <v>2923440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67">
        <f>(E43)/(E47)</f>
        <v>2.5830258302583026E-2</v>
      </c>
      <c r="E43" s="38">
        <f>$H$27</f>
        <v>2558010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67">
        <f>(E44)/(E47)</f>
        <v>0.94464944649446492</v>
      </c>
      <c r="E44" s="38">
        <f>$H$37</f>
        <v>93550080</v>
      </c>
      <c r="F44" s="37"/>
      <c r="G44" s="37"/>
    </row>
    <row r="47" spans="2:8" ht="15.6" x14ac:dyDescent="0.3">
      <c r="B47" s="42"/>
      <c r="C47" s="53"/>
      <c r="D47" s="43" t="s">
        <v>30</v>
      </c>
      <c r="E47" s="54">
        <f>SUM(E42:E46)</f>
        <v>99031530</v>
      </c>
    </row>
    <row r="48" spans="2:8" x14ac:dyDescent="0.25">
      <c r="B48" s="96" t="s">
        <v>62</v>
      </c>
      <c r="C48" s="96"/>
      <c r="D48" s="96"/>
      <c r="E48" s="96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68">
        <v>0.05</v>
      </c>
      <c r="E51" s="69">
        <f>Tabla91[[#This Row],[PORCENTAJE]]*E47</f>
        <v>4951576.5</v>
      </c>
    </row>
    <row r="52" spans="3:5" x14ac:dyDescent="0.25">
      <c r="C52" s="51" t="s">
        <v>27</v>
      </c>
      <c r="D52" s="68">
        <v>0.05</v>
      </c>
      <c r="E52" s="69">
        <f>Tabla91[[#This Row],[PORCENTAJE]]*E47</f>
        <v>4951576.5</v>
      </c>
    </row>
    <row r="53" spans="3:5" x14ac:dyDescent="0.25">
      <c r="C53" s="51" t="s">
        <v>28</v>
      </c>
      <c r="D53" s="68">
        <v>0.1</v>
      </c>
      <c r="E53" s="69">
        <f>Tabla91[[#This Row],[PORCENTAJE]]*E47</f>
        <v>9903153</v>
      </c>
    </row>
    <row r="54" spans="3:5" x14ac:dyDescent="0.25">
      <c r="C54" s="51" t="s">
        <v>25</v>
      </c>
      <c r="D54" s="68">
        <v>0.19</v>
      </c>
      <c r="E54" s="69">
        <f>Tabla91[[#This Row],[PORCENTAJE]]*E53</f>
        <v>1881599.07</v>
      </c>
    </row>
    <row r="55" spans="3:5" ht="15.6" x14ac:dyDescent="0.3">
      <c r="D55" s="70" t="s">
        <v>29</v>
      </c>
      <c r="E55" s="71">
        <f>SUM(E51:E54)</f>
        <v>21687905.07</v>
      </c>
    </row>
    <row r="56" spans="3:5" x14ac:dyDescent="0.25">
      <c r="E56" s="69"/>
    </row>
    <row r="57" spans="3:5" ht="15.6" x14ac:dyDescent="0.3">
      <c r="D57" s="40" t="s">
        <v>24</v>
      </c>
      <c r="E57" s="71">
        <f>E47+E55</f>
        <v>120719435.06999999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8" t="s">
        <v>31</v>
      </c>
      <c r="C1" s="98"/>
      <c r="D1" s="98"/>
      <c r="E1" s="98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str">
        <f>BÁSICOS!B3</f>
        <v>NOMBRE A.P.U. BÁSICO</v>
      </c>
      <c r="C3" s="4" t="str">
        <f>BÁSICOS!A3</f>
        <v>CÓD</v>
      </c>
      <c r="D3" s="1" t="str">
        <f>BÁSICOS!H3</f>
        <v>UND</v>
      </c>
      <c r="E3" s="5">
        <f>BÁSICOS!H12</f>
        <v>570000</v>
      </c>
    </row>
    <row r="4" spans="2:7 16200:16200" x14ac:dyDescent="0.3">
      <c r="B4" s="2" t="str">
        <f>BÁSICOS!B15</f>
        <v>NOMBRE A.P.U. BÁSICO</v>
      </c>
      <c r="C4" s="4" t="str">
        <f>BÁSICOS!A15</f>
        <v>CÓD</v>
      </c>
      <c r="D4" s="1" t="str">
        <f>BÁSICOS!H15</f>
        <v>UND</v>
      </c>
      <c r="E4" s="5">
        <f>BÁSICOS!H22</f>
        <v>570000</v>
      </c>
    </row>
    <row r="5" spans="2:7 16200:16200" x14ac:dyDescent="0.3">
      <c r="B5" s="2" t="str">
        <f>BÁSICOS!B25</f>
        <v>NOMBRE A.P.U. BÁSICO</v>
      </c>
      <c r="C5" s="4" t="str">
        <f>BÁSICOS!A25</f>
        <v>CÓD</v>
      </c>
      <c r="D5" s="1" t="str">
        <f>BÁSICOS!H25</f>
        <v>UND</v>
      </c>
      <c r="E5" s="5">
        <f>BÁSICOS!H31</f>
        <v>570000</v>
      </c>
    </row>
    <row r="6" spans="2:7 16200:16200" x14ac:dyDescent="0.3">
      <c r="B6" s="2"/>
      <c r="E6" s="5"/>
    </row>
    <row r="7" spans="2:7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7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8" t="s">
        <v>33</v>
      </c>
      <c r="C1" s="98"/>
      <c r="D1" s="98"/>
      <c r="E1" s="98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>
        <f>APU!H10</f>
        <v>365430</v>
      </c>
    </row>
    <row r="4" spans="2:5" x14ac:dyDescent="0.3">
      <c r="B4" s="2" t="str">
        <f>APU!B13</f>
        <v>Apu 02</v>
      </c>
      <c r="C4" s="4" t="str">
        <f>APU!A13</f>
        <v>CÓD</v>
      </c>
      <c r="D4" s="1" t="str">
        <f>APU!H13</f>
        <v>UND</v>
      </c>
      <c r="E4" s="5">
        <f>APU!H19</f>
        <v>0</v>
      </c>
    </row>
    <row r="5" spans="2:5" x14ac:dyDescent="0.3">
      <c r="B5" s="2" t="str">
        <f>APU!B22</f>
        <v>NOMBRE A.P.U.</v>
      </c>
      <c r="C5" s="4" t="str">
        <f>APU!A22</f>
        <v>CÓD</v>
      </c>
      <c r="D5" s="1" t="str">
        <f>APU!H22</f>
        <v>UND</v>
      </c>
      <c r="E5" s="5">
        <f>APU!H29</f>
        <v>0</v>
      </c>
    </row>
    <row r="6" spans="2:5" x14ac:dyDescent="0.3">
      <c r="E6" s="5"/>
    </row>
    <row r="7" spans="2:5" x14ac:dyDescent="0.3"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8" t="s">
        <v>32</v>
      </c>
      <c r="B1" s="98"/>
      <c r="C1" s="98"/>
      <c r="D1" s="98"/>
      <c r="E1" s="98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2024-09-28T00:12:15Z</dcterms:modified>
</cp:coreProperties>
</file>