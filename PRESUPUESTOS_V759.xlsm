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drawings/drawing7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duplicar_32.png" ContentType="image/.PNG"/>
  <Override PartName="/customUI/images/duplicar_16.png" ContentType="image/.PNG"/>
  <Override PartName="/customUI/images/copiar_16.png" ContentType="image/.PNG"/>
  <Override PartName="/customUI/images/buscar_32.png" ContentType="image/.PNG"/>
  <Override PartName="/customUI/images/buscar_16.png" ContentType="image/.PNG"/>
  <Override PartName="/customUI/images/materiales_32.png" ContentType="image/.PNG"/>
  <Override PartName="/customUI/images/pegar_16.png" ContentType="image/.PNG"/>
  <Override PartName="/customUI/images/nuevo_16.png" ContentType="image/.PNG"/>
  <Override PartName="/customUI/images/analisis_16.png" ContentType="image/.PNG"/>
  <Override PartName="/customUI/images/analisis_32.png" ContentType="image/.PNG"/>
  <Override PartName="/customUI/images/actualizar2_32.png" ContentType="image/.PNG"/>
  <Override PartName="/customUI/images/guardar_32.png" ContentType="image/.PNG"/>
  <Override PartName="/customUI/images/guardar_16.png" ContentType="image/.PNG"/>
  <Override PartName="/customUI/images/ocultar_16.png" ContentType="image/.PNG"/>
  <Override PartName="/customUI/images/nuevo_32.png" ContentType="image/.PNG"/>
  <Override PartName="/customUI/images/ocultar_32.png" ContentType="image/.PNG"/>
  <Override PartName="/customUI/images/cargar_16.png" ContentType="image/.PNG"/>
  <Override PartName="/customUI/images/cargar_32.png" ContentType="image/.PNG"/>
  <Override PartName="/customUI/images/menos_16.png" ContentType="image/.PNG"/>
  <Override PartName="/customUI/images/editar_16.png" ContentType="image/.PNG"/>
  <Override PartName="/customUI/images/resumen_32.png" ContentType="image/.PNG"/>
  <Override PartName="/customUI/images/eliminar_16.png" ContentType="image/.PNG"/>
  <Override PartName="/customUI/images/resumen_16.png" ContentType="image/.PNG"/>
  <Override PartName="/customUI/images/eliminar_32.png" ContentType="image/.PNG"/>
  <Override PartName="/customUI/images/mas_32.png" ContentType="image/.PNG"/>
  <Override PartName="/customUI/images/menos_32.png" ContentType="image/.PNG"/>
  <Override PartName="/customUI/images/mas_16.png" ContentType="image/.PNG"/>
  <Override PartName="/customUI/images/actualizar_32.png" ContentType="image/.PNG"/>
  <Override PartName="/customUI/images/actualizar_16.png" ContentType="image/.PNG"/>
  <Override PartName="/customUI/images/guardar2_3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f63e59f7a5943b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C7B2E58E-AAA1-45AE-9EC9-FC2772F38B23}" xr6:coauthVersionLast="47" xr6:coauthVersionMax="47" xr10:uidLastSave="{00000000-0000-0000-0000-000000000000}"/>
  <workbookProtection workbookAlgorithmName="SHA-512" workbookHashValue="E37eqUM3EDdRxbPEo3CHCwhrE05exKC/J+qgusKrGUYziuLQNbrbPO7fkj0yDyCjx95UFLVWsXyC7bbpNPGExw==" workbookSaltValue="ymZdoN8TkRsrLC5ZKYU9vQ==" workbookSpinCount="100000" lockStructure="1"/>
  <bookViews>
    <workbookView xWindow="-108" yWindow="-108" windowWidth="23256" windowHeight="12456" tabRatio="681" activeTab="2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</sheets>
  <functionGroups builtInGroupCount="19"/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04" l="1"/>
  <c r="B15" i="104"/>
  <c r="H9" i="104"/>
  <c r="H8" i="104"/>
  <c r="H7" i="104"/>
  <c r="H6" i="104"/>
  <c r="H10" i="104" s="1"/>
  <c r="E15" i="104" s="1"/>
  <c r="H5" i="104"/>
  <c r="E7" i="103"/>
  <c r="H7" i="103" s="1"/>
  <c r="H6" i="103"/>
  <c r="E6" i="103"/>
  <c r="H5" i="103"/>
  <c r="H8" i="103" s="1"/>
  <c r="E5" i="103"/>
  <c r="H7" i="102"/>
  <c r="E7" i="102"/>
  <c r="H6" i="102"/>
  <c r="E6" i="102"/>
  <c r="E5" i="102"/>
  <c r="H5" i="102" s="1"/>
  <c r="H8" i="102" l="1"/>
  <c r="E18" i="104"/>
  <c r="E4" i="106"/>
  <c r="E24" i="104" l="1"/>
  <c r="E25" i="104" s="1"/>
  <c r="E23" i="104"/>
  <c r="E22" i="104"/>
  <c r="E26" i="104" s="1"/>
  <c r="E28" i="104" s="1"/>
  <c r="D15" i="104"/>
</calcChain>
</file>

<file path=xl/sharedStrings.xml><?xml version="1.0" encoding="utf-8"?>
<sst xmlns="http://schemas.openxmlformats.org/spreadsheetml/2006/main" count="111" uniqueCount="41">
  <si>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</si>
  <si>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</si>
  <si>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</si>
  <si>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</si>
  <si>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</si>
  <si>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</si>
  <si>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</si>
  <si>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</si>
  <si>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</si>
  <si>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</si>
  <si>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</si>
  <si>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</si>
  <si>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</si>
  <si>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</si>
  <si>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</si>
  <si>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</si>
  <si>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</si>
  <si>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</si>
  <si>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</si>
  <si>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</si>
  <si>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</si>
  <si>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</si>
  <si>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</si>
  <si>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</si>
  <si>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</si>
  <si>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</si>
  <si>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</si>
  <si>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</si>
  <si>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</si>
  <si>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</si>
  <si>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</si>
  <si>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</si>
  <si>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</si>
  <si>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</si>
  <si>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</si>
  <si>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</si>
  <si>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</si>
  <si>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</si>
  <si>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NOMBRE A.P.U. BÁSICO</t>
  </si>
  <si>
    <t>UND</t>
  </si>
  <si>
    <t>NOMBRE A.P.U.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</si>
</sst>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10" fontId="6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left" vertical="top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3" fontId="0" fillId="0" borderId="0" xfId="0" applyNumberFormat="1"/>
    <xf numFmtId="0" fontId="8" fillId="0" borderId="0" xfId="9"/>
    <xf numFmtId="0" fontId="7" fillId="0" borderId="0" xfId="11"/>
    <xf numFmtId="0" fontId="10" fillId="2" borderId="0" xfId="0" applyFont="1" applyFill="1"/>
    <xf numFmtId="164" fontId="10" fillId="2" borderId="0" xfId="0" applyNumberFormat="1" applyFont="1" applyFill="1"/>
    <xf numFmtId="9" fontId="6" fillId="0" borderId="0" xfId="13" applyFont="1" applyAlignment="1">
      <alignment horizontal="center"/>
    </xf>
    <xf numFmtId="0" fontId="9" fillId="0" borderId="16" xfId="9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9" fillId="0" borderId="0" xfId="9" applyFont="1"/>
    <xf numFmtId="0" fontId="2" fillId="0" borderId="0" xfId="11" applyFont="1"/>
    <xf numFmtId="0" fontId="9" fillId="0" borderId="0" xfId="9" applyFont="1" applyAlignment="1">
      <alignment vertical="center"/>
    </xf>
    <xf numFmtId="41" fontId="8" fillId="0" borderId="0" xfId="9" applyNumberForma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164" fontId="2" fillId="0" borderId="17" xfId="11" applyNumberFormat="1" applyFont="1" applyBorder="1" applyAlignment="1">
      <alignment horizontal="left" vertical="top"/>
    </xf>
    <xf numFmtId="164" fontId="2" fillId="0" borderId="0" xfId="11" applyNumberFormat="1" applyFont="1"/>
    <xf numFmtId="41" fontId="7" fillId="0" borderId="0" xfId="11" applyNumberFormat="1"/>
    <xf numFmtId="0" fontId="8" fillId="0" borderId="0" xfId="9" applyAlignment="1">
      <alignment horizontal="center" vertical="center"/>
    </xf>
    <xf numFmtId="0" fontId="9" fillId="0" borderId="0" xfId="0" applyFont="1"/>
    <xf numFmtId="0" fontId="8" fillId="0" borderId="0" xfId="0" applyFont="1" applyAlignment="1">
      <alignment vertical="center"/>
    </xf>
    <xf numFmtId="0" fontId="8" fillId="0" borderId="0" xfId="0" applyFont="1"/>
    <xf numFmtId="41" fontId="8" fillId="0" borderId="0" xfId="0" applyNumberFormat="1" applyFon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7" fillId="0" borderId="0" xfId="0" applyFont="1"/>
    <xf numFmtId="0" fontId="1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11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11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3" formatCode="_-* #,##0_-;\-* #,##0_-;_-* &quot;-&quot;_-;_-@_-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20"/>
      <tableStyleElement type="headerRow" dxfId="119"/>
    </tableStyle>
    <tableStyle name="S5S Green" pivot="0" count="2" xr9:uid="{00000000-0011-0000-FFFF-FFFF02000000}">
      <tableStyleElement type="wholeTable" dxfId="118"/>
      <tableStyleElement type="headerRow" dxfId="117"/>
    </tableStyle>
    <tableStyle name="S5S Greenblue" pivot="0" count="2" xr9:uid="{00000000-0011-0000-FFFF-FFFF03000000}">
      <tableStyleElement type="wholeTable" dxfId="116"/>
      <tableStyleElement type="headerRow" dxfId="115"/>
    </tableStyle>
    <tableStyle name="S5S2" pivot="0" count="2" xr9:uid="{00000000-0011-0000-FFFF-FFFF04000000}">
      <tableStyleElement type="wholeTable" dxfId="114"/>
      <tableStyleElement type="headerRow" dxfId="113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8467</xdr:rowOff>
    </xdr:from>
    <xdr:to>
      <xdr:col>0</xdr:col>
      <xdr:colOff>391583</xdr:colOff>
      <xdr:row>1</xdr:row>
      <xdr:rowOff>20659</xdr:rowOff>
    </xdr:to>
    <xdr:sp macro="[0]!EditarDescripcion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0" y="8467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393192</xdr:colOff>
      <xdr:row>1</xdr:row>
      <xdr:rowOff>12192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/>
        </xdr:cNvSpPr>
      </xdr:nvSpPr>
      <xdr:spPr>
        <a:xfrm>
          <a:off x="0" y="0"/>
          <a:ext cx="393192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" y="0"/>
          <a:ext cx="373369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0"/>
          <a:ext cx="373370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F4120EB6-ECA4-4F57-A23F-FE9B826CE76D}" name="T_mat" displayName="T_mat" ref="A4:E11" totalsRowShown="0" headerRowDxfId="112">
  <autoFilter ref="A4:E11" xr:uid="{F4120EB6-ECA4-4F57-A23F-FE9B826CE76D}"/>
  <sortState xmlns:xlrd2="http://schemas.microsoft.com/office/spreadsheetml/2017/richdata2" ref="A5:E89">
    <sortCondition ref="A3:A88"/>
  </sortState>
  <tableColumns count="5">
    <tableColumn id="1" xr3:uid="{F9C18923-EFC9-4A76-826C-F43D152EAF7E}" name="DESCRIPCIÓN" dataDxfId="111"/>
    <tableColumn id="2" xr3:uid="{AB928117-3A66-4BCA-8762-845DD99C5482}" name="CÓDIGO" dataDxfId="110"/>
    <tableColumn id="3" xr3:uid="{6BF16BE8-4A47-4C40-B67C-39C9099A111B}" name="UNIDAD" dataDxfId="109"/>
    <tableColumn id="4" xr3:uid="{71482479-7FDE-4F55-95B1-FB08822E9AB2}" name="PRECIO" dataDxfId="108"/>
    <tableColumn id="5" xr3:uid="{7E8EB704-760B-4170-B6BB-A1CDEE560604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5B9190B0-B752-46E3-80F8-BE5A7E24BD29}" name="T_equipos" displayName="T_equipos" ref="G4:K11" totalsRowShown="0" headerRowDxfId="107">
  <autoFilter ref="G4:K11" xr:uid="{5B9190B0-B752-46E3-80F8-BE5A7E24BD29}"/>
  <tableColumns count="5">
    <tableColumn id="1" xr3:uid="{13C2E315-417C-4800-A8F5-16B5CB429BB1}" name="DESCRIPCIÓN" dataDxfId="106"/>
    <tableColumn id="2" xr3:uid="{F3F04FBC-70DE-4419-8D29-5CF658AC4656}" name="CÓDIGO" dataDxfId="105"/>
    <tableColumn id="3" xr3:uid="{9FBE096F-5E37-43E9-BE6D-38A50F51CC5D}" name="UNIDAD" dataDxfId="104"/>
    <tableColumn id="4" xr3:uid="{C4FBBC91-D58E-49AF-A1E3-460BA2D14AAA}" name="PRECIO" dataDxfId="103"/>
    <tableColumn id="5" xr3:uid="{142C52F1-9383-4E0E-AABD-4812414F1135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11DAA87F-5B99-4CF8-9EE0-EF0D52121994}" name="T_mano" displayName="T_mano" ref="M4:Q11" totalsRowShown="0" headerRowDxfId="102">
  <autoFilter ref="M4:Q11" xr:uid="{11DAA87F-5B99-4CF8-9EE0-EF0D52121994}"/>
  <sortState xmlns:xlrd2="http://schemas.microsoft.com/office/spreadsheetml/2017/richdata2" ref="M5:Q19">
    <sortCondition ref="N4"/>
  </sortState>
  <tableColumns count="5">
    <tableColumn id="1" xr3:uid="{5894FAED-B981-4BAD-B4DA-409DB57C6CDB}" name="DESCRIPCIÓN" dataDxfId="101"/>
    <tableColumn id="2" xr3:uid="{63C76935-AE39-4044-B5D4-423F277597FD}" name="CÓDIGO" dataDxfId="100"/>
    <tableColumn id="3" xr3:uid="{410417DD-9D95-447B-B6C3-48EAF7E20AA3}" name="UNIDAD" dataDxfId="99"/>
    <tableColumn id="4" xr3:uid="{00B35FB4-4262-4415-A2A7-130BB6998478}" name="PRECIO" dataDxfId="98"/>
    <tableColumn id="5" xr3:uid="{E3823583-966C-4CA4-84FD-F84D3013AAA9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CBDBED94-7E27-4AED-A432-79485D486F80}" name="T_trans" displayName="T_trans" ref="S4:W11" totalsRowShown="0" headerRowDxfId="97">
  <autoFilter ref="S4:W11" xr:uid="{CBDBED94-7E27-4AED-A432-79485D486F80}"/>
  <sortState xmlns:xlrd2="http://schemas.microsoft.com/office/spreadsheetml/2017/richdata2" ref="S5:W15">
    <sortCondition ref="T4:T15"/>
  </sortState>
  <tableColumns count="5">
    <tableColumn id="1" xr3:uid="{809FEC4E-AA8A-49AE-8459-08B7A218DD1D}" name="DESCRIPCIÓN" dataDxfId="96"/>
    <tableColumn id="2" xr3:uid="{B622DE67-7229-49BE-8E66-2A7127EC61CC}" name="CÓDIGO" dataDxfId="95"/>
    <tableColumn id="3" xr3:uid="{E0B40BA5-D4C8-47D6-966A-ACB60EA84422}" name="UNIDAD" dataDxfId="94"/>
    <tableColumn id="4" xr3:uid="{EC715D59-0144-472F-ABA4-312A916A0A4F}" name="PRECIO" dataDxfId="93"/>
    <tableColumn id="5" xr3:uid="{F16E93D5-7277-484B-B554-A31AAC166648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4D0D67D-268D-40D0-9D85-03C001CBDB63}" name="T_sub" displayName="T_sub" ref="Y4:AC11" totalsRowShown="0" headerRowDxfId="92">
  <autoFilter ref="Y4:AC11" xr:uid="{04D0D67D-268D-40D0-9D85-03C001CBDB63}"/>
  <sortState xmlns:xlrd2="http://schemas.microsoft.com/office/spreadsheetml/2017/richdata2" ref="Y5:AC18">
    <sortCondition ref="Z4"/>
  </sortState>
  <tableColumns count="5">
    <tableColumn id="1" xr3:uid="{CCFB6385-711D-4A9A-A041-1A3641B72227}" name="DESCRIPCIÓN" dataDxfId="91"/>
    <tableColumn id="2" xr3:uid="{1D175FB4-9FAC-46FA-B3DD-0EF5BCCDDFAF}" name="CÓDIGO" dataDxfId="90"/>
    <tableColumn id="3" xr3:uid="{7A2D0E70-02AD-4A69-80E2-219D3EB50788}" name="UNIDAD" dataDxfId="89"/>
    <tableColumn id="4" xr3:uid="{91CA978C-BC23-4567-9248-2388C7772019}" name="PRECIO" dataDxfId="88"/>
    <tableColumn id="5" xr3:uid="{F4387914-CDDD-48D9-AE71-8D80847FA551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5EB6C47F-5FC7-4F99-9A83-12D759F7BF6A}" name="T_otros" displayName="T_otros" ref="AK4:AO11" totalsRowShown="0" headerRowDxfId="87">
  <autoFilter ref="AK4:AO11" xr:uid="{5EB6C47F-5FC7-4F99-9A83-12D759F7BF6A}"/>
  <sortState xmlns:xlrd2="http://schemas.microsoft.com/office/spreadsheetml/2017/richdata2" ref="AK5:AO18">
    <sortCondition ref="AL4"/>
  </sortState>
  <tableColumns count="5">
    <tableColumn id="1" xr3:uid="{9AE2E51A-E004-4612-B08A-E652B634E9B8}" name="DESCRIPCIÓN" dataDxfId="86"/>
    <tableColumn id="2" xr3:uid="{AC5381CE-A1D4-4F89-BC93-E386C6765069}" name="CÓDIGO" dataDxfId="85"/>
    <tableColumn id="3" xr3:uid="{1B22182B-8A8F-4CE0-B053-56B7CD8D9A09}" name="UNIDAD" dataDxfId="84"/>
    <tableColumn id="4" xr3:uid="{2DFF4140-B4E0-4EA9-A700-9C6AA7EDB80A}" name="PRECIO" dataDxfId="83"/>
    <tableColumn id="5" xr3:uid="{EAD44E17-9B76-424C-AFAF-54D4741339DB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34D3849C-BCA4-420A-A686-B711BDC38126}" name="T_act" displayName="T_act" ref="AE4:AI11" totalsRowShown="0" headerRowDxfId="82">
  <autoFilter ref="AE4:AI11" xr:uid="{34D3849C-BCA4-420A-A686-B711BDC38126}"/>
  <sortState xmlns:xlrd2="http://schemas.microsoft.com/office/spreadsheetml/2017/richdata2" ref="AE5:AI15">
    <sortCondition ref="AE4:AE15"/>
  </sortState>
  <tableColumns count="5">
    <tableColumn id="1" xr3:uid="{1B2E9B26-8063-496C-885B-372BC1142D1B}" name="DESCRIPCIÓN" dataDxfId="81"/>
    <tableColumn id="2" xr3:uid="{04BD72A7-AD71-4DEA-BB2B-A236735C0B38}" name="CÓDIGO" dataDxfId="80"/>
    <tableColumn id="3" xr3:uid="{919E8E88-7D7E-4481-A426-49887B4053D4}" name="UNIDAD" dataDxfId="79"/>
    <tableColumn id="4" xr3:uid="{98589C23-B6AD-4142-B2A5-E667511BC4F7}" name="PRECIO" dataDxfId="78"/>
    <tableColumn id="5" xr3:uid="{42D26663-D80C-4F74-BB70-DC2EDB0A7ED5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CFAB493A-F89C-4ADF-8F77-94E6E8D7CDE4}" name="Tabla3" displayName="Tabla3" ref="A4:H8" totalsRowCount="1" headerRowDxfId="77">
  <autoFilter ref="A4:H7" xr:uid="{CFAB493A-F89C-4ADF-8F77-94E6E8D7CD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AE965EF-0A81-4C28-8429-B039BAE83CBB}" name="TIPO" totalsRowLabel="Total" totalsRowDxfId="76"/>
    <tableColumn id="2" xr3:uid="{E38F832B-BA9E-4FD7-8288-594CFCB92174}" name="CÓDIGO"/>
    <tableColumn id="3" xr3:uid="{A992E623-14A3-4431-8B63-C438AD22AB27}" name="DESCRIPCIÓN"/>
    <tableColumn id="4" xr3:uid="{EFC388EB-B1AF-400E-AC06-BB5A5360947A}" name="UNIDAD" dataDxfId="75"/>
    <tableColumn id="5" xr3:uid="{64737F7D-00D3-4CA2-820F-B6654F13882A}" name="FACTOR" dataDxfId="74">
      <calculatedColumnFormula xml:space="preserve"> 1</calculatedColumnFormula>
    </tableColumn>
    <tableColumn id="6" xr3:uid="{663F26E2-E85E-446F-B5EF-CC7BF9906B5B}" name="CANTIDAD" dataDxfId="73"/>
    <tableColumn id="7" xr3:uid="{42695246-B51B-4B88-B6C5-9CC19DD1CF8B}" name="PRECIO" dataDxfId="72" totalsRowDxfId="71"/>
    <tableColumn id="8" xr3:uid="{38935D7A-CC79-40E3-875A-89BA2492DE49}" name="TOTAL" totalsRowFunction="custom" dataDxfId="70" totalsRowDxfId="69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209879E0-F9FB-471F-89ED-D0048BD7C160}" name="Tabla5" displayName="Tabla5" ref="A4:H8" totalsRowCount="1" headerRowDxfId="68" headerRowCellStyle="Normal 41" dataCellStyle="Normal 41">
  <autoFilter ref="A4:H7" xr:uid="{209879E0-F9FB-471F-89ED-D0048BD7C1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64C0D22-74F1-40F0-B111-7AE0BF66EAB9}" name="TIPO" totalsRowLabel="Total" totalsRowDxfId="67" dataCellStyle="Normal 41"/>
    <tableColumn id="2" xr3:uid="{FF401A1D-A539-4426-8BEB-D3C7CAD2F483}" name="CÓDIGO" totalsRowDxfId="66" dataCellStyle="Normal 12 3"/>
    <tableColumn id="3" xr3:uid="{8CD912E6-C7BD-447E-8A00-E53DD3C752CF}" name="DESCRIPCIÓN" dataDxfId="65" totalsRowDxfId="64" dataCellStyle="Normal 41"/>
    <tableColumn id="4" xr3:uid="{D53BE645-C35C-47A1-ABAA-4D5F5E541BE1}" name="UNIDAD" dataDxfId="63" totalsRowDxfId="62" dataCellStyle="Normal 41"/>
    <tableColumn id="5" xr3:uid="{F26E3BF9-7552-4CB0-B863-F5DFDACCD0ED}" name="FACTOR" dataDxfId="61" totalsRowDxfId="60" dataCellStyle="Normal 41">
      <calculatedColumnFormula xml:space="preserve"> 1</calculatedColumnFormula>
    </tableColumn>
    <tableColumn id="6" xr3:uid="{41063774-D953-4C58-BC33-85B6C799AA75}" name="CANTIDAD" dataDxfId="59" totalsRowDxfId="58" dataCellStyle="Normal 41"/>
    <tableColumn id="7" xr3:uid="{2472C33E-36A2-4B7C-AAED-31560D6D26A8}" name="PRECIO" dataDxfId="57" totalsRowDxfId="56" dataCellStyle="Normal 41"/>
    <tableColumn id="8" xr3:uid="{CB316FA4-1C36-4980-A056-58B8A307616E}" name="TOTAL" totalsRowFunction="custom" dataDxfId="55" totalsRowDxfId="54" dataCellStyle="Normal 12 3">
      <calculatedColumnFormula>Tabla5[[#This Row],[CANTIDAD]]*Tabla5[[#This Row],[PRECIO]]*Tabla5[[#This Row],[FACTOR]]</calculatedColumnFormula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30900A7-D39B-4872-9602-43883C922564}" name="Tabla7" displayName="Tabla7" ref="B4:H10" totalsRowCount="1" headerRowDxfId="53" dataDxfId="52">
  <autoFilter ref="B4:H9" xr:uid="{D30900A7-D39B-4872-9602-43883C9225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395F8EA-1705-4C47-B1CE-9277B1D8EF75}" name="CÓDIGO" totalsRowLabel="Total" dataDxfId="51" totalsRowDxfId="50"/>
    <tableColumn id="2" xr3:uid="{E769958C-3E3F-4E00-B3A3-1F37ABB2830C}" name="DESCRIPCIÓN" dataDxfId="49" totalsRowDxfId="48"/>
    <tableColumn id="3" xr3:uid="{5CA17F95-88FD-486E-ADDD-C236F2B6C13F}" name="UNIDAD" dataDxfId="47" totalsRowDxfId="46"/>
    <tableColumn id="4" xr3:uid="{937D8281-632A-4B7A-81DC-B6016231B1C7}" name="FACTOR" dataDxfId="45" totalsRowDxfId="44"/>
    <tableColumn id="5" xr3:uid="{0314D798-7871-4A73-BD17-1914B2508606}" name="CANTIDAD" dataDxfId="43" totalsRowDxfId="42"/>
    <tableColumn id="6" xr3:uid="{CBFC3F17-F73E-4634-8EAD-56FF1D5B2B4A}" name="COSTO" dataDxfId="41" totalsRowDxfId="40"/>
    <tableColumn id="7" xr3:uid="{B3E7B329-E5D8-403D-AC86-CB89B666354B}" name="TOTAL" totalsRowFunction="custom" dataDxfId="39" totalsRowDxfId="38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0F082EE-A75A-4AD1-80EE-C670292780E1}" name="Tabla12" displayName="Tabla12" ref="B14:E18" totalsRowShown="0" headerRowDxfId="37">
  <autoFilter ref="B14:E18" xr:uid="{20F082EE-A75A-4AD1-80EE-C670292780E1}">
    <filterColumn colId="0" hiddenButton="1"/>
    <filterColumn colId="1" hiddenButton="1"/>
    <filterColumn colId="2" hiddenButton="1"/>
    <filterColumn colId="3" hiddenButton="1"/>
  </autoFilter>
  <tableColumns count="4">
    <tableColumn id="1" xr3:uid="{72A16AE9-9589-439B-AFA3-4A412DB58620}" name="CÓD" dataDxfId="36"/>
    <tableColumn id="2" xr3:uid="{FD59EA71-B4F3-49C8-82B1-23F885A19D19}" name="CAPÍTULO" dataDxfId="35"/>
    <tableColumn id="3" xr3:uid="{6606C5D2-665A-4CE5-83B1-B2E79ED579AA}" name="PORCENTAJE" dataDxfId="34"/>
    <tableColumn id="4" xr3:uid="{90F64AD0-29A4-4F22-864D-466EF04943DC}" name="SUBTOTAL" dataDxfId="33"/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41583D01-43E1-4434-A772-52346F017FA1}" name="Tabla13" displayName="Tabla13" ref="C21:E28" totalsRowShown="0">
  <autoFilter ref="C21:E28" xr:uid="{41583D01-43E1-4434-A772-52346F017FA1}">
    <filterColumn colId="0" hiddenButton="1"/>
    <filterColumn colId="1" hiddenButton="1"/>
    <filterColumn colId="2" hiddenButton="1"/>
  </autoFilter>
  <tableColumns count="3">
    <tableColumn id="1" xr3:uid="{C1E0B82D-AC7E-4610-9740-B2396EFDC897}" name="DESCRIPCIÓN" dataDxfId="32"/>
    <tableColumn id="2" xr3:uid="{AC544CA8-2D36-4142-A18C-89BD8016CA86}" name="PORCENTAJE" dataDxfId="31"/>
    <tableColumn id="3" xr3:uid="{0A4656A0-ECB1-410F-AB26-069FF51C2118}" name="SUBTOTAL" dataDxfId="30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3" insertRow="1" totalsRowShown="0" headerRowDxfId="29" dataDxfId="27" headerRowBorderDxfId="28" tableBorderDxfId="26">
  <autoFilter ref="B2:E3" xr:uid="{00000000-0009-0000-0100-00001C000000}"/>
  <sortState xmlns:xlrd2="http://schemas.microsoft.com/office/spreadsheetml/2017/richdata2" ref="B3:E3">
    <sortCondition ref="B2:B3"/>
  </sortState>
  <tableColumns count="4">
    <tableColumn id="1" xr3:uid="{00000000-0010-0000-0C00-000001000000}" name="DESCRIPCIÓN" dataDxfId="25" totalsRowDxfId="24"/>
    <tableColumn id="2" xr3:uid="{00000000-0010-0000-0C00-000002000000}" name="CÓDIGO" totalsRowDxfId="23"/>
    <tableColumn id="3" xr3:uid="{00000000-0010-0000-0C00-000003000000}" name="UNIDAD " totalsRowDxfId="22"/>
    <tableColumn id="4" xr3:uid="{00000000-0010-0000-0C00-000004000000}" name="COSTO" dataDxfId="21" totalsRowDxfId="20"/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3" insertRow="1" headerRowDxfId="19" dataDxfId="18" tableBorderDxfId="17">
  <autoFilter ref="B2:E3" xr:uid="{00000000-0009-0000-0100-000006000000}"/>
  <sortState xmlns:xlrd2="http://schemas.microsoft.com/office/spreadsheetml/2017/richdata2" ref="B3:E3">
    <sortCondition ref="B2:B3"/>
  </sortState>
  <tableColumns count="4">
    <tableColumn id="1" xr3:uid="{00000000-0010-0000-0D00-000001000000}" name="DESCRIPCIÓN" dataDxfId="16" totalsRowDxfId="15"/>
    <tableColumn id="2" xr3:uid="{00000000-0010-0000-0D00-000002000000}" name="CÓDIGO" totalsRowDxfId="14"/>
    <tableColumn id="3" xr3:uid="{00000000-0010-0000-0D00-000003000000}" name="UNIDAD " totalsRowDxfId="13"/>
    <tableColumn id="4" xr3:uid="{00000000-0010-0000-0D00-000004000000}" name="COSTO" dataDxfId="12" totalsRowDxfId="11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10" totalsRowDxfId="9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8"/>
    <tableColumn id="2" xr3:uid="{00000000-0010-0000-0E00-000002000000}" name="UNIDAD" dataDxfId="7" totalsRowDxfId="6"/>
    <tableColumn id="3" xr3:uid="{00000000-0010-0000-0E00-000003000000}" name="PRECIO" dataDxfId="5" totalsRowDxfId="4"/>
    <tableColumn id="4" xr3:uid="{00000000-0010-0000-0E00-000004000000}" name="CANTIDAD" dataDxfId="3" totalsRowDxfId="2"/>
    <tableColumn id="5" xr3:uid="{00000000-0010-0000-0E00-000005000000}" name="TOTAL" totalsRowFunction="sum" dataDxfId="1" totalsRowDxfId="0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17" sqref="B17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37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4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4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4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4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4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4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81" t="s">
        <v>34</v>
      </c>
      <c r="B1" s="81"/>
      <c r="C1" s="81"/>
      <c r="D1" s="81"/>
      <c r="E1" s="81"/>
    </row>
    <row r="2" spans="1:43" ht="3" customHeight="1" thickBot="1" x14ac:dyDescent="0.35"/>
    <row r="3" spans="1:43" ht="18.600000000000001" thickBot="1" x14ac:dyDescent="0.4">
      <c r="A3" s="82" t="s">
        <v>4</v>
      </c>
      <c r="B3" s="83"/>
      <c r="C3" s="83"/>
      <c r="D3" s="83"/>
      <c r="E3" s="84"/>
      <c r="G3" s="82" t="s">
        <v>5</v>
      </c>
      <c r="H3" s="83"/>
      <c r="I3" s="83"/>
      <c r="J3" s="83"/>
      <c r="K3" s="84"/>
      <c r="M3" s="82" t="s">
        <v>6</v>
      </c>
      <c r="N3" s="83"/>
      <c r="O3" s="83"/>
      <c r="P3" s="83"/>
      <c r="Q3" s="84"/>
      <c r="S3" s="82" t="s">
        <v>7</v>
      </c>
      <c r="T3" s="83"/>
      <c r="U3" s="83"/>
      <c r="V3" s="83"/>
      <c r="W3" s="84"/>
      <c r="Y3" s="82" t="s">
        <v>8</v>
      </c>
      <c r="Z3" s="83"/>
      <c r="AA3" s="83"/>
      <c r="AB3" s="83"/>
      <c r="AC3" s="84"/>
      <c r="AD3" s="18"/>
      <c r="AE3" s="82" t="s">
        <v>9</v>
      </c>
      <c r="AF3" s="83"/>
      <c r="AG3" s="83"/>
      <c r="AH3" s="83"/>
      <c r="AI3" s="84"/>
      <c r="AK3" s="82" t="s">
        <v>10</v>
      </c>
      <c r="AL3" s="83"/>
      <c r="AM3" s="83"/>
      <c r="AN3" s="83"/>
      <c r="AO3" s="84"/>
      <c r="AP3" s="60"/>
      <c r="AQ3" s="60"/>
    </row>
    <row r="4" spans="1:43" ht="15.6" x14ac:dyDescent="0.3">
      <c r="A4" s="20" t="s">
        <v>1</v>
      </c>
      <c r="B4" s="20" t="s">
        <v>0</v>
      </c>
      <c r="C4" s="21" t="s">
        <v>11</v>
      </c>
      <c r="D4" s="61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62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4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4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4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4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46" t="s">
        <v>12</v>
      </c>
      <c r="AO4" s="25" t="s">
        <v>13</v>
      </c>
    </row>
    <row r="5" spans="1:43" ht="15.6" x14ac:dyDescent="0.3">
      <c r="A5" s="20"/>
      <c r="B5" s="20"/>
      <c r="C5" s="21"/>
      <c r="D5" s="61"/>
      <c r="E5" s="63"/>
      <c r="G5" s="20"/>
      <c r="H5" s="20"/>
      <c r="I5" s="21"/>
      <c r="J5" s="61"/>
      <c r="K5" s="63"/>
      <c r="M5" s="20"/>
      <c r="N5" s="20"/>
      <c r="O5" s="21"/>
      <c r="P5" s="61"/>
      <c r="Q5" s="63"/>
      <c r="S5" s="23"/>
      <c r="T5" s="23"/>
      <c r="U5" s="24"/>
      <c r="V5" s="46"/>
      <c r="W5" s="25"/>
      <c r="Y5" s="23"/>
      <c r="Z5" s="23"/>
      <c r="AA5" s="24"/>
      <c r="AB5" s="46"/>
      <c r="AC5" s="25"/>
      <c r="AE5" s="23"/>
      <c r="AF5" s="23"/>
      <c r="AG5" s="24"/>
      <c r="AH5" s="46"/>
      <c r="AI5" s="25"/>
      <c r="AK5" s="23"/>
      <c r="AL5" s="23"/>
      <c r="AM5" s="24"/>
      <c r="AN5" s="46"/>
      <c r="AO5" s="25"/>
    </row>
    <row r="6" spans="1:43" ht="15.6" x14ac:dyDescent="0.3">
      <c r="A6" s="20"/>
      <c r="B6" s="20"/>
      <c r="C6" s="21"/>
      <c r="D6" s="61"/>
      <c r="E6" s="63"/>
      <c r="G6" s="20"/>
      <c r="H6" s="20"/>
      <c r="I6" s="21"/>
      <c r="J6" s="62"/>
      <c r="K6" s="22"/>
      <c r="M6" s="23"/>
      <c r="N6" s="23"/>
      <c r="O6" s="24"/>
      <c r="P6" s="46"/>
      <c r="Q6" s="25"/>
      <c r="S6" s="23"/>
      <c r="T6" s="23"/>
      <c r="U6" s="24"/>
      <c r="V6" s="46"/>
      <c r="W6" s="25"/>
      <c r="Y6" s="23"/>
      <c r="Z6" s="23"/>
      <c r="AA6" s="24"/>
      <c r="AB6" s="46"/>
      <c r="AC6" s="25"/>
      <c r="AE6" s="23"/>
      <c r="AF6" s="23"/>
      <c r="AG6" s="24"/>
      <c r="AH6" s="46"/>
      <c r="AI6" s="25"/>
      <c r="AK6" s="23"/>
      <c r="AL6" s="23"/>
      <c r="AM6" s="24"/>
      <c r="AN6" s="46"/>
      <c r="AO6" s="25"/>
    </row>
    <row r="7" spans="1:43" ht="15.6" x14ac:dyDescent="0.3">
      <c r="A7" s="20"/>
      <c r="B7" s="20"/>
      <c r="C7" s="21"/>
      <c r="D7" s="61"/>
      <c r="E7" s="22"/>
      <c r="G7" s="20"/>
      <c r="H7" s="20"/>
      <c r="I7" s="21"/>
      <c r="J7" s="62"/>
      <c r="K7" s="22"/>
      <c r="M7" s="23"/>
      <c r="N7" s="23"/>
      <c r="O7" s="24"/>
      <c r="P7" s="46"/>
      <c r="Q7" s="25"/>
      <c r="S7" s="23"/>
      <c r="T7" s="23"/>
      <c r="U7" s="24"/>
      <c r="V7" s="46"/>
      <c r="W7" s="25"/>
      <c r="Y7" s="23"/>
      <c r="Z7" s="23"/>
      <c r="AA7" s="24"/>
      <c r="AB7" s="46"/>
      <c r="AC7" s="25"/>
      <c r="AE7" s="23"/>
      <c r="AF7" s="23"/>
      <c r="AG7" s="24"/>
      <c r="AH7" s="46"/>
      <c r="AI7" s="25"/>
      <c r="AK7" s="23"/>
      <c r="AL7" s="23"/>
      <c r="AM7" s="24"/>
      <c r="AN7" s="46"/>
      <c r="AO7" s="25"/>
    </row>
    <row r="8" spans="1:43" ht="15.6" x14ac:dyDescent="0.3">
      <c r="A8" s="20"/>
      <c r="B8" s="20"/>
      <c r="C8" s="21"/>
      <c r="D8" s="61"/>
      <c r="E8" s="22"/>
      <c r="G8" s="20"/>
      <c r="H8" s="20"/>
      <c r="I8" s="21"/>
      <c r="J8" s="62"/>
      <c r="K8" s="22"/>
      <c r="M8" s="23"/>
      <c r="N8" s="23"/>
      <c r="O8" s="24"/>
      <c r="P8" s="46"/>
      <c r="Q8" s="25"/>
      <c r="S8" s="23"/>
      <c r="T8" s="23"/>
      <c r="U8" s="24"/>
      <c r="V8" s="46"/>
      <c r="W8" s="25"/>
      <c r="Y8" s="23"/>
      <c r="Z8" s="23"/>
      <c r="AA8" s="24"/>
      <c r="AB8" s="46"/>
      <c r="AC8" s="25"/>
      <c r="AE8" s="23"/>
      <c r="AF8" s="23"/>
      <c r="AG8" s="24"/>
      <c r="AH8" s="46"/>
      <c r="AI8" s="25"/>
      <c r="AK8" s="23"/>
      <c r="AL8" s="23"/>
      <c r="AM8" s="24"/>
      <c r="AN8" s="46"/>
      <c r="AO8" s="25"/>
    </row>
    <row r="9" spans="1:43" ht="15.6" x14ac:dyDescent="0.3">
      <c r="A9" s="20"/>
      <c r="B9" s="20"/>
      <c r="C9" s="21"/>
      <c r="D9" s="61"/>
      <c r="E9" s="22"/>
      <c r="G9" s="20"/>
      <c r="H9" s="20"/>
      <c r="I9" s="21"/>
      <c r="J9" s="62"/>
      <c r="K9" s="22"/>
      <c r="M9" s="23"/>
      <c r="N9" s="23"/>
      <c r="O9" s="24"/>
      <c r="P9" s="46"/>
      <c r="Q9" s="25"/>
      <c r="S9" s="23"/>
      <c r="T9" s="23"/>
      <c r="U9" s="24"/>
      <c r="V9" s="46"/>
      <c r="W9" s="25"/>
      <c r="Y9" s="23"/>
      <c r="Z9" s="23"/>
      <c r="AA9" s="24"/>
      <c r="AB9" s="46"/>
      <c r="AC9" s="25"/>
      <c r="AE9" s="23"/>
      <c r="AF9" s="23"/>
      <c r="AG9" s="24"/>
      <c r="AH9" s="46"/>
      <c r="AI9" s="25"/>
      <c r="AK9" s="23"/>
      <c r="AL9" s="23"/>
      <c r="AM9" s="24"/>
      <c r="AN9" s="46"/>
      <c r="AO9" s="25"/>
    </row>
    <row r="10" spans="1:43" ht="15.6" x14ac:dyDescent="0.3">
      <c r="A10" s="20"/>
      <c r="B10" s="20"/>
      <c r="C10" s="21"/>
      <c r="D10" s="61"/>
      <c r="E10" s="22"/>
      <c r="G10" s="20"/>
      <c r="H10" s="20"/>
      <c r="I10" s="21"/>
      <c r="J10" s="62"/>
      <c r="K10" s="22"/>
      <c r="M10" s="23"/>
      <c r="N10" s="23"/>
      <c r="O10" s="24"/>
      <c r="P10" s="46"/>
      <c r="Q10" s="25"/>
      <c r="S10" s="23"/>
      <c r="T10" s="23"/>
      <c r="U10" s="24"/>
      <c r="V10" s="46"/>
      <c r="W10" s="25"/>
      <c r="Y10" s="23"/>
      <c r="Z10" s="23"/>
      <c r="AA10" s="24"/>
      <c r="AB10" s="46"/>
      <c r="AC10" s="25"/>
      <c r="AE10" s="23"/>
      <c r="AF10" s="23"/>
      <c r="AG10" s="24"/>
      <c r="AH10" s="46"/>
      <c r="AI10" s="25"/>
      <c r="AK10" s="23"/>
      <c r="AL10" s="23"/>
      <c r="AM10" s="24"/>
      <c r="AN10" s="46"/>
      <c r="AO10" s="25"/>
    </row>
    <row r="11" spans="1:43" ht="15.6" x14ac:dyDescent="0.3">
      <c r="A11" s="20"/>
      <c r="B11" s="20"/>
      <c r="C11" s="21"/>
      <c r="D11" s="61"/>
      <c r="E11" s="22"/>
      <c r="G11" s="20"/>
      <c r="H11" s="20"/>
      <c r="I11" s="21"/>
      <c r="J11" s="62"/>
      <c r="K11" s="22"/>
      <c r="M11" s="23"/>
      <c r="N11" s="23"/>
      <c r="O11" s="24"/>
      <c r="P11" s="46"/>
      <c r="Q11" s="25"/>
      <c r="S11" s="23"/>
      <c r="T11" s="23"/>
      <c r="U11" s="24"/>
      <c r="V11" s="46"/>
      <c r="W11" s="25"/>
      <c r="Y11" s="23"/>
      <c r="Z11" s="23"/>
      <c r="AA11" s="24"/>
      <c r="AB11" s="46"/>
      <c r="AC11" s="25"/>
      <c r="AE11" s="23"/>
      <c r="AF11" s="23"/>
      <c r="AG11" s="24"/>
      <c r="AH11" s="46"/>
      <c r="AI11" s="25"/>
      <c r="AK11" s="23"/>
      <c r="AL11" s="23"/>
      <c r="AM11" s="24"/>
      <c r="AN11" s="46"/>
      <c r="AO11" s="25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9"/>
  <sheetViews>
    <sheetView showGridLines="0" zoomScale="110" zoomScaleNormal="110" zoomScaleSheetLayoutView="110" workbookViewId="0">
      <selection activeCell="E12" sqref="E12"/>
    </sheetView>
  </sheetViews>
  <sheetFormatPr baseColWidth="10" defaultRowHeight="14.4" outlineLevelRow="1" x14ac:dyDescent="0.3"/>
  <cols>
    <col min="1" max="1" width="11.4414062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</cols>
  <sheetData>
    <row r="1" spans="1:8" ht="30" customHeight="1" x14ac:dyDescent="0.3">
      <c r="A1" s="85" t="s">
        <v>35</v>
      </c>
      <c r="B1" s="85"/>
      <c r="C1" s="85"/>
      <c r="D1" s="85"/>
      <c r="E1" s="85"/>
      <c r="F1" s="85"/>
      <c r="G1" s="85"/>
      <c r="H1" s="85"/>
    </row>
    <row r="2" spans="1:8" ht="15" thickBot="1" x14ac:dyDescent="0.35">
      <c r="G2"/>
      <c r="H2"/>
    </row>
    <row r="3" spans="1:8" ht="15" thickBot="1" x14ac:dyDescent="0.35">
      <c r="A3" s="33" t="s">
        <v>19</v>
      </c>
      <c r="B3" s="86" t="s">
        <v>38</v>
      </c>
      <c r="C3" s="87"/>
      <c r="D3" s="87"/>
      <c r="E3" s="87"/>
      <c r="F3" s="87"/>
      <c r="G3" s="88"/>
      <c r="H3" s="44" t="s">
        <v>39</v>
      </c>
    </row>
    <row r="4" spans="1:8" outlineLevel="1" x14ac:dyDescent="0.3">
      <c r="A4" s="25" t="s">
        <v>14</v>
      </c>
      <c r="B4" s="25" t="s">
        <v>0</v>
      </c>
      <c r="C4" s="25" t="s">
        <v>1</v>
      </c>
      <c r="D4" s="25" t="s">
        <v>11</v>
      </c>
      <c r="E4" s="25" t="s">
        <v>15</v>
      </c>
      <c r="F4" s="25" t="s">
        <v>16</v>
      </c>
      <c r="G4" s="25" t="s">
        <v>12</v>
      </c>
      <c r="H4" s="25" t="s">
        <v>17</v>
      </c>
    </row>
    <row r="5" spans="1:8" outlineLevel="1" x14ac:dyDescent="0.3">
      <c r="D5" s="18"/>
      <c r="E5">
        <f xml:space="preserve"> 1</f>
        <v>1</v>
      </c>
      <c r="G5" s="45"/>
      <c r="H5" s="45">
        <f>Tabla3[[#This Row],[CANTIDAD]]*Tabla3[[#This Row],[PRECIO]]*Tabla3[[#This Row],[FACTOR]]</f>
        <v>0</v>
      </c>
    </row>
    <row r="6" spans="1:8" outlineLevel="1" x14ac:dyDescent="0.3">
      <c r="D6" s="18"/>
      <c r="E6">
        <f xml:space="preserve"> 1</f>
        <v>1</v>
      </c>
      <c r="G6" s="45"/>
      <c r="H6" s="45">
        <f>Tabla3[[#This Row],[CANTIDAD]]*Tabla3[[#This Row],[PRECIO]]*Tabla3[[#This Row],[FACTOR]]</f>
        <v>0</v>
      </c>
    </row>
    <row r="7" spans="1:8" outlineLevel="1" x14ac:dyDescent="0.3">
      <c r="D7" s="18"/>
      <c r="E7">
        <f xml:space="preserve"> 1</f>
        <v>1</v>
      </c>
      <c r="G7" s="45"/>
      <c r="H7" s="45">
        <f>Tabla3[[#This Row],[CANTIDAD]]*Tabla3[[#This Row],[PRECIO]]*Tabla3[[#This Row],[FACTOR]]</f>
        <v>0</v>
      </c>
    </row>
    <row r="8" spans="1:8" x14ac:dyDescent="0.3">
      <c r="A8" s="25" t="s">
        <v>18</v>
      </c>
      <c r="G8" s="45"/>
      <c r="H8" s="46">
        <f>SUM(Tabla3[TOTAL])</f>
        <v>0</v>
      </c>
    </row>
    <row r="9" spans="1:8" x14ac:dyDescent="0.3">
      <c r="G9"/>
      <c r="H9"/>
    </row>
  </sheetData>
  <mergeCells count="2">
    <mergeCell ref="A1:H1"/>
    <mergeCell ref="B3:G3"/>
  </mergeCells>
  <dataValidations count="1">
    <dataValidation type="list" allowBlank="1" showInputMessage="1" showErrorMessage="1" sqref="A5:A7" xr:uid="{B533F6AF-CF9E-48BC-95BF-88AC15CC56E7}">
      <formula1>"MATERIALES,EQUIPOS,MANO DE OBRA,TRANSPORTE,SUBCONTRATOS,ACTIVIDADES,OTROS"</formula1>
    </dataValidation>
  </dataValidations>
  <pageMargins left="0.7" right="0.7" top="0.75" bottom="0.75" header="0.3" footer="0.3"/>
  <pageSetup paperSize="9" scale="79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13"/>
  <sheetViews>
    <sheetView showGridLines="0" tabSelected="1" showWhiteSpace="0" zoomScale="110" zoomScaleNormal="110" zoomScaleSheetLayoutView="110" workbookViewId="0">
      <selection activeCell="C8" sqref="C8"/>
    </sheetView>
  </sheetViews>
  <sheetFormatPr baseColWidth="10" defaultColWidth="11.44140625" defaultRowHeight="14.4" outlineLevelRow="1" x14ac:dyDescent="0.3"/>
  <cols>
    <col min="1" max="1" width="13.33203125" bestFit="1" customWidth="1"/>
    <col min="2" max="2" width="11.21875" customWidth="1"/>
    <col min="3" max="3" width="40.77734375" customWidth="1"/>
    <col min="4" max="5" width="11.5546875" customWidth="1"/>
    <col min="6" max="6" width="12.109375" customWidth="1"/>
    <col min="7" max="7" width="11.5546875" style="19" customWidth="1"/>
    <col min="8" max="8" width="12.44140625" style="19" customWidth="1"/>
    <col min="9" max="9" width="1.33203125" customWidth="1"/>
  </cols>
  <sheetData>
    <row r="1" spans="1:8" ht="30" customHeight="1" x14ac:dyDescent="0.3">
      <c r="A1" s="85" t="s">
        <v>36</v>
      </c>
      <c r="B1" s="85"/>
      <c r="C1" s="85"/>
      <c r="D1" s="85"/>
      <c r="E1" s="85"/>
      <c r="F1" s="85"/>
      <c r="G1" s="85"/>
      <c r="H1" s="85"/>
    </row>
    <row r="2" spans="1:8" ht="15" thickBot="1" x14ac:dyDescent="0.35">
      <c r="A2" s="38"/>
      <c r="B2" s="39"/>
      <c r="C2" s="64"/>
      <c r="D2" s="64"/>
      <c r="E2" s="38"/>
      <c r="F2" s="38"/>
      <c r="G2" s="38"/>
      <c r="H2" s="65"/>
    </row>
    <row r="3" spans="1:8" ht="15" thickBot="1" x14ac:dyDescent="0.35">
      <c r="A3" s="43" t="s">
        <v>19</v>
      </c>
      <c r="B3" s="89" t="s">
        <v>40</v>
      </c>
      <c r="C3" s="90"/>
      <c r="D3" s="90"/>
      <c r="E3" s="90"/>
      <c r="F3" s="90"/>
      <c r="G3" s="91"/>
      <c r="H3" s="66" t="s">
        <v>39</v>
      </c>
    </row>
    <row r="4" spans="1:8" outlineLevel="1" x14ac:dyDescent="0.3">
      <c r="A4" s="54" t="s">
        <v>14</v>
      </c>
      <c r="B4" s="55" t="s">
        <v>0</v>
      </c>
      <c r="C4" s="56" t="s">
        <v>1</v>
      </c>
      <c r="D4" s="56" t="s">
        <v>11</v>
      </c>
      <c r="E4" s="54" t="s">
        <v>15</v>
      </c>
      <c r="F4" s="54" t="s">
        <v>16</v>
      </c>
      <c r="G4" s="54" t="s">
        <v>12</v>
      </c>
      <c r="H4" s="67" t="s">
        <v>17</v>
      </c>
    </row>
    <row r="5" spans="1:8" outlineLevel="1" x14ac:dyDescent="0.3">
      <c r="A5" s="38"/>
      <c r="B5" s="39"/>
      <c r="C5" s="64"/>
      <c r="D5" s="69"/>
      <c r="E5" s="38">
        <f xml:space="preserve"> 1</f>
        <v>1</v>
      </c>
      <c r="F5" s="38"/>
      <c r="G5" s="57"/>
      <c r="H5" s="68">
        <f>Tabla5[[#This Row],[CANTIDAD]]*Tabla5[[#This Row],[PRECIO]]*Tabla5[[#This Row],[FACTOR]]</f>
        <v>0</v>
      </c>
    </row>
    <row r="6" spans="1:8" outlineLevel="1" x14ac:dyDescent="0.3">
      <c r="A6" s="38"/>
      <c r="B6" s="39"/>
      <c r="C6" s="64"/>
      <c r="D6" s="69"/>
      <c r="E6" s="38">
        <f xml:space="preserve"> 1</f>
        <v>1</v>
      </c>
      <c r="F6" s="38"/>
      <c r="G6" s="57"/>
      <c r="H6" s="68">
        <f>Tabla5[[#This Row],[CANTIDAD]]*Tabla5[[#This Row],[PRECIO]]*Tabla5[[#This Row],[FACTOR]]</f>
        <v>0</v>
      </c>
    </row>
    <row r="7" spans="1:8" outlineLevel="1" x14ac:dyDescent="0.3">
      <c r="A7" s="38"/>
      <c r="B7" s="39"/>
      <c r="C7" s="64"/>
      <c r="D7" s="69"/>
      <c r="E7" s="38">
        <f xml:space="preserve"> 1</f>
        <v>1</v>
      </c>
      <c r="F7" s="38"/>
      <c r="G7" s="57"/>
      <c r="H7" s="68">
        <f>Tabla5[[#This Row],[CANTIDAD]]*Tabla5[[#This Row],[PRECIO]]*Tabla5[[#This Row],[FACTOR]]</f>
        <v>0</v>
      </c>
    </row>
    <row r="8" spans="1:8" x14ac:dyDescent="0.3">
      <c r="A8" s="70" t="s">
        <v>18</v>
      </c>
      <c r="B8" s="80"/>
      <c r="C8" s="71"/>
      <c r="D8" s="71"/>
      <c r="E8" s="72"/>
      <c r="F8" s="72"/>
      <c r="G8" s="73"/>
      <c r="H8" s="46">
        <f>SUM(Tabla5[TOTAL])</f>
        <v>0</v>
      </c>
    </row>
    <row r="9" spans="1:8" x14ac:dyDescent="0.3">
      <c r="A9" s="38"/>
      <c r="B9" s="39"/>
      <c r="C9" s="64"/>
      <c r="D9" s="64"/>
      <c r="E9" s="38"/>
      <c r="F9" s="38"/>
      <c r="G9" s="38"/>
      <c r="H9" s="65"/>
    </row>
    <row r="10" spans="1:8" x14ac:dyDescent="0.3">
      <c r="A10" s="38"/>
      <c r="B10" s="39"/>
      <c r="C10" s="64"/>
      <c r="D10" s="64"/>
      <c r="E10" s="38"/>
      <c r="F10" s="38"/>
      <c r="G10" s="38"/>
      <c r="H10" s="65"/>
    </row>
    <row r="11" spans="1:8" x14ac:dyDescent="0.3">
      <c r="G11"/>
      <c r="H11"/>
    </row>
    <row r="12" spans="1:8" x14ac:dyDescent="0.3">
      <c r="A12" s="38"/>
      <c r="B12" s="39"/>
      <c r="C12" s="64"/>
      <c r="D12" s="64"/>
      <c r="E12" s="38"/>
      <c r="F12" s="38"/>
      <c r="G12" s="38"/>
      <c r="H12" s="65"/>
    </row>
    <row r="13" spans="1:8" x14ac:dyDescent="0.3">
      <c r="A13" s="38"/>
      <c r="B13" s="39"/>
      <c r="C13" s="64"/>
      <c r="D13" s="64"/>
      <c r="E13" s="38"/>
      <c r="F13" s="38"/>
      <c r="G13" s="38"/>
      <c r="H13" s="65"/>
    </row>
  </sheetData>
  <mergeCells count="2">
    <mergeCell ref="A1:H1"/>
    <mergeCell ref="B3:G3"/>
  </mergeCells>
  <dataValidations count="1">
    <dataValidation type="list" allowBlank="1" showInputMessage="1" showErrorMessage="1" sqref="A5:A7" xr:uid="{F9816CE6-1BB9-4415-884E-DCFAD0CF10B2}">
      <formula1>"MATERIALES,EQUIPOS,MANO DE OBRA,TRANSPORTE,SUBCONTRATOS,ACTIVIDADES,OTROS,APU BÁSICOS"</formula1>
    </dataValidation>
  </dataValidations>
  <pageMargins left="0.7" right="0.7" top="0.75" bottom="0.75" header="0.3" footer="0.3"/>
  <pageSetup paperSize="9" scale="70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90" zoomScaleNormal="90" zoomScaleSheetLayoutView="90" workbookViewId="0">
      <selection activeCell="C29" sqref="C29"/>
    </sheetView>
  </sheetViews>
  <sheetFormatPr baseColWidth="10" defaultColWidth="11.44140625" defaultRowHeight="15" outlineLevelRow="1" x14ac:dyDescent="0.25"/>
  <cols>
    <col min="1" max="1" width="1.44140625" style="74" hidden="1" customWidth="1"/>
    <col min="2" max="2" width="15.33203125" style="47" customWidth="1"/>
    <col min="3" max="3" width="40.77734375" style="75" customWidth="1"/>
    <col min="4" max="4" width="23" style="47" bestFit="1" customWidth="1"/>
    <col min="5" max="5" width="15.33203125" style="48" customWidth="1"/>
    <col min="6" max="6" width="14.21875" style="48" bestFit="1" customWidth="1"/>
    <col min="7" max="8" width="15.33203125" style="48" customWidth="1"/>
    <col min="9" max="9" width="1.33203125" style="74" customWidth="1"/>
    <col min="10" max="16384" width="11.44140625" style="74"/>
  </cols>
  <sheetData>
    <row r="1" spans="2:8" ht="30" customHeight="1" x14ac:dyDescent="0.25">
      <c r="B1" s="92" t="s">
        <v>37</v>
      </c>
      <c r="C1" s="92"/>
      <c r="D1" s="92"/>
      <c r="E1" s="92"/>
      <c r="F1" s="92"/>
      <c r="G1" s="92"/>
      <c r="H1" s="92"/>
    </row>
    <row r="2" spans="2:8" ht="15.6" thickBot="1" x14ac:dyDescent="0.3"/>
    <row r="3" spans="2:8" ht="16.2" thickBot="1" x14ac:dyDescent="0.3">
      <c r="B3" s="93" t="s">
        <v>20</v>
      </c>
      <c r="C3" s="94"/>
      <c r="D3" s="94"/>
      <c r="E3" s="94"/>
      <c r="F3" s="94"/>
      <c r="G3" s="95"/>
      <c r="H3" s="49" t="s">
        <v>19</v>
      </c>
    </row>
    <row r="4" spans="2:8" ht="15.6" outlineLevel="1" x14ac:dyDescent="0.3">
      <c r="B4" s="50" t="s">
        <v>0</v>
      </c>
      <c r="C4" s="76" t="s">
        <v>1</v>
      </c>
      <c r="D4" s="50" t="s">
        <v>11</v>
      </c>
      <c r="E4" s="51" t="s">
        <v>15</v>
      </c>
      <c r="F4" s="51" t="s">
        <v>16</v>
      </c>
      <c r="G4" s="51" t="s">
        <v>3</v>
      </c>
      <c r="H4" s="51" t="s">
        <v>17</v>
      </c>
    </row>
    <row r="5" spans="2:8" outlineLevel="1" x14ac:dyDescent="0.25">
      <c r="E5" s="48">
        <v>1</v>
      </c>
      <c r="H5" s="48">
        <f>Tabla7[[#This Row],[FACTOR]]*Tabla7[[#This Row],[CANTIDAD]]*Tabla7[[#This Row],[COSTO]]</f>
        <v>0</v>
      </c>
    </row>
    <row r="6" spans="2:8" outlineLevel="1" x14ac:dyDescent="0.25">
      <c r="E6" s="48">
        <v>1</v>
      </c>
      <c r="H6" s="48">
        <f>Tabla7[[#This Row],[FACTOR]]*Tabla7[[#This Row],[CANTIDAD]]*Tabla7[[#This Row],[COSTO]]</f>
        <v>0</v>
      </c>
    </row>
    <row r="7" spans="2:8" outlineLevel="1" x14ac:dyDescent="0.25">
      <c r="E7" s="48">
        <v>1</v>
      </c>
      <c r="H7" s="48">
        <f>Tabla7[[#This Row],[FACTOR]]*Tabla7[[#This Row],[CANTIDAD]]*Tabla7[[#This Row],[COSTO]]</f>
        <v>0</v>
      </c>
    </row>
    <row r="8" spans="2:8" outlineLevel="1" x14ac:dyDescent="0.25">
      <c r="E8" s="48">
        <v>1</v>
      </c>
      <c r="H8" s="48">
        <f>Tabla7[[#This Row],[FACTOR]]*Tabla7[[#This Row],[CANTIDAD]]*Tabla7[[#This Row],[COSTO]]</f>
        <v>0</v>
      </c>
    </row>
    <row r="9" spans="2:8" outlineLevel="1" x14ac:dyDescent="0.25">
      <c r="E9" s="48">
        <v>1</v>
      </c>
      <c r="H9" s="48">
        <f>Tabla7[[#This Row],[FACTOR]]*Tabla7[[#This Row],[CANTIDAD]]*Tabla7[[#This Row],[COSTO]]</f>
        <v>0</v>
      </c>
    </row>
    <row r="10" spans="2:8" ht="15.6" x14ac:dyDescent="0.3">
      <c r="B10" s="59" t="s">
        <v>18</v>
      </c>
      <c r="C10" s="77"/>
      <c r="D10" s="58"/>
      <c r="E10" s="74"/>
      <c r="F10" s="74"/>
      <c r="G10" s="74"/>
      <c r="H10" s="51">
        <f>SUM(Tabla7[TOTAL])</f>
        <v>0</v>
      </c>
    </row>
    <row r="13" spans="2:8" ht="15.6" x14ac:dyDescent="0.3">
      <c r="F13" s="50"/>
      <c r="G13" s="50"/>
      <c r="H13" s="51"/>
    </row>
    <row r="14" spans="2:8" ht="15.6" x14ac:dyDescent="0.3">
      <c r="B14" s="50" t="s">
        <v>19</v>
      </c>
      <c r="C14" s="76" t="s">
        <v>20</v>
      </c>
      <c r="D14" s="50" t="s">
        <v>21</v>
      </c>
      <c r="E14" s="51" t="s">
        <v>22</v>
      </c>
      <c r="F14" s="47"/>
      <c r="G14" s="47"/>
    </row>
    <row r="15" spans="2:8" x14ac:dyDescent="0.25">
      <c r="B15" s="47" t="str">
        <f>$H$3</f>
        <v>CÓD</v>
      </c>
      <c r="C15" s="75" t="str">
        <f>$B$3</f>
        <v>CAPÍTULO</v>
      </c>
      <c r="D15" s="32" t="e">
        <f>(E15)/(E18)</f>
        <v>#DIV/0!</v>
      </c>
      <c r="E15" s="48">
        <f>$H$10</f>
        <v>0</v>
      </c>
      <c r="F15" s="47"/>
      <c r="G15" s="47"/>
    </row>
    <row r="16" spans="2:8" x14ac:dyDescent="0.25">
      <c r="F16" s="47"/>
      <c r="G16" s="47"/>
    </row>
    <row r="17" spans="2:7" x14ac:dyDescent="0.25">
      <c r="F17" s="47"/>
      <c r="G17" s="47"/>
    </row>
    <row r="18" spans="2:7" ht="15.6" x14ac:dyDescent="0.3">
      <c r="B18" s="52"/>
      <c r="C18" s="78"/>
      <c r="D18" s="53" t="s">
        <v>30</v>
      </c>
      <c r="E18" s="79">
        <f>SUM(E15:E17)</f>
        <v>0</v>
      </c>
    </row>
    <row r="21" spans="2:7" ht="15.6" x14ac:dyDescent="0.3">
      <c r="C21" s="76" t="s">
        <v>1</v>
      </c>
      <c r="D21" s="50" t="s">
        <v>21</v>
      </c>
      <c r="E21" s="51" t="s">
        <v>22</v>
      </c>
    </row>
    <row r="22" spans="2:7" x14ac:dyDescent="0.25">
      <c r="C22" s="75" t="s">
        <v>26</v>
      </c>
      <c r="D22" s="42">
        <v>0</v>
      </c>
      <c r="E22" s="36">
        <f>Tabla13[[#This Row],[PORCENTAJE]]*E18</f>
        <v>0</v>
      </c>
    </row>
    <row r="23" spans="2:7" x14ac:dyDescent="0.25">
      <c r="C23" s="75" t="s">
        <v>27</v>
      </c>
      <c r="D23" s="42">
        <v>0</v>
      </c>
      <c r="E23" s="36">
        <f>Tabla13[[#This Row],[PORCENTAJE]]*E18</f>
        <v>0</v>
      </c>
    </row>
    <row r="24" spans="2:7" x14ac:dyDescent="0.25">
      <c r="C24" s="75" t="s">
        <v>28</v>
      </c>
      <c r="D24" s="42">
        <v>0</v>
      </c>
      <c r="E24" s="36">
        <f>Tabla13[[#This Row],[PORCENTAJE]]*E18</f>
        <v>0</v>
      </c>
    </row>
    <row r="25" spans="2:7" x14ac:dyDescent="0.25">
      <c r="C25" s="75" t="s">
        <v>25</v>
      </c>
      <c r="D25" s="42">
        <v>0</v>
      </c>
      <c r="E25" s="36">
        <f>Tabla13[[#This Row],[PORCENTAJE]]*E24</f>
        <v>0</v>
      </c>
    </row>
    <row r="26" spans="2:7" ht="15.6" x14ac:dyDescent="0.3">
      <c r="D26" s="34" t="s">
        <v>29</v>
      </c>
      <c r="E26" s="35">
        <f>SUM(E22:E25)</f>
        <v>0</v>
      </c>
    </row>
    <row r="27" spans="2:7" x14ac:dyDescent="0.25">
      <c r="E27" s="36"/>
    </row>
    <row r="28" spans="2:7" ht="15.6" x14ac:dyDescent="0.3">
      <c r="D28" s="50" t="s">
        <v>24</v>
      </c>
      <c r="E28" s="35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BE5D8776-E380-4EB8-A305-4C48CDC1C98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3"/>
  <sheetViews>
    <sheetView showGridLines="0" topLeftCell="B1" zoomScale="110" zoomScaleNormal="110" zoomScaleSheetLayoutView="130" workbookViewId="0">
      <selection activeCell="H5" sqref="H5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96" t="s">
        <v>31</v>
      </c>
      <c r="C1" s="96"/>
      <c r="D1" s="96"/>
      <c r="E1" s="96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/>
      <c r="E3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3"/>
  <sheetViews>
    <sheetView showGridLines="0" topLeftCell="B1" zoomScale="110" zoomScaleNormal="110" zoomScaleSheetLayoutView="110" workbookViewId="0">
      <selection activeCell="D25" sqref="D25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1.77734375" style="6" bestFit="1" customWidth="1"/>
    <col min="6" max="16384" width="11.44140625" style="3"/>
  </cols>
  <sheetData>
    <row r="1" spans="2:5" s="8" customFormat="1" ht="30" customHeight="1" x14ac:dyDescent="0.3">
      <c r="B1" s="96" t="s">
        <v>33</v>
      </c>
      <c r="C1" s="96"/>
      <c r="D1" s="96"/>
      <c r="E1" s="96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E3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17" sqref="A17"/>
    </sheetView>
  </sheetViews>
  <sheetFormatPr baseColWidth="10" defaultRowHeight="14.4" x14ac:dyDescent="0.3"/>
  <cols>
    <col min="1" max="1" width="30.6640625" customWidth="1"/>
    <col min="2" max="2" width="12.6640625" style="18" bestFit="1" customWidth="1"/>
    <col min="3" max="3" width="13.44140625" style="19" bestFit="1" customWidth="1"/>
    <col min="4" max="4" width="14.88671875" style="29" bestFit="1" customWidth="1"/>
    <col min="5" max="5" width="15.5546875" style="19" bestFit="1" customWidth="1"/>
    <col min="8" max="8" width="15.6640625" customWidth="1"/>
  </cols>
  <sheetData>
    <row r="1" spans="1:6" ht="30" customHeight="1" x14ac:dyDescent="0.3">
      <c r="A1" s="96" t="s">
        <v>32</v>
      </c>
      <c r="B1" s="96"/>
      <c r="C1" s="96"/>
      <c r="D1" s="96"/>
      <c r="E1" s="96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4" spans="1:6" x14ac:dyDescent="0.3">
      <c r="A4" s="40" t="s">
        <v>18</v>
      </c>
      <c r="B4" s="27"/>
      <c r="C4" s="28"/>
      <c r="D4" s="31"/>
      <c r="E4" s="41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ThisWorkbook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CH1M7" screentip="Insertar filas" supertip="Crea una nueva fila en la tabla de insumos."/>
          <button id="botmenosfilasins" label="Eliminar fila" size="normal" image="menos_32" onAction="Módulo02_INSUMOS.CH1M8" screentip="Eliminar filas" supertip="Elimina una fila en la tabla de insumos."/>
          <button id="botEditDesc" label="Editar Desc" size="normal" image="editar_16" onAction="Módulo02_INSUMOS.INSCH01" screentip="Editar Descripción" supertip="Edita la descripción de una fila."/>
        </group>
        <group id="grupoapu" label="A.P.U">
          <button id="botnuevoapu2" label="Nuevo APU." size="large" image="nuevo_32" onAction="Módulo03_APU.GR1M1" screentip="Nueva tabla A.P.U" supertip="Crea una nueva tabla de A.P.U."/>
          <button id="boteliminaapu2" label="Eliminar APU." size="large" image="eliminar_32" onAction="Módulo03_APU.CH2M2" screentip="Eliminar tabla A.P.U." supertip="Elimina la tabla A.P.U. seleccionada."/>
          <button id="botmasfilas2" label="fila" size="normal" image="mas_16" onAction="Módulo03_APU.GR1M3" screentip="Insertar filas" supertip="Crea una nueva fila en la tabla A.P.U. seleccionada."/>
          <button id="botmenosfilas2" label="fila" size="normal" image="menos_16" onAction="Módulo03_APU.GR1M10" screentip="Eliminar filas" supertip="Elimina una fila en la tabla A.P.U. seleccionada."/>
          <button id="botactualizar2" label="listas" size="normal" image="actualizar_16" onAction="Módulo03_APU.GR1M7" screentip="Actualizar listado" supertip="Crea una nueva lista con las tablas A.P.U. existentes."/>
          <button id="botcopiarapu" label="APU" size="normal" image="copiar_16" onAction="Módulo001_APUSPRUEBA.copiarapu" screentip="Copiar APU" supertip="Copiar APU seleccionado."/>
          <button id="botpegarapu" label="APU" size="normal" image="pegar_16" onAction="Módulo001_APUSPRUEBA.pegarapu" screentip="Pegar APU" supertip="Pegar APU seleccionado."/>
          <separator id="separador3"/>
          <button id="botbuscar2" label="Buscar insumo" size="normal" image="buscar_16" onAction="Módulo03_APU.GR1M5" screentip="Buscar insumo" supertip="Ubica el insumo seleccionado."/>
          <button id="botanalisis2" label="Incidencia" size="normal" image="analisis_16" onAction="Módulo03_APU.CH2M8" screentip="Incidencia" supertip="Crea las tablas y gráficos de análisis de datos para la tabla A.P.U. seleccionada."/>
          <button id="botocultar2" label="Ocultar Incidencia" size="normal" image="ocultar_16" onAction="Módulo03_APU.GR1M9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screentip="Nueva tabla capítulo" supertip="Crea una nueva tabla tipo capítulo."/>
          <button id="boteliminacapitulo" label="Eliminar capítulo" size="large" image="eliminar_32" onAction="Módulo08_PRESUPUESTO.CH6M8" screentip="Eliminar tabla capítulo" supertip="Elimina la tabla capítulo seleccionada."/>
          <button id="botmasfilas3" label="fila" size="normal" image="mas_16" onAction="Módulo08_PRESUPUESTO.CH6M9" screentip="Insertar filas" supertip="Crea una nueva fila en la tabla capítulo seleccionada."/>
          <button id="botmenosfilas3" label="fila" size="normal" image="menos_16" onAction="Módulo08_PRESUPUESTO.CH6M10" screentip="Eliminar filas" supertip="Elimina una fila en la tabla capítulo seleccionada."/>
          <separator id="separador5"/>
          <button id="botbuscar3" label="Buscar A.P.U." size="normal" image="buscar_16" onAction="Módulo08_PRESUPUESTO.CH6M11" screentip="Buscar A.P.U" supertip="Ubica la tabla A.P.U. seleccionada."/>
          <button id="botanalisis3" label="Incidencia" size="normal" image="analisis_16" onAction="Módulo08_PRESUPUESTO.CH6M12" screentip="Incidencia" supertip="Crea las tablas y gráficos de análisis de datos para la hoja presupuesto."/>
          <button id="botocultar3" label="Ocultar Incidencia" size="normal" image="ocultar_16" onAction="Módulo08_PRESUPUESTO.CH6M13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10</vt:i4>
      </vt:variant>
    </vt:vector>
  </HeadingPairs>
  <TitlesOfParts>
    <vt:vector size="17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2024-08-27T18:27:09Z</dcterms:modified>
</cp:coreProperties>
</file>