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drawings/drawing1.xml" ContentType="application/vnd.openxmlformats-officedocument.drawing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F:\Desarrollo\presupuesto\"/>
    </mc:Choice>
  </mc:AlternateContent>
  <xr:revisionPtr revIDLastSave="0" documentId="8_{4681A69C-C354-41EA-9148-6C2B1E777047}" xr6:coauthVersionLast="47" xr6:coauthVersionMax="47" xr10:uidLastSave="{00000000-0000-0000-0000-000000000000}"/>
  <bookViews>
    <workbookView xWindow="-108" yWindow="-108" windowWidth="23256" windowHeight="12456" activeTab="4" xr2:uid="{F2231D9D-F848-497B-B79D-4319308CA14F}"/>
  </bookViews>
  <sheets>
    <sheet name="INSUMOS" sheetId="2" r:id="rId1"/>
    <sheet name="Hoja1" sheetId="1" r:id="rId2"/>
    <sheet name="BÁSICOS" sheetId="3" r:id="rId3"/>
    <sheet name="APU" sheetId="4" r:id="rId4"/>
    <sheet name="PRESUPUESTO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7" i="5" l="1"/>
  <c r="H27" i="5"/>
  <c r="H13" i="5"/>
  <c r="H28" i="4"/>
  <c r="H19" i="4"/>
  <c r="H10" i="4"/>
  <c r="H31" i="3"/>
  <c r="H22" i="3"/>
  <c r="H12" i="3"/>
</calcChain>
</file>

<file path=xl/sharedStrings.xml><?xml version="1.0" encoding="utf-8"?>
<sst xmlns="http://schemas.openxmlformats.org/spreadsheetml/2006/main" count="269" uniqueCount="57">
  <si>
    <t>INSUMOS</t>
  </si>
  <si>
    <t>MATERIALES</t>
  </si>
  <si>
    <t>EQUIPOS</t>
  </si>
  <si>
    <t>MANO DE OBRA</t>
  </si>
  <si>
    <t>TRASPORTE</t>
  </si>
  <si>
    <t>SUBCONTRATOS</t>
  </si>
  <si>
    <t>ACTIVIDADES</t>
  </si>
  <si>
    <t>OTROS</t>
  </si>
  <si>
    <t>DESCRIPCIÓN</t>
  </si>
  <si>
    <t>CÓDIGO</t>
  </si>
  <si>
    <t>UNIDAD</t>
  </si>
  <si>
    <t>PRECIO</t>
  </si>
  <si>
    <t>FECHA</t>
  </si>
  <si>
    <t>acero corru.fig 1/4-1" 60000 psi</t>
  </si>
  <si>
    <t>kg</t>
  </si>
  <si>
    <t>herramienta menor</t>
  </si>
  <si>
    <t>gl</t>
  </si>
  <si>
    <t>cuadrilla AA albañileria</t>
  </si>
  <si>
    <t>h</t>
  </si>
  <si>
    <t>agua</t>
  </si>
  <si>
    <t>lt</t>
  </si>
  <si>
    <t>concretadora trompo 3 sacos</t>
  </si>
  <si>
    <t>d</t>
  </si>
  <si>
    <t>alambre negro recocido c-17</t>
  </si>
  <si>
    <t>arena lavada de peña</t>
  </si>
  <si>
    <t>m3</t>
  </si>
  <si>
    <t>cemento gris</t>
  </si>
  <si>
    <t>grava 1"</t>
  </si>
  <si>
    <t>ANALISIS DE PRECIOS UNITARIOS BÁSICOS</t>
  </si>
  <si>
    <t>CÓD</t>
  </si>
  <si>
    <t>NOMBRE A.P.U. BÁSICO</t>
  </si>
  <si>
    <t>UND</t>
  </si>
  <si>
    <t>TIPO</t>
  </si>
  <si>
    <t>FACTOR</t>
  </si>
  <si>
    <t>CANTIDAD</t>
  </si>
  <si>
    <t>TOTAL</t>
  </si>
  <si>
    <t>Total</t>
  </si>
  <si>
    <t>Basico 01</t>
  </si>
  <si>
    <t xml:space="preserve">ANALISIS DE PRECIOS UNITARIOS </t>
  </si>
  <si>
    <t>Apu 01</t>
  </si>
  <si>
    <t>Apu 02</t>
  </si>
  <si>
    <t>APU BÁSICOS</t>
  </si>
  <si>
    <t>PRESUPUESTO</t>
  </si>
  <si>
    <t>CAPÍTULO 1</t>
  </si>
  <si>
    <t>COSTO</t>
  </si>
  <si>
    <t>CAPÍTULO 2</t>
  </si>
  <si>
    <t>CAPÍTULO</t>
  </si>
  <si>
    <t>PORCENTAJE</t>
  </si>
  <si>
    <t>SUBTOTAL</t>
  </si>
  <si>
    <t>TOTAL DIRECTOS</t>
  </si>
  <si>
    <t>OK</t>
  </si>
  <si>
    <t>ADMINISTRACIÓN (A)</t>
  </si>
  <si>
    <t>IMPREVISTO (I)</t>
  </si>
  <si>
    <t>UTILIDAD (U)</t>
  </si>
  <si>
    <t>IMPUESTO SOBRE UTILIDAD</t>
  </si>
  <si>
    <t>TOTAL INDIRECTOS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</si>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</sst>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1" formatCode="_(* #,##0_);_(* \(#,##0\);_(* &quot;-&quot;_);_(@_)"/>
    <numFmt numFmtId="164" formatCode="_-* #,##0\ _€_-;\-* #,##0\ _€_-;_-* &quot;-&quot;\ _€_-;_-@_-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rgb="FF66FF66"/>
        <bgColor indexed="64"/>
      </patternFill>
    </fill>
  </fills>
  <borders count="26">
    <border>
      <left/>
      <right/>
      <top/>
      <bottom/>
      <diagonal/>
    </border>
    <border>
      <left style="medium">
        <color rgb="FF00A4F3"/>
      </left>
      <right/>
      <top style="medium">
        <color rgb="FF00A4F3"/>
      </top>
      <bottom style="medium">
        <color rgb="FF00A4F3"/>
      </bottom>
      <diagonal/>
    </border>
    <border>
      <left/>
      <right/>
      <top style="medium">
        <color rgb="FF00A4F3"/>
      </top>
      <bottom style="medium">
        <color rgb="FF00A4F3"/>
      </bottom>
      <diagonal/>
    </border>
    <border>
      <left/>
      <right style="medium">
        <color rgb="FF00A4F3"/>
      </right>
      <top style="medium">
        <color rgb="FF00A4F3"/>
      </top>
      <bottom style="medium">
        <color rgb="FF00A4F3"/>
      </bottom>
      <diagonal/>
    </border>
    <border>
      <left style="medium">
        <color rgb="FF00AC56"/>
      </left>
      <right style="hair">
        <color rgb="FF00AC56"/>
      </right>
      <top style="medium">
        <color rgb="FF00AC56"/>
      </top>
      <bottom style="medium">
        <color rgb="FF00AC56"/>
      </bottom>
      <diagonal/>
    </border>
    <border>
      <left style="hair">
        <color rgb="FF00AC56"/>
      </left>
      <right/>
      <top style="medium">
        <color rgb="FF00AC56"/>
      </top>
      <bottom style="medium">
        <color rgb="FF00AC56"/>
      </bottom>
      <diagonal/>
    </border>
    <border>
      <left/>
      <right/>
      <top style="medium">
        <color rgb="FF00AC56"/>
      </top>
      <bottom style="medium">
        <color rgb="FF00AC56"/>
      </bottom>
      <diagonal/>
    </border>
    <border>
      <left/>
      <right style="hair">
        <color rgb="FF00AC56"/>
      </right>
      <top style="medium">
        <color rgb="FF00AC56"/>
      </top>
      <bottom style="medium">
        <color rgb="FF00AC56"/>
      </bottom>
      <diagonal/>
    </border>
    <border>
      <left style="hair">
        <color rgb="FF00AC56"/>
      </left>
      <right style="medium">
        <color rgb="FF00AC56"/>
      </right>
      <top style="medium">
        <color rgb="FF00AC56"/>
      </top>
      <bottom style="medium">
        <color rgb="FF00AC56"/>
      </bottom>
      <diagonal/>
    </border>
    <border>
      <left style="medium">
        <color rgb="FF0088CC"/>
      </left>
      <right style="hair">
        <color rgb="FF0088CC"/>
      </right>
      <top style="medium">
        <color rgb="FF0088CC"/>
      </top>
      <bottom style="medium">
        <color rgb="FF0088CC"/>
      </bottom>
      <diagonal/>
    </border>
    <border>
      <left style="hair">
        <color rgb="FF0088CC"/>
      </left>
      <right/>
      <top style="medium">
        <color rgb="FF0088CC"/>
      </top>
      <bottom style="medium">
        <color rgb="FF0088CC"/>
      </bottom>
      <diagonal/>
    </border>
    <border>
      <left/>
      <right/>
      <top style="medium">
        <color rgb="FF0088CC"/>
      </top>
      <bottom style="medium">
        <color rgb="FF0088CC"/>
      </bottom>
      <diagonal/>
    </border>
    <border>
      <left/>
      <right style="hair">
        <color rgb="FF0088CC"/>
      </right>
      <top style="medium">
        <color rgb="FF0088CC"/>
      </top>
      <bottom style="medium">
        <color rgb="FF0088CC"/>
      </bottom>
      <diagonal/>
    </border>
    <border>
      <left style="hair">
        <color rgb="FF0088CC"/>
      </left>
      <right style="medium">
        <color rgb="FF0088CC"/>
      </right>
      <top style="medium">
        <color rgb="FF0088CC"/>
      </top>
      <bottom style="medium">
        <color rgb="FF0088CC"/>
      </bottom>
      <diagonal/>
    </border>
    <border>
      <left style="medium">
        <color rgb="FF00A4F3"/>
      </left>
      <right style="hair">
        <color rgb="FF00A4F3"/>
      </right>
      <top style="medium">
        <color rgb="FF00A4F3"/>
      </top>
      <bottom style="medium">
        <color rgb="FF00A4F3"/>
      </bottom>
      <diagonal/>
    </border>
    <border>
      <left style="hair">
        <color rgb="FF00A4F3"/>
      </left>
      <right/>
      <top style="medium">
        <color rgb="FF00A4F3"/>
      </top>
      <bottom style="medium">
        <color rgb="FF00A4F3"/>
      </bottom>
      <diagonal/>
    </border>
    <border>
      <left/>
      <right style="hair">
        <color rgb="FF00A4F3"/>
      </right>
      <top style="medium">
        <color rgb="FF00A4F3"/>
      </top>
      <bottom style="medium">
        <color rgb="FF00A4F3"/>
      </bottom>
      <diagonal/>
    </border>
    <border>
      <left style="hair">
        <color rgb="FF00A4F3"/>
      </left>
      <right style="medium">
        <color rgb="FF00A4F3"/>
      </right>
      <top style="medium">
        <color rgb="FF00A4F3"/>
      </top>
      <bottom style="medium">
        <color rgb="FF00A4F3"/>
      </bottom>
      <diagonal/>
    </border>
    <border>
      <left style="medium">
        <color rgb="FF009999"/>
      </left>
      <right/>
      <top style="medium">
        <color rgb="FF009999"/>
      </top>
      <bottom style="medium">
        <color rgb="FF009999"/>
      </bottom>
      <diagonal/>
    </border>
    <border>
      <left/>
      <right/>
      <top style="medium">
        <color rgb="FF009999"/>
      </top>
      <bottom style="medium">
        <color rgb="FF009999"/>
      </bottom>
      <diagonal/>
    </border>
    <border>
      <left/>
      <right style="hair">
        <color rgb="FF009999"/>
      </right>
      <top style="medium">
        <color rgb="FF009999"/>
      </top>
      <bottom style="medium">
        <color rgb="FF009999"/>
      </bottom>
      <diagonal/>
    </border>
    <border>
      <left style="hair">
        <color rgb="FF009999"/>
      </left>
      <right style="medium">
        <color rgb="FF009999"/>
      </right>
      <top style="medium">
        <color rgb="FF009999"/>
      </top>
      <bottom style="medium">
        <color rgb="FF009999"/>
      </bottom>
      <diagonal/>
    </border>
    <border>
      <left style="thin">
        <color rgb="FF009999"/>
      </left>
      <right/>
      <top style="thin">
        <color rgb="FF009999"/>
      </top>
      <bottom style="thin">
        <color rgb="FF009999"/>
      </bottom>
      <diagonal/>
    </border>
    <border>
      <left/>
      <right/>
      <top style="thin">
        <color rgb="FF009999"/>
      </top>
      <bottom style="thin">
        <color rgb="FF009999"/>
      </bottom>
      <diagonal/>
    </border>
    <border>
      <left style="thin">
        <color rgb="FF009999"/>
      </left>
      <right style="thin">
        <color rgb="FF009999"/>
      </right>
      <top style="thin">
        <color rgb="FF009999"/>
      </top>
      <bottom style="thin">
        <color rgb="FF009999"/>
      </bottom>
      <diagonal/>
    </border>
    <border>
      <left/>
      <right/>
      <top style="thin">
        <color rgb="FF009999"/>
      </top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6" fillId="0" borderId="0"/>
    <xf numFmtId="0" fontId="1" fillId="0" borderId="0"/>
  </cellStyleXfs>
  <cellXfs count="67">
    <xf numFmtId="0" fontId="0" fillId="0" borderId="0" xfId="0"/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41" fontId="0" fillId="0" borderId="0" xfId="0" applyNumberFormat="1"/>
    <xf numFmtId="3" fontId="0" fillId="0" borderId="0" xfId="0" applyNumberFormat="1"/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3" fontId="5" fillId="0" borderId="0" xfId="0" applyNumberFormat="1" applyFont="1"/>
    <xf numFmtId="0" fontId="5" fillId="0" borderId="0" xfId="0" applyFont="1"/>
    <xf numFmtId="41" fontId="5" fillId="0" borderId="0" xfId="0" applyNumberFormat="1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41" fontId="2" fillId="0" borderId="0" xfId="0" applyNumberFormat="1" applyFont="1"/>
    <xf numFmtId="0" fontId="2" fillId="0" borderId="0" xfId="0" applyFont="1"/>
    <xf numFmtId="14" fontId="5" fillId="0" borderId="0" xfId="0" applyNumberFormat="1" applyFont="1"/>
    <xf numFmtId="164" fontId="0" fillId="0" borderId="0" xfId="0" applyNumberFormat="1" applyAlignment="1">
      <alignment horizontal="center"/>
    </xf>
    <xf numFmtId="164" fontId="0" fillId="0" borderId="0" xfId="0" applyNumberFormat="1"/>
    <xf numFmtId="0" fontId="3" fillId="2" borderId="0" xfId="0" applyFont="1" applyFill="1" applyAlignment="1">
      <alignment horizontal="center" vertical="center"/>
    </xf>
    <xf numFmtId="0" fontId="0" fillId="0" borderId="4" xfId="0" applyBorder="1"/>
    <xf numFmtId="0" fontId="0" fillId="0" borderId="5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8" xfId="0" applyBorder="1"/>
    <xf numFmtId="0" fontId="6" fillId="0" borderId="0" xfId="2"/>
    <xf numFmtId="0" fontId="1" fillId="0" borderId="0" xfId="3"/>
    <xf numFmtId="0" fontId="6" fillId="0" borderId="0" xfId="2" applyAlignment="1">
      <alignment vertical="center"/>
    </xf>
    <xf numFmtId="164" fontId="1" fillId="0" borderId="0" xfId="3" applyNumberFormat="1"/>
    <xf numFmtId="0" fontId="0" fillId="0" borderId="9" xfId="0" applyBorder="1"/>
    <xf numFmtId="0" fontId="0" fillId="0" borderId="10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/>
    <xf numFmtId="0" fontId="2" fillId="0" borderId="14" xfId="0" applyFont="1" applyBorder="1" applyAlignment="1">
      <alignment horizontal="left" vertical="top"/>
    </xf>
    <xf numFmtId="0" fontId="2" fillId="0" borderId="15" xfId="0" applyFont="1" applyBorder="1" applyAlignment="1">
      <alignment horizontal="left" vertical="top"/>
    </xf>
    <xf numFmtId="0" fontId="2" fillId="0" borderId="2" xfId="0" applyFont="1" applyBorder="1" applyAlignment="1">
      <alignment horizontal="left" vertical="top"/>
    </xf>
    <xf numFmtId="0" fontId="2" fillId="0" borderId="16" xfId="0" applyFont="1" applyBorder="1" applyAlignment="1">
      <alignment horizontal="left" vertical="top"/>
    </xf>
    <xf numFmtId="0" fontId="2" fillId="0" borderId="17" xfId="0" applyFont="1" applyBorder="1" applyAlignment="1">
      <alignment horizontal="left" vertical="top"/>
    </xf>
    <xf numFmtId="41" fontId="3" fillId="2" borderId="0" xfId="0" applyNumberFormat="1" applyFont="1" applyFill="1" applyAlignment="1">
      <alignment horizontal="center" vertical="center"/>
    </xf>
    <xf numFmtId="0" fontId="7" fillId="0" borderId="0" xfId="0" applyFont="1"/>
    <xf numFmtId="41" fontId="7" fillId="0" borderId="0" xfId="0" applyNumberFormat="1" applyFont="1" applyAlignment="1">
      <alignment horizontal="center"/>
    </xf>
    <xf numFmtId="41" fontId="7" fillId="0" borderId="0" xfId="0" applyNumberFormat="1" applyFont="1" applyAlignment="1">
      <alignment horizontal="left"/>
    </xf>
    <xf numFmtId="41" fontId="7" fillId="0" borderId="0" xfId="0" applyNumberFormat="1" applyFont="1"/>
    <xf numFmtId="41" fontId="8" fillId="0" borderId="18" xfId="0" applyNumberFormat="1" applyFont="1" applyBorder="1" applyAlignment="1">
      <alignment horizontal="left" vertical="top"/>
    </xf>
    <xf numFmtId="41" fontId="8" fillId="0" borderId="19" xfId="0" applyNumberFormat="1" applyFont="1" applyBorder="1" applyAlignment="1">
      <alignment horizontal="left" vertical="top"/>
    </xf>
    <xf numFmtId="41" fontId="8" fillId="0" borderId="20" xfId="0" applyNumberFormat="1" applyFont="1" applyBorder="1" applyAlignment="1">
      <alignment horizontal="left" vertical="top"/>
    </xf>
    <xf numFmtId="41" fontId="8" fillId="0" borderId="21" xfId="0" applyNumberFormat="1" applyFont="1" applyBorder="1" applyAlignment="1">
      <alignment horizontal="left" vertical="top"/>
    </xf>
    <xf numFmtId="41" fontId="8" fillId="0" borderId="0" xfId="0" applyNumberFormat="1" applyFont="1" applyAlignment="1">
      <alignment horizontal="center"/>
    </xf>
    <xf numFmtId="41" fontId="8" fillId="0" borderId="0" xfId="0" applyNumberFormat="1" applyFont="1" applyAlignment="1">
      <alignment horizontal="left"/>
    </xf>
    <xf numFmtId="41" fontId="8" fillId="0" borderId="0" xfId="0" applyNumberFormat="1" applyFont="1"/>
    <xf numFmtId="0" fontId="8" fillId="0" borderId="0" xfId="0" applyFont="1" applyAlignment="1">
      <alignment horizontal="center"/>
    </xf>
    <xf numFmtId="0" fontId="7" fillId="0" borderId="0" xfId="0" applyFont="1" applyAlignment="1">
      <alignment horizontal="left"/>
    </xf>
    <xf numFmtId="0" fontId="7" fillId="0" borderId="0" xfId="0" applyFont="1" applyAlignment="1">
      <alignment horizontal="center"/>
    </xf>
    <xf numFmtId="10" fontId="7" fillId="0" borderId="0" xfId="0" applyNumberFormat="1" applyFont="1" applyAlignment="1">
      <alignment horizontal="center"/>
    </xf>
    <xf numFmtId="41" fontId="7" fillId="0" borderId="22" xfId="0" applyNumberFormat="1" applyFont="1" applyBorder="1" applyAlignment="1">
      <alignment horizontal="center"/>
    </xf>
    <xf numFmtId="41" fontId="7" fillId="0" borderId="23" xfId="0" applyNumberFormat="1" applyFont="1" applyBorder="1" applyAlignment="1">
      <alignment horizontal="left"/>
    </xf>
    <xf numFmtId="41" fontId="8" fillId="0" borderId="23" xfId="0" applyNumberFormat="1" applyFont="1" applyBorder="1" applyAlignment="1">
      <alignment horizontal="center"/>
    </xf>
    <xf numFmtId="41" fontId="8" fillId="0" borderId="24" xfId="0" applyNumberFormat="1" applyFont="1" applyBorder="1"/>
    <xf numFmtId="41" fontId="7" fillId="3" borderId="25" xfId="0" applyNumberFormat="1" applyFont="1" applyFill="1" applyBorder="1" applyAlignment="1">
      <alignment horizontal="center"/>
    </xf>
    <xf numFmtId="9" fontId="7" fillId="0" borderId="0" xfId="1" applyFont="1" applyAlignment="1">
      <alignment horizontal="center"/>
    </xf>
    <xf numFmtId="3" fontId="7" fillId="0" borderId="0" xfId="0" applyNumberFormat="1" applyFont="1" applyAlignment="1">
      <alignment horizontal="center"/>
    </xf>
    <xf numFmtId="9" fontId="8" fillId="0" borderId="0" xfId="1" applyFont="1" applyAlignment="1">
      <alignment horizontal="center"/>
    </xf>
    <xf numFmtId="3" fontId="8" fillId="0" borderId="0" xfId="0" applyNumberFormat="1" applyFont="1" applyAlignment="1">
      <alignment horizontal="center"/>
    </xf>
  </cellXfs>
  <cellStyles count="4">
    <cellStyle name="Normal" xfId="0" builtinId="0"/>
    <cellStyle name="Normal 12 3" xfId="3" xr:uid="{8F3F5D33-6471-4F49-B524-39A2D6CB9FDE}"/>
    <cellStyle name="Normal 41" xfId="2" xr:uid="{0E154A3E-F591-40BF-BC0B-15C4839C98D8}"/>
    <cellStyle name="Porcentaje" xfId="1" builtinId="5"/>
  </cellStyles>
  <dxfs count="14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3" formatCode="_(* #,##0_);_(* \(#,##0\);_(* &quot;-&quot;_);_(@_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3" formatCode="_(* #,##0_);_(* \(#,##0\);_(* &quot;-&quot;_);_(@_)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3" formatCode="_(* #,##0_);_(* \(#,##0\);_(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3" formatCode="_(* #,##0_);_(* \(#,##0\);_(* &quot;-&quot;_);_(@_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3" formatCode="_(* #,##0_);_(* \(#,##0\);_(* &quot;-&quot;_);_(@_)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3" formatCode="_(* #,##0_);_(* \(#,##0\);_(* &quot;-&quot;_);_(@_)"/>
      <alignment horizontal="center" vertical="bottom" textRotation="0" wrapText="0" indent="0" justifyLastLine="0" shrinkToFit="0" readingOrder="0"/>
    </dxf>
    <dxf>
      <font>
        <b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3" formatCode="_(* #,##0_);_(* \(#,##0\);_(* &quot;-&quot;_);_(@_)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3" formatCode="_(* #,##0_);_(* \(#,##0\);_(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3" formatCode="_(* #,##0_);_(* \(#,##0\);_(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3" formatCode="_(* #,##0_);_(* \(#,##0\);_(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3" formatCode="_(* #,##0_);_(* \(#,##0\);_(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3" formatCode="_(* #,##0_);_(* \(#,##0\);_(* &quot;-&quot;_);_(@_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3" formatCode="_(* #,##0_);_(* \(#,##0\);_(* &quot;-&quot;_);_(@_)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3" formatCode="_(* #,##0_);_(* \(#,##0\);_(* &quot;-&quot;_);_(@_)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3" formatCode="_(* #,##0_);_(* \(#,##0\);_(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3" formatCode="_(* #,##0_);_(* \(#,##0\);_(* &quot;-&quot;_);_(@_)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3" formatCode="_(* #,##0_);_(* \(#,##0\);_(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3" formatCode="_(* #,##0_);_(* \(#,##0\);_(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3" formatCode="_(* #,##0_);_(* \(#,##0\);_(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3" formatCode="_(* #,##0_);_(* \(#,##0\);_(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3" formatCode="_(* #,##0_);_(* \(#,##0\);_(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3" formatCode="_(* #,##0_);_(* \(#,##0\);_(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3" formatCode="_(* #,##0_);_(* \(#,##0\);_(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3" formatCode="_(* #,##0_);_(* \(#,##0\);_(* &quot;-&quot;_);_(@_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3" formatCode="_(* #,##0_);_(* \(#,##0\);_(* &quot;-&quot;_);_(@_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3" formatCode="_(* #,##0_);_(* \(#,##0\);_(* &quot;-&quot;_);_(@_)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3" formatCode="_(* #,##0_);_(* \(#,##0\);_(* &quot;-&quot;_);_(@_)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3" formatCode="_(* #,##0_);_(* \(#,##0\);_(* &quot;-&quot;_);_(@_)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3" formatCode="_(* #,##0_);_(* \(#,##0\);_(* &quot;-&quot;_);_(@_)"/>
      <alignment horizontal="center" vertical="bottom" textRotation="0" wrapText="0" indent="0" justifyLastLine="0" shrinkToFit="0" readingOrder="0"/>
    </dxf>
    <dxf>
      <numFmt numFmtId="33" formatCode="_(* #,##0_);_(* \(#,##0\);_(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3" formatCode="_(* #,##0_);_(* \(#,##0\);_(* &quot;-&quot;_);_(@_)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3" formatCode="_(* #,##0_);_(* \(#,##0\);_(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3" formatCode="_(* #,##0_);_(* \(#,##0\);_(* &quot;-&quot;_);_(@_)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3" formatCode="_(* #,##0_);_(* \(#,##0\);_(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3" formatCode="_(* #,##0_);_(* \(#,##0\);_(* &quot;-&quot;_);_(@_)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3" formatCode="_(* #,##0_);_(* \(#,##0\);_(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3" formatCode="_(* #,##0_);_(* \(#,##0\);_(* &quot;-&quot;_);_(@_)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3" formatCode="_(* #,##0_);_(* \(#,##0\);_(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3" formatCode="_(* #,##0_);_(* \(#,##0\);_(* &quot;-&quot;_);_(@_)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3" formatCode="_(* #,##0_);_(* \(#,##0\);_(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3" formatCode="_(* #,##0_);_(* \(#,##0\);_(* &quot;-&quot;_);_(@_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3" formatCode="_(* #,##0_);_(* \(#,##0\);_(* &quot;-&quot;_);_(@_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3" formatCode="_(* #,##0_);_(* \(#,##0\);_(* &quot;-&quot;_);_(@_)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3" formatCode="_(* #,##0_);_(* \(#,##0\);_(* &quot;-&quot;_);_(@_)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3" formatCode="_(* #,##0_);_(* \(#,##0\);_(* &quot;-&quot;_);_(@_)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3" formatCode="_(* #,##0_);_(* \(#,##0\);_(* &quot;-&quot;_);_(@_)"/>
      <alignment horizontal="center" vertical="bottom" textRotation="0" wrapText="0" indent="0" justifyLastLine="0" shrinkToFit="0" readingOrder="0"/>
    </dxf>
    <dxf>
      <numFmt numFmtId="33" formatCode="_(* #,##0_);_(* \(#,##0\);_(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3" formatCode="_(* #,##0_);_(* \(#,##0\);_(* &quot;-&quot;_);_(@_)"/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3" formatCode="_(* #,##0_);_(* \(#,##0\);_(* &quot;-&quot;_);_(@_)"/>
      <alignment horizontal="general" vertical="bottom" textRotation="0" wrapText="0" indent="0" justifyLastLine="0" shrinkToFit="0" readingOrder="0"/>
    </dxf>
    <dxf>
      <font>
        <strike val="0"/>
        <color theme="0"/>
      </font>
      <fill>
        <patternFill>
          <bgColor rgb="FF009999"/>
        </patternFill>
      </fill>
      <border>
        <left/>
        <right/>
        <top/>
        <bottom/>
      </border>
    </dxf>
    <dxf>
      <font>
        <strike val="0"/>
        <color auto="1"/>
      </font>
      <border>
        <left style="hair">
          <color rgb="FF009999"/>
        </left>
        <right style="hair">
          <color rgb="FF009999"/>
        </right>
        <top style="hair">
          <color rgb="FF009999"/>
        </top>
        <bottom style="hair">
          <color rgb="FF009999"/>
        </bottom>
        <vertical style="hair">
          <color rgb="FF009999"/>
        </vertical>
        <horizontal style="hair">
          <color rgb="FF009999"/>
        </horizontal>
      </border>
    </dxf>
    <dxf>
      <numFmt numFmtId="33" formatCode="_(* #,##0_);_(* \(#,##0\);_(* &quot;-&quot;_);_(@_)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3" formatCode="_(* #,##0_);_(* \(#,##0\);_(* &quot;-&quot;_);_(@_)"/>
    </dxf>
    <dxf>
      <numFmt numFmtId="33" formatCode="_(* #,##0_);_(* \(#,##0\);_(* &quot;-&quot;_);_(@_)"/>
    </dxf>
    <dxf>
      <numFmt numFmtId="33" formatCode="_(* #,##0_);_(* \(#,##0\);_(* &quot;-&quot;_);_(@_)"/>
    </dxf>
    <dxf>
      <numFmt numFmtId="0" formatCode="General"/>
    </dxf>
    <dxf>
      <numFmt numFmtId="0" formatCode="General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</font>
    </dxf>
    <dxf>
      <numFmt numFmtId="33" formatCode="_(* #,##0_);_(* \(#,##0\);_(* &quot;-&quot;_);_(@_)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3" formatCode="_(* #,##0_);_(* \(#,##0\);_(* &quot;-&quot;_);_(@_)"/>
    </dxf>
    <dxf>
      <numFmt numFmtId="33" formatCode="_(* #,##0_);_(* \(#,##0\);_(* &quot;-&quot;_);_(@_)"/>
    </dxf>
    <dxf>
      <numFmt numFmtId="33" formatCode="_(* #,##0_);_(* \(#,##0\);_(* &quot;-&quot;_);_(@_)"/>
    </dxf>
    <dxf>
      <numFmt numFmtId="0" formatCode="General"/>
    </dxf>
    <dxf>
      <numFmt numFmtId="0" formatCode="General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</font>
    </dxf>
    <dxf>
      <numFmt numFmtId="33" formatCode="_(* #,##0_);_(* \(#,##0\);_(* &quot;-&quot;_);_(@_)"/>
    </dxf>
    <dxf>
      <numFmt numFmtId="33" formatCode="_(* #,##0_);_(* \(#,##0\);_(* &quot;-&quot;_);_(@_)"/>
    </dxf>
    <dxf>
      <numFmt numFmtId="33" formatCode="_(* #,##0_);_(* \(#,##0\);_(* &quot;-&quot;_);_(@_)"/>
    </dxf>
    <dxf>
      <numFmt numFmtId="33" formatCode="_(* #,##0_);_(* \(#,##0\);_(* &quot;-&quot;_);_(@_)"/>
    </dxf>
    <dxf>
      <numFmt numFmtId="0" formatCode="General"/>
    </dxf>
    <dxf>
      <numFmt numFmtId="0" formatCode="General"/>
    </dxf>
    <dxf>
      <alignment horizontal="center" vertical="bottom" textRotation="0" wrapText="0" indent="0" justifyLastLine="0" shrinkToFit="0" readingOrder="0"/>
    </dxf>
    <dxf>
      <numFmt numFmtId="33" formatCode="_(* #,##0_);_(* \(#,##0\);_(* &quot;-&quot;_);_(@_)"/>
    </dxf>
    <dxf>
      <numFmt numFmtId="33" formatCode="_(* #,##0_);_(* \(#,##0\);_(* &quot;-&quot;_);_(@_)"/>
    </dxf>
    <dxf>
      <numFmt numFmtId="33" formatCode="_(* #,##0_);_(* \(#,##0\);_(* &quot;-&quot;_);_(@_)"/>
    </dxf>
    <dxf>
      <numFmt numFmtId="33" formatCode="_(* #,##0_);_(* \(#,##0\);_(* &quot;-&quot;_);_(@_)"/>
    </dxf>
    <dxf>
      <numFmt numFmtId="0" formatCode="General"/>
    </dxf>
    <dxf>
      <numFmt numFmtId="0" formatCode="General"/>
    </dxf>
    <dxf>
      <alignment horizontal="center" vertical="bottom" textRotation="0" wrapText="0" indent="0" justifyLastLine="0" shrinkToFit="0" readingOrder="0"/>
    </dxf>
    <dxf>
      <numFmt numFmtId="33" formatCode="_(* #,##0_);_(* \(#,##0\);_(* &quot;-&quot;_);_(@_)"/>
    </dxf>
    <dxf>
      <numFmt numFmtId="33" formatCode="_(* #,##0_);_(* \(#,##0\);_(* &quot;-&quot;_);_(@_)"/>
    </dxf>
    <dxf>
      <numFmt numFmtId="33" formatCode="_(* #,##0_);_(* \(#,##0\);_(* &quot;-&quot;_);_(@_)"/>
    </dxf>
    <dxf>
      <numFmt numFmtId="33" formatCode="_(* #,##0_);_(* \(#,##0\);_(* &quot;-&quot;_);_(@_)"/>
    </dxf>
    <dxf>
      <numFmt numFmtId="0" formatCode="General"/>
    </dxf>
    <dxf>
      <numFmt numFmtId="0" formatCode="General"/>
    </dxf>
    <dxf>
      <alignment horizontal="center" vertical="bottom" textRotation="0" wrapText="0" indent="0" justifyLastLine="0" shrinkToFit="0" readingOrder="0"/>
    </dxf>
    <dxf>
      <numFmt numFmtId="33" formatCode="_(* #,##0_);_(* \(#,##0\);_(* &quot;-&quot;_);_(@_)"/>
    </dxf>
    <dxf>
      <numFmt numFmtId="33" formatCode="_(* #,##0_);_(* \(#,##0\);_(* &quot;-&quot;_);_(@_)"/>
    </dxf>
    <dxf>
      <numFmt numFmtId="33" formatCode="_(* #,##0_);_(* \(#,##0\);_(* &quot;-&quot;_);_(@_)"/>
    </dxf>
    <dxf>
      <numFmt numFmtId="33" formatCode="_(* #,##0_);_(* \(#,##0\);_(* &quot;-&quot;_);_(@_)"/>
    </dxf>
    <dxf>
      <numFmt numFmtId="0" formatCode="General"/>
    </dxf>
    <dxf>
      <numFmt numFmtId="0" formatCode="General"/>
    </dxf>
    <dxf>
      <alignment horizontal="center" vertical="bottom" textRotation="0" wrapText="0" indent="0" justifyLastLine="0" shrinkToFit="0" readingOrder="0"/>
    </dxf>
    <dxf>
      <font>
        <strike val="0"/>
        <color theme="0"/>
      </font>
      <fill>
        <patternFill>
          <bgColor rgb="FF00AC56"/>
        </patternFill>
      </fill>
      <border>
        <left/>
        <right/>
        <top/>
        <bottom/>
      </border>
    </dxf>
    <dxf>
      <font>
        <strike val="0"/>
        <color auto="1"/>
      </font>
      <border>
        <left style="hair">
          <color rgb="FF00AC56"/>
        </left>
        <right style="hair">
          <color rgb="FF00AC56"/>
        </right>
        <top style="hair">
          <color rgb="FF00AC56"/>
        </top>
        <bottom style="hair">
          <color rgb="FF00AC56"/>
        </bottom>
        <vertical style="hair">
          <color rgb="FF00AC56"/>
        </vertical>
        <horizontal style="hair">
          <color rgb="FF00AC56"/>
        </horizontal>
      </border>
    </dxf>
    <dxf>
      <numFmt numFmtId="33" formatCode="_(* #,##0_);_(* \(#,##0\);_(* &quot;-&quot;_);_(@_)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/>
      </font>
    </dxf>
    <dxf>
      <numFmt numFmtId="33" formatCode="_(* #,##0_);_(* \(#,##0\);_(* &quot;-&quot;_);_(@_)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/>
      </font>
    </dxf>
    <dxf>
      <numFmt numFmtId="33" formatCode="_(* #,##0_);_(* \(#,##0\);_(* &quot;-&quot;_);_(@_)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/>
      </font>
    </dxf>
    <dxf>
      <numFmt numFmtId="33" formatCode="_(* #,##0_);_(* \(#,##0\);_(* &quot;-&quot;_);_(@_)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/>
      </font>
    </dxf>
    <dxf>
      <numFmt numFmtId="33" formatCode="_(* #,##0_);_(* \(#,##0\);_(* &quot;-&quot;_);_(@_)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/>
      </font>
    </dxf>
    <dxf>
      <numFmt numFmtId="33" formatCode="_(* #,##0_);_(* \(#,##0\);_(* &quot;-&quot;_);_(@_)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Calibri"/>
        <scheme val="minor"/>
      </font>
    </dxf>
    <dxf>
      <numFmt numFmtId="3" formatCode="#,##0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auto="1"/>
        </patternFill>
      </fill>
    </dxf>
    <dxf>
      <font>
        <strike val="0"/>
        <color theme="0"/>
      </font>
      <fill>
        <patternFill>
          <bgColor rgb="FF0088CC"/>
        </patternFill>
      </fill>
      <border>
        <left/>
        <right/>
        <top/>
        <bottom/>
      </border>
    </dxf>
    <dxf>
      <font>
        <strike val="0"/>
        <color auto="1"/>
      </font>
      <border>
        <left style="hair">
          <color rgb="FF0088CC"/>
        </left>
        <right style="hair">
          <color rgb="FF0088CC"/>
        </right>
        <top style="hair">
          <color rgb="FF0088CC"/>
        </top>
        <bottom style="hair">
          <color rgb="FF0088CC"/>
        </bottom>
        <vertical style="hair">
          <color rgb="FF0088CC"/>
        </vertical>
        <horizontal style="hair">
          <color rgb="FF0088CC"/>
        </horizontal>
      </border>
    </dxf>
  </dxfs>
  <tableStyles count="3" defaultTableStyle="TableStyleMedium2" defaultPivotStyle="PivotStyleLight16">
    <tableStyle name="S5S Blue" pivot="0" count="2" xr9:uid="{10C6C404-6EE2-4D5D-BCD8-7A91DA51C40E}">
      <tableStyleElement type="wholeTable" dxfId="144"/>
      <tableStyleElement type="headerRow" dxfId="143"/>
    </tableStyle>
    <tableStyle name="S5S Green" pivot="0" count="2" xr9:uid="{DF4D38D2-5E37-4ECD-863F-44A3E31F6410}">
      <tableStyleElement type="wholeTable" dxfId="107"/>
      <tableStyleElement type="headerRow" dxfId="106"/>
    </tableStyle>
    <tableStyle name="S5S Greenblue" pivot="0" count="2" xr9:uid="{A7432EDB-B5CF-4A1F-8F8C-0D27D100A397}">
      <tableStyleElement type="wholeTable" dxfId="59"/>
      <tableStyleElement type="headerRow" dxfId="58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" name="Elipse 1">
          <a:extLst>
            <a:ext uri="{FF2B5EF4-FFF2-40B4-BE49-F238E27FC236}">
              <a16:creationId xmlns:a16="http://schemas.microsoft.com/office/drawing/2014/main" id="{C598EF51-0522-4E31-B000-085FCA4D04E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" name="Elipse 2">
          <a:extLst>
            <a:ext uri="{FF2B5EF4-FFF2-40B4-BE49-F238E27FC236}">
              <a16:creationId xmlns:a16="http://schemas.microsoft.com/office/drawing/2014/main" id="{8542E693-7A14-4392-8EB1-DFF9F7C8BE6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" name="Elipse 3">
          <a:extLst>
            <a:ext uri="{FF2B5EF4-FFF2-40B4-BE49-F238E27FC236}">
              <a16:creationId xmlns:a16="http://schemas.microsoft.com/office/drawing/2014/main" id="{CC7B2F89-6968-4EA2-917D-65C91CDC84B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" name="Elipse 4">
          <a:extLst>
            <a:ext uri="{FF2B5EF4-FFF2-40B4-BE49-F238E27FC236}">
              <a16:creationId xmlns:a16="http://schemas.microsoft.com/office/drawing/2014/main" id="{683365D1-4D32-420E-8556-7F67F4AA351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" name="Elipse 5">
          <a:extLst>
            <a:ext uri="{FF2B5EF4-FFF2-40B4-BE49-F238E27FC236}">
              <a16:creationId xmlns:a16="http://schemas.microsoft.com/office/drawing/2014/main" id="{0E50C032-DB2D-4F2C-A38F-AE0C883ACD5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" name="Elipse 6">
          <a:extLst>
            <a:ext uri="{FF2B5EF4-FFF2-40B4-BE49-F238E27FC236}">
              <a16:creationId xmlns:a16="http://schemas.microsoft.com/office/drawing/2014/main" id="{86916072-8EDA-40E0-9E8E-2C2C7DD7FC2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8" name="Elipse 7">
          <a:extLst>
            <a:ext uri="{FF2B5EF4-FFF2-40B4-BE49-F238E27FC236}">
              <a16:creationId xmlns:a16="http://schemas.microsoft.com/office/drawing/2014/main" id="{BBF2944E-4BE8-4F3B-83A2-5BE1DB10320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889B2439-E3BE-441D-AA40-9E2D1ECCBE2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1FDDF0C9-AF6B-4FBF-8CBD-26C2D9E5A87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1" name="Elipse 10">
          <a:extLst>
            <a:ext uri="{FF2B5EF4-FFF2-40B4-BE49-F238E27FC236}">
              <a16:creationId xmlns:a16="http://schemas.microsoft.com/office/drawing/2014/main" id="{26F17816-112D-4B41-B737-7F4B7CBA0A1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2" name="Elipse 11">
          <a:extLst>
            <a:ext uri="{FF2B5EF4-FFF2-40B4-BE49-F238E27FC236}">
              <a16:creationId xmlns:a16="http://schemas.microsoft.com/office/drawing/2014/main" id="{FFB4DB6A-4D27-4C66-B39F-B8E990DCE03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3" name="Elipse 12">
          <a:extLst>
            <a:ext uri="{FF2B5EF4-FFF2-40B4-BE49-F238E27FC236}">
              <a16:creationId xmlns:a16="http://schemas.microsoft.com/office/drawing/2014/main" id="{24217902-17DA-4B33-8E63-49804071914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4" name="Elipse 13">
          <a:extLst>
            <a:ext uri="{FF2B5EF4-FFF2-40B4-BE49-F238E27FC236}">
              <a16:creationId xmlns:a16="http://schemas.microsoft.com/office/drawing/2014/main" id="{05307544-A9AE-4F37-97EC-55FE75BBDC2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5" name="Elipse 14">
          <a:extLst>
            <a:ext uri="{FF2B5EF4-FFF2-40B4-BE49-F238E27FC236}">
              <a16:creationId xmlns:a16="http://schemas.microsoft.com/office/drawing/2014/main" id="{F70536C1-5E44-4837-8109-61B7504EBA1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6" name="Elipse 15">
          <a:extLst>
            <a:ext uri="{FF2B5EF4-FFF2-40B4-BE49-F238E27FC236}">
              <a16:creationId xmlns:a16="http://schemas.microsoft.com/office/drawing/2014/main" id="{9123A6DF-142B-491E-BCF5-E3E25E3EE59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7" name="Elipse 16">
          <a:extLst>
            <a:ext uri="{FF2B5EF4-FFF2-40B4-BE49-F238E27FC236}">
              <a16:creationId xmlns:a16="http://schemas.microsoft.com/office/drawing/2014/main" id="{2542B97E-606D-4AC5-A1B8-2CD318B813B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8" name="Elipse 17">
          <a:extLst>
            <a:ext uri="{FF2B5EF4-FFF2-40B4-BE49-F238E27FC236}">
              <a16:creationId xmlns:a16="http://schemas.microsoft.com/office/drawing/2014/main" id="{A0CF2BF3-623D-403E-BFDA-E397574B87B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9" name="Elipse 18">
          <a:extLst>
            <a:ext uri="{FF2B5EF4-FFF2-40B4-BE49-F238E27FC236}">
              <a16:creationId xmlns:a16="http://schemas.microsoft.com/office/drawing/2014/main" id="{D3BA5CA8-61FD-49D3-9ED6-48EC077754F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0" name="Elipse 19">
          <a:extLst>
            <a:ext uri="{FF2B5EF4-FFF2-40B4-BE49-F238E27FC236}">
              <a16:creationId xmlns:a16="http://schemas.microsoft.com/office/drawing/2014/main" id="{62D51B7F-F92E-4D04-9CC9-DFEE1A7EE14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1" name="Elipse 20">
          <a:extLst>
            <a:ext uri="{FF2B5EF4-FFF2-40B4-BE49-F238E27FC236}">
              <a16:creationId xmlns:a16="http://schemas.microsoft.com/office/drawing/2014/main" id="{2C62799F-305F-4736-AB30-BCB02D73014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2" name="Elipse 21">
          <a:extLst>
            <a:ext uri="{FF2B5EF4-FFF2-40B4-BE49-F238E27FC236}">
              <a16:creationId xmlns:a16="http://schemas.microsoft.com/office/drawing/2014/main" id="{BC613D65-6F71-41B5-B2C8-541CAE90CB1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3" name="Elipse 22">
          <a:extLst>
            <a:ext uri="{FF2B5EF4-FFF2-40B4-BE49-F238E27FC236}">
              <a16:creationId xmlns:a16="http://schemas.microsoft.com/office/drawing/2014/main" id="{659AA470-DD14-4759-B28E-5995DF4074D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4" name="Elipse 23">
          <a:extLst>
            <a:ext uri="{FF2B5EF4-FFF2-40B4-BE49-F238E27FC236}">
              <a16:creationId xmlns:a16="http://schemas.microsoft.com/office/drawing/2014/main" id="{388C425C-CA8C-459A-B325-54E64170A11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5" name="Elipse 24">
          <a:extLst>
            <a:ext uri="{FF2B5EF4-FFF2-40B4-BE49-F238E27FC236}">
              <a16:creationId xmlns:a16="http://schemas.microsoft.com/office/drawing/2014/main" id="{88E9E6E9-9B78-4D7C-8AB2-E5A3CE1479F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6" name="Elipse 25">
          <a:extLst>
            <a:ext uri="{FF2B5EF4-FFF2-40B4-BE49-F238E27FC236}">
              <a16:creationId xmlns:a16="http://schemas.microsoft.com/office/drawing/2014/main" id="{9BD3DB65-F9C2-498C-AF75-3E7A152D12C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7" name="Elipse 26">
          <a:extLst>
            <a:ext uri="{FF2B5EF4-FFF2-40B4-BE49-F238E27FC236}">
              <a16:creationId xmlns:a16="http://schemas.microsoft.com/office/drawing/2014/main" id="{5C3BE9A5-74AB-482A-806B-7EB0E8BA34C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8" name="Elipse 27">
          <a:extLst>
            <a:ext uri="{FF2B5EF4-FFF2-40B4-BE49-F238E27FC236}">
              <a16:creationId xmlns:a16="http://schemas.microsoft.com/office/drawing/2014/main" id="{97C643B2-9506-43AF-93CD-9233B26C812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9" name="Elipse 28">
          <a:extLst>
            <a:ext uri="{FF2B5EF4-FFF2-40B4-BE49-F238E27FC236}">
              <a16:creationId xmlns:a16="http://schemas.microsoft.com/office/drawing/2014/main" id="{7F286D13-4100-40F4-943C-54608E5DF1C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0" name="Elipse 29">
          <a:extLst>
            <a:ext uri="{FF2B5EF4-FFF2-40B4-BE49-F238E27FC236}">
              <a16:creationId xmlns:a16="http://schemas.microsoft.com/office/drawing/2014/main" id="{2D941D25-47C1-437A-8936-85650B49166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1" name="Elipse 30">
          <a:extLst>
            <a:ext uri="{FF2B5EF4-FFF2-40B4-BE49-F238E27FC236}">
              <a16:creationId xmlns:a16="http://schemas.microsoft.com/office/drawing/2014/main" id="{020974FE-3E2C-4295-8872-9ABB27CB3C4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2" name="Elipse 31">
          <a:extLst>
            <a:ext uri="{FF2B5EF4-FFF2-40B4-BE49-F238E27FC236}">
              <a16:creationId xmlns:a16="http://schemas.microsoft.com/office/drawing/2014/main" id="{C530585C-7E1A-465E-8FC9-E8156350F38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3" name="Elipse 32">
          <a:extLst>
            <a:ext uri="{FF2B5EF4-FFF2-40B4-BE49-F238E27FC236}">
              <a16:creationId xmlns:a16="http://schemas.microsoft.com/office/drawing/2014/main" id="{95E94638-CA72-4C25-BAD3-CDF319478CF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4" name="Elipse 33">
          <a:extLst>
            <a:ext uri="{FF2B5EF4-FFF2-40B4-BE49-F238E27FC236}">
              <a16:creationId xmlns:a16="http://schemas.microsoft.com/office/drawing/2014/main" id="{7C3F8D05-87A9-4C4D-B5FC-8ADCCAD28B0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5" name="Elipse 34">
          <a:extLst>
            <a:ext uri="{FF2B5EF4-FFF2-40B4-BE49-F238E27FC236}">
              <a16:creationId xmlns:a16="http://schemas.microsoft.com/office/drawing/2014/main" id="{7E49E506-29A9-48DB-9731-B40826B8C27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6" name="Elipse 35">
          <a:extLst>
            <a:ext uri="{FF2B5EF4-FFF2-40B4-BE49-F238E27FC236}">
              <a16:creationId xmlns:a16="http://schemas.microsoft.com/office/drawing/2014/main" id="{6B148DFD-6D6B-4300-8F55-BCF063DE035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7" name="Elipse 36">
          <a:extLst>
            <a:ext uri="{FF2B5EF4-FFF2-40B4-BE49-F238E27FC236}">
              <a16:creationId xmlns:a16="http://schemas.microsoft.com/office/drawing/2014/main" id="{E9CF6CDD-B400-4DB5-96FB-3B36C4D82E6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8" name="Elipse 37">
          <a:extLst>
            <a:ext uri="{FF2B5EF4-FFF2-40B4-BE49-F238E27FC236}">
              <a16:creationId xmlns:a16="http://schemas.microsoft.com/office/drawing/2014/main" id="{95B574AC-8839-4E15-A057-3E3965CF14D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9" name="Elipse 38">
          <a:extLst>
            <a:ext uri="{FF2B5EF4-FFF2-40B4-BE49-F238E27FC236}">
              <a16:creationId xmlns:a16="http://schemas.microsoft.com/office/drawing/2014/main" id="{9C635391-CB9E-4AE9-AD9A-6F258E73140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0" name="Elipse 39">
          <a:extLst>
            <a:ext uri="{FF2B5EF4-FFF2-40B4-BE49-F238E27FC236}">
              <a16:creationId xmlns:a16="http://schemas.microsoft.com/office/drawing/2014/main" id="{4B6A3809-731D-4BB1-93AF-E095D841626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1" name="Elipse 40">
          <a:extLst>
            <a:ext uri="{FF2B5EF4-FFF2-40B4-BE49-F238E27FC236}">
              <a16:creationId xmlns:a16="http://schemas.microsoft.com/office/drawing/2014/main" id="{AE240B30-5FF4-4A29-8FA9-821F83AFB62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2" name="Elipse 41">
          <a:extLst>
            <a:ext uri="{FF2B5EF4-FFF2-40B4-BE49-F238E27FC236}">
              <a16:creationId xmlns:a16="http://schemas.microsoft.com/office/drawing/2014/main" id="{BAF2F9DD-5EC9-4F80-9DF3-13D0A081B80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3" name="Elipse 42">
          <a:extLst>
            <a:ext uri="{FF2B5EF4-FFF2-40B4-BE49-F238E27FC236}">
              <a16:creationId xmlns:a16="http://schemas.microsoft.com/office/drawing/2014/main" id="{89D24405-37BD-4E36-B4E8-38ACF7B894B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4" name="Elipse 43">
          <a:extLst>
            <a:ext uri="{FF2B5EF4-FFF2-40B4-BE49-F238E27FC236}">
              <a16:creationId xmlns:a16="http://schemas.microsoft.com/office/drawing/2014/main" id="{6FE915B1-B524-41DC-8B7F-29F940BB72F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5" name="Elipse 44">
          <a:extLst>
            <a:ext uri="{FF2B5EF4-FFF2-40B4-BE49-F238E27FC236}">
              <a16:creationId xmlns:a16="http://schemas.microsoft.com/office/drawing/2014/main" id="{15D19F40-1A99-4966-BE4E-312DE8AD84C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6" name="Elipse 45">
          <a:extLst>
            <a:ext uri="{FF2B5EF4-FFF2-40B4-BE49-F238E27FC236}">
              <a16:creationId xmlns:a16="http://schemas.microsoft.com/office/drawing/2014/main" id="{4062965D-4A7F-44D9-8035-E04FF784CF0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7" name="Elipse 46">
          <a:extLst>
            <a:ext uri="{FF2B5EF4-FFF2-40B4-BE49-F238E27FC236}">
              <a16:creationId xmlns:a16="http://schemas.microsoft.com/office/drawing/2014/main" id="{CE4AC249-A394-412A-9E5D-355D9C46672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8" name="Elipse 47">
          <a:extLst>
            <a:ext uri="{FF2B5EF4-FFF2-40B4-BE49-F238E27FC236}">
              <a16:creationId xmlns:a16="http://schemas.microsoft.com/office/drawing/2014/main" id="{5516E1C8-8B96-412F-BDD9-E594449F602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9" name="Elipse 48">
          <a:extLst>
            <a:ext uri="{FF2B5EF4-FFF2-40B4-BE49-F238E27FC236}">
              <a16:creationId xmlns:a16="http://schemas.microsoft.com/office/drawing/2014/main" id="{B7BCFE7F-CC2F-4A97-A863-4F5A04E72FA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0" name="Elipse 49">
          <a:extLst>
            <a:ext uri="{FF2B5EF4-FFF2-40B4-BE49-F238E27FC236}">
              <a16:creationId xmlns:a16="http://schemas.microsoft.com/office/drawing/2014/main" id="{2B4BAF64-7F6C-4393-925A-D40DEF06CCB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1" name="Elipse 50">
          <a:extLst>
            <a:ext uri="{FF2B5EF4-FFF2-40B4-BE49-F238E27FC236}">
              <a16:creationId xmlns:a16="http://schemas.microsoft.com/office/drawing/2014/main" id="{B4897605-F230-4CC3-9E12-47FEA771D63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2" name="Elipse 51">
          <a:extLst>
            <a:ext uri="{FF2B5EF4-FFF2-40B4-BE49-F238E27FC236}">
              <a16:creationId xmlns:a16="http://schemas.microsoft.com/office/drawing/2014/main" id="{FAF3692D-BA21-4FA3-83B5-2559B893780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3" name="Elipse 52">
          <a:extLst>
            <a:ext uri="{FF2B5EF4-FFF2-40B4-BE49-F238E27FC236}">
              <a16:creationId xmlns:a16="http://schemas.microsoft.com/office/drawing/2014/main" id="{5EFAE082-8489-4E58-A5FE-CE6B719E0F9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4" name="Elipse 53">
          <a:extLst>
            <a:ext uri="{FF2B5EF4-FFF2-40B4-BE49-F238E27FC236}">
              <a16:creationId xmlns:a16="http://schemas.microsoft.com/office/drawing/2014/main" id="{56D5D41A-D102-4274-82BE-DB31CEC53B2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5" name="Elipse 54">
          <a:extLst>
            <a:ext uri="{FF2B5EF4-FFF2-40B4-BE49-F238E27FC236}">
              <a16:creationId xmlns:a16="http://schemas.microsoft.com/office/drawing/2014/main" id="{5CEFC008-8180-44E6-A1D4-84B1BC031BC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6" name="Elipse 55">
          <a:extLst>
            <a:ext uri="{FF2B5EF4-FFF2-40B4-BE49-F238E27FC236}">
              <a16:creationId xmlns:a16="http://schemas.microsoft.com/office/drawing/2014/main" id="{938D69EA-A385-466F-87B2-10897530A80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7" name="Elipse 56">
          <a:extLst>
            <a:ext uri="{FF2B5EF4-FFF2-40B4-BE49-F238E27FC236}">
              <a16:creationId xmlns:a16="http://schemas.microsoft.com/office/drawing/2014/main" id="{A9766129-EA7D-4977-91D4-2B30438E5A0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8" name="Elipse 57">
          <a:extLst>
            <a:ext uri="{FF2B5EF4-FFF2-40B4-BE49-F238E27FC236}">
              <a16:creationId xmlns:a16="http://schemas.microsoft.com/office/drawing/2014/main" id="{38AF75B6-3821-4D41-9755-2B2EC516148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9" name="Elipse 58">
          <a:extLst>
            <a:ext uri="{FF2B5EF4-FFF2-40B4-BE49-F238E27FC236}">
              <a16:creationId xmlns:a16="http://schemas.microsoft.com/office/drawing/2014/main" id="{A62C3B74-5A11-4693-BC8D-17627FDB5C0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0" name="Elipse 59">
          <a:extLst>
            <a:ext uri="{FF2B5EF4-FFF2-40B4-BE49-F238E27FC236}">
              <a16:creationId xmlns:a16="http://schemas.microsoft.com/office/drawing/2014/main" id="{B4F684DD-4F99-4B9F-B167-EA68AAEA95B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1" name="Elipse 60">
          <a:extLst>
            <a:ext uri="{FF2B5EF4-FFF2-40B4-BE49-F238E27FC236}">
              <a16:creationId xmlns:a16="http://schemas.microsoft.com/office/drawing/2014/main" id="{F7D0828B-1984-4483-956E-7A450BA918F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2" name="Elipse 61">
          <a:extLst>
            <a:ext uri="{FF2B5EF4-FFF2-40B4-BE49-F238E27FC236}">
              <a16:creationId xmlns:a16="http://schemas.microsoft.com/office/drawing/2014/main" id="{9B16D5F7-1FE2-412D-94E8-04F5107C579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3" name="Elipse 62">
          <a:extLst>
            <a:ext uri="{FF2B5EF4-FFF2-40B4-BE49-F238E27FC236}">
              <a16:creationId xmlns:a16="http://schemas.microsoft.com/office/drawing/2014/main" id="{1B5F391F-55E6-4592-B84E-46E5AB52D6D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4" name="Elipse 63">
          <a:extLst>
            <a:ext uri="{FF2B5EF4-FFF2-40B4-BE49-F238E27FC236}">
              <a16:creationId xmlns:a16="http://schemas.microsoft.com/office/drawing/2014/main" id="{EA77F19F-C050-4494-A8DE-9A9214AD466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5" name="Elipse 64">
          <a:extLst>
            <a:ext uri="{FF2B5EF4-FFF2-40B4-BE49-F238E27FC236}">
              <a16:creationId xmlns:a16="http://schemas.microsoft.com/office/drawing/2014/main" id="{1E87A134-6861-4265-BB10-EB640DF4B3E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6" name="Elipse 65">
          <a:extLst>
            <a:ext uri="{FF2B5EF4-FFF2-40B4-BE49-F238E27FC236}">
              <a16:creationId xmlns:a16="http://schemas.microsoft.com/office/drawing/2014/main" id="{EDA9DAC2-2856-411C-AE44-9D50F595C0D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7" name="Elipse 66">
          <a:extLst>
            <a:ext uri="{FF2B5EF4-FFF2-40B4-BE49-F238E27FC236}">
              <a16:creationId xmlns:a16="http://schemas.microsoft.com/office/drawing/2014/main" id="{B0DE768F-F67B-4F62-861E-1BC45066CF5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8" name="Elipse 67">
          <a:extLst>
            <a:ext uri="{FF2B5EF4-FFF2-40B4-BE49-F238E27FC236}">
              <a16:creationId xmlns:a16="http://schemas.microsoft.com/office/drawing/2014/main" id="{1852F955-F839-4618-92D6-5C3C0DC2434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9" name="Elipse 68">
          <a:extLst>
            <a:ext uri="{FF2B5EF4-FFF2-40B4-BE49-F238E27FC236}">
              <a16:creationId xmlns:a16="http://schemas.microsoft.com/office/drawing/2014/main" id="{03DC8010-3D85-4FC1-8C75-6E27D82628B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0" name="Elipse 69">
          <a:extLst>
            <a:ext uri="{FF2B5EF4-FFF2-40B4-BE49-F238E27FC236}">
              <a16:creationId xmlns:a16="http://schemas.microsoft.com/office/drawing/2014/main" id="{D5E5FC1D-BF59-4F65-AB9A-72E724710AA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1" name="Elipse 70">
          <a:extLst>
            <a:ext uri="{FF2B5EF4-FFF2-40B4-BE49-F238E27FC236}">
              <a16:creationId xmlns:a16="http://schemas.microsoft.com/office/drawing/2014/main" id="{76CE0F0B-9983-4CFD-94D9-1BE63C265D6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2" name="Elipse 71">
          <a:extLst>
            <a:ext uri="{FF2B5EF4-FFF2-40B4-BE49-F238E27FC236}">
              <a16:creationId xmlns:a16="http://schemas.microsoft.com/office/drawing/2014/main" id="{8E44E63A-E25D-4952-B285-B139DFDFB2E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3" name="Elipse 72">
          <a:extLst>
            <a:ext uri="{FF2B5EF4-FFF2-40B4-BE49-F238E27FC236}">
              <a16:creationId xmlns:a16="http://schemas.microsoft.com/office/drawing/2014/main" id="{EEF0F248-E831-408C-BB0C-BBADC1562C4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4" name="Elipse 73">
          <a:extLst>
            <a:ext uri="{FF2B5EF4-FFF2-40B4-BE49-F238E27FC236}">
              <a16:creationId xmlns:a16="http://schemas.microsoft.com/office/drawing/2014/main" id="{10F45649-B605-4AB2-9242-7A92442276A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5" name="Elipse 74">
          <a:extLst>
            <a:ext uri="{FF2B5EF4-FFF2-40B4-BE49-F238E27FC236}">
              <a16:creationId xmlns:a16="http://schemas.microsoft.com/office/drawing/2014/main" id="{BCB9F741-42DE-4E88-A288-6C4CDEE4774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6" name="Elipse 75">
          <a:extLst>
            <a:ext uri="{FF2B5EF4-FFF2-40B4-BE49-F238E27FC236}">
              <a16:creationId xmlns:a16="http://schemas.microsoft.com/office/drawing/2014/main" id="{F86029D0-CA98-4236-B021-8E436678E09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7" name="Elipse 76">
          <a:extLst>
            <a:ext uri="{FF2B5EF4-FFF2-40B4-BE49-F238E27FC236}">
              <a16:creationId xmlns:a16="http://schemas.microsoft.com/office/drawing/2014/main" id="{DE9CE43A-1D7F-4B3D-8253-C5D4E110F08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8" name="Elipse 77">
          <a:extLst>
            <a:ext uri="{FF2B5EF4-FFF2-40B4-BE49-F238E27FC236}">
              <a16:creationId xmlns:a16="http://schemas.microsoft.com/office/drawing/2014/main" id="{CF142AFC-B072-46F3-927C-B7E366E8D26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9" name="Elipse 78">
          <a:extLst>
            <a:ext uri="{FF2B5EF4-FFF2-40B4-BE49-F238E27FC236}">
              <a16:creationId xmlns:a16="http://schemas.microsoft.com/office/drawing/2014/main" id="{A1E3D43E-73B7-4DA4-8016-229C7F2130B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80" name="Elipse 79">
          <a:extLst>
            <a:ext uri="{FF2B5EF4-FFF2-40B4-BE49-F238E27FC236}">
              <a16:creationId xmlns:a16="http://schemas.microsoft.com/office/drawing/2014/main" id="{E613CCEE-F358-429A-83C9-ADE11FDBCCE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81" name="Elipse 80">
          <a:extLst>
            <a:ext uri="{FF2B5EF4-FFF2-40B4-BE49-F238E27FC236}">
              <a16:creationId xmlns:a16="http://schemas.microsoft.com/office/drawing/2014/main" id="{C770C8D5-D880-4F38-86C2-85FAE986021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82" name="Elipse 81">
          <a:extLst>
            <a:ext uri="{FF2B5EF4-FFF2-40B4-BE49-F238E27FC236}">
              <a16:creationId xmlns:a16="http://schemas.microsoft.com/office/drawing/2014/main" id="{D8138885-0E02-467D-A6E8-BA73CE059C0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83" name="Elipse 82">
          <a:extLst>
            <a:ext uri="{FF2B5EF4-FFF2-40B4-BE49-F238E27FC236}">
              <a16:creationId xmlns:a16="http://schemas.microsoft.com/office/drawing/2014/main" id="{D1B07A79-CED7-4315-BD98-E6D1A3071EF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84" name="Elipse 83">
          <a:extLst>
            <a:ext uri="{FF2B5EF4-FFF2-40B4-BE49-F238E27FC236}">
              <a16:creationId xmlns:a16="http://schemas.microsoft.com/office/drawing/2014/main" id="{7DC04F32-3768-4A01-A766-31DFE20BFB3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85" name="Elipse 84">
          <a:extLst>
            <a:ext uri="{FF2B5EF4-FFF2-40B4-BE49-F238E27FC236}">
              <a16:creationId xmlns:a16="http://schemas.microsoft.com/office/drawing/2014/main" id="{B9B6D3E7-A91E-4433-9E36-4328C28A090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86" name="Elipse 85">
          <a:extLst>
            <a:ext uri="{FF2B5EF4-FFF2-40B4-BE49-F238E27FC236}">
              <a16:creationId xmlns:a16="http://schemas.microsoft.com/office/drawing/2014/main" id="{E134F92A-80BA-4DA3-86FD-CC99928570F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87" name="Elipse 86">
          <a:extLst>
            <a:ext uri="{FF2B5EF4-FFF2-40B4-BE49-F238E27FC236}">
              <a16:creationId xmlns:a16="http://schemas.microsoft.com/office/drawing/2014/main" id="{0B1F6152-91C1-4AC7-9636-FC03FA0B5B3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88" name="Elipse 87">
          <a:extLst>
            <a:ext uri="{FF2B5EF4-FFF2-40B4-BE49-F238E27FC236}">
              <a16:creationId xmlns:a16="http://schemas.microsoft.com/office/drawing/2014/main" id="{40760803-E9B1-43D9-A998-A1C65BD8707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89" name="Elipse 88">
          <a:extLst>
            <a:ext uri="{FF2B5EF4-FFF2-40B4-BE49-F238E27FC236}">
              <a16:creationId xmlns:a16="http://schemas.microsoft.com/office/drawing/2014/main" id="{FF763CF0-9033-4FDC-AB39-9E77E2DC47D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90" name="Elipse 89">
          <a:extLst>
            <a:ext uri="{FF2B5EF4-FFF2-40B4-BE49-F238E27FC236}">
              <a16:creationId xmlns:a16="http://schemas.microsoft.com/office/drawing/2014/main" id="{EA6F0B5D-6167-45AA-9FF9-A6185E7F4A2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91" name="Elipse 90">
          <a:extLst>
            <a:ext uri="{FF2B5EF4-FFF2-40B4-BE49-F238E27FC236}">
              <a16:creationId xmlns:a16="http://schemas.microsoft.com/office/drawing/2014/main" id="{0E5A6743-F0C0-47B9-8716-4D8883CF8C8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92" name="Elipse 91">
          <a:extLst>
            <a:ext uri="{FF2B5EF4-FFF2-40B4-BE49-F238E27FC236}">
              <a16:creationId xmlns:a16="http://schemas.microsoft.com/office/drawing/2014/main" id="{D5AA019B-C3BF-4D53-9F2C-F1A3C46F014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93" name="Elipse 92">
          <a:extLst>
            <a:ext uri="{FF2B5EF4-FFF2-40B4-BE49-F238E27FC236}">
              <a16:creationId xmlns:a16="http://schemas.microsoft.com/office/drawing/2014/main" id="{06B50DD3-189E-458A-A7ED-635C05A96FA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94" name="Elipse 93">
          <a:extLst>
            <a:ext uri="{FF2B5EF4-FFF2-40B4-BE49-F238E27FC236}">
              <a16:creationId xmlns:a16="http://schemas.microsoft.com/office/drawing/2014/main" id="{13FD5F34-BF11-471E-860B-67ACC60A723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95" name="Elipse 94">
          <a:extLst>
            <a:ext uri="{FF2B5EF4-FFF2-40B4-BE49-F238E27FC236}">
              <a16:creationId xmlns:a16="http://schemas.microsoft.com/office/drawing/2014/main" id="{18C9FF12-3278-4F6B-A4C9-80BA09E0159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96" name="Elipse 95">
          <a:extLst>
            <a:ext uri="{FF2B5EF4-FFF2-40B4-BE49-F238E27FC236}">
              <a16:creationId xmlns:a16="http://schemas.microsoft.com/office/drawing/2014/main" id="{5C6FBB71-1315-495C-98DE-7A704DA53D0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97" name="Elipse 96">
          <a:extLst>
            <a:ext uri="{FF2B5EF4-FFF2-40B4-BE49-F238E27FC236}">
              <a16:creationId xmlns:a16="http://schemas.microsoft.com/office/drawing/2014/main" id="{4173CF09-710C-435C-8FED-E551BE82AFA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98" name="Elipse 97">
          <a:extLst>
            <a:ext uri="{FF2B5EF4-FFF2-40B4-BE49-F238E27FC236}">
              <a16:creationId xmlns:a16="http://schemas.microsoft.com/office/drawing/2014/main" id="{1F15C861-543B-4C66-A357-008F9B63C4A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99" name="Elipse 98">
          <a:extLst>
            <a:ext uri="{FF2B5EF4-FFF2-40B4-BE49-F238E27FC236}">
              <a16:creationId xmlns:a16="http://schemas.microsoft.com/office/drawing/2014/main" id="{EBFF84BF-D31E-466A-86C4-3EB8F8A3A93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00" name="Elipse 99">
          <a:extLst>
            <a:ext uri="{FF2B5EF4-FFF2-40B4-BE49-F238E27FC236}">
              <a16:creationId xmlns:a16="http://schemas.microsoft.com/office/drawing/2014/main" id="{AC4C630C-B1F8-4E8D-81A5-AEBF29A23D9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01" name="Elipse 100">
          <a:extLst>
            <a:ext uri="{FF2B5EF4-FFF2-40B4-BE49-F238E27FC236}">
              <a16:creationId xmlns:a16="http://schemas.microsoft.com/office/drawing/2014/main" id="{98A4F680-6979-4240-9D13-47B280E03E7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02" name="Elipse 101">
          <a:extLst>
            <a:ext uri="{FF2B5EF4-FFF2-40B4-BE49-F238E27FC236}">
              <a16:creationId xmlns:a16="http://schemas.microsoft.com/office/drawing/2014/main" id="{31CFEF6A-5DD1-443E-B8F7-8F6093546D5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03" name="Elipse 102">
          <a:extLst>
            <a:ext uri="{FF2B5EF4-FFF2-40B4-BE49-F238E27FC236}">
              <a16:creationId xmlns:a16="http://schemas.microsoft.com/office/drawing/2014/main" id="{5BAD923A-A3EC-46F1-A422-4CC1EBF9217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04" name="Elipse 103">
          <a:extLst>
            <a:ext uri="{FF2B5EF4-FFF2-40B4-BE49-F238E27FC236}">
              <a16:creationId xmlns:a16="http://schemas.microsoft.com/office/drawing/2014/main" id="{EBB27167-C9ED-4A53-89F2-28A9DD4457A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05" name="Elipse 104">
          <a:extLst>
            <a:ext uri="{FF2B5EF4-FFF2-40B4-BE49-F238E27FC236}">
              <a16:creationId xmlns:a16="http://schemas.microsoft.com/office/drawing/2014/main" id="{43E3A087-DCFD-4705-A9B4-AEC8DAEF459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06" name="Elipse 105">
          <a:extLst>
            <a:ext uri="{FF2B5EF4-FFF2-40B4-BE49-F238E27FC236}">
              <a16:creationId xmlns:a16="http://schemas.microsoft.com/office/drawing/2014/main" id="{4659A891-C4B7-43E7-8506-52290A9F70F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07" name="Elipse 106">
          <a:extLst>
            <a:ext uri="{FF2B5EF4-FFF2-40B4-BE49-F238E27FC236}">
              <a16:creationId xmlns:a16="http://schemas.microsoft.com/office/drawing/2014/main" id="{83EA09E2-CBED-4DC0-875A-174A6F9E10D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08" name="Elipse 107">
          <a:extLst>
            <a:ext uri="{FF2B5EF4-FFF2-40B4-BE49-F238E27FC236}">
              <a16:creationId xmlns:a16="http://schemas.microsoft.com/office/drawing/2014/main" id="{421FA55B-0E48-43A2-8AA6-702410B6CF0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09" name="Elipse 108">
          <a:extLst>
            <a:ext uri="{FF2B5EF4-FFF2-40B4-BE49-F238E27FC236}">
              <a16:creationId xmlns:a16="http://schemas.microsoft.com/office/drawing/2014/main" id="{05F065E5-51B1-4F5E-804A-4085AA38CF5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10" name="Elipse 109">
          <a:extLst>
            <a:ext uri="{FF2B5EF4-FFF2-40B4-BE49-F238E27FC236}">
              <a16:creationId xmlns:a16="http://schemas.microsoft.com/office/drawing/2014/main" id="{53C77602-358E-4641-97EB-305D40A5D7A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11" name="Elipse 110">
          <a:extLst>
            <a:ext uri="{FF2B5EF4-FFF2-40B4-BE49-F238E27FC236}">
              <a16:creationId xmlns:a16="http://schemas.microsoft.com/office/drawing/2014/main" id="{9DF52670-A2A2-471C-AD00-B047021CB5B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12" name="Elipse 111">
          <a:extLst>
            <a:ext uri="{FF2B5EF4-FFF2-40B4-BE49-F238E27FC236}">
              <a16:creationId xmlns:a16="http://schemas.microsoft.com/office/drawing/2014/main" id="{1F1CCA39-4430-4A75-B329-10A1BD59B4C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13" name="Elipse 112">
          <a:extLst>
            <a:ext uri="{FF2B5EF4-FFF2-40B4-BE49-F238E27FC236}">
              <a16:creationId xmlns:a16="http://schemas.microsoft.com/office/drawing/2014/main" id="{7307A0A8-EF8F-4F8F-9CD8-1E4409484C8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14" name="Elipse 113">
          <a:extLst>
            <a:ext uri="{FF2B5EF4-FFF2-40B4-BE49-F238E27FC236}">
              <a16:creationId xmlns:a16="http://schemas.microsoft.com/office/drawing/2014/main" id="{4B3C7717-4192-4886-A7C2-0DCBA727A4B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15" name="Elipse 114">
          <a:extLst>
            <a:ext uri="{FF2B5EF4-FFF2-40B4-BE49-F238E27FC236}">
              <a16:creationId xmlns:a16="http://schemas.microsoft.com/office/drawing/2014/main" id="{0B8F67FC-FC8E-45CF-B8ED-3C46B093269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16" name="Elipse 115">
          <a:extLst>
            <a:ext uri="{FF2B5EF4-FFF2-40B4-BE49-F238E27FC236}">
              <a16:creationId xmlns:a16="http://schemas.microsoft.com/office/drawing/2014/main" id="{F26DF6B3-2A7E-4F27-9166-EAB820488D5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17" name="Elipse 116">
          <a:extLst>
            <a:ext uri="{FF2B5EF4-FFF2-40B4-BE49-F238E27FC236}">
              <a16:creationId xmlns:a16="http://schemas.microsoft.com/office/drawing/2014/main" id="{A4FDCF99-5EF5-4DFD-BC23-30871301A2E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18" name="Elipse 117">
          <a:extLst>
            <a:ext uri="{FF2B5EF4-FFF2-40B4-BE49-F238E27FC236}">
              <a16:creationId xmlns:a16="http://schemas.microsoft.com/office/drawing/2014/main" id="{EB3CB89E-619A-44CB-8A60-A7EC40411D3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19" name="Elipse 118">
          <a:extLst>
            <a:ext uri="{FF2B5EF4-FFF2-40B4-BE49-F238E27FC236}">
              <a16:creationId xmlns:a16="http://schemas.microsoft.com/office/drawing/2014/main" id="{B3FEAC7C-A550-4D3B-8EF6-212D6EF84AA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20" name="Elipse 119">
          <a:extLst>
            <a:ext uri="{FF2B5EF4-FFF2-40B4-BE49-F238E27FC236}">
              <a16:creationId xmlns:a16="http://schemas.microsoft.com/office/drawing/2014/main" id="{2BB511E7-95F4-4372-947E-AD1D4BFAFA8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21" name="Elipse 120">
          <a:extLst>
            <a:ext uri="{FF2B5EF4-FFF2-40B4-BE49-F238E27FC236}">
              <a16:creationId xmlns:a16="http://schemas.microsoft.com/office/drawing/2014/main" id="{15BBE636-A4A1-4D17-B7C2-AE8207CE01E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22" name="Elipse 121">
          <a:extLst>
            <a:ext uri="{FF2B5EF4-FFF2-40B4-BE49-F238E27FC236}">
              <a16:creationId xmlns:a16="http://schemas.microsoft.com/office/drawing/2014/main" id="{D6DDDE02-7AC4-4782-AC46-184DD564DF0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23" name="Elipse 122">
          <a:extLst>
            <a:ext uri="{FF2B5EF4-FFF2-40B4-BE49-F238E27FC236}">
              <a16:creationId xmlns:a16="http://schemas.microsoft.com/office/drawing/2014/main" id="{18472EE8-4BEC-4FD7-A994-E5322EC0E4F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24" name="Elipse 123">
          <a:extLst>
            <a:ext uri="{FF2B5EF4-FFF2-40B4-BE49-F238E27FC236}">
              <a16:creationId xmlns:a16="http://schemas.microsoft.com/office/drawing/2014/main" id="{C825F61E-B9F7-4CC2-BA26-822CCB47B1A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25" name="Elipse 124">
          <a:extLst>
            <a:ext uri="{FF2B5EF4-FFF2-40B4-BE49-F238E27FC236}">
              <a16:creationId xmlns:a16="http://schemas.microsoft.com/office/drawing/2014/main" id="{E988D104-04DA-4659-A52A-07C882E0A5D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26" name="Elipse 125">
          <a:extLst>
            <a:ext uri="{FF2B5EF4-FFF2-40B4-BE49-F238E27FC236}">
              <a16:creationId xmlns:a16="http://schemas.microsoft.com/office/drawing/2014/main" id="{BAD7A20C-E9AE-4D9A-9007-D63D6BF548D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27" name="Elipse 126">
          <a:extLst>
            <a:ext uri="{FF2B5EF4-FFF2-40B4-BE49-F238E27FC236}">
              <a16:creationId xmlns:a16="http://schemas.microsoft.com/office/drawing/2014/main" id="{C9E93D28-0230-4BF4-8336-D683357A97C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28" name="Elipse 127">
          <a:extLst>
            <a:ext uri="{FF2B5EF4-FFF2-40B4-BE49-F238E27FC236}">
              <a16:creationId xmlns:a16="http://schemas.microsoft.com/office/drawing/2014/main" id="{627B5CA5-CC62-471C-9175-D31FC9F96D5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29" name="Elipse 128">
          <a:extLst>
            <a:ext uri="{FF2B5EF4-FFF2-40B4-BE49-F238E27FC236}">
              <a16:creationId xmlns:a16="http://schemas.microsoft.com/office/drawing/2014/main" id="{DD70A1AB-06B9-40FC-8796-8EEB889C0C9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30" name="Elipse 129">
          <a:extLst>
            <a:ext uri="{FF2B5EF4-FFF2-40B4-BE49-F238E27FC236}">
              <a16:creationId xmlns:a16="http://schemas.microsoft.com/office/drawing/2014/main" id="{3AE20297-3749-498E-A7E0-F25BA48DFE5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31" name="Elipse 130">
          <a:extLst>
            <a:ext uri="{FF2B5EF4-FFF2-40B4-BE49-F238E27FC236}">
              <a16:creationId xmlns:a16="http://schemas.microsoft.com/office/drawing/2014/main" id="{1B2F89E2-150A-433A-A7AF-0CEC8817038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32" name="Elipse 131">
          <a:extLst>
            <a:ext uri="{FF2B5EF4-FFF2-40B4-BE49-F238E27FC236}">
              <a16:creationId xmlns:a16="http://schemas.microsoft.com/office/drawing/2014/main" id="{8F02C51F-7F19-4F3C-9C2D-1E9AEEA7C4D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33" name="Elipse 132">
          <a:extLst>
            <a:ext uri="{FF2B5EF4-FFF2-40B4-BE49-F238E27FC236}">
              <a16:creationId xmlns:a16="http://schemas.microsoft.com/office/drawing/2014/main" id="{6580F6FB-0338-487D-829A-697C1C3DF23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34" name="Elipse 133">
          <a:extLst>
            <a:ext uri="{FF2B5EF4-FFF2-40B4-BE49-F238E27FC236}">
              <a16:creationId xmlns:a16="http://schemas.microsoft.com/office/drawing/2014/main" id="{251A0454-304A-4B18-B578-E41DCDBF8EC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35" name="Elipse 134">
          <a:extLst>
            <a:ext uri="{FF2B5EF4-FFF2-40B4-BE49-F238E27FC236}">
              <a16:creationId xmlns:a16="http://schemas.microsoft.com/office/drawing/2014/main" id="{3FC22F6D-B5AA-4B77-8D23-AFE11E25F93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36" name="Elipse 135">
          <a:extLst>
            <a:ext uri="{FF2B5EF4-FFF2-40B4-BE49-F238E27FC236}">
              <a16:creationId xmlns:a16="http://schemas.microsoft.com/office/drawing/2014/main" id="{22B252E8-63F4-497F-9164-341907D7C90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37" name="Elipse 136">
          <a:extLst>
            <a:ext uri="{FF2B5EF4-FFF2-40B4-BE49-F238E27FC236}">
              <a16:creationId xmlns:a16="http://schemas.microsoft.com/office/drawing/2014/main" id="{CFA709E0-8AF2-4665-94BF-7AA86A9A966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38" name="Elipse 137">
          <a:extLst>
            <a:ext uri="{FF2B5EF4-FFF2-40B4-BE49-F238E27FC236}">
              <a16:creationId xmlns:a16="http://schemas.microsoft.com/office/drawing/2014/main" id="{B1A9DD66-9B08-47CA-926F-227B68AF3C5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39" name="Elipse 138">
          <a:extLst>
            <a:ext uri="{FF2B5EF4-FFF2-40B4-BE49-F238E27FC236}">
              <a16:creationId xmlns:a16="http://schemas.microsoft.com/office/drawing/2014/main" id="{5C6FED40-D244-4DD9-9E5E-F0D89D1ED4C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40" name="Elipse 139">
          <a:extLst>
            <a:ext uri="{FF2B5EF4-FFF2-40B4-BE49-F238E27FC236}">
              <a16:creationId xmlns:a16="http://schemas.microsoft.com/office/drawing/2014/main" id="{223DC6F4-9833-421D-8730-EDC7CC3D18B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41" name="Elipse 140">
          <a:extLst>
            <a:ext uri="{FF2B5EF4-FFF2-40B4-BE49-F238E27FC236}">
              <a16:creationId xmlns:a16="http://schemas.microsoft.com/office/drawing/2014/main" id="{38737DAF-E45E-40E8-B0B7-D1DAB95C0F6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42" name="Elipse 141">
          <a:extLst>
            <a:ext uri="{FF2B5EF4-FFF2-40B4-BE49-F238E27FC236}">
              <a16:creationId xmlns:a16="http://schemas.microsoft.com/office/drawing/2014/main" id="{17736B22-9289-4822-8C50-49A2EA9188A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43" name="Elipse 142">
          <a:extLst>
            <a:ext uri="{FF2B5EF4-FFF2-40B4-BE49-F238E27FC236}">
              <a16:creationId xmlns:a16="http://schemas.microsoft.com/office/drawing/2014/main" id="{2A790DAC-CAC1-4FA2-8467-083114517AA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44" name="Elipse 143">
          <a:extLst>
            <a:ext uri="{FF2B5EF4-FFF2-40B4-BE49-F238E27FC236}">
              <a16:creationId xmlns:a16="http://schemas.microsoft.com/office/drawing/2014/main" id="{A3D4960F-89FA-4D27-9295-959754A52C0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45" name="Elipse 144">
          <a:extLst>
            <a:ext uri="{FF2B5EF4-FFF2-40B4-BE49-F238E27FC236}">
              <a16:creationId xmlns:a16="http://schemas.microsoft.com/office/drawing/2014/main" id="{68B3ABD2-727D-45C7-B28F-73D3DA851F0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46" name="Elipse 145">
          <a:extLst>
            <a:ext uri="{FF2B5EF4-FFF2-40B4-BE49-F238E27FC236}">
              <a16:creationId xmlns:a16="http://schemas.microsoft.com/office/drawing/2014/main" id="{8ECABAD7-CFD9-4CDE-AE4A-58BD556231D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47" name="Elipse 146">
          <a:extLst>
            <a:ext uri="{FF2B5EF4-FFF2-40B4-BE49-F238E27FC236}">
              <a16:creationId xmlns:a16="http://schemas.microsoft.com/office/drawing/2014/main" id="{83C9431C-AFA3-4CCF-9ACE-67F35FE1FA9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48" name="Elipse 147">
          <a:extLst>
            <a:ext uri="{FF2B5EF4-FFF2-40B4-BE49-F238E27FC236}">
              <a16:creationId xmlns:a16="http://schemas.microsoft.com/office/drawing/2014/main" id="{33AF3339-734A-4250-90E4-E00E8A06117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49" name="Elipse 148">
          <a:extLst>
            <a:ext uri="{FF2B5EF4-FFF2-40B4-BE49-F238E27FC236}">
              <a16:creationId xmlns:a16="http://schemas.microsoft.com/office/drawing/2014/main" id="{C9E92925-576D-48E4-AE47-8BE1E9BC3B7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50" name="Elipse 149">
          <a:extLst>
            <a:ext uri="{FF2B5EF4-FFF2-40B4-BE49-F238E27FC236}">
              <a16:creationId xmlns:a16="http://schemas.microsoft.com/office/drawing/2014/main" id="{5C505237-4BFE-4656-87CD-E89F66244D9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51" name="Elipse 150">
          <a:extLst>
            <a:ext uri="{FF2B5EF4-FFF2-40B4-BE49-F238E27FC236}">
              <a16:creationId xmlns:a16="http://schemas.microsoft.com/office/drawing/2014/main" id="{68A4ADE8-49B7-4C1D-B228-457818B9F2D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52" name="Elipse 151">
          <a:extLst>
            <a:ext uri="{FF2B5EF4-FFF2-40B4-BE49-F238E27FC236}">
              <a16:creationId xmlns:a16="http://schemas.microsoft.com/office/drawing/2014/main" id="{26BD192A-A0A4-4109-BEC8-CD910270AF0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53" name="Elipse 152">
          <a:extLst>
            <a:ext uri="{FF2B5EF4-FFF2-40B4-BE49-F238E27FC236}">
              <a16:creationId xmlns:a16="http://schemas.microsoft.com/office/drawing/2014/main" id="{E412618F-3B89-4348-BC85-455C025B5F1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54" name="Elipse 153">
          <a:extLst>
            <a:ext uri="{FF2B5EF4-FFF2-40B4-BE49-F238E27FC236}">
              <a16:creationId xmlns:a16="http://schemas.microsoft.com/office/drawing/2014/main" id="{5597DFF8-8436-4FFC-952F-4D43D532381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55" name="Elipse 154">
          <a:extLst>
            <a:ext uri="{FF2B5EF4-FFF2-40B4-BE49-F238E27FC236}">
              <a16:creationId xmlns:a16="http://schemas.microsoft.com/office/drawing/2014/main" id="{1FC60FF0-6A0C-4363-AB00-A96E34C0912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56" name="Elipse 155">
          <a:extLst>
            <a:ext uri="{FF2B5EF4-FFF2-40B4-BE49-F238E27FC236}">
              <a16:creationId xmlns:a16="http://schemas.microsoft.com/office/drawing/2014/main" id="{A781F088-82C1-43D5-80D8-81671153FCF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57" name="Elipse 156">
          <a:extLst>
            <a:ext uri="{FF2B5EF4-FFF2-40B4-BE49-F238E27FC236}">
              <a16:creationId xmlns:a16="http://schemas.microsoft.com/office/drawing/2014/main" id="{9C098C2F-3358-450E-B70D-2CAEC6645E0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58" name="Elipse 157">
          <a:extLst>
            <a:ext uri="{FF2B5EF4-FFF2-40B4-BE49-F238E27FC236}">
              <a16:creationId xmlns:a16="http://schemas.microsoft.com/office/drawing/2014/main" id="{449547E3-CBCC-42E6-8F3E-D48F603C3FA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59" name="Elipse 158">
          <a:extLst>
            <a:ext uri="{FF2B5EF4-FFF2-40B4-BE49-F238E27FC236}">
              <a16:creationId xmlns:a16="http://schemas.microsoft.com/office/drawing/2014/main" id="{11A1EDFD-3E5C-46C7-B99C-C09334628A5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60" name="Elipse 159">
          <a:extLst>
            <a:ext uri="{FF2B5EF4-FFF2-40B4-BE49-F238E27FC236}">
              <a16:creationId xmlns:a16="http://schemas.microsoft.com/office/drawing/2014/main" id="{A7B77153-F2AA-46E2-AEB5-332CB0A7256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61" name="Elipse 160">
          <a:extLst>
            <a:ext uri="{FF2B5EF4-FFF2-40B4-BE49-F238E27FC236}">
              <a16:creationId xmlns:a16="http://schemas.microsoft.com/office/drawing/2014/main" id="{E0178569-E81C-492B-B083-C63FA771FD4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62" name="Elipse 161">
          <a:extLst>
            <a:ext uri="{FF2B5EF4-FFF2-40B4-BE49-F238E27FC236}">
              <a16:creationId xmlns:a16="http://schemas.microsoft.com/office/drawing/2014/main" id="{DCC1916F-BA57-4840-BEBE-99DFABBAC72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63" name="Elipse 162">
          <a:extLst>
            <a:ext uri="{FF2B5EF4-FFF2-40B4-BE49-F238E27FC236}">
              <a16:creationId xmlns:a16="http://schemas.microsoft.com/office/drawing/2014/main" id="{8C6DF671-D7E9-4636-97CF-FEA24A9A9C1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64" name="Elipse 163">
          <a:extLst>
            <a:ext uri="{FF2B5EF4-FFF2-40B4-BE49-F238E27FC236}">
              <a16:creationId xmlns:a16="http://schemas.microsoft.com/office/drawing/2014/main" id="{0CD1A6E3-A226-46FA-9A9A-C82890D0078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65" name="Elipse 164">
          <a:extLst>
            <a:ext uri="{FF2B5EF4-FFF2-40B4-BE49-F238E27FC236}">
              <a16:creationId xmlns:a16="http://schemas.microsoft.com/office/drawing/2014/main" id="{7C16A89F-E20C-4BFB-AF9A-D14CE8EE6C1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66" name="Elipse 165">
          <a:extLst>
            <a:ext uri="{FF2B5EF4-FFF2-40B4-BE49-F238E27FC236}">
              <a16:creationId xmlns:a16="http://schemas.microsoft.com/office/drawing/2014/main" id="{D15115EE-ABC7-40A0-AF94-184DBF2A66C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67" name="Elipse 166">
          <a:extLst>
            <a:ext uri="{FF2B5EF4-FFF2-40B4-BE49-F238E27FC236}">
              <a16:creationId xmlns:a16="http://schemas.microsoft.com/office/drawing/2014/main" id="{8FA7932B-8896-47F9-B648-9B893958B9E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68" name="Elipse 167">
          <a:extLst>
            <a:ext uri="{FF2B5EF4-FFF2-40B4-BE49-F238E27FC236}">
              <a16:creationId xmlns:a16="http://schemas.microsoft.com/office/drawing/2014/main" id="{D8ABB23A-6366-437B-913C-80927D52A4A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69" name="Elipse 168">
          <a:extLst>
            <a:ext uri="{FF2B5EF4-FFF2-40B4-BE49-F238E27FC236}">
              <a16:creationId xmlns:a16="http://schemas.microsoft.com/office/drawing/2014/main" id="{E9D0D3BA-A9B4-42AE-9E3A-39D71220DD9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70" name="Elipse 169">
          <a:extLst>
            <a:ext uri="{FF2B5EF4-FFF2-40B4-BE49-F238E27FC236}">
              <a16:creationId xmlns:a16="http://schemas.microsoft.com/office/drawing/2014/main" id="{437A75E6-B91F-4EE1-8B49-136E47405D1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71" name="Elipse 170">
          <a:extLst>
            <a:ext uri="{FF2B5EF4-FFF2-40B4-BE49-F238E27FC236}">
              <a16:creationId xmlns:a16="http://schemas.microsoft.com/office/drawing/2014/main" id="{389CDFA2-5E3A-4D5C-8A58-A1F17439C41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72" name="Elipse 171">
          <a:extLst>
            <a:ext uri="{FF2B5EF4-FFF2-40B4-BE49-F238E27FC236}">
              <a16:creationId xmlns:a16="http://schemas.microsoft.com/office/drawing/2014/main" id="{BAEACD4E-06B9-4CBE-AD76-728E7FA80B1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73" name="Elipse 172">
          <a:extLst>
            <a:ext uri="{FF2B5EF4-FFF2-40B4-BE49-F238E27FC236}">
              <a16:creationId xmlns:a16="http://schemas.microsoft.com/office/drawing/2014/main" id="{E93F4192-DA36-40BE-9251-7382A9D6878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74" name="Elipse 173">
          <a:extLst>
            <a:ext uri="{FF2B5EF4-FFF2-40B4-BE49-F238E27FC236}">
              <a16:creationId xmlns:a16="http://schemas.microsoft.com/office/drawing/2014/main" id="{A97688BF-0760-4219-B9E9-317262683BD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75" name="Elipse 174">
          <a:extLst>
            <a:ext uri="{FF2B5EF4-FFF2-40B4-BE49-F238E27FC236}">
              <a16:creationId xmlns:a16="http://schemas.microsoft.com/office/drawing/2014/main" id="{FEEFC365-A45B-4E75-B62E-443ACF8CCDE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76" name="Elipse 175">
          <a:extLst>
            <a:ext uri="{FF2B5EF4-FFF2-40B4-BE49-F238E27FC236}">
              <a16:creationId xmlns:a16="http://schemas.microsoft.com/office/drawing/2014/main" id="{35020316-CB6D-4C65-BB26-B762E189207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77" name="Elipse 176">
          <a:extLst>
            <a:ext uri="{FF2B5EF4-FFF2-40B4-BE49-F238E27FC236}">
              <a16:creationId xmlns:a16="http://schemas.microsoft.com/office/drawing/2014/main" id="{E0546FBD-F964-4E10-A3FC-CC2A83D6B46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78" name="Elipse 177">
          <a:extLst>
            <a:ext uri="{FF2B5EF4-FFF2-40B4-BE49-F238E27FC236}">
              <a16:creationId xmlns:a16="http://schemas.microsoft.com/office/drawing/2014/main" id="{722B9AAA-9F54-4BEA-ACF4-1455702DE11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79" name="Elipse 178">
          <a:extLst>
            <a:ext uri="{FF2B5EF4-FFF2-40B4-BE49-F238E27FC236}">
              <a16:creationId xmlns:a16="http://schemas.microsoft.com/office/drawing/2014/main" id="{637A7691-2840-48C0-80B6-26722AAA4DC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80" name="Elipse 179">
          <a:extLst>
            <a:ext uri="{FF2B5EF4-FFF2-40B4-BE49-F238E27FC236}">
              <a16:creationId xmlns:a16="http://schemas.microsoft.com/office/drawing/2014/main" id="{D1DA6252-D23D-457F-842E-FC571D1EA94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81" name="Elipse 180">
          <a:extLst>
            <a:ext uri="{FF2B5EF4-FFF2-40B4-BE49-F238E27FC236}">
              <a16:creationId xmlns:a16="http://schemas.microsoft.com/office/drawing/2014/main" id="{8984DBC3-5537-40C3-A231-F2FAD0C41D0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82" name="Elipse 181">
          <a:extLst>
            <a:ext uri="{FF2B5EF4-FFF2-40B4-BE49-F238E27FC236}">
              <a16:creationId xmlns:a16="http://schemas.microsoft.com/office/drawing/2014/main" id="{F9B26CCC-B726-4265-9538-491DD6B51F5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83" name="Elipse 182">
          <a:extLst>
            <a:ext uri="{FF2B5EF4-FFF2-40B4-BE49-F238E27FC236}">
              <a16:creationId xmlns:a16="http://schemas.microsoft.com/office/drawing/2014/main" id="{E3EAB900-DBDA-45CA-BA88-E8EF10E87C7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84" name="Elipse 183">
          <a:extLst>
            <a:ext uri="{FF2B5EF4-FFF2-40B4-BE49-F238E27FC236}">
              <a16:creationId xmlns:a16="http://schemas.microsoft.com/office/drawing/2014/main" id="{D752B4D1-B2CB-4DA9-8DFD-E6FB148A871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85" name="Elipse 184">
          <a:extLst>
            <a:ext uri="{FF2B5EF4-FFF2-40B4-BE49-F238E27FC236}">
              <a16:creationId xmlns:a16="http://schemas.microsoft.com/office/drawing/2014/main" id="{E0BA6C84-8022-4272-891A-C712F16F263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86" name="Elipse 185">
          <a:extLst>
            <a:ext uri="{FF2B5EF4-FFF2-40B4-BE49-F238E27FC236}">
              <a16:creationId xmlns:a16="http://schemas.microsoft.com/office/drawing/2014/main" id="{B791CB60-2AE8-4873-91DB-5E3660E6494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87" name="Elipse 186">
          <a:extLst>
            <a:ext uri="{FF2B5EF4-FFF2-40B4-BE49-F238E27FC236}">
              <a16:creationId xmlns:a16="http://schemas.microsoft.com/office/drawing/2014/main" id="{207FE49E-AE9D-4A8F-816F-085BA7EA80B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88" name="Elipse 187">
          <a:extLst>
            <a:ext uri="{FF2B5EF4-FFF2-40B4-BE49-F238E27FC236}">
              <a16:creationId xmlns:a16="http://schemas.microsoft.com/office/drawing/2014/main" id="{F7C36A11-DB85-48A6-8C82-A97229C6600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89" name="Elipse 188">
          <a:extLst>
            <a:ext uri="{FF2B5EF4-FFF2-40B4-BE49-F238E27FC236}">
              <a16:creationId xmlns:a16="http://schemas.microsoft.com/office/drawing/2014/main" id="{4B570A16-4F0D-4A31-93F3-185E015E556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90" name="Elipse 189">
          <a:extLst>
            <a:ext uri="{FF2B5EF4-FFF2-40B4-BE49-F238E27FC236}">
              <a16:creationId xmlns:a16="http://schemas.microsoft.com/office/drawing/2014/main" id="{F6EA2799-4715-4C0A-B530-7C1C83D300C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91" name="Elipse 190">
          <a:extLst>
            <a:ext uri="{FF2B5EF4-FFF2-40B4-BE49-F238E27FC236}">
              <a16:creationId xmlns:a16="http://schemas.microsoft.com/office/drawing/2014/main" id="{1C76F133-0E30-4454-82F6-5DE2ED8197A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92" name="Elipse 191">
          <a:extLst>
            <a:ext uri="{FF2B5EF4-FFF2-40B4-BE49-F238E27FC236}">
              <a16:creationId xmlns:a16="http://schemas.microsoft.com/office/drawing/2014/main" id="{68F64284-7BB9-464B-9463-EDBD954865E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93" name="Elipse 192">
          <a:extLst>
            <a:ext uri="{FF2B5EF4-FFF2-40B4-BE49-F238E27FC236}">
              <a16:creationId xmlns:a16="http://schemas.microsoft.com/office/drawing/2014/main" id="{70EED76C-B463-44D5-8D88-77B7D625083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FAF5F49-9957-4C16-BBC5-AB990DA66E70}" name="T_mat" displayName="T_mat" ref="A4:E15" totalsRowShown="0" headerRowDxfId="142">
  <autoFilter ref="A4:E15" xr:uid="{C8DFADDE-605F-4860-847D-B85537F10F5F}"/>
  <sortState xmlns:xlrd2="http://schemas.microsoft.com/office/spreadsheetml/2017/richdata2" ref="A5:E15">
    <sortCondition ref="A4:A15"/>
  </sortState>
  <tableColumns count="5">
    <tableColumn id="1" xr3:uid="{7FFD106E-FFA5-4689-AA29-EF666337D1CC}" name="DESCRIPCIÓN" dataDxfId="141"/>
    <tableColumn id="2" xr3:uid="{454BDB69-BC49-40BA-B435-A388C0E0E9EA}" name="CÓDIGO" dataDxfId="140"/>
    <tableColumn id="3" xr3:uid="{828EDD2C-B8B2-4813-BF9E-2451239FA906}" name="UNIDAD" dataDxfId="139"/>
    <tableColumn id="4" xr3:uid="{233A3343-B026-4939-911B-BA5BB303F4D0}" name="PRECIO" dataDxfId="138"/>
    <tableColumn id="5" xr3:uid="{58F57F7C-2134-4713-B00B-EEA2F63D0727}" name="FECHA"/>
  </tableColumns>
  <tableStyleInfo name="S5S Blue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AE5EAB5-E012-46D0-9A99-A1EB442A94B9}" name="T_equipos" displayName="T_equipos" ref="G4:K11" totalsRowShown="0" headerRowDxfId="137">
  <autoFilter ref="G4:K11" xr:uid="{C9144CD4-09E3-45AE-8482-9DE3D3556107}"/>
  <tableColumns count="5">
    <tableColumn id="1" xr3:uid="{F85D8ADC-2233-4D96-9713-F9903A548FC9}" name="DESCRIPCIÓN" dataDxfId="136"/>
    <tableColumn id="2" xr3:uid="{901877F9-672D-4235-AADC-90D3B34451D6}" name="CÓDIGO" dataDxfId="135"/>
    <tableColumn id="3" xr3:uid="{3F8B11DE-9DB0-444A-B230-224927ECAC66}" name="UNIDAD" dataDxfId="134"/>
    <tableColumn id="4" xr3:uid="{4B1E83C4-9C87-4922-82B8-3CFC2D70B043}" name="PRECIO" dataDxfId="133"/>
    <tableColumn id="5" xr3:uid="{E8AC0E4B-B3BD-40CC-A5A6-7DE6AF9A9417}" name="FECHA"/>
  </tableColumns>
  <tableStyleInfo name="S5S Blue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D8761E1-DFC4-489F-9C51-AA734D9423D4}" name="T_mano" displayName="T_mano" ref="M4:Q11" totalsRowShown="0" headerRowDxfId="132">
  <autoFilter ref="M4:Q11" xr:uid="{24C5209F-A921-45A3-93F9-EF0A8C192481}"/>
  <sortState xmlns:xlrd2="http://schemas.microsoft.com/office/spreadsheetml/2017/richdata2" ref="M5:Q19">
    <sortCondition ref="N4"/>
  </sortState>
  <tableColumns count="5">
    <tableColumn id="1" xr3:uid="{FA18D68C-8D25-4A10-8C18-4448AA539C24}" name="DESCRIPCIÓN" dataDxfId="131"/>
    <tableColumn id="2" xr3:uid="{0083F322-3026-4B0E-B86F-49BBF04BC563}" name="CÓDIGO" dataDxfId="130"/>
    <tableColumn id="3" xr3:uid="{550BA6B1-E730-46E5-8530-B0AAD3869B5F}" name="UNIDAD" dataDxfId="129"/>
    <tableColumn id="4" xr3:uid="{281D7DE4-DA16-44CE-B436-0319CBB5C598}" name="PRECIO" dataDxfId="128"/>
    <tableColumn id="5" xr3:uid="{C316EE48-AEDD-4BC4-8019-8C257EFB5C3E}" name="FECHA"/>
  </tableColumns>
  <tableStyleInfo name="S5S Blue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820165C-F4CF-4D20-81F7-89F614375ABA}" name="T_trans" displayName="T_trans" ref="S4:W11" totalsRowShown="0" headerRowDxfId="127">
  <autoFilter ref="S4:W11" xr:uid="{4D38F366-0580-43FE-8895-815421820A44}"/>
  <sortState xmlns:xlrd2="http://schemas.microsoft.com/office/spreadsheetml/2017/richdata2" ref="S5:W15">
    <sortCondition ref="T4:T15"/>
  </sortState>
  <tableColumns count="5">
    <tableColumn id="1" xr3:uid="{588C6132-62DA-4A1E-8926-58EEC997A2C1}" name="DESCRIPCIÓN" dataDxfId="126"/>
    <tableColumn id="2" xr3:uid="{D51EB87C-1200-4849-A40A-0C8B76E073E8}" name="CÓDIGO" dataDxfId="125"/>
    <tableColumn id="3" xr3:uid="{DE72FAB8-F25D-4591-A92E-1D1C211F9885}" name="UNIDAD" dataDxfId="124"/>
    <tableColumn id="4" xr3:uid="{7200813D-503C-422D-AE13-2D4D6CD54E8A}" name="PRECIO" dataDxfId="123"/>
    <tableColumn id="5" xr3:uid="{69C79798-562C-47C8-9A8E-A48A7F8A9CC7}" name="FECHA"/>
  </tableColumns>
  <tableStyleInfo name="S5S Blue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EDDD84A-9EB9-4B0D-8C9E-B52E2EBCC40C}" name="T_sub" displayName="T_sub" ref="Y4:AC11" totalsRowShown="0" headerRowDxfId="122">
  <autoFilter ref="Y4:AC11" xr:uid="{D00FF0A7-51D1-4A04-98C0-67F9B58A018E}"/>
  <sortState xmlns:xlrd2="http://schemas.microsoft.com/office/spreadsheetml/2017/richdata2" ref="Y5:AC18">
    <sortCondition ref="Z4"/>
  </sortState>
  <tableColumns count="5">
    <tableColumn id="1" xr3:uid="{9D0059F0-2BA0-48FE-A070-AC416E84301C}" name="DESCRIPCIÓN" dataDxfId="121"/>
    <tableColumn id="2" xr3:uid="{0A40477E-B372-45F1-87EB-D5EC2EE56816}" name="CÓDIGO" dataDxfId="120"/>
    <tableColumn id="3" xr3:uid="{564FC736-23B2-4542-BD6A-72AF1E65D0E9}" name="UNIDAD" dataDxfId="119"/>
    <tableColumn id="4" xr3:uid="{0F2CDC51-F064-45AA-B24D-A4654C52365D}" name="PRECIO" dataDxfId="118"/>
    <tableColumn id="5" xr3:uid="{FF80DCB5-B8F2-46A1-B97D-3F0F7D478849}" name="FECHA"/>
  </tableColumns>
  <tableStyleInfo name="S5S Blue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0F7DCBE-E252-4BD7-9732-50070B1B17D3}" name="T_otros" displayName="T_otros" ref="AK4:AO11" totalsRowShown="0" headerRowDxfId="117">
  <autoFilter ref="AK4:AO11" xr:uid="{E107E5AC-C51C-43EE-A3F5-2398D5957D81}"/>
  <sortState xmlns:xlrd2="http://schemas.microsoft.com/office/spreadsheetml/2017/richdata2" ref="AK5:AO18">
    <sortCondition ref="AL4"/>
  </sortState>
  <tableColumns count="5">
    <tableColumn id="1" xr3:uid="{0C08215E-1038-4425-916D-DE9851A91FDB}" name="DESCRIPCIÓN" dataDxfId="116"/>
    <tableColumn id="2" xr3:uid="{6507AE1F-CEA8-42C2-A64B-C1FB4A93648D}" name="CÓDIGO" dataDxfId="115"/>
    <tableColumn id="3" xr3:uid="{4E9A7B7C-33A6-4496-864B-E2FFB0EEBC17}" name="UNIDAD" dataDxfId="114"/>
    <tableColumn id="4" xr3:uid="{BBD15F2D-FA6E-4C3B-B856-8D49708875C3}" name="PRECIO" dataDxfId="113"/>
    <tableColumn id="5" xr3:uid="{7F6624CF-C0E7-4207-972B-9778ABF91D89}" name="FECHA"/>
  </tableColumns>
  <tableStyleInfo name="S5S Blue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2A512C0E-5B6A-4B2B-9159-A6F32AE1CECF}" name="T_act" displayName="T_act" ref="AE4:AI11" totalsRowShown="0" headerRowDxfId="112">
  <autoFilter ref="AE4:AI11" xr:uid="{763D9E4B-153D-40CE-ACA0-D0B72B7B3815}"/>
  <sortState xmlns:xlrd2="http://schemas.microsoft.com/office/spreadsheetml/2017/richdata2" ref="AE5:AI15">
    <sortCondition ref="AE4:AE15"/>
  </sortState>
  <tableColumns count="5">
    <tableColumn id="1" xr3:uid="{DBB8E7C9-ECA0-407F-9C3F-330805E877F6}" name="DESCRIPCIÓN" dataDxfId="111"/>
    <tableColumn id="2" xr3:uid="{EC82417A-B16A-41D0-AE0F-7BE0225AC317}" name="CÓDIGO" dataDxfId="110"/>
    <tableColumn id="3" xr3:uid="{A9FADBCE-BBDD-4161-87A3-EB02DD4D3803}" name="UNIDAD" dataDxfId="109"/>
    <tableColumn id="4" xr3:uid="{BF53E0F9-D80B-459B-91BB-D3F00DF07AD7}" name="PRECIO" dataDxfId="108"/>
    <tableColumn id="5" xr3:uid="{1194B32F-30E7-449D-B878-B20B8AF91561}" name="FECHA"/>
  </tableColumns>
  <tableStyleInfo name="S5S Blue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B2CA048C-8C19-4964-829A-F1E38B7A176B}" name="Tabla2" displayName="Tabla2" ref="A4:H12" totalsRowCount="1">
  <autoFilter ref="A4:H11" xr:uid="{F98FE392-0DA1-4B3C-A7F7-4B00E0C6499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0E99848F-AA23-4847-AADB-9C60AE4B7183}" name="TIPO" totalsRowLabel="Total"/>
    <tableColumn id="2" xr3:uid="{25198A3C-9FCF-4F37-9A35-7CCF4A5C6A4A}" name="CÓDIGO"/>
    <tableColumn id="3" xr3:uid="{F1C85235-67C4-4B7D-92AD-3A4BFC685B0D}" name="DESCRIPCIÓN"/>
    <tableColumn id="4" xr3:uid="{6D7F3721-E5A3-4460-954C-0AF0398B446B}" name="UNIDAD" dataDxfId="105"/>
    <tableColumn id="5" xr3:uid="{B0733FF1-281A-437C-B995-4CD57F26BE3A}" name="FACTOR" dataDxfId="104">
      <calculatedColumnFormula>1</calculatedColumnFormula>
    </tableColumn>
    <tableColumn id="6" xr3:uid="{D2CC5F39-2466-47DB-A0BC-0B40854DACFB}" name="CANTIDAD" dataDxfId="103"/>
    <tableColumn id="7" xr3:uid="{C9D5B3E4-FC25-445D-96AA-C5FA7B44C76D}" name="PRECIO" dataDxfId="101" totalsRowDxfId="102"/>
    <tableColumn id="8" xr3:uid="{C0C3FEEA-1BBC-4709-B889-AA717BEE3195}" name="TOTAL" totalsRowFunction="custom" dataDxfId="99" totalsRowDxfId="100">
      <calculatedColumnFormula>Tabla2[[#This Row],[CANTIDAD]]*Tabla2[[#This Row],[PRECIO]]*Tabla2[[#This Row],[FACTOR]]</calculatedColumnFormula>
      <totalsRowFormula>SUM(Tabla2[TOTAL])</totalsRowFormula>
    </tableColumn>
  </tableColumns>
  <tableStyleInfo name="S5S Green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54B7AB77-D75E-4402-9FDC-282AD6BAA9D2}" name="Tabla3" displayName="Tabla3" ref="A16:H22" totalsRowCount="1">
  <autoFilter ref="A16:H21" xr:uid="{480D8EB6-D787-4015-AA5D-D7265AE9C7C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8E124ED4-1F25-49AD-B391-FB6CEFAD9787}" name="TIPO" totalsRowLabel="Total"/>
    <tableColumn id="2" xr3:uid="{0CF399CB-2C57-4E2E-8F6C-992DBCCBF14E}" name="CÓDIGO"/>
    <tableColumn id="3" xr3:uid="{7B9421F1-BE5E-4DC6-84BD-1A4C34F08037}" name="DESCRIPCIÓN"/>
    <tableColumn id="4" xr3:uid="{5C3B66D2-F842-4DD0-B588-61D98BE9BC06}" name="UNIDAD" dataDxfId="98"/>
    <tableColumn id="5" xr3:uid="{F652B2F7-4E25-42D2-9261-CEB744C8FB6E}" name="FACTOR" dataDxfId="97">
      <calculatedColumnFormula>1</calculatedColumnFormula>
    </tableColumn>
    <tableColumn id="6" xr3:uid="{5424434A-06E9-467D-8D7D-B7534520B9FC}" name="CANTIDAD" dataDxfId="96"/>
    <tableColumn id="7" xr3:uid="{415D28BA-5875-4539-9E2B-9AD2F3F8A071}" name="PRECIO" dataDxfId="94" totalsRowDxfId="95"/>
    <tableColumn id="8" xr3:uid="{2F969FF5-B2B1-45A6-AB59-3280345CD0D4}" name="TOTAL" totalsRowFunction="custom" dataDxfId="92" totalsRowDxfId="93">
      <calculatedColumnFormula>Tabla3[[#This Row],[CANTIDAD]]*Tabla3[[#This Row],[PRECIO]]*Tabla3[[#This Row],[FACTOR]]</calculatedColumnFormula>
      <totalsRowFormula>SUM(Tabla3[TOTAL])</totalsRowFormula>
    </tableColumn>
  </tableColumns>
  <tableStyleInfo name="S5S Green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64897F59-DA50-4C16-BC93-3B1CFF73984B}" name="Tabla13" displayName="Tabla13" ref="A26:H31" totalsRowCount="1">
  <autoFilter ref="A26:H30" xr:uid="{40178E6A-B18D-488C-AFFE-8F1A52C1F33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A7E8E4A4-7F15-4686-B917-7C7192118A14}" name="TIPO" totalsRowLabel="Total"/>
    <tableColumn id="2" xr3:uid="{FE53561A-28DF-4A92-A912-C000CA74D908}" name="CÓDIGO"/>
    <tableColumn id="3" xr3:uid="{1B5A60A0-941E-4742-8E3A-5690383BCE16}" name="DESCRIPCIÓN"/>
    <tableColumn id="4" xr3:uid="{F6E3A93E-126C-4D0A-B17D-2BD4821B0089}" name="UNIDAD" dataDxfId="91"/>
    <tableColumn id="5" xr3:uid="{F684C0F0-5BF7-4E21-95D4-88E003601EAE}" name="FACTOR" dataDxfId="90">
      <calculatedColumnFormula>1</calculatedColumnFormula>
    </tableColumn>
    <tableColumn id="6" xr3:uid="{1EC03174-B901-42AA-8F75-DC7F6D5B7E7C}" name="CANTIDAD" dataDxfId="89"/>
    <tableColumn id="7" xr3:uid="{1CEA6BF0-8EC6-41C7-8788-8076D24F964C}" name="PRECIO" dataDxfId="87" totalsRowDxfId="88"/>
    <tableColumn id="8" xr3:uid="{EE1D2CC0-BE25-4048-BE57-909292E32D57}" name="TOTAL" totalsRowFunction="custom" dataDxfId="85" totalsRowDxfId="86">
      <calculatedColumnFormula>Tabla13[[#This Row],[CANTIDAD]]*Tabla13[[#This Row],[PRECIO]]*Tabla13[[#This Row],[FACTOR]]</calculatedColumnFormula>
      <totalsRowFormula>SUM(Tabla13[TOTAL])</totalsRowFormula>
    </tableColumn>
  </tableColumns>
  <tableStyleInfo name="S5S Green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68A4B46F-3144-491B-881E-0CA1F99F18D6}" name="Tabla8" displayName="Tabla8" ref="A4:H10" totalsRowCount="1">
  <autoFilter ref="A4:H9" xr:uid="{5A58A32B-698F-431F-A278-AE7997946DB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E703B3D7-50B0-4DB7-99F9-039FF1DE2C56}" name="TIPO" totalsRowLabel="Total"/>
    <tableColumn id="2" xr3:uid="{21FBAEB3-ADBC-4B59-8A24-BAC7279847C9}" name="CÓDIGO"/>
    <tableColumn id="3" xr3:uid="{77CF7E51-D24E-4336-8B8F-35A70A808FB7}" name="DESCRIPCIÓN"/>
    <tableColumn id="4" xr3:uid="{6F74ED24-705F-4344-BD68-0BF9D41E1BAC}" name="UNIDAD" dataDxfId="84"/>
    <tableColumn id="5" xr3:uid="{5FA7B055-6E99-4B2F-9420-12E1C565F6A7}" name="FACTOR" dataDxfId="83">
      <calculatedColumnFormula>1</calculatedColumnFormula>
    </tableColumn>
    <tableColumn id="6" xr3:uid="{67B62A3A-56BA-4469-A656-9BADBEA0C279}" name="CANTIDAD" dataDxfId="82"/>
    <tableColumn id="7" xr3:uid="{2D48EC00-0159-483B-8994-678F41C70434}" name="PRECIO" dataDxfId="80" totalsRowDxfId="81"/>
    <tableColumn id="8" xr3:uid="{ADBD2232-ACEA-4ABF-B7E6-4D3B29339418}" name="TOTAL" totalsRowFunction="custom" dataDxfId="78" totalsRowDxfId="79">
      <calculatedColumnFormula>Tabla8[[#This Row],[CANTIDAD]]*Tabla8[[#This Row],[PRECIO]]*Tabla8[[#This Row],[FACTOR]]</calculatedColumnFormula>
      <totalsRowFormula>SUM(Tabla8[TOTAL])</totalsRowFormula>
    </tableColumn>
  </tableColumns>
  <tableStyleInfo name="S5S Blue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C937D840-7322-4C65-AE19-F845DB8E1CF2}" name="Tabla10" displayName="Tabla10" ref="A14:H19" totalsRowCount="1" headerRowDxfId="77">
  <autoFilter ref="A14:H18" xr:uid="{9C8CF463-9AE7-4DB2-B50D-2CB44FAE31A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3E891871-23FC-4146-9672-32E52913DBE7}" name="TIPO" totalsRowLabel="Total" totalsRowDxfId="76"/>
    <tableColumn id="2" xr3:uid="{7D4955CC-03E7-4E25-B677-5B0ED46CD26F}" name="CÓDIGO"/>
    <tableColumn id="3" xr3:uid="{EE7F651B-B378-4F2D-AA99-8D2EBBB6FC83}" name="DESCRIPCIÓN"/>
    <tableColumn id="4" xr3:uid="{347E2D83-9B7A-46F3-908E-A82D6AB499AF}" name="UNIDAD" dataDxfId="75"/>
    <tableColumn id="5" xr3:uid="{12B4EFC3-87F2-4E7A-9216-2C569DE6B05A}" name="FACTOR" dataDxfId="74"/>
    <tableColumn id="6" xr3:uid="{AA6FA7CE-E754-4A03-ABA9-7EB610EC7EFD}" name="CANTIDAD" dataDxfId="73"/>
    <tableColumn id="7" xr3:uid="{FA334263-1D0A-4F8E-A037-0D63FA7DE9CB}" name="PRECIO" dataDxfId="71" totalsRowDxfId="72"/>
    <tableColumn id="8" xr3:uid="{4BF0E7CC-A774-4016-8384-D22B529C2E23}" name="TOTAL" totalsRowFunction="custom" dataDxfId="69" totalsRowDxfId="70">
      <calculatedColumnFormula>Tabla10[[#This Row],[CANTIDAD]]*Tabla10[[#This Row],[PRECIO]]*Tabla10[[#This Row],[FACTOR]]</calculatedColumnFormula>
      <totalsRowFormula>SUM(Tabla10[TOTAL])</totalsRowFormula>
    </tableColumn>
  </tableColumns>
  <tableStyleInfo name="S5S Blue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C3468C36-323C-4A8D-9BF7-ADEAB93C5333}" name="Tabla22" displayName="Tabla22" ref="A23:H28" totalsRowCount="1" headerRowDxfId="68">
  <autoFilter ref="A23:H27" xr:uid="{0A5C1A6A-23C1-4BA8-B433-CADD322839D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FFE2FB06-B7E9-4FBA-AC7D-2296EF2A5F35}" name="TIPO" totalsRowLabel="Total" totalsRowDxfId="67"/>
    <tableColumn id="2" xr3:uid="{6FA4CC44-E9BB-4FFB-AB11-DC7A573FE163}" name="CÓDIGO"/>
    <tableColumn id="3" xr3:uid="{3F450E5C-D8AB-4CBE-BA5D-FE5766A70A0A}" name="DESCRIPCIÓN"/>
    <tableColumn id="4" xr3:uid="{7578A8D7-0B8F-4F03-ADC3-16FF32AF8C77}" name="UNIDAD" dataDxfId="66"/>
    <tableColumn id="5" xr3:uid="{9AC8AA80-2626-45ED-8BE8-B9342D5354F7}" name="FACTOR" dataDxfId="65"/>
    <tableColumn id="6" xr3:uid="{B8DC29E2-9D73-41B7-907D-3682978CF5A1}" name="CANTIDAD" dataDxfId="64"/>
    <tableColumn id="7" xr3:uid="{A1F65D1D-5233-423E-B645-43FE1629DEBC}" name="PRECIO" dataDxfId="62" totalsRowDxfId="63"/>
    <tableColumn id="8" xr3:uid="{7268C9B7-B720-474C-BE4E-E1B096C8319E}" name="TOTAL" totalsRowFunction="custom" dataDxfId="60" totalsRowDxfId="61">
      <calculatedColumnFormula>Tabla22[[#This Row],[CANTIDAD]]*Tabla22[[#This Row],[PRECIO]]*Tabla22[[#This Row],[FACTOR]]</calculatedColumnFormula>
      <totalsRowFormula>SUM(Tabla22[TOTAL])</totalsRowFormula>
    </tableColumn>
  </tableColumns>
  <tableStyleInfo name="S5S Blue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2CBF1FD4-661C-423B-B9B7-9808AD70C0D0}" name="Tabla7" displayName="Tabla7" ref="B4:H13" totalsRowCount="1" headerRowDxfId="57" dataDxfId="56" totalsRowDxfId="55">
  <autoFilter ref="B4:H12" xr:uid="{0CE6C2F5-C457-4175-9294-FDB2E1B9A655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xr3:uid="{62F62D03-BF73-48A8-B005-E7DB4B114E11}" name="CÓDIGO" totalsRowLabel="Total" dataDxfId="53" totalsRowDxfId="54"/>
    <tableColumn id="2" xr3:uid="{2023E404-8467-4B27-8233-1727AAC872E6}" name="DESCRIPCIÓN" dataDxfId="51" totalsRowDxfId="52"/>
    <tableColumn id="3" xr3:uid="{6A94FF5D-3DCA-4000-B7A6-3483ECF8780E}" name="UNIDAD" dataDxfId="49" totalsRowDxfId="50"/>
    <tableColumn id="4" xr3:uid="{32FB09D4-F59D-43B5-8738-48E13A40B8FA}" name="FACTOR" dataDxfId="47" totalsRowDxfId="48"/>
    <tableColumn id="5" xr3:uid="{DC3C2BC7-7B67-4A6E-9440-6CB9DF035662}" name="CANTIDAD" dataDxfId="45" totalsRowDxfId="46"/>
    <tableColumn id="6" xr3:uid="{2F059AEC-4B5E-4259-AB9E-E8795634A4BA}" name="COSTO" dataDxfId="43" totalsRowDxfId="44"/>
    <tableColumn id="7" xr3:uid="{3A75D2CD-29CC-47EF-BF31-62DA39081302}" name="TOTAL" totalsRowFunction="custom" dataDxfId="41" totalsRowDxfId="42">
      <calculatedColumnFormula>Tabla7[[#This Row],[FACTOR]]*Tabla7[[#This Row],[CANTIDAD]]*Tabla7[[#This Row],[COSTO]]</calculatedColumnFormula>
      <totalsRowFormula>SUM(Tabla7[TOTAL])</totalsRowFormula>
    </tableColumn>
  </tableColumns>
  <tableStyleInfo name="S5S Greenblue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ECF3F4B2-9C45-48EE-897B-498450D77960}" name="Tabla14" displayName="Tabla14" ref="B17:H27" totalsRowCount="1" headerRowDxfId="40" dataDxfId="39" totalsRowDxfId="38">
  <autoFilter ref="B17:H26" xr:uid="{3EDA4C33-785D-4103-B6F7-6453A0C87A7C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xr3:uid="{305AC6E7-38A8-4179-9225-B58FB5C963B0}" name="CÓDIGO" totalsRowLabel="Total" dataDxfId="36" totalsRowDxfId="37"/>
    <tableColumn id="2" xr3:uid="{69EC36F0-0E78-42C7-8723-62A5325CB7E5}" name="DESCRIPCIÓN" dataDxfId="34" totalsRowDxfId="35"/>
    <tableColumn id="3" xr3:uid="{04553378-D8F3-4157-8381-5590153A49D6}" name="UNIDAD" dataDxfId="32" totalsRowDxfId="33"/>
    <tableColumn id="4" xr3:uid="{85914D32-60EA-4F73-8EF1-94C59225FC79}" name="FACTOR" dataDxfId="30" totalsRowDxfId="31"/>
    <tableColumn id="5" xr3:uid="{16E5B5FF-5D15-42D7-84FA-A7BBA19464E2}" name="CANTIDAD" dataDxfId="28" totalsRowDxfId="29"/>
    <tableColumn id="6" xr3:uid="{D2DD4620-225B-4560-B0F5-4BD264037DBB}" name="COSTO" dataDxfId="26" totalsRowDxfId="27"/>
    <tableColumn id="7" xr3:uid="{5385DF3F-F9DB-4B81-A8BF-DDECC93E8ACD}" name="TOTAL" totalsRowFunction="custom" dataDxfId="24" totalsRowDxfId="25">
      <calculatedColumnFormula>Tabla14[[#This Row],[FACTOR]]*Tabla14[[#This Row],[CANTIDAD]]*Tabla14[[#This Row],[COSTO]]</calculatedColumnFormula>
      <totalsRowFormula>SUM(Tabla14[TOTAL])</totalsRowFormula>
    </tableColumn>
  </tableColumns>
  <tableStyleInfo name="S5S Greenblue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30741ED5-26A6-4FBD-929D-8D4AB789ED21}" name="Tabla89" displayName="Tabla89" ref="B31:H37" totalsRowCount="1" headerRowDxfId="23" dataDxfId="22">
  <autoFilter ref="B31:H36" xr:uid="{B0530430-3204-4479-AC28-69643FA216C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xr3:uid="{93D1F274-BDC5-4788-AA40-1D60D523EB9B}" name="CÓDIGO" totalsRowLabel="Total" dataDxfId="20" totalsRowDxfId="21"/>
    <tableColumn id="2" xr3:uid="{D214AA5B-A2AA-4E52-A119-4A962F5AF6E3}" name="DESCRIPCIÓN" dataDxfId="18" totalsRowDxfId="19"/>
    <tableColumn id="3" xr3:uid="{CCF325A7-7BD1-4DBC-A7F4-7E493C954E12}" name="UNIDAD" dataDxfId="16" totalsRowDxfId="17"/>
    <tableColumn id="4" xr3:uid="{6D01A616-27AD-4101-861C-34F057EB3595}" name="FACTOR" dataDxfId="14" totalsRowDxfId="15"/>
    <tableColumn id="5" xr3:uid="{FEDC0588-BB9C-4F0E-BAF1-51AFAB7B3071}" name="CANTIDAD" dataDxfId="12" totalsRowDxfId="13"/>
    <tableColumn id="6" xr3:uid="{135594F8-7F63-4D09-9B1B-6E256486B869}" name="COSTO" dataDxfId="10" totalsRowDxfId="11"/>
    <tableColumn id="7" xr3:uid="{B724EDD4-4228-46A6-841D-2823365B8D9C}" name="TOTAL" totalsRowFunction="custom" dataDxfId="8" totalsRowDxfId="9">
      <calculatedColumnFormula>Tabla89[[#This Row],[FACTOR]]*Tabla89[[#This Row],[CANTIDAD]]*Tabla89[[#This Row],[COSTO]]</calculatedColumnFormula>
      <totalsRowFormula>SUM(Tabla89[TOTAL])</totalsRowFormula>
    </tableColumn>
  </tableColumns>
  <tableStyleInfo name="S5S Greenblue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283D889E-A901-4AFA-89AA-88E99C71027A}" name="Tabla90" displayName="Tabla90" ref="B41:E47" totalsRowShown="0" headerRowDxfId="7">
  <autoFilter ref="B41:E47" xr:uid="{3C08037C-42C9-4059-B666-E3AC352F5B02}">
    <filterColumn colId="0" hiddenButton="1"/>
    <filterColumn colId="1" hiddenButton="1"/>
    <filterColumn colId="2" hiddenButton="1"/>
    <filterColumn colId="3" hiddenButton="1"/>
  </autoFilter>
  <tableColumns count="4">
    <tableColumn id="1" xr3:uid="{E08643B1-A998-41CC-8F06-8454AB76A491}" name="CÓD" dataDxfId="6"/>
    <tableColumn id="2" xr3:uid="{E156409F-437A-4DB3-B03E-795EFDE04134}" name="CAPÍTULO" dataDxfId="5"/>
    <tableColumn id="3" xr3:uid="{80FD63F2-DE51-4F88-B38C-5195B39687BE}" name="PORCENTAJE" dataDxfId="4"/>
    <tableColumn id="4" xr3:uid="{C7DA0C36-34E8-4E55-AEC8-12455903FAE6}" name="SUBTOTAL" dataDxfId="3"/>
  </tableColumns>
  <tableStyleInfo name="S5S Greenblue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CD872495-3C65-40A6-B7FA-AE026B088A5A}" name="Tabla91" displayName="Tabla91" ref="C50:E57" totalsRowShown="0">
  <autoFilter ref="C50:E57" xr:uid="{49CCCF7F-FFF8-4D4E-B845-73C26C917F26}">
    <filterColumn colId="0" hiddenButton="1"/>
    <filterColumn colId="1" hiddenButton="1"/>
    <filterColumn colId="2" hiddenButton="1"/>
  </autoFilter>
  <tableColumns count="3">
    <tableColumn id="1" xr3:uid="{BD926B6C-685A-4FBE-87B7-07CB64764D89}" name="DESCRIPCIÓN" dataDxfId="2"/>
    <tableColumn id="2" xr3:uid="{E30E52A4-9124-489D-8941-7E0B748BC609}" name="PORCENTAJE" dataDxfId="1"/>
    <tableColumn id="3" xr3:uid="{13A9D07B-1641-4863-853A-8DB909FDE0AB}" name="SUBTOTAL" dataDxfId="0"/>
  </tableColumns>
  <tableStyleInfo name="S5S Greenblue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2.bin"/><Relationship Id="rId4" Type="http://schemas.openxmlformats.org/officeDocument/2006/relationships/table" Target="../tables/table10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.xml"/><Relationship Id="rId2" Type="http://schemas.openxmlformats.org/officeDocument/2006/relationships/table" Target="../tables/table11.xml"/><Relationship Id="rId1" Type="http://schemas.openxmlformats.org/officeDocument/2006/relationships/printerSettings" Target="../printerSettings/printerSettings3.bin"/><Relationship Id="rId4" Type="http://schemas.openxmlformats.org/officeDocument/2006/relationships/table" Target="../tables/table1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.xml"/><Relationship Id="rId7" Type="http://schemas.openxmlformats.org/officeDocument/2006/relationships/table" Target="../tables/table18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Relationship Id="rId6" Type="http://schemas.openxmlformats.org/officeDocument/2006/relationships/table" Target="../tables/table17.xml"/><Relationship Id="rId5" Type="http://schemas.openxmlformats.org/officeDocument/2006/relationships/table" Target="../tables/table16.xml"/><Relationship Id="rId4" Type="http://schemas.openxmlformats.org/officeDocument/2006/relationships/table" Target="../tables/table1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80F47-272A-4C66-9BDF-4FB511BFB324}">
  <sheetPr codeName="Hoja2">
    <tabColor rgb="FF00AC56"/>
    <pageSetUpPr fitToPage="1"/>
  </sheetPr>
  <dimension ref="A1:AQ147"/>
  <sheetViews>
    <sheetView showGridLines="0" zoomScale="90" zoomScaleNormal="90" zoomScaleSheetLayoutView="50" workbookViewId="0">
      <selection activeCell="B4" sqref="B4"/>
    </sheetView>
  </sheetViews>
  <sheetFormatPr baseColWidth="10" defaultColWidth="8.6640625" defaultRowHeight="14.4" x14ac:dyDescent="0.3"/>
  <cols>
    <col min="1" max="1" width="30.5546875" style="2" customWidth="1"/>
    <col min="2" max="2" width="40.77734375" style="2" customWidth="1"/>
    <col min="3" max="3" width="13.6640625" style="3" bestFit="1" customWidth="1"/>
    <col min="4" max="4" width="10.44140625" style="5" bestFit="1" customWidth="1"/>
    <col min="5" max="5" width="9.6640625" bestFit="1" customWidth="1"/>
    <col min="6" max="6" width="1.6640625" customWidth="1"/>
    <col min="7" max="7" width="28.33203125" style="2" bestFit="1" customWidth="1"/>
    <col min="8" max="8" width="15" style="2" customWidth="1"/>
    <col min="9" max="9" width="15" style="3" customWidth="1"/>
    <col min="10" max="10" width="12.109375" style="4" customWidth="1"/>
    <col min="11" max="11" width="15" customWidth="1"/>
    <col min="12" max="12" width="1.109375" customWidth="1"/>
    <col min="13" max="13" width="28" style="2" customWidth="1"/>
    <col min="14" max="14" width="10.5546875" style="2" bestFit="1" customWidth="1"/>
    <col min="15" max="15" width="13.109375" style="3" bestFit="1" customWidth="1"/>
    <col min="16" max="16" width="12.109375" style="4" bestFit="1" customWidth="1"/>
    <col min="17" max="17" width="12" bestFit="1" customWidth="1"/>
    <col min="18" max="18" width="1.44140625" customWidth="1"/>
    <col min="19" max="19" width="31.33203125" style="2" bestFit="1" customWidth="1"/>
    <col min="20" max="20" width="10.5546875" style="2" bestFit="1" customWidth="1"/>
    <col min="21" max="21" width="13.109375" style="3" bestFit="1" customWidth="1"/>
    <col min="22" max="22" width="11.109375" style="4" bestFit="1" customWidth="1"/>
    <col min="23" max="23" width="11.5546875" bestFit="1" customWidth="1"/>
    <col min="24" max="24" width="1.33203125" customWidth="1"/>
    <col min="25" max="25" width="34.109375" style="2" customWidth="1"/>
    <col min="26" max="26" width="10.5546875" style="2" bestFit="1" customWidth="1"/>
    <col min="27" max="27" width="13.109375" style="3" bestFit="1" customWidth="1"/>
    <col min="28" max="28" width="12.109375" style="4" customWidth="1"/>
    <col min="29" max="29" width="11.5546875" bestFit="1" customWidth="1"/>
    <col min="30" max="30" width="1.33203125" customWidth="1"/>
    <col min="31" max="31" width="36.109375" style="2" customWidth="1"/>
    <col min="32" max="32" width="10.5546875" style="2" bestFit="1" customWidth="1"/>
    <col min="33" max="33" width="13.109375" style="3" bestFit="1" customWidth="1"/>
    <col min="34" max="34" width="12.109375" style="4" bestFit="1" customWidth="1"/>
    <col min="35" max="35" width="11.5546875" bestFit="1" customWidth="1"/>
    <col min="36" max="36" width="1.44140625" customWidth="1"/>
    <col min="37" max="37" width="28.88671875" style="2" customWidth="1"/>
    <col min="38" max="38" width="10.5546875" style="2" bestFit="1" customWidth="1"/>
    <col min="39" max="39" width="13.109375" style="3" bestFit="1" customWidth="1"/>
    <col min="40" max="40" width="11.109375" style="4" bestFit="1" customWidth="1"/>
    <col min="41" max="41" width="11.5546875" bestFit="1" customWidth="1"/>
    <col min="42" max="42" width="2" customWidth="1"/>
    <col min="43" max="43" width="11.5546875" customWidth="1"/>
    <col min="44" max="44" width="1.33203125" customWidth="1"/>
    <col min="45" max="45" width="15.33203125" bestFit="1" customWidth="1"/>
    <col min="46" max="46" width="1.33203125" customWidth="1"/>
    <col min="47" max="47" width="15.33203125" bestFit="1" customWidth="1"/>
    <col min="48" max="48" width="1.6640625" customWidth="1"/>
  </cols>
  <sheetData>
    <row r="1" spans="1:43" ht="30" customHeight="1" x14ac:dyDescent="0.3">
      <c r="A1" s="1" t="s">
        <v>0</v>
      </c>
      <c r="B1" s="1"/>
      <c r="C1" s="1"/>
      <c r="D1" s="1"/>
      <c r="E1" s="1"/>
    </row>
    <row r="2" spans="1:43" ht="3" customHeight="1" thickBot="1" x14ac:dyDescent="0.35"/>
    <row r="3" spans="1:43" ht="18.600000000000001" thickBot="1" x14ac:dyDescent="0.4">
      <c r="A3" s="6" t="s">
        <v>1</v>
      </c>
      <c r="B3" s="7"/>
      <c r="C3" s="7"/>
      <c r="D3" s="7"/>
      <c r="E3" s="8"/>
      <c r="G3" s="6" t="s">
        <v>2</v>
      </c>
      <c r="H3" s="7"/>
      <c r="I3" s="7"/>
      <c r="J3" s="7"/>
      <c r="K3" s="8"/>
      <c r="M3" s="6" t="s">
        <v>3</v>
      </c>
      <c r="N3" s="7"/>
      <c r="O3" s="7"/>
      <c r="P3" s="7"/>
      <c r="Q3" s="8"/>
      <c r="S3" s="6" t="s">
        <v>4</v>
      </c>
      <c r="T3" s="7"/>
      <c r="U3" s="7"/>
      <c r="V3" s="7"/>
      <c r="W3" s="8"/>
      <c r="Y3" s="6" t="s">
        <v>5</v>
      </c>
      <c r="Z3" s="7"/>
      <c r="AA3" s="7"/>
      <c r="AB3" s="7"/>
      <c r="AC3" s="8"/>
      <c r="AD3" s="3"/>
      <c r="AE3" s="6" t="s">
        <v>6</v>
      </c>
      <c r="AF3" s="7"/>
      <c r="AG3" s="7"/>
      <c r="AH3" s="7"/>
      <c r="AI3" s="8"/>
      <c r="AK3" s="6" t="s">
        <v>7</v>
      </c>
      <c r="AL3" s="7"/>
      <c r="AM3" s="7"/>
      <c r="AN3" s="7"/>
      <c r="AO3" s="8"/>
      <c r="AP3" s="9"/>
      <c r="AQ3" s="9"/>
    </row>
    <row r="4" spans="1:43" ht="15.6" x14ac:dyDescent="0.3">
      <c r="A4" s="10" t="s">
        <v>8</v>
      </c>
      <c r="B4" s="10" t="s">
        <v>9</v>
      </c>
      <c r="C4" s="11" t="s">
        <v>10</v>
      </c>
      <c r="D4" s="12" t="s">
        <v>11</v>
      </c>
      <c r="E4" s="13" t="s">
        <v>12</v>
      </c>
      <c r="G4" s="10" t="s">
        <v>8</v>
      </c>
      <c r="H4" s="10" t="s">
        <v>9</v>
      </c>
      <c r="I4" s="11" t="s">
        <v>10</v>
      </c>
      <c r="J4" s="14" t="s">
        <v>11</v>
      </c>
      <c r="K4" s="13" t="s">
        <v>12</v>
      </c>
      <c r="M4" s="15" t="s">
        <v>8</v>
      </c>
      <c r="N4" s="15" t="s">
        <v>9</v>
      </c>
      <c r="O4" s="16" t="s">
        <v>10</v>
      </c>
      <c r="P4" s="17" t="s">
        <v>11</v>
      </c>
      <c r="Q4" s="18" t="s">
        <v>12</v>
      </c>
      <c r="S4" s="15" t="s">
        <v>8</v>
      </c>
      <c r="T4" s="15" t="s">
        <v>9</v>
      </c>
      <c r="U4" s="16" t="s">
        <v>10</v>
      </c>
      <c r="V4" s="17" t="s">
        <v>11</v>
      </c>
      <c r="W4" s="18" t="s">
        <v>12</v>
      </c>
      <c r="Y4" s="15" t="s">
        <v>8</v>
      </c>
      <c r="Z4" s="15" t="s">
        <v>9</v>
      </c>
      <c r="AA4" s="16" t="s">
        <v>10</v>
      </c>
      <c r="AB4" s="17" t="s">
        <v>11</v>
      </c>
      <c r="AC4" s="18" t="s">
        <v>12</v>
      </c>
      <c r="AE4" s="15" t="s">
        <v>8</v>
      </c>
      <c r="AF4" s="15" t="s">
        <v>9</v>
      </c>
      <c r="AG4" s="16" t="s">
        <v>10</v>
      </c>
      <c r="AH4" s="17" t="s">
        <v>11</v>
      </c>
      <c r="AI4" s="18" t="s">
        <v>12</v>
      </c>
      <c r="AK4" s="15" t="s">
        <v>8</v>
      </c>
      <c r="AL4" s="15" t="s">
        <v>9</v>
      </c>
      <c r="AM4" s="16" t="s">
        <v>10</v>
      </c>
      <c r="AN4" s="17" t="s">
        <v>11</v>
      </c>
      <c r="AO4" s="18" t="s">
        <v>12</v>
      </c>
    </row>
    <row r="5" spans="1:43" ht="15.6" x14ac:dyDescent="0.3">
      <c r="A5" s="10" t="s">
        <v>13</v>
      </c>
      <c r="B5" s="10"/>
      <c r="C5" s="11" t="s">
        <v>14</v>
      </c>
      <c r="D5" s="12">
        <v>2694</v>
      </c>
      <c r="E5" s="19"/>
      <c r="G5" s="10" t="s">
        <v>15</v>
      </c>
      <c r="H5" s="10"/>
      <c r="I5" s="11" t="s">
        <v>16</v>
      </c>
      <c r="J5" s="12">
        <v>100000</v>
      </c>
      <c r="K5" s="19"/>
      <c r="M5" s="10" t="s">
        <v>17</v>
      </c>
      <c r="N5" s="10"/>
      <c r="O5" s="11" t="s">
        <v>18</v>
      </c>
      <c r="P5" s="12">
        <v>21793</v>
      </c>
      <c r="Q5" s="19"/>
      <c r="S5" s="15"/>
      <c r="T5" s="15"/>
      <c r="U5" s="16"/>
      <c r="V5" s="17"/>
      <c r="W5" s="18"/>
      <c r="Y5" s="15"/>
      <c r="Z5" s="15"/>
      <c r="AA5" s="16"/>
      <c r="AB5" s="17"/>
      <c r="AC5" s="18"/>
      <c r="AE5" s="15"/>
      <c r="AF5" s="15"/>
      <c r="AG5" s="16"/>
      <c r="AH5" s="17"/>
      <c r="AI5" s="18"/>
      <c r="AK5" s="15"/>
      <c r="AL5" s="15"/>
      <c r="AM5" s="16"/>
      <c r="AN5" s="17"/>
      <c r="AO5" s="18"/>
    </row>
    <row r="6" spans="1:43" ht="15.6" x14ac:dyDescent="0.3">
      <c r="A6" s="10" t="s">
        <v>19</v>
      </c>
      <c r="B6" s="10"/>
      <c r="C6" s="11" t="s">
        <v>20</v>
      </c>
      <c r="D6" s="12">
        <v>25</v>
      </c>
      <c r="E6" s="13"/>
      <c r="G6" s="10" t="s">
        <v>21</v>
      </c>
      <c r="H6" s="10"/>
      <c r="I6" s="11" t="s">
        <v>22</v>
      </c>
      <c r="J6" s="12">
        <v>110215</v>
      </c>
      <c r="K6" s="13"/>
      <c r="M6" s="15"/>
      <c r="N6" s="15"/>
      <c r="O6" s="16"/>
      <c r="P6" s="17"/>
      <c r="Q6" s="18"/>
      <c r="S6" s="15"/>
      <c r="T6" s="15"/>
      <c r="U6" s="16"/>
      <c r="V6" s="17"/>
      <c r="W6" s="18"/>
      <c r="Y6" s="15"/>
      <c r="Z6" s="15"/>
      <c r="AA6" s="16"/>
      <c r="AB6" s="17"/>
      <c r="AC6" s="18"/>
      <c r="AE6" s="15"/>
      <c r="AF6" s="15"/>
      <c r="AG6" s="16"/>
      <c r="AH6" s="17"/>
      <c r="AI6" s="18"/>
      <c r="AK6" s="15"/>
      <c r="AL6" s="15"/>
      <c r="AM6" s="16"/>
      <c r="AN6" s="17"/>
      <c r="AO6" s="18"/>
    </row>
    <row r="7" spans="1:43" ht="15.6" x14ac:dyDescent="0.3">
      <c r="A7" s="10" t="s">
        <v>23</v>
      </c>
      <c r="B7" s="10"/>
      <c r="C7" s="11" t="s">
        <v>14</v>
      </c>
      <c r="D7" s="12">
        <v>7400</v>
      </c>
      <c r="E7" s="19"/>
      <c r="G7" s="10"/>
      <c r="H7" s="10"/>
      <c r="I7" s="11"/>
      <c r="J7" s="14"/>
      <c r="K7" s="13"/>
      <c r="M7" s="15"/>
      <c r="N7" s="15"/>
      <c r="O7" s="16"/>
      <c r="P7" s="17"/>
      <c r="Q7" s="18"/>
      <c r="S7" s="15"/>
      <c r="T7" s="15"/>
      <c r="U7" s="16"/>
      <c r="V7" s="17"/>
      <c r="W7" s="18"/>
      <c r="Y7" s="15"/>
      <c r="Z7" s="15"/>
      <c r="AA7" s="16"/>
      <c r="AB7" s="17"/>
      <c r="AC7" s="18"/>
      <c r="AE7" s="15"/>
      <c r="AF7" s="15"/>
      <c r="AG7" s="16"/>
      <c r="AH7" s="17"/>
      <c r="AI7" s="18"/>
      <c r="AK7" s="15"/>
      <c r="AL7" s="15"/>
      <c r="AM7" s="16"/>
      <c r="AN7" s="17"/>
      <c r="AO7" s="18"/>
    </row>
    <row r="8" spans="1:43" ht="15.6" x14ac:dyDescent="0.3">
      <c r="A8" s="10" t="s">
        <v>24</v>
      </c>
      <c r="B8" s="10"/>
      <c r="C8" s="11" t="s">
        <v>25</v>
      </c>
      <c r="D8" s="12">
        <v>285000</v>
      </c>
      <c r="E8" s="13"/>
      <c r="G8" s="10"/>
      <c r="H8" s="10"/>
      <c r="I8" s="11"/>
      <c r="J8" s="14"/>
      <c r="K8" s="13"/>
      <c r="M8" s="15"/>
      <c r="N8" s="15"/>
      <c r="O8" s="16"/>
      <c r="P8" s="17"/>
      <c r="Q8" s="18"/>
      <c r="S8" s="15"/>
      <c r="T8" s="15"/>
      <c r="U8" s="16"/>
      <c r="V8" s="17"/>
      <c r="W8" s="18"/>
      <c r="Y8" s="15"/>
      <c r="Z8" s="15"/>
      <c r="AA8" s="16"/>
      <c r="AB8" s="17"/>
      <c r="AC8" s="18"/>
      <c r="AE8" s="15"/>
      <c r="AF8" s="15"/>
      <c r="AG8" s="16"/>
      <c r="AH8" s="17"/>
      <c r="AI8" s="18"/>
      <c r="AK8" s="15"/>
      <c r="AL8" s="15"/>
      <c r="AM8" s="16"/>
      <c r="AN8" s="17"/>
      <c r="AO8" s="18"/>
    </row>
    <row r="9" spans="1:43" ht="15.6" x14ac:dyDescent="0.3">
      <c r="A9" s="10" t="s">
        <v>26</v>
      </c>
      <c r="B9" s="10"/>
      <c r="C9" s="11" t="s">
        <v>14</v>
      </c>
      <c r="D9" s="12">
        <v>486</v>
      </c>
      <c r="E9" s="13"/>
      <c r="G9" s="10"/>
      <c r="H9" s="10"/>
      <c r="I9" s="11"/>
      <c r="J9" s="14"/>
      <c r="K9" s="13"/>
      <c r="M9" s="15"/>
      <c r="N9" s="15"/>
      <c r="O9" s="16"/>
      <c r="P9" s="17"/>
      <c r="Q9" s="18"/>
      <c r="S9" s="15"/>
      <c r="T9" s="15"/>
      <c r="U9" s="16"/>
      <c r="V9" s="17"/>
      <c r="W9" s="18"/>
      <c r="Y9" s="15"/>
      <c r="Z9" s="15"/>
      <c r="AA9" s="16"/>
      <c r="AB9" s="17"/>
      <c r="AC9" s="18"/>
      <c r="AE9" s="15"/>
      <c r="AF9" s="15"/>
      <c r="AG9" s="16"/>
      <c r="AH9" s="17"/>
      <c r="AI9" s="18"/>
      <c r="AK9" s="15"/>
      <c r="AL9" s="15"/>
      <c r="AM9" s="16"/>
      <c r="AN9" s="17"/>
      <c r="AO9" s="18"/>
    </row>
    <row r="10" spans="1:43" ht="15.6" x14ac:dyDescent="0.3">
      <c r="A10" s="10" t="s">
        <v>27</v>
      </c>
      <c r="B10" s="10"/>
      <c r="C10" s="11" t="s">
        <v>25</v>
      </c>
      <c r="D10" s="12">
        <v>72500</v>
      </c>
      <c r="E10" s="13"/>
      <c r="G10" s="10"/>
      <c r="H10" s="10"/>
      <c r="I10" s="11"/>
      <c r="J10" s="14"/>
      <c r="K10" s="13"/>
      <c r="M10" s="15"/>
      <c r="N10" s="15"/>
      <c r="O10" s="16"/>
      <c r="P10" s="17"/>
      <c r="Q10" s="18"/>
      <c r="S10" s="15"/>
      <c r="T10" s="15"/>
      <c r="U10" s="16"/>
      <c r="V10" s="17"/>
      <c r="W10" s="18"/>
      <c r="Y10" s="15"/>
      <c r="Z10" s="15"/>
      <c r="AA10" s="16"/>
      <c r="AB10" s="17"/>
      <c r="AC10" s="18"/>
      <c r="AE10" s="15"/>
      <c r="AF10" s="15"/>
      <c r="AG10" s="16"/>
      <c r="AH10" s="17"/>
      <c r="AI10" s="18"/>
      <c r="AK10" s="15"/>
      <c r="AL10" s="15"/>
      <c r="AM10" s="16"/>
      <c r="AN10" s="17"/>
      <c r="AO10" s="18"/>
    </row>
    <row r="11" spans="1:43" ht="15.6" x14ac:dyDescent="0.3">
      <c r="E11" s="13"/>
      <c r="G11" s="10"/>
      <c r="H11" s="10"/>
      <c r="I11" s="11"/>
      <c r="J11" s="14"/>
      <c r="K11" s="13"/>
      <c r="M11" s="15"/>
      <c r="N11" s="15"/>
      <c r="O11" s="16"/>
      <c r="P11" s="17"/>
      <c r="Q11" s="18"/>
      <c r="S11" s="15"/>
      <c r="T11" s="15"/>
      <c r="U11" s="16"/>
      <c r="V11" s="17"/>
      <c r="W11" s="18"/>
      <c r="Y11" s="15"/>
      <c r="Z11" s="15"/>
      <c r="AA11" s="16"/>
      <c r="AB11" s="17"/>
      <c r="AC11" s="18"/>
      <c r="AE11" s="15"/>
      <c r="AF11" s="15"/>
      <c r="AG11" s="16"/>
      <c r="AH11" s="17"/>
      <c r="AI11" s="18"/>
      <c r="AK11" s="15"/>
      <c r="AL11" s="15"/>
      <c r="AM11" s="16"/>
      <c r="AN11" s="17"/>
      <c r="AO11" s="18"/>
    </row>
    <row r="12" spans="1:43" ht="15.6" x14ac:dyDescent="0.3">
      <c r="A12" s="10"/>
      <c r="B12" s="10"/>
      <c r="C12" s="11"/>
      <c r="D12" s="12"/>
      <c r="E12" s="13"/>
    </row>
    <row r="13" spans="1:43" ht="15.6" x14ac:dyDescent="0.3">
      <c r="A13" s="10"/>
      <c r="B13" s="10"/>
      <c r="C13" s="11"/>
      <c r="D13" s="12"/>
      <c r="E13" s="13"/>
    </row>
    <row r="14" spans="1:43" ht="15.6" x14ac:dyDescent="0.3">
      <c r="A14" s="10"/>
      <c r="B14" s="10"/>
      <c r="C14" s="11"/>
      <c r="D14" s="12"/>
      <c r="E14" s="13"/>
    </row>
    <row r="15" spans="1:43" ht="15.6" x14ac:dyDescent="0.3">
      <c r="A15" s="10"/>
      <c r="B15" s="10"/>
      <c r="C15" s="11"/>
      <c r="D15" s="12"/>
      <c r="E15" s="13"/>
    </row>
    <row r="22" spans="12:39" x14ac:dyDescent="0.3">
      <c r="O22" s="20"/>
    </row>
    <row r="23" spans="12:39" x14ac:dyDescent="0.3">
      <c r="O23" s="20"/>
      <c r="T23" s="3"/>
      <c r="U23" s="21"/>
    </row>
    <row r="24" spans="12:39" x14ac:dyDescent="0.3">
      <c r="O24" s="20"/>
      <c r="AL24" s="3"/>
      <c r="AM24" s="21"/>
    </row>
    <row r="25" spans="12:39" x14ac:dyDescent="0.3">
      <c r="O25" s="20"/>
    </row>
    <row r="26" spans="12:39" x14ac:dyDescent="0.3">
      <c r="O26" s="20"/>
    </row>
    <row r="27" spans="12:39" x14ac:dyDescent="0.3">
      <c r="O27" s="20"/>
    </row>
    <row r="28" spans="12:39" x14ac:dyDescent="0.3">
      <c r="L28" s="2"/>
      <c r="O28" s="20"/>
      <c r="R28" s="2"/>
      <c r="X28" s="2"/>
      <c r="AD28" s="2"/>
      <c r="AJ28" s="2"/>
    </row>
    <row r="29" spans="12:39" x14ac:dyDescent="0.3">
      <c r="O29" s="20"/>
    </row>
    <row r="30" spans="12:39" x14ac:dyDescent="0.3">
      <c r="O30" s="20"/>
    </row>
    <row r="31" spans="12:39" x14ac:dyDescent="0.3">
      <c r="O31" s="20"/>
    </row>
    <row r="32" spans="12:39" x14ac:dyDescent="0.3">
      <c r="O32" s="20"/>
    </row>
    <row r="33" spans="15:33" x14ac:dyDescent="0.3">
      <c r="O33" s="20"/>
    </row>
    <row r="34" spans="15:33" x14ac:dyDescent="0.3">
      <c r="O34" s="20"/>
    </row>
    <row r="35" spans="15:33" x14ac:dyDescent="0.3">
      <c r="O35" s="20"/>
    </row>
    <row r="36" spans="15:33" x14ac:dyDescent="0.3">
      <c r="O36" s="20"/>
    </row>
    <row r="37" spans="15:33" x14ac:dyDescent="0.3">
      <c r="O37" s="20"/>
    </row>
    <row r="38" spans="15:33" x14ac:dyDescent="0.3">
      <c r="O38" s="20"/>
    </row>
    <row r="39" spans="15:33" x14ac:dyDescent="0.3">
      <c r="O39" s="20"/>
    </row>
    <row r="40" spans="15:33" x14ac:dyDescent="0.3">
      <c r="O40" s="20"/>
      <c r="AG40" s="20"/>
    </row>
    <row r="41" spans="15:33" x14ac:dyDescent="0.3">
      <c r="O41" s="20"/>
      <c r="AG41" s="20"/>
    </row>
    <row r="42" spans="15:33" x14ac:dyDescent="0.3">
      <c r="O42" s="20"/>
      <c r="AG42" s="20"/>
    </row>
    <row r="43" spans="15:33" x14ac:dyDescent="0.3">
      <c r="O43" s="20"/>
      <c r="AG43" s="20"/>
    </row>
    <row r="44" spans="15:33" x14ac:dyDescent="0.3">
      <c r="O44" s="20"/>
      <c r="AG44" s="20"/>
    </row>
    <row r="45" spans="15:33" x14ac:dyDescent="0.3">
      <c r="O45" s="20"/>
      <c r="AG45" s="20"/>
    </row>
    <row r="46" spans="15:33" x14ac:dyDescent="0.3">
      <c r="O46" s="20"/>
      <c r="AG46" s="20"/>
    </row>
    <row r="47" spans="15:33" x14ac:dyDescent="0.3">
      <c r="O47" s="20"/>
      <c r="AG47" s="20"/>
    </row>
    <row r="48" spans="15:33" x14ac:dyDescent="0.3">
      <c r="O48" s="20"/>
      <c r="AG48" s="20"/>
    </row>
    <row r="49" spans="9:33" x14ac:dyDescent="0.3">
      <c r="O49" s="20"/>
      <c r="AA49" s="20"/>
      <c r="AG49" s="20"/>
    </row>
    <row r="50" spans="9:33" x14ac:dyDescent="0.3">
      <c r="I50" s="20"/>
      <c r="O50" s="20"/>
      <c r="AA50" s="20"/>
      <c r="AG50" s="20"/>
    </row>
    <row r="51" spans="9:33" x14ac:dyDescent="0.3">
      <c r="I51" s="20"/>
      <c r="O51" s="20"/>
      <c r="AA51" s="20"/>
      <c r="AG51" s="20"/>
    </row>
    <row r="52" spans="9:33" x14ac:dyDescent="0.3">
      <c r="I52" s="20"/>
      <c r="O52" s="20"/>
      <c r="AA52" s="20"/>
      <c r="AG52" s="20"/>
    </row>
    <row r="53" spans="9:33" x14ac:dyDescent="0.3">
      <c r="I53" s="20"/>
      <c r="O53" s="20"/>
      <c r="AA53" s="20"/>
      <c r="AG53" s="20"/>
    </row>
    <row r="54" spans="9:33" x14ac:dyDescent="0.3">
      <c r="I54" s="20"/>
      <c r="O54" s="20"/>
      <c r="AA54" s="20"/>
      <c r="AG54" s="20"/>
    </row>
    <row r="55" spans="9:33" x14ac:dyDescent="0.3">
      <c r="I55" s="20"/>
      <c r="O55" s="20"/>
      <c r="AA55" s="20"/>
      <c r="AG55" s="20"/>
    </row>
    <row r="56" spans="9:33" x14ac:dyDescent="0.3">
      <c r="I56" s="20"/>
      <c r="O56" s="20"/>
      <c r="AA56" s="20"/>
      <c r="AG56" s="20"/>
    </row>
    <row r="57" spans="9:33" x14ac:dyDescent="0.3">
      <c r="I57" s="20"/>
      <c r="O57" s="20"/>
      <c r="AA57" s="20"/>
      <c r="AG57" s="20"/>
    </row>
    <row r="58" spans="9:33" x14ac:dyDescent="0.3">
      <c r="I58" s="20"/>
      <c r="O58" s="20"/>
      <c r="AA58" s="20"/>
      <c r="AG58" s="20"/>
    </row>
    <row r="59" spans="9:33" x14ac:dyDescent="0.3">
      <c r="I59" s="20"/>
      <c r="O59" s="20"/>
      <c r="AA59" s="20"/>
      <c r="AG59" s="20"/>
    </row>
    <row r="60" spans="9:33" x14ac:dyDescent="0.3">
      <c r="I60" s="20"/>
      <c r="O60" s="20"/>
      <c r="AA60" s="20"/>
      <c r="AG60" s="20"/>
    </row>
    <row r="61" spans="9:33" x14ac:dyDescent="0.3">
      <c r="I61" s="20"/>
      <c r="O61" s="20"/>
      <c r="AA61" s="20"/>
      <c r="AG61" s="20"/>
    </row>
    <row r="62" spans="9:33" x14ac:dyDescent="0.3">
      <c r="I62" s="20"/>
      <c r="O62" s="20"/>
      <c r="AA62" s="20"/>
      <c r="AG62" s="20"/>
    </row>
    <row r="63" spans="9:33" x14ac:dyDescent="0.3">
      <c r="I63" s="20"/>
      <c r="O63" s="20"/>
      <c r="AA63" s="20"/>
      <c r="AG63" s="20"/>
    </row>
    <row r="64" spans="9:33" x14ac:dyDescent="0.3">
      <c r="I64" s="20"/>
      <c r="O64" s="20"/>
      <c r="AA64" s="20"/>
      <c r="AG64" s="20"/>
    </row>
    <row r="65" spans="9:33" x14ac:dyDescent="0.3">
      <c r="I65" s="20"/>
      <c r="O65" s="20"/>
      <c r="AA65" s="20"/>
      <c r="AG65" s="20"/>
    </row>
    <row r="66" spans="9:33" x14ac:dyDescent="0.3">
      <c r="I66" s="20"/>
      <c r="O66" s="20"/>
      <c r="AA66" s="20"/>
      <c r="AG66" s="20"/>
    </row>
    <row r="67" spans="9:33" x14ac:dyDescent="0.3">
      <c r="I67" s="20"/>
      <c r="O67" s="20"/>
      <c r="AA67" s="20"/>
      <c r="AG67" s="20"/>
    </row>
    <row r="68" spans="9:33" x14ac:dyDescent="0.3">
      <c r="I68" s="20"/>
      <c r="O68" s="20"/>
      <c r="AA68" s="20"/>
      <c r="AG68" s="20"/>
    </row>
    <row r="69" spans="9:33" x14ac:dyDescent="0.3">
      <c r="I69" s="20"/>
      <c r="O69" s="20"/>
      <c r="AA69" s="20"/>
      <c r="AG69" s="20"/>
    </row>
    <row r="70" spans="9:33" x14ac:dyDescent="0.3">
      <c r="I70" s="20"/>
      <c r="O70" s="20"/>
      <c r="AA70" s="20"/>
      <c r="AG70" s="20"/>
    </row>
    <row r="71" spans="9:33" x14ac:dyDescent="0.3">
      <c r="I71" s="20"/>
      <c r="O71" s="20"/>
      <c r="AA71" s="20"/>
      <c r="AG71" s="20"/>
    </row>
    <row r="72" spans="9:33" x14ac:dyDescent="0.3">
      <c r="I72" s="20"/>
      <c r="O72" s="20"/>
      <c r="AA72" s="20"/>
      <c r="AG72" s="20"/>
    </row>
    <row r="73" spans="9:33" x14ac:dyDescent="0.3">
      <c r="I73" s="20"/>
      <c r="O73" s="20"/>
      <c r="U73" s="20"/>
      <c r="AA73" s="20"/>
      <c r="AG73" s="20"/>
    </row>
    <row r="74" spans="9:33" x14ac:dyDescent="0.3">
      <c r="I74" s="20"/>
      <c r="O74" s="20"/>
      <c r="U74" s="20"/>
      <c r="AA74" s="20"/>
      <c r="AG74" s="20"/>
    </row>
    <row r="75" spans="9:33" x14ac:dyDescent="0.3">
      <c r="I75" s="20"/>
      <c r="O75" s="20"/>
      <c r="U75" s="20"/>
      <c r="AA75" s="20"/>
      <c r="AG75" s="20"/>
    </row>
    <row r="76" spans="9:33" x14ac:dyDescent="0.3">
      <c r="I76" s="20"/>
      <c r="O76" s="20"/>
      <c r="U76" s="20"/>
      <c r="AA76" s="20"/>
      <c r="AG76" s="20"/>
    </row>
    <row r="77" spans="9:33" x14ac:dyDescent="0.3">
      <c r="I77" s="20"/>
      <c r="O77" s="20"/>
      <c r="U77" s="20"/>
      <c r="AA77" s="20"/>
      <c r="AG77" s="20"/>
    </row>
    <row r="78" spans="9:33" x14ac:dyDescent="0.3">
      <c r="I78" s="20"/>
      <c r="O78" s="20"/>
      <c r="U78" s="20"/>
      <c r="AA78" s="20"/>
      <c r="AG78" s="20"/>
    </row>
    <row r="79" spans="9:33" x14ac:dyDescent="0.3">
      <c r="I79" s="20"/>
      <c r="O79" s="20"/>
      <c r="U79" s="20"/>
      <c r="AA79" s="20"/>
      <c r="AG79" s="20"/>
    </row>
    <row r="80" spans="9:33" x14ac:dyDescent="0.3">
      <c r="I80" s="20"/>
      <c r="O80" s="20"/>
      <c r="U80" s="20"/>
      <c r="AA80" s="20"/>
      <c r="AG80" s="20"/>
    </row>
    <row r="81" spans="9:33" x14ac:dyDescent="0.3">
      <c r="I81" s="20"/>
      <c r="O81" s="20"/>
      <c r="U81" s="20"/>
      <c r="AA81" s="20"/>
      <c r="AG81" s="20"/>
    </row>
    <row r="82" spans="9:33" x14ac:dyDescent="0.3">
      <c r="I82" s="20"/>
      <c r="O82" s="20"/>
      <c r="U82" s="20"/>
      <c r="AA82" s="20"/>
      <c r="AG82" s="20"/>
    </row>
    <row r="83" spans="9:33" x14ac:dyDescent="0.3">
      <c r="I83" s="20"/>
      <c r="O83" s="20"/>
      <c r="U83" s="20"/>
      <c r="AA83" s="20"/>
      <c r="AG83" s="20"/>
    </row>
    <row r="84" spans="9:33" x14ac:dyDescent="0.3">
      <c r="I84" s="20"/>
      <c r="O84" s="20"/>
      <c r="U84" s="20"/>
      <c r="AA84" s="20"/>
      <c r="AG84" s="20"/>
    </row>
    <row r="85" spans="9:33" x14ac:dyDescent="0.3">
      <c r="I85" s="20"/>
      <c r="O85" s="20"/>
      <c r="U85" s="20"/>
      <c r="AA85" s="20"/>
      <c r="AG85" s="20"/>
    </row>
    <row r="86" spans="9:33" x14ac:dyDescent="0.3">
      <c r="I86" s="20"/>
      <c r="O86" s="20"/>
      <c r="U86" s="20"/>
      <c r="AA86" s="20"/>
      <c r="AG86" s="20"/>
    </row>
    <row r="87" spans="9:33" x14ac:dyDescent="0.3">
      <c r="I87" s="20"/>
      <c r="O87" s="20"/>
      <c r="U87" s="20"/>
      <c r="AA87" s="20"/>
      <c r="AG87" s="20"/>
    </row>
    <row r="88" spans="9:33" x14ac:dyDescent="0.3">
      <c r="I88" s="20"/>
      <c r="O88" s="20"/>
      <c r="U88" s="20"/>
      <c r="AA88" s="20"/>
      <c r="AG88" s="20"/>
    </row>
    <row r="89" spans="9:33" x14ac:dyDescent="0.3">
      <c r="I89" s="20"/>
      <c r="O89" s="20"/>
      <c r="U89" s="20"/>
      <c r="AA89" s="20"/>
      <c r="AG89" s="20"/>
    </row>
    <row r="90" spans="9:33" x14ac:dyDescent="0.3">
      <c r="I90" s="20"/>
      <c r="O90" s="20"/>
      <c r="U90" s="20"/>
      <c r="AA90" s="20"/>
      <c r="AG90" s="20"/>
    </row>
    <row r="91" spans="9:33" x14ac:dyDescent="0.3">
      <c r="I91" s="20"/>
      <c r="O91" s="20"/>
      <c r="U91" s="20"/>
      <c r="AA91" s="20"/>
      <c r="AG91" s="20"/>
    </row>
    <row r="92" spans="9:33" x14ac:dyDescent="0.3">
      <c r="I92" s="20"/>
      <c r="O92" s="20"/>
      <c r="U92" s="20"/>
      <c r="AA92" s="20"/>
      <c r="AG92" s="20"/>
    </row>
    <row r="93" spans="9:33" x14ac:dyDescent="0.3">
      <c r="I93" s="20"/>
      <c r="O93" s="20"/>
      <c r="U93" s="20"/>
      <c r="AA93" s="20"/>
      <c r="AG93" s="20"/>
    </row>
    <row r="94" spans="9:33" x14ac:dyDescent="0.3">
      <c r="I94" s="20"/>
      <c r="O94" s="20"/>
      <c r="U94" s="20"/>
      <c r="AA94" s="20"/>
      <c r="AG94" s="20"/>
    </row>
    <row r="95" spans="9:33" x14ac:dyDescent="0.3">
      <c r="I95" s="20"/>
      <c r="O95" s="20"/>
      <c r="U95" s="20"/>
      <c r="AA95" s="20"/>
      <c r="AG95" s="20"/>
    </row>
    <row r="96" spans="9:33" x14ac:dyDescent="0.3">
      <c r="I96" s="20"/>
      <c r="O96" s="20"/>
      <c r="U96" s="20"/>
      <c r="AA96" s="20"/>
      <c r="AG96" s="20"/>
    </row>
    <row r="97" spans="9:33" x14ac:dyDescent="0.3">
      <c r="I97" s="20"/>
      <c r="U97" s="20"/>
      <c r="AA97" s="20"/>
      <c r="AG97" s="20"/>
    </row>
    <row r="98" spans="9:33" x14ac:dyDescent="0.3">
      <c r="I98" s="20"/>
      <c r="U98" s="20"/>
      <c r="AA98" s="20"/>
      <c r="AG98" s="20"/>
    </row>
    <row r="99" spans="9:33" x14ac:dyDescent="0.3">
      <c r="I99" s="20"/>
      <c r="U99" s="20"/>
      <c r="AA99" s="20"/>
      <c r="AG99" s="20"/>
    </row>
    <row r="100" spans="9:33" x14ac:dyDescent="0.3">
      <c r="I100" s="20"/>
      <c r="U100" s="20"/>
      <c r="AA100" s="20"/>
      <c r="AG100" s="20"/>
    </row>
    <row r="101" spans="9:33" x14ac:dyDescent="0.3">
      <c r="I101" s="20"/>
      <c r="U101" s="20"/>
      <c r="AA101" s="20"/>
      <c r="AG101" s="20"/>
    </row>
    <row r="102" spans="9:33" x14ac:dyDescent="0.3">
      <c r="I102" s="20"/>
      <c r="U102" s="20"/>
      <c r="AA102" s="20"/>
      <c r="AG102" s="20"/>
    </row>
    <row r="103" spans="9:33" x14ac:dyDescent="0.3">
      <c r="I103" s="20"/>
      <c r="U103" s="20"/>
      <c r="AA103" s="20"/>
      <c r="AG103" s="20"/>
    </row>
    <row r="104" spans="9:33" x14ac:dyDescent="0.3">
      <c r="I104" s="20"/>
      <c r="U104" s="20"/>
      <c r="AA104" s="20"/>
      <c r="AG104" s="20"/>
    </row>
    <row r="105" spans="9:33" x14ac:dyDescent="0.3">
      <c r="I105" s="20"/>
      <c r="U105" s="20"/>
      <c r="AA105" s="20"/>
      <c r="AG105" s="20"/>
    </row>
    <row r="106" spans="9:33" x14ac:dyDescent="0.3">
      <c r="I106" s="20"/>
      <c r="U106" s="20"/>
      <c r="AA106" s="20"/>
      <c r="AG106" s="20"/>
    </row>
    <row r="107" spans="9:33" x14ac:dyDescent="0.3">
      <c r="I107" s="20"/>
      <c r="U107" s="20"/>
      <c r="AA107" s="20"/>
      <c r="AG107" s="20"/>
    </row>
    <row r="108" spans="9:33" x14ac:dyDescent="0.3">
      <c r="I108" s="20"/>
      <c r="U108" s="20"/>
      <c r="AA108" s="20"/>
      <c r="AG108" s="20"/>
    </row>
    <row r="109" spans="9:33" x14ac:dyDescent="0.3">
      <c r="I109" s="20"/>
      <c r="U109" s="20"/>
      <c r="AA109" s="20"/>
      <c r="AG109" s="20"/>
    </row>
    <row r="110" spans="9:33" x14ac:dyDescent="0.3">
      <c r="I110" s="20"/>
      <c r="U110" s="20"/>
      <c r="AA110" s="20"/>
      <c r="AG110" s="20"/>
    </row>
    <row r="111" spans="9:33" x14ac:dyDescent="0.3">
      <c r="I111" s="20"/>
      <c r="U111" s="20"/>
      <c r="AA111" s="20"/>
      <c r="AG111" s="20"/>
    </row>
    <row r="112" spans="9:33" x14ac:dyDescent="0.3">
      <c r="I112" s="20"/>
      <c r="U112" s="20"/>
      <c r="AA112" s="20"/>
      <c r="AG112" s="20"/>
    </row>
    <row r="113" spans="9:33" x14ac:dyDescent="0.3">
      <c r="I113" s="20"/>
      <c r="U113" s="20"/>
      <c r="AA113" s="20"/>
      <c r="AG113" s="20"/>
    </row>
    <row r="114" spans="9:33" x14ac:dyDescent="0.3">
      <c r="I114" s="20"/>
      <c r="U114" s="20"/>
      <c r="AA114" s="20"/>
      <c r="AG114" s="20"/>
    </row>
    <row r="115" spans="9:33" x14ac:dyDescent="0.3">
      <c r="I115" s="20"/>
      <c r="U115" s="20"/>
      <c r="AA115" s="20"/>
    </row>
    <row r="116" spans="9:33" x14ac:dyDescent="0.3">
      <c r="I116" s="20"/>
      <c r="U116" s="20"/>
      <c r="AA116" s="20"/>
    </row>
    <row r="117" spans="9:33" x14ac:dyDescent="0.3">
      <c r="I117" s="20"/>
      <c r="U117" s="20"/>
      <c r="AA117" s="20"/>
    </row>
    <row r="118" spans="9:33" x14ac:dyDescent="0.3">
      <c r="I118" s="20"/>
      <c r="U118" s="20"/>
      <c r="AA118" s="20"/>
    </row>
    <row r="119" spans="9:33" x14ac:dyDescent="0.3">
      <c r="I119" s="20"/>
      <c r="U119" s="20"/>
      <c r="AA119" s="20"/>
    </row>
    <row r="120" spans="9:33" x14ac:dyDescent="0.3">
      <c r="I120" s="20"/>
      <c r="U120" s="20"/>
      <c r="AA120" s="20"/>
    </row>
    <row r="121" spans="9:33" x14ac:dyDescent="0.3">
      <c r="I121" s="20"/>
      <c r="U121" s="20"/>
      <c r="AA121" s="20"/>
    </row>
    <row r="122" spans="9:33" x14ac:dyDescent="0.3">
      <c r="I122" s="20"/>
      <c r="U122" s="20"/>
      <c r="AA122" s="20"/>
    </row>
    <row r="123" spans="9:33" x14ac:dyDescent="0.3">
      <c r="I123" s="20"/>
      <c r="U123" s="20"/>
      <c r="AA123" s="20"/>
    </row>
    <row r="124" spans="9:33" x14ac:dyDescent="0.3">
      <c r="I124" s="20"/>
      <c r="U124" s="20"/>
    </row>
    <row r="125" spans="9:33" x14ac:dyDescent="0.3">
      <c r="U125" s="20"/>
    </row>
    <row r="126" spans="9:33" x14ac:dyDescent="0.3">
      <c r="U126" s="20"/>
    </row>
    <row r="127" spans="9:33" x14ac:dyDescent="0.3">
      <c r="U127" s="20"/>
    </row>
    <row r="128" spans="9:33" x14ac:dyDescent="0.3">
      <c r="U128" s="20"/>
    </row>
    <row r="129" spans="21:21" x14ac:dyDescent="0.3">
      <c r="U129" s="20"/>
    </row>
    <row r="130" spans="21:21" x14ac:dyDescent="0.3">
      <c r="U130" s="20"/>
    </row>
    <row r="131" spans="21:21" x14ac:dyDescent="0.3">
      <c r="U131" s="20"/>
    </row>
    <row r="132" spans="21:21" x14ac:dyDescent="0.3">
      <c r="U132" s="20"/>
    </row>
    <row r="133" spans="21:21" x14ac:dyDescent="0.3">
      <c r="U133" s="20"/>
    </row>
    <row r="134" spans="21:21" x14ac:dyDescent="0.3">
      <c r="U134" s="20"/>
    </row>
    <row r="135" spans="21:21" x14ac:dyDescent="0.3">
      <c r="U135" s="20"/>
    </row>
    <row r="136" spans="21:21" x14ac:dyDescent="0.3">
      <c r="U136" s="20"/>
    </row>
    <row r="137" spans="21:21" x14ac:dyDescent="0.3">
      <c r="U137" s="20"/>
    </row>
    <row r="138" spans="21:21" x14ac:dyDescent="0.3">
      <c r="U138" s="20"/>
    </row>
    <row r="139" spans="21:21" x14ac:dyDescent="0.3">
      <c r="U139" s="20"/>
    </row>
    <row r="140" spans="21:21" x14ac:dyDescent="0.3">
      <c r="U140" s="20"/>
    </row>
    <row r="141" spans="21:21" x14ac:dyDescent="0.3">
      <c r="U141" s="20"/>
    </row>
    <row r="142" spans="21:21" x14ac:dyDescent="0.3">
      <c r="U142" s="20"/>
    </row>
    <row r="143" spans="21:21" x14ac:dyDescent="0.3">
      <c r="U143" s="20"/>
    </row>
    <row r="144" spans="21:21" x14ac:dyDescent="0.3">
      <c r="U144" s="20"/>
    </row>
    <row r="145" spans="21:21" x14ac:dyDescent="0.3">
      <c r="U145" s="20"/>
    </row>
    <row r="146" spans="21:21" x14ac:dyDescent="0.3">
      <c r="U146" s="20"/>
    </row>
    <row r="147" spans="21:21" x14ac:dyDescent="0.3">
      <c r="U147" s="20"/>
    </row>
  </sheetData>
  <mergeCells count="8">
    <mergeCell ref="AE3:AI3"/>
    <mergeCell ref="AK3:AO3"/>
    <mergeCell ref="A1:E1"/>
    <mergeCell ref="A3:E3"/>
    <mergeCell ref="G3:K3"/>
    <mergeCell ref="M3:Q3"/>
    <mergeCell ref="S3:W3"/>
    <mergeCell ref="Y3:AC3"/>
  </mergeCells>
  <pageMargins left="0.7" right="0.7" top="0.75" bottom="0.75" header="0.3" footer="0.3"/>
  <pageSetup paperSize="9" scale="15" fitToHeight="0" orientation="portrait" cellComments="atEnd" r:id="rId1"/>
  <colBreaks count="8" manualBreakCount="8">
    <brk id="5" max="1048575" man="1"/>
    <brk id="6" max="1048575" man="1"/>
    <brk id="11" max="1048575" man="1"/>
    <brk id="17" max="1048575" man="1"/>
    <brk id="23" max="1048575" man="1"/>
    <brk id="29" max="1048575" man="1"/>
    <brk id="35" max="1048575" man="1"/>
    <brk id="41" max="1048575" man="1"/>
  </colBreaks>
  <tableParts count="7">
    <tablePart r:id="rId2"/>
    <tablePart r:id="rId3"/>
    <tablePart r:id="rId4"/>
    <tablePart r:id="rId5"/>
    <tablePart r:id="rId6"/>
    <tablePart r:id="rId7"/>
    <tablePart r:id="rId8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3D750-7ED1-4CB5-A0FA-B23C3280B376}">
  <sheetPr codeName="Hoja1"/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B2826C-45F8-46D1-A8E4-3F9A10719EC0}">
  <sheetPr codeName="Hoja3">
    <tabColor rgb="FF0088CC"/>
    <outlinePr summaryBelow="0"/>
    <pageSetUpPr fitToPage="1"/>
  </sheetPr>
  <dimension ref="A1:H84"/>
  <sheetViews>
    <sheetView showGridLines="0" topLeftCell="A19" zoomScale="110" zoomScaleNormal="110" zoomScaleSheetLayoutView="110" workbookViewId="0">
      <selection activeCell="A2" sqref="A2"/>
    </sheetView>
  </sheetViews>
  <sheetFormatPr baseColWidth="10" defaultRowHeight="14.4" outlineLevelRow="1" x14ac:dyDescent="0.3"/>
  <cols>
    <col min="1" max="1" width="11.77734375" bestFit="1" customWidth="1"/>
    <col min="2" max="2" width="7.77734375" bestFit="1" customWidth="1"/>
    <col min="3" max="3" width="40.77734375" customWidth="1"/>
    <col min="4" max="4" width="7.77734375" bestFit="1" customWidth="1"/>
    <col min="5" max="5" width="7.5546875" bestFit="1" customWidth="1"/>
    <col min="6" max="6" width="9.6640625" bestFit="1" customWidth="1"/>
    <col min="7" max="8" width="8.77734375" style="21" bestFit="1" customWidth="1"/>
    <col min="9" max="9" width="1.33203125" customWidth="1"/>
  </cols>
  <sheetData>
    <row r="1" spans="1:8" ht="30" customHeight="1" x14ac:dyDescent="0.3">
      <c r="A1" s="22" t="s">
        <v>28</v>
      </c>
      <c r="B1" s="22"/>
      <c r="C1" s="22"/>
      <c r="D1" s="22"/>
      <c r="E1" s="22"/>
      <c r="F1" s="22"/>
      <c r="G1" s="22"/>
      <c r="H1" s="22"/>
    </row>
    <row r="2" spans="1:8" ht="15" thickBot="1" x14ac:dyDescent="0.35">
      <c r="G2"/>
      <c r="H2"/>
    </row>
    <row r="3" spans="1:8" ht="15" thickBot="1" x14ac:dyDescent="0.35">
      <c r="A3" s="23" t="s">
        <v>29</v>
      </c>
      <c r="B3" s="24" t="s">
        <v>30</v>
      </c>
      <c r="C3" s="25"/>
      <c r="D3" s="25"/>
      <c r="E3" s="25"/>
      <c r="F3" s="25"/>
      <c r="G3" s="26"/>
      <c r="H3" s="27" t="s">
        <v>31</v>
      </c>
    </row>
    <row r="4" spans="1:8" outlineLevel="1" x14ac:dyDescent="0.3">
      <c r="A4" t="s">
        <v>32</v>
      </c>
      <c r="B4" t="s">
        <v>9</v>
      </c>
      <c r="C4" t="s">
        <v>8</v>
      </c>
      <c r="D4" t="s">
        <v>10</v>
      </c>
      <c r="E4" t="s">
        <v>33</v>
      </c>
      <c r="F4" t="s">
        <v>34</v>
      </c>
      <c r="G4" t="s">
        <v>11</v>
      </c>
      <c r="H4" t="s">
        <v>35</v>
      </c>
    </row>
    <row r="5" spans="1:8" outlineLevel="1" x14ac:dyDescent="0.3">
      <c r="A5" s="18"/>
      <c r="D5" s="3"/>
      <c r="E5">
        <v>1</v>
      </c>
      <c r="G5" s="4"/>
      <c r="H5" s="4">
        <v>0</v>
      </c>
    </row>
    <row r="6" spans="1:8" outlineLevel="1" x14ac:dyDescent="0.3">
      <c r="A6" s="18" t="s">
        <v>1</v>
      </c>
      <c r="B6">
        <v>0</v>
      </c>
      <c r="C6" t="s">
        <v>24</v>
      </c>
      <c r="D6" s="3" t="s">
        <v>25</v>
      </c>
      <c r="E6">
        <v>1</v>
      </c>
      <c r="F6">
        <v>2</v>
      </c>
      <c r="G6" s="4">
        <v>285000</v>
      </c>
      <c r="H6" s="4">
        <v>570000</v>
      </c>
    </row>
    <row r="7" spans="1:8" outlineLevel="1" x14ac:dyDescent="0.3">
      <c r="A7" s="18"/>
      <c r="D7" s="3"/>
      <c r="E7">
        <v>1</v>
      </c>
      <c r="G7" s="4"/>
      <c r="H7" s="4">
        <v>0</v>
      </c>
    </row>
    <row r="8" spans="1:8" outlineLevel="1" x14ac:dyDescent="0.3">
      <c r="A8" s="18"/>
      <c r="D8" s="3"/>
      <c r="E8">
        <v>1</v>
      </c>
      <c r="G8" s="4"/>
      <c r="H8" s="4">
        <v>0</v>
      </c>
    </row>
    <row r="9" spans="1:8" outlineLevel="1" x14ac:dyDescent="0.3">
      <c r="A9" s="18"/>
      <c r="D9" s="3"/>
      <c r="E9">
        <v>1</v>
      </c>
      <c r="G9" s="4"/>
      <c r="H9" s="4">
        <v>0</v>
      </c>
    </row>
    <row r="10" spans="1:8" outlineLevel="1" x14ac:dyDescent="0.3">
      <c r="A10" s="18"/>
      <c r="D10" s="3"/>
      <c r="E10">
        <v>1</v>
      </c>
      <c r="G10" s="4"/>
      <c r="H10" s="4">
        <v>0</v>
      </c>
    </row>
    <row r="11" spans="1:8" outlineLevel="1" x14ac:dyDescent="0.3">
      <c r="D11" s="3"/>
      <c r="E11">
        <v>1</v>
      </c>
      <c r="G11" s="4"/>
      <c r="H11" s="4">
        <v>0</v>
      </c>
    </row>
    <row r="12" spans="1:8" x14ac:dyDescent="0.3">
      <c r="A12" t="s">
        <v>36</v>
      </c>
      <c r="G12" s="4"/>
      <c r="H12" s="4">
        <f>SUM(Tabla2[TOTAL])</f>
        <v>570000</v>
      </c>
    </row>
    <row r="13" spans="1:8" x14ac:dyDescent="0.3">
      <c r="G13"/>
      <c r="H13"/>
    </row>
    <row r="14" spans="1:8" ht="15" thickBot="1" x14ac:dyDescent="0.35">
      <c r="G14"/>
      <c r="H14"/>
    </row>
    <row r="15" spans="1:8" ht="15" thickBot="1" x14ac:dyDescent="0.35">
      <c r="A15" s="23" t="s">
        <v>29</v>
      </c>
      <c r="B15" s="24" t="s">
        <v>30</v>
      </c>
      <c r="C15" s="25"/>
      <c r="D15" s="25"/>
      <c r="E15" s="25"/>
      <c r="F15" s="25"/>
      <c r="G15" s="26"/>
      <c r="H15" s="27" t="s">
        <v>31</v>
      </c>
    </row>
    <row r="16" spans="1:8" outlineLevel="1" x14ac:dyDescent="0.3">
      <c r="A16" t="s">
        <v>32</v>
      </c>
      <c r="B16" t="s">
        <v>9</v>
      </c>
      <c r="C16" t="s">
        <v>8</v>
      </c>
      <c r="D16" t="s">
        <v>10</v>
      </c>
      <c r="E16" t="s">
        <v>33</v>
      </c>
      <c r="F16" t="s">
        <v>34</v>
      </c>
      <c r="G16" t="s">
        <v>11</v>
      </c>
      <c r="H16" t="s">
        <v>35</v>
      </c>
    </row>
    <row r="17" spans="1:8" outlineLevel="1" x14ac:dyDescent="0.3">
      <c r="A17" s="18"/>
      <c r="D17" s="3"/>
      <c r="E17">
        <v>1</v>
      </c>
      <c r="G17" s="4"/>
      <c r="H17" s="4">
        <v>0</v>
      </c>
    </row>
    <row r="18" spans="1:8" outlineLevel="1" x14ac:dyDescent="0.3">
      <c r="A18" s="18" t="s">
        <v>1</v>
      </c>
      <c r="B18">
        <v>0</v>
      </c>
      <c r="C18" t="s">
        <v>24</v>
      </c>
      <c r="D18" s="3" t="s">
        <v>25</v>
      </c>
      <c r="E18">
        <v>1</v>
      </c>
      <c r="F18">
        <v>2</v>
      </c>
      <c r="G18" s="4">
        <v>285000</v>
      </c>
      <c r="H18" s="4">
        <v>570000</v>
      </c>
    </row>
    <row r="19" spans="1:8" outlineLevel="1" x14ac:dyDescent="0.3">
      <c r="A19" s="18"/>
      <c r="D19" s="3"/>
      <c r="E19">
        <v>1</v>
      </c>
      <c r="G19" s="4"/>
      <c r="H19" s="4">
        <v>0</v>
      </c>
    </row>
    <row r="20" spans="1:8" outlineLevel="1" x14ac:dyDescent="0.3">
      <c r="D20" s="3"/>
      <c r="E20">
        <v>1</v>
      </c>
      <c r="G20" s="4"/>
      <c r="H20" s="4">
        <v>0</v>
      </c>
    </row>
    <row r="21" spans="1:8" outlineLevel="1" x14ac:dyDescent="0.3">
      <c r="D21" s="3"/>
      <c r="E21">
        <v>1</v>
      </c>
      <c r="G21" s="4"/>
      <c r="H21" s="4">
        <v>0</v>
      </c>
    </row>
    <row r="22" spans="1:8" x14ac:dyDescent="0.3">
      <c r="A22" t="s">
        <v>36</v>
      </c>
      <c r="G22" s="4"/>
      <c r="H22" s="4">
        <f>SUM(Tabla3[TOTAL])</f>
        <v>570000</v>
      </c>
    </row>
    <row r="23" spans="1:8" x14ac:dyDescent="0.3">
      <c r="G23"/>
      <c r="H23"/>
    </row>
    <row r="24" spans="1:8" ht="15" thickBot="1" x14ac:dyDescent="0.35">
      <c r="G24"/>
      <c r="H24"/>
    </row>
    <row r="25" spans="1:8" ht="15" thickBot="1" x14ac:dyDescent="0.35">
      <c r="A25" s="23" t="s">
        <v>29</v>
      </c>
      <c r="B25" s="24" t="s">
        <v>37</v>
      </c>
      <c r="C25" s="25"/>
      <c r="D25" s="25"/>
      <c r="E25" s="25"/>
      <c r="F25" s="25"/>
      <c r="G25" s="26"/>
      <c r="H25" s="27" t="s">
        <v>31</v>
      </c>
    </row>
    <row r="26" spans="1:8" outlineLevel="1" x14ac:dyDescent="0.3">
      <c r="A26" t="s">
        <v>32</v>
      </c>
      <c r="B26" t="s">
        <v>9</v>
      </c>
      <c r="C26" t="s">
        <v>8</v>
      </c>
      <c r="D26" t="s">
        <v>10</v>
      </c>
      <c r="E26" t="s">
        <v>33</v>
      </c>
      <c r="F26" t="s">
        <v>34</v>
      </c>
      <c r="G26" t="s">
        <v>11</v>
      </c>
      <c r="H26" t="s">
        <v>35</v>
      </c>
    </row>
    <row r="27" spans="1:8" outlineLevel="1" x14ac:dyDescent="0.3">
      <c r="A27" s="18" t="s">
        <v>1</v>
      </c>
      <c r="B27">
        <v>0</v>
      </c>
      <c r="C27" t="s">
        <v>24</v>
      </c>
      <c r="D27" s="3" t="s">
        <v>25</v>
      </c>
      <c r="E27">
        <v>1</v>
      </c>
      <c r="F27">
        <v>2</v>
      </c>
      <c r="G27" s="4">
        <v>285000</v>
      </c>
      <c r="H27" s="4">
        <v>570000</v>
      </c>
    </row>
    <row r="28" spans="1:8" outlineLevel="1" x14ac:dyDescent="0.3">
      <c r="A28" s="18"/>
      <c r="D28" s="3"/>
      <c r="E28">
        <v>1</v>
      </c>
      <c r="G28" s="4"/>
      <c r="H28" s="4">
        <v>0</v>
      </c>
    </row>
    <row r="29" spans="1:8" outlineLevel="1" x14ac:dyDescent="0.3">
      <c r="D29" s="3"/>
      <c r="E29">
        <v>1</v>
      </c>
      <c r="G29" s="4"/>
      <c r="H29" s="4">
        <v>0</v>
      </c>
    </row>
    <row r="30" spans="1:8" outlineLevel="1" x14ac:dyDescent="0.3">
      <c r="D30" s="3"/>
      <c r="E30">
        <v>1</v>
      </c>
      <c r="G30" s="4"/>
      <c r="H30" s="4">
        <v>0</v>
      </c>
    </row>
    <row r="31" spans="1:8" x14ac:dyDescent="0.3">
      <c r="A31" t="s">
        <v>36</v>
      </c>
      <c r="G31" s="4"/>
      <c r="H31" s="4">
        <f>SUM(Tabla13[TOTAL])</f>
        <v>570000</v>
      </c>
    </row>
    <row r="32" spans="1:8" x14ac:dyDescent="0.3">
      <c r="G32"/>
      <c r="H32"/>
    </row>
    <row r="33" customFormat="1" x14ac:dyDescent="0.3"/>
    <row r="34" customFormat="1" x14ac:dyDescent="0.3"/>
    <row r="35" customFormat="1" x14ac:dyDescent="0.3"/>
    <row r="36" customFormat="1" x14ac:dyDescent="0.3"/>
    <row r="37" customFormat="1" x14ac:dyDescent="0.3"/>
    <row r="38" customFormat="1" x14ac:dyDescent="0.3"/>
    <row r="39" customFormat="1" x14ac:dyDescent="0.3"/>
    <row r="40" customFormat="1" x14ac:dyDescent="0.3"/>
    <row r="41" customFormat="1" x14ac:dyDescent="0.3"/>
    <row r="42" customFormat="1" x14ac:dyDescent="0.3"/>
    <row r="43" customFormat="1" x14ac:dyDescent="0.3"/>
    <row r="44" customFormat="1" x14ac:dyDescent="0.3"/>
    <row r="45" customFormat="1" x14ac:dyDescent="0.3"/>
    <row r="46" customFormat="1" x14ac:dyDescent="0.3"/>
    <row r="47" customFormat="1" x14ac:dyDescent="0.3"/>
    <row r="48" customFormat="1" x14ac:dyDescent="0.3"/>
    <row r="49" customFormat="1" x14ac:dyDescent="0.3"/>
    <row r="50" customFormat="1" x14ac:dyDescent="0.3"/>
    <row r="51" customFormat="1" x14ac:dyDescent="0.3"/>
    <row r="52" customFormat="1" x14ac:dyDescent="0.3"/>
    <row r="53" customFormat="1" x14ac:dyDescent="0.3"/>
    <row r="54" customFormat="1" x14ac:dyDescent="0.3"/>
    <row r="55" customFormat="1" x14ac:dyDescent="0.3"/>
    <row r="56" customFormat="1" x14ac:dyDescent="0.3"/>
    <row r="57" customFormat="1" x14ac:dyDescent="0.3"/>
    <row r="58" customFormat="1" x14ac:dyDescent="0.3"/>
    <row r="59" customFormat="1" x14ac:dyDescent="0.3"/>
    <row r="60" customFormat="1" x14ac:dyDescent="0.3"/>
    <row r="61" customFormat="1" x14ac:dyDescent="0.3"/>
    <row r="62" customFormat="1" x14ac:dyDescent="0.3"/>
    <row r="63" customFormat="1" x14ac:dyDescent="0.3"/>
    <row r="64" customFormat="1" x14ac:dyDescent="0.3"/>
    <row r="65" customFormat="1" x14ac:dyDescent="0.3"/>
    <row r="66" customFormat="1" x14ac:dyDescent="0.3"/>
    <row r="67" customFormat="1" x14ac:dyDescent="0.3"/>
    <row r="68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</sheetData>
  <mergeCells count="4">
    <mergeCell ref="A1:H1"/>
    <mergeCell ref="B3:G3"/>
    <mergeCell ref="B15:G15"/>
    <mergeCell ref="B25:G25"/>
  </mergeCells>
  <dataValidations count="2">
    <dataValidation type="list" allowBlank="1" showInputMessage="1" showErrorMessage="1" sqref="C5:C10 C18 C27" xr:uid="{BCBE9F12-6973-448A-B6CF-2E6E6161ED57}">
      <formula1>MATERIALES</formula1>
    </dataValidation>
    <dataValidation type="list" allowBlank="1" showInputMessage="1" showErrorMessage="1" sqref="A17:A21 A27:A30 A5:A11" xr:uid="{9BD31A72-23F6-4C3E-B601-61D122586B81}">
      <formula1>"MATERIALES,EQUIPOS,MANO DE OBRA,TRANSPORTE,SUBCONTRATOS,ACTIVIDADES,OTROS"</formula1>
    </dataValidation>
  </dataValidations>
  <pageMargins left="0.7" right="0.7" top="0.75" bottom="0.75" header="0.3" footer="0.3"/>
  <pageSetup paperSize="9" scale="73" fitToHeight="0" orientation="portrait" cellComments="atEnd" r:id="rId1"/>
  <colBreaks count="1" manualBreakCount="1">
    <brk id="8" max="1048575" man="1"/>
  </colBreaks>
  <tableParts count="3">
    <tablePart r:id="rId2"/>
    <tablePart r:id="rId3"/>
    <tablePart r:id="rId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0A5CE-207A-48D0-9D72-5DB95DEF613B}">
  <sheetPr codeName="Hoja7">
    <tabColor rgb="FF00AC56"/>
    <outlinePr summaryBelow="0"/>
    <pageSetUpPr fitToPage="1"/>
  </sheetPr>
  <dimension ref="A1:H50"/>
  <sheetViews>
    <sheetView showGridLines="0" showWhiteSpace="0" topLeftCell="A13" zoomScale="110" zoomScaleNormal="110" zoomScaleSheetLayoutView="110" workbookViewId="0">
      <selection activeCell="K14" sqref="K14"/>
    </sheetView>
  </sheetViews>
  <sheetFormatPr baseColWidth="10" defaultColWidth="11.44140625" defaultRowHeight="14.4" outlineLevelRow="1" x14ac:dyDescent="0.3"/>
  <cols>
    <col min="1" max="1" width="12.44140625" bestFit="1" customWidth="1"/>
    <col min="2" max="2" width="9.6640625" customWidth="1"/>
    <col min="3" max="3" width="40.77734375" customWidth="1"/>
    <col min="4" max="4" width="9.5546875" customWidth="1"/>
    <col min="5" max="5" width="9.44140625" customWidth="1"/>
    <col min="6" max="6" width="11.6640625" customWidth="1"/>
    <col min="7" max="7" width="8.88671875" style="21" customWidth="1"/>
    <col min="8" max="8" width="12.21875" style="21" bestFit="1" customWidth="1"/>
    <col min="9" max="9" width="1.33203125" customWidth="1"/>
  </cols>
  <sheetData>
    <row r="1" spans="1:8" ht="30" customHeight="1" x14ac:dyDescent="0.3">
      <c r="A1" s="22" t="s">
        <v>38</v>
      </c>
      <c r="B1" s="22"/>
      <c r="C1" s="22"/>
      <c r="D1" s="22"/>
      <c r="E1" s="22"/>
      <c r="F1" s="22"/>
      <c r="G1" s="22"/>
      <c r="H1" s="22"/>
    </row>
    <row r="2" spans="1:8" ht="15" thickBot="1" x14ac:dyDescent="0.35">
      <c r="A2" s="28"/>
      <c r="B2" s="29"/>
      <c r="C2" s="30"/>
      <c r="D2" s="30"/>
      <c r="E2" s="28"/>
      <c r="F2" s="28"/>
      <c r="G2" s="28"/>
      <c r="H2" s="31"/>
    </row>
    <row r="3" spans="1:8" ht="15" thickBot="1" x14ac:dyDescent="0.35">
      <c r="A3" s="32" t="s">
        <v>29</v>
      </c>
      <c r="B3" s="33" t="s">
        <v>39</v>
      </c>
      <c r="C3" s="34"/>
      <c r="D3" s="34"/>
      <c r="E3" s="34"/>
      <c r="F3" s="34"/>
      <c r="G3" s="35"/>
      <c r="H3" s="36" t="s">
        <v>31</v>
      </c>
    </row>
    <row r="4" spans="1:8" outlineLevel="1" x14ac:dyDescent="0.3">
      <c r="A4" t="s">
        <v>32</v>
      </c>
      <c r="B4" t="s">
        <v>9</v>
      </c>
      <c r="C4" t="s">
        <v>8</v>
      </c>
      <c r="D4" t="s">
        <v>10</v>
      </c>
      <c r="E4" t="s">
        <v>33</v>
      </c>
      <c r="F4" t="s">
        <v>34</v>
      </c>
      <c r="G4" t="s">
        <v>11</v>
      </c>
      <c r="H4" t="s">
        <v>35</v>
      </c>
    </row>
    <row r="5" spans="1:8" outlineLevel="1" x14ac:dyDescent="0.3">
      <c r="A5" t="s">
        <v>1</v>
      </c>
      <c r="B5">
        <v>0</v>
      </c>
      <c r="C5" t="s">
        <v>27</v>
      </c>
      <c r="D5" s="3" t="s">
        <v>25</v>
      </c>
      <c r="E5">
        <v>1</v>
      </c>
      <c r="F5">
        <v>2</v>
      </c>
      <c r="G5" s="4">
        <v>72500</v>
      </c>
      <c r="H5" s="4">
        <v>145000</v>
      </c>
    </row>
    <row r="6" spans="1:8" outlineLevel="1" x14ac:dyDescent="0.3">
      <c r="D6" s="3"/>
      <c r="E6">
        <v>1</v>
      </c>
      <c r="G6" s="4"/>
      <c r="H6" s="4">
        <v>0</v>
      </c>
    </row>
    <row r="7" spans="1:8" outlineLevel="1" x14ac:dyDescent="0.3">
      <c r="A7" t="s">
        <v>2</v>
      </c>
      <c r="B7">
        <v>0</v>
      </c>
      <c r="C7" t="s">
        <v>21</v>
      </c>
      <c r="D7" s="3" t="s">
        <v>22</v>
      </c>
      <c r="E7">
        <v>1</v>
      </c>
      <c r="F7">
        <v>2</v>
      </c>
      <c r="G7" s="4">
        <v>110215</v>
      </c>
      <c r="H7" s="4">
        <v>220430</v>
      </c>
    </row>
    <row r="8" spans="1:8" outlineLevel="1" x14ac:dyDescent="0.3">
      <c r="D8" s="3"/>
      <c r="E8">
        <v>1</v>
      </c>
      <c r="G8" s="4"/>
      <c r="H8" s="4">
        <v>0</v>
      </c>
    </row>
    <row r="9" spans="1:8" outlineLevel="1" x14ac:dyDescent="0.3">
      <c r="D9" s="3"/>
      <c r="E9">
        <v>1</v>
      </c>
      <c r="G9" s="4"/>
      <c r="H9" s="4">
        <v>0</v>
      </c>
    </row>
    <row r="10" spans="1:8" x14ac:dyDescent="0.3">
      <c r="A10" t="s">
        <v>36</v>
      </c>
      <c r="G10" s="4"/>
      <c r="H10" s="4">
        <f>SUM(Tabla8[TOTAL])</f>
        <v>365430</v>
      </c>
    </row>
    <row r="11" spans="1:8" x14ac:dyDescent="0.3">
      <c r="G11"/>
      <c r="H11"/>
    </row>
    <row r="12" spans="1:8" ht="15" thickBot="1" x14ac:dyDescent="0.35">
      <c r="G12"/>
      <c r="H12"/>
    </row>
    <row r="13" spans="1:8" ht="15" thickBot="1" x14ac:dyDescent="0.35">
      <c r="A13" s="37" t="s">
        <v>29</v>
      </c>
      <c r="B13" s="38" t="s">
        <v>40</v>
      </c>
      <c r="C13" s="39"/>
      <c r="D13" s="39"/>
      <c r="E13" s="39"/>
      <c r="F13" s="39"/>
      <c r="G13" s="40"/>
      <c r="H13" s="41" t="s">
        <v>31</v>
      </c>
    </row>
    <row r="14" spans="1:8" outlineLevel="1" x14ac:dyDescent="0.3">
      <c r="A14" s="18" t="s">
        <v>32</v>
      </c>
      <c r="B14" s="18" t="s">
        <v>9</v>
      </c>
      <c r="C14" s="18" t="s">
        <v>8</v>
      </c>
      <c r="D14" s="18" t="s">
        <v>10</v>
      </c>
      <c r="E14" s="18" t="s">
        <v>33</v>
      </c>
      <c r="F14" s="18" t="s">
        <v>34</v>
      </c>
      <c r="G14" s="18" t="s">
        <v>11</v>
      </c>
      <c r="H14" s="18" t="s">
        <v>35</v>
      </c>
    </row>
    <row r="15" spans="1:8" outlineLevel="1" x14ac:dyDescent="0.3">
      <c r="A15" t="s">
        <v>41</v>
      </c>
      <c r="B15" t="s">
        <v>29</v>
      </c>
      <c r="C15" t="s">
        <v>30</v>
      </c>
      <c r="D15" s="3" t="s">
        <v>31</v>
      </c>
      <c r="E15">
        <v>1</v>
      </c>
      <c r="F15">
        <v>4</v>
      </c>
      <c r="G15" s="4">
        <v>570000</v>
      </c>
      <c r="H15" s="4">
        <v>2280000</v>
      </c>
    </row>
    <row r="16" spans="1:8" outlineLevel="1" x14ac:dyDescent="0.3">
      <c r="A16" t="s">
        <v>41</v>
      </c>
      <c r="B16" t="s">
        <v>29</v>
      </c>
      <c r="C16" t="s">
        <v>30</v>
      </c>
      <c r="D16" s="3" t="s">
        <v>31</v>
      </c>
      <c r="E16">
        <v>1</v>
      </c>
      <c r="F16">
        <v>5</v>
      </c>
      <c r="G16" s="4">
        <v>570000</v>
      </c>
      <c r="H16" s="4">
        <v>2850000</v>
      </c>
    </row>
    <row r="17" spans="1:8" outlineLevel="1" x14ac:dyDescent="0.3">
      <c r="D17" s="3"/>
      <c r="E17">
        <v>1</v>
      </c>
      <c r="G17" s="4"/>
      <c r="H17" s="4">
        <v>0</v>
      </c>
    </row>
    <row r="18" spans="1:8" outlineLevel="1" x14ac:dyDescent="0.3">
      <c r="D18" s="3"/>
      <c r="E18">
        <v>1</v>
      </c>
      <c r="G18" s="4"/>
      <c r="H18" s="4">
        <v>0</v>
      </c>
    </row>
    <row r="19" spans="1:8" x14ac:dyDescent="0.3">
      <c r="A19" s="18" t="s">
        <v>36</v>
      </c>
      <c r="G19" s="4"/>
      <c r="H19" s="17">
        <f>SUM(Tabla10[TOTAL])</f>
        <v>5130000</v>
      </c>
    </row>
    <row r="20" spans="1:8" x14ac:dyDescent="0.3">
      <c r="G20"/>
      <c r="H20"/>
    </row>
    <row r="21" spans="1:8" ht="15" thickBot="1" x14ac:dyDescent="0.35">
      <c r="G21"/>
      <c r="H21"/>
    </row>
    <row r="22" spans="1:8" ht="15" thickBot="1" x14ac:dyDescent="0.35">
      <c r="A22" s="37" t="s">
        <v>29</v>
      </c>
      <c r="B22" s="38" t="s">
        <v>40</v>
      </c>
      <c r="C22" s="39"/>
      <c r="D22" s="39"/>
      <c r="E22" s="39"/>
      <c r="F22" s="39"/>
      <c r="G22" s="40"/>
      <c r="H22" s="41" t="s">
        <v>31</v>
      </c>
    </row>
    <row r="23" spans="1:8" outlineLevel="1" x14ac:dyDescent="0.3">
      <c r="A23" s="18" t="s">
        <v>32</v>
      </c>
      <c r="B23" s="18" t="s">
        <v>9</v>
      </c>
      <c r="C23" s="18" t="s">
        <v>8</v>
      </c>
      <c r="D23" s="18" t="s">
        <v>10</v>
      </c>
      <c r="E23" s="18" t="s">
        <v>33</v>
      </c>
      <c r="F23" s="18" t="s">
        <v>34</v>
      </c>
      <c r="G23" s="18" t="s">
        <v>11</v>
      </c>
      <c r="H23" s="18" t="s">
        <v>35</v>
      </c>
    </row>
    <row r="24" spans="1:8" outlineLevel="1" x14ac:dyDescent="0.3">
      <c r="A24" t="s">
        <v>41</v>
      </c>
      <c r="B24" t="s">
        <v>29</v>
      </c>
      <c r="C24" t="s">
        <v>30</v>
      </c>
      <c r="D24" s="3" t="s">
        <v>31</v>
      </c>
      <c r="E24">
        <v>1</v>
      </c>
      <c r="F24">
        <v>4</v>
      </c>
      <c r="G24" s="4">
        <v>570000</v>
      </c>
      <c r="H24" s="4">
        <v>2280000</v>
      </c>
    </row>
    <row r="25" spans="1:8" outlineLevel="1" x14ac:dyDescent="0.3">
      <c r="A25" t="s">
        <v>41</v>
      </c>
      <c r="B25" t="s">
        <v>29</v>
      </c>
      <c r="C25" t="s">
        <v>30</v>
      </c>
      <c r="D25" s="3" t="s">
        <v>31</v>
      </c>
      <c r="E25">
        <v>1</v>
      </c>
      <c r="F25">
        <v>5</v>
      </c>
      <c r="G25" s="4">
        <v>570000</v>
      </c>
      <c r="H25" s="4">
        <v>2850000</v>
      </c>
    </row>
    <row r="26" spans="1:8" outlineLevel="1" x14ac:dyDescent="0.3">
      <c r="D26" s="3"/>
      <c r="E26">
        <v>1</v>
      </c>
      <c r="G26" s="4"/>
      <c r="H26" s="4">
        <v>0</v>
      </c>
    </row>
    <row r="27" spans="1:8" outlineLevel="1" x14ac:dyDescent="0.3">
      <c r="D27" s="3"/>
      <c r="E27">
        <v>1</v>
      </c>
      <c r="G27" s="4"/>
      <c r="H27" s="4">
        <v>0</v>
      </c>
    </row>
    <row r="28" spans="1:8" x14ac:dyDescent="0.3">
      <c r="A28" s="18" t="s">
        <v>36</v>
      </c>
      <c r="G28" s="4"/>
      <c r="H28" s="17">
        <f>SUM(Tabla22[TOTAL])</f>
        <v>5130000</v>
      </c>
    </row>
    <row r="29" spans="1:8" x14ac:dyDescent="0.3">
      <c r="G29"/>
      <c r="H29"/>
    </row>
    <row r="30" spans="1:8" x14ac:dyDescent="0.3">
      <c r="G30"/>
      <c r="H30"/>
    </row>
    <row r="31" spans="1:8" x14ac:dyDescent="0.3">
      <c r="G31"/>
      <c r="H31"/>
    </row>
    <row r="32" spans="1:8" x14ac:dyDescent="0.3">
      <c r="G32"/>
      <c r="H32"/>
    </row>
    <row r="33" spans="1:8" x14ac:dyDescent="0.3">
      <c r="G33"/>
      <c r="H33"/>
    </row>
    <row r="34" spans="1:8" x14ac:dyDescent="0.3">
      <c r="G34"/>
      <c r="H34"/>
    </row>
    <row r="35" spans="1:8" x14ac:dyDescent="0.3">
      <c r="G35"/>
      <c r="H35"/>
    </row>
    <row r="36" spans="1:8" x14ac:dyDescent="0.3">
      <c r="G36"/>
      <c r="H36"/>
    </row>
    <row r="37" spans="1:8" x14ac:dyDescent="0.3">
      <c r="G37"/>
      <c r="H37"/>
    </row>
    <row r="38" spans="1:8" x14ac:dyDescent="0.3">
      <c r="G38"/>
      <c r="H38"/>
    </row>
    <row r="39" spans="1:8" x14ac:dyDescent="0.3">
      <c r="G39"/>
      <c r="H39"/>
    </row>
    <row r="40" spans="1:8" x14ac:dyDescent="0.3">
      <c r="G40"/>
      <c r="H40"/>
    </row>
    <row r="41" spans="1:8" x14ac:dyDescent="0.3">
      <c r="G41"/>
      <c r="H41"/>
    </row>
    <row r="42" spans="1:8" x14ac:dyDescent="0.3">
      <c r="G42"/>
      <c r="H42"/>
    </row>
    <row r="43" spans="1:8" x14ac:dyDescent="0.3">
      <c r="G43"/>
      <c r="H43"/>
    </row>
    <row r="44" spans="1:8" x14ac:dyDescent="0.3">
      <c r="G44"/>
      <c r="H44"/>
    </row>
    <row r="45" spans="1:8" x14ac:dyDescent="0.3">
      <c r="G45"/>
      <c r="H45"/>
    </row>
    <row r="46" spans="1:8" x14ac:dyDescent="0.3">
      <c r="A46" s="28"/>
      <c r="B46" s="29"/>
      <c r="C46" s="30"/>
      <c r="D46" s="30"/>
      <c r="E46" s="28"/>
      <c r="F46" s="28"/>
      <c r="G46" s="28"/>
      <c r="H46" s="31"/>
    </row>
    <row r="47" spans="1:8" x14ac:dyDescent="0.3">
      <c r="A47" s="28"/>
      <c r="B47" s="29"/>
      <c r="C47" s="30"/>
      <c r="D47" s="30"/>
      <c r="E47" s="28"/>
      <c r="F47" s="28"/>
      <c r="G47" s="28"/>
      <c r="H47" s="31"/>
    </row>
    <row r="48" spans="1:8" x14ac:dyDescent="0.3">
      <c r="G48"/>
      <c r="H48"/>
    </row>
    <row r="49" spans="1:8" x14ac:dyDescent="0.3">
      <c r="A49" s="28"/>
      <c r="B49" s="29"/>
      <c r="C49" s="30"/>
      <c r="D49" s="30"/>
      <c r="E49" s="28"/>
      <c r="F49" s="28"/>
      <c r="G49" s="28"/>
      <c r="H49" s="31"/>
    </row>
    <row r="50" spans="1:8" x14ac:dyDescent="0.3">
      <c r="A50" s="28"/>
      <c r="B50" s="29"/>
      <c r="C50" s="30"/>
      <c r="D50" s="30"/>
      <c r="E50" s="28"/>
      <c r="F50" s="28"/>
      <c r="G50" s="28"/>
      <c r="H50" s="31"/>
    </row>
  </sheetData>
  <mergeCells count="4">
    <mergeCell ref="A1:H1"/>
    <mergeCell ref="B3:G3"/>
    <mergeCell ref="B13:G13"/>
    <mergeCell ref="B22:G22"/>
  </mergeCells>
  <dataValidations count="4">
    <dataValidation type="list" allowBlank="1" showInputMessage="1" showErrorMessage="1" sqref="C15:C17 C24:C25" xr:uid="{31AD3E6B-1E3E-4293-9BCA-F27B19197C70}">
      <formula1>BÁSICOS</formula1>
    </dataValidation>
    <dataValidation type="list" allowBlank="1" showInputMessage="1" showErrorMessage="1" sqref="C5" xr:uid="{1AAD85F6-9DC1-4E27-BA44-F25B9D7DDDB9}">
      <formula1>MATERIALES</formula1>
    </dataValidation>
    <dataValidation type="list" allowBlank="1" showInputMessage="1" showErrorMessage="1" sqref="C6:C7" xr:uid="{EEC9BA0A-93F4-4DD1-861B-A7119C7B3E31}">
      <formula1>EQUIPOS</formula1>
    </dataValidation>
    <dataValidation type="list" allowBlank="1" showInputMessage="1" showErrorMessage="1" sqref="A5:A9 A15:A18 A24:A27" xr:uid="{AC9A986E-1262-403C-B0EA-BAFCD83831C5}">
      <formula1>"MATERIALES,EQUIPOS,MANO DE OBRA,TRANSPORTE,SUBCONTRATOS,ACTIVIDADES,OTROS,APU BÁSICOS"</formula1>
    </dataValidation>
  </dataValidations>
  <pageMargins left="0.7" right="0.7" top="0.75" bottom="0.75" header="0.3" footer="0.3"/>
  <pageSetup paperSize="9" scale="84" fitToHeight="0" orientation="portrait" cellComments="atEnd" r:id="rId1"/>
  <colBreaks count="1" manualBreakCount="1">
    <brk id="8" max="1048575" man="1"/>
  </colBreaks>
  <tableParts count="3">
    <tablePart r:id="rId2"/>
    <tablePart r:id="rId3"/>
    <tablePart r:id="rId4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CE20C2-2241-4621-80B4-F9D41420B0A2}">
  <sheetPr codeName="Hoja4">
    <tabColor rgb="FF0088CC"/>
    <outlinePr summaryBelow="0"/>
    <pageSetUpPr fitToPage="1"/>
  </sheetPr>
  <dimension ref="A1:H57"/>
  <sheetViews>
    <sheetView showGridLines="0" tabSelected="1" topLeftCell="B34" zoomScale="90" zoomScaleNormal="90" zoomScaleSheetLayoutView="90" workbookViewId="0">
      <selection activeCell="B2" sqref="B2"/>
    </sheetView>
  </sheetViews>
  <sheetFormatPr baseColWidth="10" defaultColWidth="11.44140625" defaultRowHeight="15" outlineLevelRow="1" x14ac:dyDescent="0.25"/>
  <cols>
    <col min="1" max="1" width="1.44140625" style="43" hidden="1" customWidth="1"/>
    <col min="2" max="2" width="11.5546875" style="44" bestFit="1" customWidth="1"/>
    <col min="3" max="3" width="40.77734375" style="45" customWidth="1"/>
    <col min="4" max="4" width="23" style="44" bestFit="1" customWidth="1"/>
    <col min="5" max="5" width="16.88671875" style="46" bestFit="1" customWidth="1"/>
    <col min="6" max="6" width="14.21875" style="46" bestFit="1" customWidth="1"/>
    <col min="7" max="7" width="13.6640625" style="46" bestFit="1" customWidth="1"/>
    <col min="8" max="8" width="16.88671875" style="46" bestFit="1" customWidth="1"/>
    <col min="9" max="9" width="1.33203125" style="43" customWidth="1"/>
    <col min="10" max="16384" width="11.44140625" style="43"/>
  </cols>
  <sheetData>
    <row r="1" spans="2:8" ht="30" customHeight="1" x14ac:dyDescent="0.25">
      <c r="B1" s="42" t="s">
        <v>42</v>
      </c>
      <c r="C1" s="42"/>
      <c r="D1" s="42"/>
      <c r="E1" s="42"/>
      <c r="F1" s="42"/>
      <c r="G1" s="42"/>
      <c r="H1" s="42"/>
    </row>
    <row r="2" spans="2:8" ht="15.6" thickBot="1" x14ac:dyDescent="0.3"/>
    <row r="3" spans="2:8" ht="16.2" thickBot="1" x14ac:dyDescent="0.3">
      <c r="B3" s="47" t="s">
        <v>43</v>
      </c>
      <c r="C3" s="48"/>
      <c r="D3" s="48"/>
      <c r="E3" s="48"/>
      <c r="F3" s="48"/>
      <c r="G3" s="49"/>
      <c r="H3" s="50" t="s">
        <v>29</v>
      </c>
    </row>
    <row r="4" spans="2:8" ht="15.6" outlineLevel="1" x14ac:dyDescent="0.3">
      <c r="B4" s="51" t="s">
        <v>9</v>
      </c>
      <c r="C4" s="52" t="s">
        <v>8</v>
      </c>
      <c r="D4" s="51" t="s">
        <v>10</v>
      </c>
      <c r="E4" s="53" t="s">
        <v>33</v>
      </c>
      <c r="F4" s="53" t="s">
        <v>34</v>
      </c>
      <c r="G4" s="53" t="s">
        <v>44</v>
      </c>
      <c r="H4" s="53" t="s">
        <v>35</v>
      </c>
    </row>
    <row r="5" spans="2:8" outlineLevel="1" x14ac:dyDescent="0.25">
      <c r="B5" s="44" t="s">
        <v>29</v>
      </c>
      <c r="C5" s="45" t="s">
        <v>40</v>
      </c>
      <c r="D5" s="44" t="s">
        <v>31</v>
      </c>
      <c r="E5" s="46">
        <v>1</v>
      </c>
      <c r="F5" s="46">
        <v>4</v>
      </c>
      <c r="G5" s="46">
        <v>5130000</v>
      </c>
      <c r="H5" s="46">
        <v>20520000</v>
      </c>
    </row>
    <row r="6" spans="2:8" outlineLevel="1" x14ac:dyDescent="0.25">
      <c r="B6" s="44" t="s">
        <v>29</v>
      </c>
      <c r="C6" s="45" t="s">
        <v>39</v>
      </c>
      <c r="D6" s="44" t="s">
        <v>31</v>
      </c>
      <c r="E6" s="46">
        <v>1</v>
      </c>
      <c r="F6" s="46">
        <v>2</v>
      </c>
      <c r="G6" s="46">
        <v>365430</v>
      </c>
      <c r="H6" s="46">
        <v>730860</v>
      </c>
    </row>
    <row r="7" spans="2:8" outlineLevel="1" x14ac:dyDescent="0.25">
      <c r="B7" s="44" t="s">
        <v>29</v>
      </c>
      <c r="C7" s="45" t="s">
        <v>40</v>
      </c>
      <c r="D7" s="44" t="s">
        <v>31</v>
      </c>
      <c r="E7" s="46">
        <v>1</v>
      </c>
      <c r="F7" s="46">
        <v>1</v>
      </c>
      <c r="G7" s="46">
        <v>5130000</v>
      </c>
      <c r="H7" s="46">
        <v>5130000</v>
      </c>
    </row>
    <row r="8" spans="2:8" outlineLevel="1" x14ac:dyDescent="0.25">
      <c r="B8" s="44" t="s">
        <v>29</v>
      </c>
      <c r="C8" s="45" t="s">
        <v>40</v>
      </c>
      <c r="D8" s="44" t="s">
        <v>31</v>
      </c>
      <c r="E8" s="46">
        <v>1</v>
      </c>
      <c r="G8" s="46">
        <v>5130000</v>
      </c>
      <c r="H8" s="46">
        <v>0</v>
      </c>
    </row>
    <row r="9" spans="2:8" outlineLevel="1" x14ac:dyDescent="0.25">
      <c r="B9" s="44" t="s">
        <v>29</v>
      </c>
      <c r="C9" s="45" t="s">
        <v>40</v>
      </c>
      <c r="D9" s="44" t="s">
        <v>31</v>
      </c>
      <c r="E9" s="46">
        <v>1</v>
      </c>
      <c r="F9" s="46">
        <v>5</v>
      </c>
      <c r="G9" s="46">
        <v>5130000</v>
      </c>
      <c r="H9" s="46">
        <v>25650000</v>
      </c>
    </row>
    <row r="10" spans="2:8" outlineLevel="1" x14ac:dyDescent="0.25">
      <c r="B10" s="44" t="s">
        <v>29</v>
      </c>
      <c r="C10" s="45" t="s">
        <v>39</v>
      </c>
      <c r="D10" s="44" t="s">
        <v>31</v>
      </c>
      <c r="E10" s="46">
        <v>1</v>
      </c>
      <c r="F10" s="46">
        <v>5</v>
      </c>
      <c r="G10" s="46">
        <v>365430</v>
      </c>
      <c r="H10" s="46">
        <v>1827150</v>
      </c>
    </row>
    <row r="11" spans="2:8" outlineLevel="1" x14ac:dyDescent="0.25">
      <c r="B11" s="44" t="s">
        <v>29</v>
      </c>
      <c r="C11" s="45" t="s">
        <v>39</v>
      </c>
      <c r="D11" s="44" t="s">
        <v>31</v>
      </c>
      <c r="E11" s="46">
        <v>1</v>
      </c>
      <c r="F11" s="46">
        <v>1</v>
      </c>
      <c r="G11" s="46">
        <v>365430</v>
      </c>
      <c r="H11" s="46">
        <v>365430</v>
      </c>
    </row>
    <row r="12" spans="2:8" outlineLevel="1" x14ac:dyDescent="0.25">
      <c r="E12" s="46">
        <v>1</v>
      </c>
      <c r="H12" s="46">
        <v>0</v>
      </c>
    </row>
    <row r="13" spans="2:8" ht="15.6" x14ac:dyDescent="0.3">
      <c r="B13" s="51" t="s">
        <v>36</v>
      </c>
      <c r="H13" s="53">
        <f>SUM(Tabla7[TOTAL])</f>
        <v>54223440</v>
      </c>
    </row>
    <row r="15" spans="2:8" ht="15.6" thickBot="1" x14ac:dyDescent="0.3"/>
    <row r="16" spans="2:8" ht="16.2" thickBot="1" x14ac:dyDescent="0.3">
      <c r="B16" s="47" t="s">
        <v>45</v>
      </c>
      <c r="C16" s="48"/>
      <c r="D16" s="48"/>
      <c r="E16" s="48"/>
      <c r="F16" s="48"/>
      <c r="G16" s="49"/>
      <c r="H16" s="50" t="s">
        <v>29</v>
      </c>
    </row>
    <row r="17" spans="2:8" ht="15.6" outlineLevel="1" x14ac:dyDescent="0.3">
      <c r="B17" s="51" t="s">
        <v>9</v>
      </c>
      <c r="C17" s="52" t="s">
        <v>8</v>
      </c>
      <c r="D17" s="51" t="s">
        <v>10</v>
      </c>
      <c r="E17" s="53" t="s">
        <v>33</v>
      </c>
      <c r="F17" s="53" t="s">
        <v>34</v>
      </c>
      <c r="G17" s="53" t="s">
        <v>44</v>
      </c>
      <c r="H17" s="53" t="s">
        <v>35</v>
      </c>
    </row>
    <row r="18" spans="2:8" outlineLevel="1" x14ac:dyDescent="0.25">
      <c r="B18" s="44" t="s">
        <v>29</v>
      </c>
      <c r="C18" s="45" t="s">
        <v>39</v>
      </c>
      <c r="D18" s="44" t="s">
        <v>31</v>
      </c>
      <c r="E18" s="46">
        <v>1</v>
      </c>
      <c r="F18" s="46">
        <v>3</v>
      </c>
      <c r="G18" s="46">
        <v>365430</v>
      </c>
      <c r="H18" s="46">
        <v>1096290</v>
      </c>
    </row>
    <row r="19" spans="2:8" outlineLevel="1" x14ac:dyDescent="0.25">
      <c r="B19" s="44" t="s">
        <v>29</v>
      </c>
      <c r="C19" s="45" t="s">
        <v>39</v>
      </c>
      <c r="D19" s="44" t="s">
        <v>31</v>
      </c>
      <c r="E19" s="46">
        <v>1</v>
      </c>
      <c r="F19" s="46">
        <v>3</v>
      </c>
      <c r="G19" s="46">
        <v>365430</v>
      </c>
      <c r="H19" s="46">
        <v>1096290</v>
      </c>
    </row>
    <row r="20" spans="2:8" outlineLevel="1" x14ac:dyDescent="0.25">
      <c r="B20" s="44" t="s">
        <v>29</v>
      </c>
      <c r="C20" s="45" t="s">
        <v>40</v>
      </c>
      <c r="D20" s="44" t="s">
        <v>31</v>
      </c>
      <c r="E20" s="46">
        <v>1</v>
      </c>
      <c r="F20" s="46">
        <v>2</v>
      </c>
      <c r="G20" s="46">
        <v>5130000</v>
      </c>
      <c r="H20" s="46">
        <v>10260000</v>
      </c>
    </row>
    <row r="21" spans="2:8" outlineLevel="1" x14ac:dyDescent="0.25">
      <c r="E21" s="46">
        <v>1</v>
      </c>
      <c r="H21" s="46">
        <v>0</v>
      </c>
    </row>
    <row r="22" spans="2:8" outlineLevel="1" x14ac:dyDescent="0.25">
      <c r="E22" s="46">
        <v>1</v>
      </c>
      <c r="H22" s="46">
        <v>0</v>
      </c>
    </row>
    <row r="23" spans="2:8" outlineLevel="1" x14ac:dyDescent="0.25">
      <c r="B23" s="44" t="s">
        <v>29</v>
      </c>
      <c r="C23" s="45" t="s">
        <v>40</v>
      </c>
      <c r="D23" s="44" t="s">
        <v>31</v>
      </c>
      <c r="E23" s="46">
        <v>1</v>
      </c>
      <c r="F23" s="46">
        <v>5</v>
      </c>
      <c r="G23" s="46">
        <v>5130000</v>
      </c>
      <c r="H23" s="46">
        <v>25650000</v>
      </c>
    </row>
    <row r="24" spans="2:8" outlineLevel="1" x14ac:dyDescent="0.25">
      <c r="B24" s="44" t="s">
        <v>29</v>
      </c>
      <c r="C24" s="45" t="s">
        <v>39</v>
      </c>
      <c r="D24" s="44" t="s">
        <v>31</v>
      </c>
      <c r="E24" s="46">
        <v>1</v>
      </c>
      <c r="F24" s="46">
        <v>1</v>
      </c>
      <c r="G24" s="46">
        <v>365430</v>
      </c>
      <c r="H24" s="46">
        <v>365430</v>
      </c>
    </row>
    <row r="25" spans="2:8" outlineLevel="1" x14ac:dyDescent="0.25">
      <c r="B25" s="44" t="s">
        <v>29</v>
      </c>
      <c r="C25" s="45" t="s">
        <v>40</v>
      </c>
      <c r="D25" s="44" t="s">
        <v>31</v>
      </c>
      <c r="E25" s="46">
        <v>1</v>
      </c>
      <c r="F25" s="46">
        <v>1</v>
      </c>
      <c r="G25" s="46">
        <v>5130000</v>
      </c>
      <c r="H25" s="46">
        <v>5130000</v>
      </c>
    </row>
    <row r="26" spans="2:8" outlineLevel="1" x14ac:dyDescent="0.25">
      <c r="E26" s="46">
        <v>1</v>
      </c>
      <c r="H26" s="46">
        <v>0</v>
      </c>
    </row>
    <row r="27" spans="2:8" ht="15.6" x14ac:dyDescent="0.3">
      <c r="B27" s="51" t="s">
        <v>36</v>
      </c>
      <c r="H27" s="53">
        <f>SUM(Tabla14[TOTAL])</f>
        <v>43598010</v>
      </c>
    </row>
    <row r="29" spans="2:8" ht="15.6" thickBot="1" x14ac:dyDescent="0.3"/>
    <row r="30" spans="2:8" ht="16.2" thickBot="1" x14ac:dyDescent="0.3">
      <c r="B30" s="47" t="s">
        <v>46</v>
      </c>
      <c r="C30" s="48"/>
      <c r="D30" s="48"/>
      <c r="E30" s="48"/>
      <c r="F30" s="48"/>
      <c r="G30" s="49"/>
      <c r="H30" s="50" t="s">
        <v>29</v>
      </c>
    </row>
    <row r="31" spans="2:8" ht="15.6" outlineLevel="1" x14ac:dyDescent="0.3">
      <c r="B31" s="51" t="s">
        <v>9</v>
      </c>
      <c r="C31" s="52" t="s">
        <v>8</v>
      </c>
      <c r="D31" s="51" t="s">
        <v>10</v>
      </c>
      <c r="E31" s="53" t="s">
        <v>33</v>
      </c>
      <c r="F31" s="53" t="s">
        <v>34</v>
      </c>
      <c r="G31" s="53" t="s">
        <v>44</v>
      </c>
      <c r="H31" s="53" t="s">
        <v>35</v>
      </c>
    </row>
    <row r="32" spans="2:8" outlineLevel="1" x14ac:dyDescent="0.25">
      <c r="B32" s="44" t="s">
        <v>29</v>
      </c>
      <c r="C32" s="45" t="s">
        <v>39</v>
      </c>
      <c r="D32" s="44" t="s">
        <v>31</v>
      </c>
      <c r="E32" s="46">
        <v>1</v>
      </c>
      <c r="F32" s="46">
        <v>3</v>
      </c>
      <c r="G32" s="46">
        <v>365430</v>
      </c>
      <c r="H32" s="46">
        <v>1096290</v>
      </c>
    </row>
    <row r="33" spans="2:8" outlineLevel="1" x14ac:dyDescent="0.25">
      <c r="B33" s="44" t="s">
        <v>29</v>
      </c>
      <c r="C33" s="45" t="s">
        <v>39</v>
      </c>
      <c r="D33" s="44" t="s">
        <v>31</v>
      </c>
      <c r="E33" s="46">
        <v>1</v>
      </c>
      <c r="F33" s="46">
        <v>232</v>
      </c>
      <c r="G33" s="46">
        <v>365430</v>
      </c>
      <c r="H33" s="46">
        <v>84779760</v>
      </c>
    </row>
    <row r="34" spans="2:8" outlineLevel="1" x14ac:dyDescent="0.25">
      <c r="B34" s="44" t="s">
        <v>29</v>
      </c>
      <c r="C34" s="45" t="s">
        <v>40</v>
      </c>
      <c r="D34" s="44" t="s">
        <v>31</v>
      </c>
      <c r="E34" s="46">
        <v>1</v>
      </c>
      <c r="F34" s="46">
        <v>32</v>
      </c>
      <c r="G34" s="46">
        <v>5130000</v>
      </c>
      <c r="H34" s="46">
        <v>164160000</v>
      </c>
    </row>
    <row r="35" spans="2:8" outlineLevel="1" x14ac:dyDescent="0.25">
      <c r="B35" s="44" t="s">
        <v>29</v>
      </c>
      <c r="C35" s="45" t="s">
        <v>39</v>
      </c>
      <c r="D35" s="44" t="s">
        <v>31</v>
      </c>
      <c r="E35" s="46">
        <v>1</v>
      </c>
      <c r="F35" s="46">
        <v>21</v>
      </c>
      <c r="G35" s="46">
        <v>365430</v>
      </c>
      <c r="H35" s="46">
        <v>7674030</v>
      </c>
    </row>
    <row r="36" spans="2:8" outlineLevel="1" x14ac:dyDescent="0.25">
      <c r="E36" s="46">
        <v>1</v>
      </c>
      <c r="H36" s="46">
        <v>0</v>
      </c>
    </row>
    <row r="37" spans="2:8" ht="15.6" x14ac:dyDescent="0.3">
      <c r="B37" s="54" t="s">
        <v>36</v>
      </c>
      <c r="C37" s="55"/>
      <c r="D37" s="56"/>
      <c r="E37" s="43"/>
      <c r="F37" s="43"/>
      <c r="G37" s="43"/>
      <c r="H37" s="53">
        <f>SUM(Tabla89[TOTAL])</f>
        <v>257710080</v>
      </c>
    </row>
    <row r="40" spans="2:8" ht="15.6" x14ac:dyDescent="0.3">
      <c r="F40" s="51"/>
      <c r="G40" s="51"/>
      <c r="H40" s="53"/>
    </row>
    <row r="41" spans="2:8" ht="15.6" x14ac:dyDescent="0.3">
      <c r="B41" s="51" t="s">
        <v>29</v>
      </c>
      <c r="C41" s="52" t="s">
        <v>46</v>
      </c>
      <c r="D41" s="51" t="s">
        <v>47</v>
      </c>
      <c r="E41" s="53" t="s">
        <v>48</v>
      </c>
      <c r="F41" s="44"/>
      <c r="G41" s="44"/>
    </row>
    <row r="42" spans="2:8" x14ac:dyDescent="0.25">
      <c r="B42" s="44" t="s">
        <v>29</v>
      </c>
      <c r="C42" s="45" t="s">
        <v>43</v>
      </c>
      <c r="D42" s="57">
        <v>0.15251373063874252</v>
      </c>
      <c r="E42" s="46">
        <v>54223440</v>
      </c>
      <c r="F42" s="44"/>
      <c r="G42" s="44"/>
    </row>
    <row r="43" spans="2:8" x14ac:dyDescent="0.25">
      <c r="B43" s="44" t="s">
        <v>29</v>
      </c>
      <c r="C43" s="45" t="s">
        <v>45</v>
      </c>
      <c r="D43" s="57">
        <v>0.12262768930789344</v>
      </c>
      <c r="E43" s="46">
        <v>43598010</v>
      </c>
      <c r="F43" s="44"/>
      <c r="G43" s="44"/>
    </row>
    <row r="44" spans="2:8" x14ac:dyDescent="0.25">
      <c r="B44" s="44" t="s">
        <v>29</v>
      </c>
      <c r="C44" s="45" t="s">
        <v>46</v>
      </c>
      <c r="D44" s="57">
        <v>0.72485858005336401</v>
      </c>
      <c r="E44" s="46">
        <v>257710080</v>
      </c>
      <c r="F44" s="44"/>
      <c r="G44" s="44"/>
    </row>
    <row r="47" spans="2:8" ht="15.6" x14ac:dyDescent="0.3">
      <c r="B47" s="58"/>
      <c r="C47" s="59"/>
      <c r="D47" s="60" t="s">
        <v>49</v>
      </c>
      <c r="E47" s="61">
        <v>355531530</v>
      </c>
    </row>
    <row r="48" spans="2:8" x14ac:dyDescent="0.25">
      <c r="B48" s="62" t="s">
        <v>50</v>
      </c>
      <c r="C48" s="62"/>
      <c r="D48" s="62"/>
      <c r="E48" s="62"/>
    </row>
    <row r="50" spans="3:5" ht="15.6" x14ac:dyDescent="0.3">
      <c r="C50" s="52" t="s">
        <v>8</v>
      </c>
      <c r="D50" s="51" t="s">
        <v>47</v>
      </c>
      <c r="E50" s="53" t="s">
        <v>48</v>
      </c>
    </row>
    <row r="51" spans="3:5" x14ac:dyDescent="0.25">
      <c r="C51" s="45" t="s">
        <v>51</v>
      </c>
      <c r="D51" s="63">
        <v>0.05</v>
      </c>
      <c r="E51" s="64">
        <v>17776576.5</v>
      </c>
    </row>
    <row r="52" spans="3:5" x14ac:dyDescent="0.25">
      <c r="C52" s="45" t="s">
        <v>52</v>
      </c>
      <c r="D52" s="63">
        <v>0.05</v>
      </c>
      <c r="E52" s="64">
        <v>17776576.5</v>
      </c>
    </row>
    <row r="53" spans="3:5" x14ac:dyDescent="0.25">
      <c r="C53" s="45" t="s">
        <v>53</v>
      </c>
      <c r="D53" s="63">
        <v>0.1</v>
      </c>
      <c r="E53" s="64">
        <v>35553153</v>
      </c>
    </row>
    <row r="54" spans="3:5" x14ac:dyDescent="0.25">
      <c r="C54" s="45" t="s">
        <v>54</v>
      </c>
      <c r="D54" s="63">
        <v>0.19</v>
      </c>
      <c r="E54" s="64">
        <v>6755099.0700000003</v>
      </c>
    </row>
    <row r="55" spans="3:5" ht="15.6" x14ac:dyDescent="0.3">
      <c r="D55" s="65" t="s">
        <v>55</v>
      </c>
      <c r="E55" s="66">
        <v>77861405.069999993</v>
      </c>
    </row>
    <row r="56" spans="3:5" x14ac:dyDescent="0.25">
      <c r="E56" s="64"/>
    </row>
    <row r="57" spans="3:5" ht="15.6" x14ac:dyDescent="0.3">
      <c r="D57" s="51" t="s">
        <v>56</v>
      </c>
      <c r="E57" s="66">
        <v>433392935.06999999</v>
      </c>
    </row>
  </sheetData>
  <dataConsolidate/>
  <mergeCells count="5">
    <mergeCell ref="B1:H1"/>
    <mergeCell ref="B3:G3"/>
    <mergeCell ref="B16:G16"/>
    <mergeCell ref="B30:G30"/>
    <mergeCell ref="B48:E48"/>
  </mergeCells>
  <dataValidations count="1">
    <dataValidation type="list" allowBlank="1" showInputMessage="1" showErrorMessage="1" sqref="C18:C26 C32:C36 C5:C12" xr:uid="{BE8731C7-3BC0-4059-BEEB-3D97D4900A4D}">
      <formula1>BD_APUS</formula1>
    </dataValidation>
  </dataValidations>
  <pageMargins left="0.7" right="0.7" top="0.75" bottom="0.75" header="0.3" footer="0.3"/>
  <pageSetup paperSize="9" scale="62" fitToHeight="0" orientation="portrait" cellComments="atEnd" r:id="rId1"/>
  <colBreaks count="1" manualBreakCount="1">
    <brk id="8" max="1048575" man="1"/>
  </colBreaks>
  <drawing r:id="rId2"/>
  <tableParts count="5">
    <tablePart r:id="rId3"/>
    <tablePart r:id="rId4"/>
    <tablePart r:id="rId5"/>
    <tablePart r:id="rId6"/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INSUMOS</vt:lpstr>
      <vt:lpstr>Hoja1</vt:lpstr>
      <vt:lpstr>BÁSICOS</vt:lpstr>
      <vt:lpstr>APU</vt:lpstr>
      <vt:lpstr>PRESUPUESTO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Triana</dc:creator>
  <cp:lastModifiedBy>Javier Triana</cp:lastModifiedBy>
  <dcterms:created xsi:type="dcterms:W3CDTF">2025-01-07T17:34:12Z</dcterms:created>
  <dcterms:modified xsi:type="dcterms:W3CDTF">2025-01-07T17:34:21Z</dcterms:modified>
</cp:coreProperties>
</file>