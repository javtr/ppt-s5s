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96933b549ec4f5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9FBA6248-8008-4DF3-A536-5E70F7C4DD1C}" xr6:coauthVersionLast="47" xr6:coauthVersionMax="47" xr10:uidLastSave="{00000000-0000-0000-0000-000000000000}"/>
  <workbookProtection workbookAlgorithmName="SHA-512" workbookHashValue="LDoZxyfzihylk9XlfO+Kf4yhXVqBQTekNSXXJgWSBQSpdWnqARbZIFDIaT/naW+JPQIiGM/Dt8QYVTZgIocSYA==" workbookSaltValue="17IR1fn9Uc6jL6ccXH3oTA==" workbookSpinCount="100000" lockStructure="1"/>
  <bookViews>
    <workbookView xWindow="-108" yWindow="-108" windowWidth="23256" windowHeight="12456" tabRatio="606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02" l="1"/>
  <c r="H24" i="102"/>
  <c r="E23" i="102"/>
  <c r="H23" i="102"/>
  <c r="E22" i="102"/>
  <c r="H22" i="102"/>
  <c r="E13" i="102"/>
  <c r="H13" i="102" s="1"/>
  <c r="E14" i="102"/>
  <c r="H14" i="102" s="1"/>
  <c r="E16" i="102"/>
  <c r="H16" i="102"/>
  <c r="E15" i="102"/>
  <c r="H15" i="102"/>
  <c r="E12" i="102"/>
  <c r="H12" i="102" s="1"/>
  <c r="E17" i="103"/>
  <c r="H17" i="103" s="1"/>
  <c r="E18" i="103"/>
  <c r="H18" i="103" s="1"/>
  <c r="E19" i="103"/>
  <c r="H19" i="103" s="1"/>
  <c r="H25" i="102" l="1"/>
  <c r="H17" i="102"/>
  <c r="D6" i="10"/>
  <c r="C6" i="10"/>
  <c r="B6" i="10"/>
  <c r="D5" i="10"/>
  <c r="C5" i="10"/>
  <c r="B5" i="10"/>
  <c r="D4" i="10"/>
  <c r="C4" i="10"/>
  <c r="B4" i="10"/>
  <c r="D3" i="10"/>
  <c r="C3" i="10"/>
  <c r="B3" i="10"/>
  <c r="D5" i="4"/>
  <c r="C5" i="4"/>
  <c r="B5" i="4"/>
  <c r="D4" i="4"/>
  <c r="C4" i="4"/>
  <c r="B4" i="4"/>
  <c r="D3" i="4"/>
  <c r="C3" i="4"/>
  <c r="B3" i="4"/>
  <c r="D23" i="104" s="1"/>
  <c r="E28" i="103"/>
  <c r="H28" i="103" s="1"/>
  <c r="E27" i="103"/>
  <c r="H27" i="103" s="1"/>
  <c r="E26" i="103"/>
  <c r="H26" i="103" s="1"/>
  <c r="E5" i="103"/>
  <c r="B25" i="104"/>
  <c r="B23" i="104"/>
  <c r="D5" i="104"/>
  <c r="H7" i="103"/>
  <c r="E7" i="106"/>
  <c r="E6" i="106"/>
  <c r="E5" i="106"/>
  <c r="E4" i="106"/>
  <c r="E3" i="106"/>
  <c r="C44" i="104"/>
  <c r="B44" i="104"/>
  <c r="C43" i="104"/>
  <c r="B43" i="104"/>
  <c r="C42" i="104"/>
  <c r="B42" i="104"/>
  <c r="H36" i="104"/>
  <c r="H21" i="104"/>
  <c r="H22" i="104"/>
  <c r="H29" i="103" l="1"/>
  <c r="E5" i="4" s="1"/>
  <c r="B5" i="104"/>
  <c r="D6" i="104"/>
  <c r="B34" i="104"/>
  <c r="B7" i="104"/>
  <c r="D24" i="104"/>
  <c r="B24" i="104"/>
  <c r="E6" i="10"/>
  <c r="E5" i="10"/>
  <c r="D5" i="103"/>
  <c r="D15" i="103"/>
  <c r="B35" i="104"/>
  <c r="D20" i="104"/>
  <c r="B8" i="104"/>
  <c r="D19" i="104"/>
  <c r="B20" i="104"/>
  <c r="D35" i="104"/>
  <c r="B6" i="104"/>
  <c r="D7" i="104"/>
  <c r="D8" i="104"/>
  <c r="B9" i="104"/>
  <c r="B19" i="104"/>
  <c r="D9" i="104"/>
  <c r="D25" i="104"/>
  <c r="D32" i="104"/>
  <c r="D33" i="104"/>
  <c r="B11" i="104"/>
  <c r="B33" i="104"/>
  <c r="B10" i="104"/>
  <c r="D18" i="104"/>
  <c r="D34" i="104"/>
  <c r="D10" i="104"/>
  <c r="B32" i="104"/>
  <c r="D11" i="104"/>
  <c r="B18" i="104"/>
  <c r="B5" i="103"/>
  <c r="B15" i="103"/>
  <c r="E8" i="106"/>
  <c r="E3" i="10" l="1"/>
  <c r="G15" i="103" s="1"/>
  <c r="H15" i="103" s="1"/>
  <c r="E4" i="10"/>
  <c r="H6" i="103" s="1"/>
  <c r="G5" i="103" l="1"/>
  <c r="H5" i="103" s="1"/>
  <c r="H10" i="103" s="1"/>
  <c r="E3" i="4" s="1"/>
  <c r="H16" i="103"/>
  <c r="H21" i="103" s="1"/>
  <c r="E4" i="4" s="1"/>
  <c r="G24" i="104" l="1"/>
  <c r="H24" i="104" s="1"/>
  <c r="G35" i="104"/>
  <c r="H35" i="104" s="1"/>
  <c r="G11" i="104"/>
  <c r="H11" i="104" s="1"/>
  <c r="G10" i="104"/>
  <c r="H10" i="104" s="1"/>
  <c r="G19" i="104"/>
  <c r="H19" i="104" s="1"/>
  <c r="G33" i="104"/>
  <c r="H33" i="104" s="1"/>
  <c r="G18" i="104"/>
  <c r="H18" i="104" s="1"/>
  <c r="G6" i="104"/>
  <c r="H6" i="104" s="1"/>
  <c r="G32" i="104"/>
  <c r="H32" i="104" s="1"/>
  <c r="G34" i="104"/>
  <c r="H34" i="104" s="1"/>
  <c r="G25" i="104"/>
  <c r="H25" i="104" s="1"/>
  <c r="G23" i="104"/>
  <c r="H23" i="104" s="1"/>
  <c r="G5" i="104"/>
  <c r="H5" i="104" s="1"/>
  <c r="G7" i="104"/>
  <c r="H7" i="104" s="1"/>
  <c r="G9" i="104"/>
  <c r="H9" i="104" s="1"/>
  <c r="G8" i="104"/>
  <c r="H8" i="104" s="1"/>
  <c r="G20" i="104"/>
  <c r="H20" i="104" s="1"/>
  <c r="H37" i="104" l="1"/>
  <c r="E44" i="104" s="1"/>
  <c r="H27" i="104"/>
  <c r="E43" i="104" s="1"/>
  <c r="H13" i="104"/>
  <c r="E42" i="104" s="1"/>
  <c r="E47" i="104" l="1"/>
  <c r="E53" i="104" s="1"/>
  <c r="E54" i="104" s="1"/>
  <c r="E52" i="104"/>
  <c r="D42" i="104"/>
  <c r="E51" i="104"/>
  <c r="D44" i="104" l="1"/>
  <c r="D43" i="104"/>
  <c r="E55" i="104"/>
  <c r="E57" i="104" s="1"/>
</calcChain>
</file>

<file path=xl/sharedStrings.xml><?xml version="1.0" encoding="utf-8"?>
<sst xmlns="http://schemas.openxmlformats.org/spreadsheetml/2006/main" count="222" uniqueCount="67">
  <si>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</si>
  <si>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</si>
  <si>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</si>
  <si>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</si>
  <si>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</si>
  <si>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</si>
  <si>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</si>
  <si>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</si>
  <si>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</si>
  <si>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</si>
  <si>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</si>
  <si>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</si>
  <si>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</si>
  <si>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</si>
  <si>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</si>
  <si>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</si>
  <si>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</si>
  <si>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</si>
  <si>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</si>
  <si>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</si>
  <si>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</si>
  <si>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</si>
  <si>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</si>
  <si>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</si>
  <si>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</si>
  <si>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</si>
  <si>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</si>
  <si>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</si>
  <si>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</si>
  <si>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</si>
  <si>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</si>
  <si>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</si>
  <si>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</si>
  <si>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</si>
  <si>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</si>
  <si>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</si>
  <si>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</si>
  <si>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</si>
  <si>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</si>
  <si>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</si>
  <si>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</si>
  <si>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</si>
  <si>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</si>
  <si>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</si>
  <si>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</si>
  <si>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</si>
  <si>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</si>
  <si>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</si>
  <si>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</si>
  <si>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</si>
  <si>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</si>
  <si>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</si>
  <si>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</si>
  <si>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</si>
  <si>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</si>
  <si>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</si>
  <si>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</si>
  <si>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</si>
  <si>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basico 01</t>
  </si>
  <si>
    <t>Apu 01</t>
  </si>
  <si>
    <t>Apu basico 02</t>
  </si>
  <si>
    <t>Apu 02</t>
  </si>
  <si>
    <t>OK</t>
  </si>
  <si>
    <t>CAPÍTULO 1</t>
  </si>
  <si>
    <t>CAPÍTULO 2</t>
  </si>
  <si>
    <t>NOMBRE A.P.U. BÁSICO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</si>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</sst>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164" formatCode="_-* #,##0\ _€_-;\-* #,##0\ _€_-;_-* &quot;-&quot;\ _€_-;_-@_-"/>
    <numFmt numFmtId="165" formatCode="#,##0.00_ ;\-#,##0.00\ "/>
    <numFmt numFmtId="166" formatCode="[$$-240A]\ #,##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/>
    <xf numFmtId="166" fontId="0" fillId="0" borderId="0" xfId="0" applyNumberFormat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0" fillId="0" borderId="0" xfId="0" applyNumberFormat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64"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63"/>
      <tableStyleElement type="headerRow" dxfId="162"/>
    </tableStyle>
    <tableStyle name="S5S Green" pivot="0" count="2" xr9:uid="{00000000-0011-0000-FFFF-FFFF02000000}">
      <tableStyleElement type="wholeTable" dxfId="161"/>
      <tableStyleElement type="headerRow" dxfId="160"/>
    </tableStyle>
    <tableStyle name="S5S Greenblue" pivot="0" count="2" xr9:uid="{00000000-0011-0000-FFFF-FFFF03000000}">
      <tableStyleElement type="wholeTable" dxfId="159"/>
      <tableStyleElement type="headerRow" dxfId="158"/>
    </tableStyle>
    <tableStyle name="S5S2" pivot="0" count="2" xr9:uid="{00000000-0011-0000-FFFF-FFFF04000000}">
      <tableStyleElement type="wholeTable" dxfId="157"/>
      <tableStyleElement type="headerRow" dxfId="156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5163C49-06DD-41AC-87F0-95B6056BF27D}" name="T_mat" displayName="T_mat" ref="A4:E15" totalsRowShown="0" headerRowDxfId="155">
  <autoFilter ref="A4:E15" xr:uid="{35163C49-06DD-41AC-87F0-95B6056BF27D}"/>
  <sortState xmlns:xlrd2="http://schemas.microsoft.com/office/spreadsheetml/2017/richdata2" ref="A5:E15">
    <sortCondition ref="A4:A15"/>
  </sortState>
  <tableColumns count="5">
    <tableColumn id="1" xr3:uid="{66B6A4FC-04B9-46B1-9A60-8B4235B01FB1}" name="DESCRIPCIÓN" dataDxfId="154"/>
    <tableColumn id="2" xr3:uid="{590D80B6-266A-40AE-96E2-4B8C49A0ED2D}" name="CÓDIGO" dataDxfId="153"/>
    <tableColumn id="3" xr3:uid="{19A5DD5B-76DF-412C-B456-961C17712F44}" name="UNIDAD" dataDxfId="152"/>
    <tableColumn id="4" xr3:uid="{A5C9AC68-4573-46E5-9519-6D1125A0C35F}" name="PRECIO" dataDxfId="151"/>
    <tableColumn id="5" xr3:uid="{F6096676-2E8B-429F-A8D7-161439AD8C0C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C432AD-E3FE-4AF6-8C30-AA847C0BBC39}" name="T_equipos" displayName="T_equipos" ref="G4:K11" totalsRowShown="0" headerRowDxfId="150">
  <autoFilter ref="G4:K11" xr:uid="{3EC432AD-E3FE-4AF6-8C30-AA847C0BBC39}"/>
  <tableColumns count="5">
    <tableColumn id="1" xr3:uid="{1D3C53CE-0CF7-4BE4-B9E2-9FA5A48A7FE1}" name="DESCRIPCIÓN" dataDxfId="149"/>
    <tableColumn id="2" xr3:uid="{B929374C-D65D-4AEC-98CD-C5375CD07C26}" name="CÓDIGO" dataDxfId="148"/>
    <tableColumn id="3" xr3:uid="{51C9E9F3-E289-464F-B582-BF64E576D1FB}" name="UNIDAD" dataDxfId="147"/>
    <tableColumn id="4" xr3:uid="{1DAED865-92E7-4746-95F7-EF29DD6C80EE}" name="PRECIO" dataDxfId="146"/>
    <tableColumn id="5" xr3:uid="{CDC791B4-28F4-42D6-9987-96F7A20104D1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8AA1A2E9-8F33-427A-926F-B1C96BC7066F}" name="T_mano" displayName="T_mano" ref="M4:Q11" totalsRowShown="0" headerRowDxfId="145">
  <autoFilter ref="M4:Q11" xr:uid="{8AA1A2E9-8F33-427A-926F-B1C96BC7066F}"/>
  <sortState xmlns:xlrd2="http://schemas.microsoft.com/office/spreadsheetml/2017/richdata2" ref="M5:Q19">
    <sortCondition ref="N4"/>
  </sortState>
  <tableColumns count="5">
    <tableColumn id="1" xr3:uid="{ABFFDB0E-0706-4014-BD8E-016A0915F601}" name="DESCRIPCIÓN" dataDxfId="144"/>
    <tableColumn id="2" xr3:uid="{FB67F346-D0B1-4202-AE10-5EBDF4B9ADA2}" name="CÓDIGO" dataDxfId="143"/>
    <tableColumn id="3" xr3:uid="{61447079-C2DA-467E-8F4E-CB2D3B62E402}" name="UNIDAD" dataDxfId="142"/>
    <tableColumn id="4" xr3:uid="{827DC2EB-289E-4D5D-AF01-CA9E16107176}" name="PRECIO" dataDxfId="141"/>
    <tableColumn id="5" xr3:uid="{C6BC718B-60E5-417B-B413-5DE8995550F7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AF20191-D16C-4181-9765-B0241B47704D}" name="T_trans" displayName="T_trans" ref="S4:W11" totalsRowShown="0" headerRowDxfId="140">
  <autoFilter ref="S4:W11" xr:uid="{3AF20191-D16C-4181-9765-B0241B47704D}"/>
  <sortState xmlns:xlrd2="http://schemas.microsoft.com/office/spreadsheetml/2017/richdata2" ref="S5:W15">
    <sortCondition ref="T4:T15"/>
  </sortState>
  <tableColumns count="5">
    <tableColumn id="1" xr3:uid="{483C3CD7-5480-4A69-9EAA-D6095EEFC776}" name="DESCRIPCIÓN" dataDxfId="139"/>
    <tableColumn id="2" xr3:uid="{C93FF0F3-5C51-4E52-A7FD-0A97B94261FA}" name="CÓDIGO" dataDxfId="138"/>
    <tableColumn id="3" xr3:uid="{DF323099-BE87-475A-A71B-25EACA6CB3A7}" name="UNIDAD" dataDxfId="137"/>
    <tableColumn id="4" xr3:uid="{43CFAE15-C7AF-4CBA-B15F-CAB5946940D0}" name="PRECIO" dataDxfId="136"/>
    <tableColumn id="5" xr3:uid="{5C7CDC9B-06A3-49F8-B8CD-B9E3E1F10ECB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692394F0-56D9-4CDF-B128-169558E683C7}" name="T_sub" displayName="T_sub" ref="Y4:AC11" totalsRowShown="0" headerRowDxfId="135">
  <autoFilter ref="Y4:AC11" xr:uid="{692394F0-56D9-4CDF-B128-169558E683C7}"/>
  <sortState xmlns:xlrd2="http://schemas.microsoft.com/office/spreadsheetml/2017/richdata2" ref="Y5:AC18">
    <sortCondition ref="Z4"/>
  </sortState>
  <tableColumns count="5">
    <tableColumn id="1" xr3:uid="{681D5347-21F8-4437-8E39-12CA3DC47D71}" name="DESCRIPCIÓN" dataDxfId="134"/>
    <tableColumn id="2" xr3:uid="{BECD9356-A90A-4458-B2A6-C91CA57E3BF3}" name="CÓDIGO" dataDxfId="133"/>
    <tableColumn id="3" xr3:uid="{06850437-E874-4D8C-9ECA-54256C1C66F6}" name="UNIDAD" dataDxfId="132"/>
    <tableColumn id="4" xr3:uid="{65C0ED23-3E2A-492A-BCA2-FDF0692C8FFD}" name="PRECIO" dataDxfId="131"/>
    <tableColumn id="5" xr3:uid="{D38493F6-2EC3-4468-BE31-49044D748F9B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8883847-159C-4D69-9DC1-AB5E5A4E1F5D}" name="T_otros" displayName="T_otros" ref="AK4:AO11" totalsRowShown="0" headerRowDxfId="130">
  <autoFilter ref="AK4:AO11" xr:uid="{18883847-159C-4D69-9DC1-AB5E5A4E1F5D}"/>
  <sortState xmlns:xlrd2="http://schemas.microsoft.com/office/spreadsheetml/2017/richdata2" ref="AK5:AO18">
    <sortCondition ref="AL4"/>
  </sortState>
  <tableColumns count="5">
    <tableColumn id="1" xr3:uid="{FB94A2F0-2B63-4C96-8BF1-28C4B2F36A2C}" name="DESCRIPCIÓN" dataDxfId="129"/>
    <tableColumn id="2" xr3:uid="{9F8D2D16-7F2E-4007-B55E-8C176DFA54DF}" name="CÓDIGO" dataDxfId="128"/>
    <tableColumn id="3" xr3:uid="{D3D1120B-1558-4FCD-99D8-A5E29D3CDBFC}" name="UNIDAD" dataDxfId="127"/>
    <tableColumn id="4" xr3:uid="{862E80EA-6627-48D7-B8EB-7DB311EABE08}" name="PRECIO" dataDxfId="126"/>
    <tableColumn id="5" xr3:uid="{C548858A-1844-460E-A1CC-CD31642BFF12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429DDB-0CB6-4EEB-ADB5-66ECCA01DA73}" name="T_act" displayName="T_act" ref="AE4:AI11" totalsRowShown="0" headerRowDxfId="125">
  <autoFilter ref="AE4:AI11" xr:uid="{71429DDB-0CB6-4EEB-ADB5-66ECCA01DA73}"/>
  <sortState xmlns:xlrd2="http://schemas.microsoft.com/office/spreadsheetml/2017/richdata2" ref="AE5:AI15">
    <sortCondition ref="AE4:AE15"/>
  </sortState>
  <tableColumns count="5">
    <tableColumn id="1" xr3:uid="{C24F9771-B730-454A-B344-54C6AC857951}" name="DESCRIPCIÓN" dataDxfId="124"/>
    <tableColumn id="2" xr3:uid="{A4604D4F-CFC0-4F7E-90A4-827CF550A33E}" name="CÓDIGO" dataDxfId="123"/>
    <tableColumn id="3" xr3:uid="{59E31BB8-5436-4C08-9670-728BD258AC63}" name="UNIDAD" dataDxfId="122"/>
    <tableColumn id="4" xr3:uid="{9A9C7FC3-5F98-4C2A-8274-196411916C6E}" name="PRECIO" dataDxfId="121"/>
    <tableColumn id="5" xr3:uid="{0FA7E606-D7A7-43AC-B18A-0DA739BAF2A6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1124371-81F7-43A1-9099-69E336EDED50}" name="Tabla20" displayName="Tabla20" ref="A11:H17" totalsRowCount="1">
  <autoFilter ref="A11:H16" xr:uid="{F1124371-81F7-43A1-9099-69E336EDED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4C1A563-D7A1-4297-B592-B25FEEB3783F}" name="TIPO" totalsRowLabel="Total"/>
    <tableColumn id="2" xr3:uid="{8489FCC8-6C7B-46AD-9B02-75DF0F716F2B}" name="CÓDIGO"/>
    <tableColumn id="3" xr3:uid="{0BBF41EE-7461-4670-8F7D-F674CFF5ADB4}" name="DESCRIPCIÓN"/>
    <tableColumn id="4" xr3:uid="{BF1C43B9-71A4-4C10-903E-13908A83DDB9}" name="UNIDAD" dataDxfId="13"/>
    <tableColumn id="5" xr3:uid="{AED9D1E8-43CC-4AA6-83EC-DAF85FAB0E2F}" name="FACTOR" dataDxfId="12">
      <calculatedColumnFormula>1</calculatedColumnFormula>
    </tableColumn>
    <tableColumn id="6" xr3:uid="{7F2F0B10-393D-4B89-A12E-C279B6C354CE}" name="CANTIDAD" dataDxfId="11"/>
    <tableColumn id="7" xr3:uid="{D3B22BF5-DDD9-42DB-9A04-8AE5F6423D51}" name="PRECIO" dataDxfId="10" totalsRowDxfId="8"/>
    <tableColumn id="8" xr3:uid="{2F950E4F-D73C-4F95-82BC-4070A2A55770}" name="TOTAL" totalsRowFunction="custom" dataDxfId="9" totalsRowDxfId="7">
      <calculatedColumnFormula>Tabla20[[#This Row],[CANTIDAD]]*Tabla20[[#This Row],[PRECIO]]*Tabla20[[#This Row],[FACTOR]]</calculatedColumnFormula>
      <totalsRowFormula>SUM(Tabla20[TOTAL])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2FBBA36-BD30-41F6-ADB1-9C6B5EB858CB}" name="Tabla21" displayName="Tabla21" ref="A21:H25" totalsRowCount="1">
  <autoFilter ref="A21:H24" xr:uid="{12FBBA36-BD30-41F6-ADB1-9C6B5EB858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DA07E89-F803-4D09-A93F-A5DC52637163}" name="TIPO" totalsRowLabel="Total"/>
    <tableColumn id="2" xr3:uid="{BB74610B-7625-4043-B32B-AD049B95B2D1}" name="CÓDIGO"/>
    <tableColumn id="3" xr3:uid="{40FFE648-3440-4AA9-9457-3BE8217AA753}" name="DESCRIPCIÓN"/>
    <tableColumn id="4" xr3:uid="{96CF19CA-69AC-4EB9-A6C6-3ABE402D1AD4}" name="UNIDAD" dataDxfId="6"/>
    <tableColumn id="5" xr3:uid="{D81DCA77-5AB9-46C2-8C08-32BE36127408}" name="FACTOR" dataDxfId="5">
      <calculatedColumnFormula>1</calculatedColumnFormula>
    </tableColumn>
    <tableColumn id="6" xr3:uid="{5278284C-8153-44D3-8884-90FAC7868369}" name="CANTIDAD" dataDxfId="4"/>
    <tableColumn id="7" xr3:uid="{CA0BF642-C8C3-4562-8477-26443D45C05C}" name="PRECIO" dataDxfId="3"/>
    <tableColumn id="8" xr3:uid="{7DC9FFBC-7517-4F1C-9256-92C62DCB9477}" name="TOTAL" totalsRowFunction="custom" dataDxfId="2">
      <calculatedColumnFormula>Tabla21[[#This Row],[CANTIDAD]]*Tabla21[[#This Row],[PRECIO]]*Tabla21[[#This Row],[FACTOR]]</calculatedColumnFormula>
      <totalsRowFormula>SUM(Tabla21[TOTAL])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5ED42B0-1D7E-4492-934F-9E9B511D6280}" name="Tabla8" displayName="Tabla8" ref="A4:H10" totalsRowCount="1">
  <autoFilter ref="A4:H9" xr:uid="{05ED42B0-1D7E-4492-934F-9E9B511D6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522035-5509-4202-8969-F6F4EC4ADC53}" name="TIPO" totalsRowLabel="Total"/>
    <tableColumn id="2" xr3:uid="{C8E63652-0864-4A72-9F25-753EAC72DF81}" name="CÓDIGO"/>
    <tableColumn id="3" xr3:uid="{0CD374D4-E705-4180-AB8B-76CFEECF29FA}" name="DESCRIPCIÓN"/>
    <tableColumn id="4" xr3:uid="{AD5DD0FB-E49C-4640-9FA4-0E74FEB0C58C}" name="UNIDAD" dataDxfId="120"/>
    <tableColumn id="5" xr3:uid="{C34105AC-404D-40A3-8CB0-99A64376F644}" name="FACTOR" dataDxfId="119">
      <calculatedColumnFormula>1</calculatedColumnFormula>
    </tableColumn>
    <tableColumn id="6" xr3:uid="{E80257D3-6472-4C87-9960-309FECFC181C}" name="CANTIDAD" dataDxfId="118"/>
    <tableColumn id="7" xr3:uid="{2DAC665D-F927-441D-83C6-F6A308031674}" name="PRECIO" dataDxfId="117" totalsRowDxfId="1"/>
    <tableColumn id="8" xr3:uid="{C638DF3E-2A17-44E0-8EFC-246FF7997AF9}" name="TOTAL" totalsRowFunction="custom" dataDxfId="116" totalsRowDxfId="0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E6933D8-67BA-40E6-AC2E-F6CCCBBCB257}" name="Tabla10" displayName="Tabla10" ref="A14:H21" totalsRowCount="1" headerRowDxfId="115">
  <autoFilter ref="A14:H20" xr:uid="{CE6933D8-67BA-40E6-AC2E-F6CCCBBCB2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332ED69-D8C4-4856-804F-111E83D807A6}" name="TIPO" totalsRowLabel="Total" totalsRowDxfId="16"/>
    <tableColumn id="2" xr3:uid="{9AE5C76D-E119-4199-8BEA-A6299CF795FD}" name="CÓDIGO"/>
    <tableColumn id="3" xr3:uid="{BE3F3F39-6581-46F7-BAE3-4405357AED73}" name="DESCRIPCIÓN"/>
    <tableColumn id="4" xr3:uid="{FBB85AF9-2387-4858-944E-4C15F84B2938}" name="UNIDAD" dataDxfId="114"/>
    <tableColumn id="5" xr3:uid="{C7727569-A9B1-489F-A59F-CA766CE2CF60}" name="FACTOR" dataDxfId="113"/>
    <tableColumn id="6" xr3:uid="{25242530-91B4-4B7E-9570-27531DDB0EDE}" name="CANTIDAD" dataDxfId="112"/>
    <tableColumn id="7" xr3:uid="{7167513A-3241-481A-9576-A994D60D5482}" name="PRECIO" dataDxfId="111" totalsRowDxfId="15"/>
    <tableColumn id="8" xr3:uid="{A5D1A74F-AD86-49D1-AAB0-CC3982FFCB2D}" name="TOTAL" totalsRowFunction="custom" dataDxfId="110" totalsRowDxfId="14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BC1ECB-F65E-4971-B791-E427F9F47D06}" name="Tabla5" displayName="Tabla5" ref="A25:H29" totalsRowCount="1">
  <autoFilter ref="A25:H28" xr:uid="{BFBC1ECB-F65E-4971-B791-E427F9F47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30FA72-57B2-44C2-8063-E90C6E8A9B0B}" name="TIPO" totalsRowLabel="Total"/>
    <tableColumn id="2" xr3:uid="{D1486200-DB79-4062-B929-1A981857378A}" name="CÓDIGO"/>
    <tableColumn id="3" xr3:uid="{003C70AF-E386-4609-9E33-C0C6CA9B64C0}" name="DESCRIPCIÓN"/>
    <tableColumn id="4" xr3:uid="{D5313F1A-C773-4021-8B11-859CF06133F5}" name="UNIDAD" dataDxfId="21"/>
    <tableColumn id="5" xr3:uid="{6308540C-5DD9-4B99-A793-1A4AD1459FE8}" name="FACTOR" dataDxfId="20">
      <calculatedColumnFormula>1</calculatedColumnFormula>
    </tableColumn>
    <tableColumn id="6" xr3:uid="{A74E0532-B50B-4DC5-AB5D-A9C62AD527A3}" name="CANTIDAD" dataDxfId="19"/>
    <tableColumn id="7" xr3:uid="{CA3A816C-1BE4-4BC0-9CD6-17B5E338BF7E}" name="PRECIO" dataDxfId="18"/>
    <tableColumn id="8" xr3:uid="{589D27EC-41BE-429B-8BD7-676D3B0475A9}" name="TOTAL" totalsRowFunction="custom" dataDxfId="17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96FDAE66-6DBA-4699-BF50-D8546BA48B45}" name="Tabla7" displayName="Tabla7" ref="B4:H13" totalsRowCount="1" headerRowDxfId="109" dataDxfId="108" totalsRowDxfId="107">
  <autoFilter ref="B4:H12" xr:uid="{96FDAE66-6DBA-4699-BF50-D8546BA48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2782E6E-ADBD-4264-9E19-07A74BF6707F}" name="CÓDIGO" totalsRowLabel="Total" dataDxfId="106" totalsRowDxfId="105"/>
    <tableColumn id="2" xr3:uid="{9E4A8911-B1F6-4798-B7A8-393CF0AC0087}" name="DESCRIPCIÓN" dataDxfId="104" totalsRowDxfId="103"/>
    <tableColumn id="3" xr3:uid="{A1AE07CE-2D7B-4A2B-96FB-56923B301155}" name="UNIDAD" dataDxfId="102" totalsRowDxfId="101"/>
    <tableColumn id="4" xr3:uid="{34B40167-98C6-43B4-ACE3-814B43CEEF4D}" name="FACTOR" dataDxfId="100" totalsRowDxfId="99"/>
    <tableColumn id="5" xr3:uid="{4774C47A-FCFE-4EFB-A37B-C782BBB55CD0}" name="CANTIDAD" dataDxfId="98" totalsRowDxfId="97"/>
    <tableColumn id="6" xr3:uid="{A7D9AF6D-518C-461D-AACA-AB4424887819}" name="COSTO" dataDxfId="96" totalsRowDxfId="95"/>
    <tableColumn id="7" xr3:uid="{42342F48-7E8C-4010-A99A-EA5943ADDBC7}" name="TOTAL" totalsRowFunction="custom" dataDxfId="94" totalsRowDxfId="93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3383F75-BB5A-443A-9E47-465B89ED8DA0}" name="Tabla14" displayName="Tabla14" ref="B17:H27" totalsRowCount="1" headerRowDxfId="92" dataDxfId="91" totalsRowDxfId="90">
  <autoFilter ref="B17:H26" xr:uid="{C3383F75-BB5A-443A-9E47-465B89ED8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D35C1EC-88B8-4BE9-A8A3-2267E448A193}" name="CÓDIGO" totalsRowLabel="Total" dataDxfId="89" totalsRowDxfId="88"/>
    <tableColumn id="2" xr3:uid="{7B7026C8-5732-41EE-8015-AFFBBE29D398}" name="DESCRIPCIÓN" dataDxfId="87" totalsRowDxfId="86"/>
    <tableColumn id="3" xr3:uid="{4C38D328-722B-4A28-8CF5-30E68B140749}" name="UNIDAD" dataDxfId="85" totalsRowDxfId="84"/>
    <tableColumn id="4" xr3:uid="{BE8B3E57-1D68-47B5-A101-D68769928F3C}" name="FACTOR" dataDxfId="83" totalsRowDxfId="82"/>
    <tableColumn id="5" xr3:uid="{5B147115-067F-4462-8F12-6C1048890CC9}" name="CANTIDAD" dataDxfId="81" totalsRowDxfId="80"/>
    <tableColumn id="6" xr3:uid="{955A2662-8045-4115-857E-2647ED977388}" name="COSTO" dataDxfId="79" totalsRowDxfId="78"/>
    <tableColumn id="7" xr3:uid="{62DEB7EA-E79D-4A3F-9BE0-7F3BBCB43F23}" name="TOTAL" totalsRowFunction="custom" dataDxfId="77" totalsRowDxfId="76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AAA5DDD-AAE3-4D2B-99D4-DA45AAB4C61B}" name="Tabla89" displayName="Tabla89" ref="B31:H37" totalsRowCount="1" headerRowDxfId="75" dataDxfId="74">
  <autoFilter ref="B31:H36" xr:uid="{2AAA5DDD-AAE3-4D2B-99D4-DA45AAB4C6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E188C05-4790-41BB-9A7E-447570A9FEC5}" name="CÓDIGO" totalsRowLabel="Total" dataDxfId="73" totalsRowDxfId="72"/>
    <tableColumn id="2" xr3:uid="{63AB7991-3171-4CFC-B894-5591ADF27BD0}" name="DESCRIPCIÓN" dataDxfId="71" totalsRowDxfId="70"/>
    <tableColumn id="3" xr3:uid="{72B32921-1C76-4D87-B0A1-AC042005BE73}" name="UNIDAD" dataDxfId="69" totalsRowDxfId="68"/>
    <tableColumn id="4" xr3:uid="{CFCE981E-C0CD-4810-80AE-7487E1688532}" name="FACTOR" dataDxfId="67" totalsRowDxfId="66"/>
    <tableColumn id="5" xr3:uid="{14E91AA0-6A64-47EB-AE7D-50E5CE3ADE75}" name="CANTIDAD" dataDxfId="65" totalsRowDxfId="64"/>
    <tableColumn id="6" xr3:uid="{08CF8B6D-9475-4CC8-8403-E646267C1F75}" name="COSTO" dataDxfId="63" totalsRowDxfId="62"/>
    <tableColumn id="7" xr3:uid="{18657652-05A7-4B33-933A-7DC55F031EE2}" name="TOTAL" totalsRowFunction="custom" dataDxfId="61" totalsRowDxfId="60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9CD4F6C-A230-4D21-9B37-1CD499CBC774}" name="Tabla90" displayName="Tabla90" ref="B41:E47" totalsRowShown="0" headerRowDxfId="59">
  <autoFilter ref="B41:E47" xr:uid="{39CD4F6C-A230-4D21-9B37-1CD499CBC774}">
    <filterColumn colId="0" hiddenButton="1"/>
    <filterColumn colId="1" hiddenButton="1"/>
    <filterColumn colId="2" hiddenButton="1"/>
    <filterColumn colId="3" hiddenButton="1"/>
  </autoFilter>
  <tableColumns count="4">
    <tableColumn id="1" xr3:uid="{A45633BB-9CDD-4254-8C02-91640CC28DB7}" name="CÓD" dataDxfId="58"/>
    <tableColumn id="2" xr3:uid="{370B0231-4F9C-48C9-9F57-C90F8A632628}" name="CAPÍTULO" dataDxfId="57"/>
    <tableColumn id="3" xr3:uid="{4A4CC8D5-96D5-4282-A30A-1CC3A389B7B1}" name="PORCENTAJE" dataDxfId="56"/>
    <tableColumn id="4" xr3:uid="{41945A50-0A11-4145-893F-B2A711295293}" name="SUBTOTAL" dataDxfId="55"/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7E043A0-DF2C-4F80-AA82-7A03EB13D60E}" name="Tabla91" displayName="Tabla91" ref="C50:E57" totalsRowShown="0">
  <autoFilter ref="C50:E57" xr:uid="{67E043A0-DF2C-4F80-AA82-7A03EB13D60E}">
    <filterColumn colId="0" hiddenButton="1"/>
    <filterColumn colId="1" hiddenButton="1"/>
    <filterColumn colId="2" hiddenButton="1"/>
  </autoFilter>
  <tableColumns count="3">
    <tableColumn id="1" xr3:uid="{793212FD-D181-42CD-9259-2398524D98B9}" name="DESCRIPCIÓN" dataDxfId="54"/>
    <tableColumn id="2" xr3:uid="{29F24675-DB97-4EF0-BFFA-862DF3A82C23}" name="PORCENTAJE" dataDxfId="53"/>
    <tableColumn id="3" xr3:uid="{A8FB70AB-F141-461C-9C8C-442B5352E67A}" name="SUBTOTAL" dataDxfId="52"/>
  </tableColumns>
  <tableStyleInfo name="S5S Green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8" totalsRowShown="0" headerRowDxfId="51" dataDxfId="49" headerRowBorderDxfId="50" tableBorderDxfId="48">
  <autoFilter ref="B2:E8" xr:uid="{00000000-0009-0000-0100-00001C000000}"/>
  <sortState xmlns:xlrd2="http://schemas.microsoft.com/office/spreadsheetml/2017/richdata2" ref="B3:E8">
    <sortCondition ref="B2:B7"/>
  </sortState>
  <tableColumns count="4">
    <tableColumn id="1" xr3:uid="{00000000-0010-0000-0C00-000001000000}" name="DESCRIPCIÓN" dataDxfId="47" totalsRowDxfId="46"/>
    <tableColumn id="2" xr3:uid="{00000000-0010-0000-0C00-000002000000}" name="CÓDIGO" totalsRowDxfId="45"/>
    <tableColumn id="3" xr3:uid="{00000000-0010-0000-0C00-000003000000}" name="UNIDAD " totalsRowDxfId="44"/>
    <tableColumn id="4" xr3:uid="{00000000-0010-0000-0C00-000004000000}" name="COSTO" dataDxfId="43" totalsRowDxfId="42"/>
  </tableColumns>
  <tableStyleInfo name="S5S 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7" headerRowDxfId="41" dataDxfId="40" tableBorderDxfId="39">
  <autoFilter ref="B2:E7" xr:uid="{00000000-0009-0000-0100-000006000000}"/>
  <sortState xmlns:xlrd2="http://schemas.microsoft.com/office/spreadsheetml/2017/richdata2" ref="B3:E7">
    <sortCondition ref="B2:B7"/>
  </sortState>
  <tableColumns count="4">
    <tableColumn id="1" xr3:uid="{00000000-0010-0000-0D00-000001000000}" name="DESCRIPCIÓN" dataDxfId="38" totalsRowDxfId="37"/>
    <tableColumn id="2" xr3:uid="{00000000-0010-0000-0D00-000002000000}" name="CÓDIGO" totalsRowDxfId="36"/>
    <tableColumn id="3" xr3:uid="{00000000-0010-0000-0D00-000003000000}" name="UNIDAD " totalsRowDxfId="35"/>
    <tableColumn id="4" xr3:uid="{00000000-0010-0000-0D00-000004000000}" name="COSTO" dataDxfId="34" totalsRowDxfId="33"/>
  </tableColumns>
  <tableStyleInfo name="S5S Blu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8" totalsRowCount="1" headerRowDxfId="32" totalsRowDxfId="31">
  <autoFilter ref="A2:E7" xr:uid="{00000000-0009-0000-0100-000001000000}"/>
  <sortState xmlns:xlrd2="http://schemas.microsoft.com/office/spreadsheetml/2017/richdata2" ref="A3:E77">
    <sortCondition ref="A2:A77"/>
  </sortState>
  <tableColumns count="5">
    <tableColumn id="1" xr3:uid="{00000000-0010-0000-0E00-000001000000}" name="INSUMO" totalsRowLabel="Total" totalsRowDxfId="30"/>
    <tableColumn id="2" xr3:uid="{00000000-0010-0000-0E00-000002000000}" name="UNIDAD" dataDxfId="29" totalsRowDxfId="28"/>
    <tableColumn id="3" xr3:uid="{00000000-0010-0000-0E00-000003000000}" name="PRECIO" dataDxfId="27" totalsRowDxfId="26"/>
    <tableColumn id="4" xr3:uid="{00000000-0010-0000-0E00-000004000000}" name="CANTIDAD" dataDxfId="25" totalsRowDxfId="24"/>
    <tableColumn id="5" xr3:uid="{00000000-0010-0000-0E00-000005000000}" name="TOTAL" totalsRowFunction="sum" dataDxfId="23" totalsRowDxfId="22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4" t="s">
        <v>34</v>
      </c>
      <c r="B1" s="74"/>
      <c r="C1" s="74"/>
      <c r="D1" s="74"/>
      <c r="E1" s="74"/>
    </row>
    <row r="2" spans="1:43" ht="3" customHeight="1" thickBot="1" x14ac:dyDescent="0.35"/>
    <row r="3" spans="1:43" ht="18.600000000000001" thickBot="1" x14ac:dyDescent="0.4">
      <c r="A3" s="75" t="s">
        <v>4</v>
      </c>
      <c r="B3" s="76"/>
      <c r="C3" s="76"/>
      <c r="D3" s="76"/>
      <c r="E3" s="77"/>
      <c r="G3" s="75" t="s">
        <v>5</v>
      </c>
      <c r="H3" s="76"/>
      <c r="I3" s="76"/>
      <c r="J3" s="76"/>
      <c r="K3" s="77"/>
      <c r="M3" s="75" t="s">
        <v>6</v>
      </c>
      <c r="N3" s="76"/>
      <c r="O3" s="76"/>
      <c r="P3" s="76"/>
      <c r="Q3" s="77"/>
      <c r="S3" s="75" t="s">
        <v>7</v>
      </c>
      <c r="T3" s="76"/>
      <c r="U3" s="76"/>
      <c r="V3" s="76"/>
      <c r="W3" s="77"/>
      <c r="Y3" s="75" t="s">
        <v>8</v>
      </c>
      <c r="Z3" s="76"/>
      <c r="AA3" s="76"/>
      <c r="AB3" s="76"/>
      <c r="AC3" s="77"/>
      <c r="AD3" s="18"/>
      <c r="AE3" s="75" t="s">
        <v>9</v>
      </c>
      <c r="AF3" s="76"/>
      <c r="AG3" s="76"/>
      <c r="AH3" s="76"/>
      <c r="AI3" s="77"/>
      <c r="AK3" s="75" t="s">
        <v>10</v>
      </c>
      <c r="AL3" s="76"/>
      <c r="AM3" s="76"/>
      <c r="AN3" s="76"/>
      <c r="AO3" s="77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72"/>
  <sheetViews>
    <sheetView showGridLines="0" zoomScale="110" zoomScaleNormal="110" zoomScaleSheetLayoutView="110" workbookViewId="0">
      <selection activeCell="C25" sqref="C25"/>
    </sheetView>
  </sheetViews>
  <sheetFormatPr baseColWidth="10" defaultRowHeight="14.4" outlineLevelRow="1" x14ac:dyDescent="0.3"/>
  <cols>
    <col min="1" max="1" width="14.4414062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  <col min="10" max="10" width="15.77734375" customWidth="1"/>
    <col min="11" max="11" width="10.5546875" bestFit="1" customWidth="1"/>
    <col min="12" max="12" width="11" bestFit="1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78" t="s">
        <v>35</v>
      </c>
      <c r="B1" s="78"/>
      <c r="C1" s="78"/>
      <c r="D1" s="78"/>
      <c r="E1" s="78"/>
      <c r="F1" s="78"/>
      <c r="G1" s="78"/>
      <c r="H1" s="78"/>
    </row>
    <row r="2" spans="1:8" x14ac:dyDescent="0.3">
      <c r="G2"/>
      <c r="H2"/>
    </row>
    <row r="3" spans="1:8" x14ac:dyDescent="0.3">
      <c r="G3"/>
      <c r="H3"/>
    </row>
    <row r="4" spans="1:8" x14ac:dyDescent="0.3">
      <c r="G4"/>
      <c r="H4"/>
    </row>
    <row r="5" spans="1:8" x14ac:dyDescent="0.3">
      <c r="G5"/>
      <c r="H5"/>
    </row>
    <row r="6" spans="1:8" x14ac:dyDescent="0.3">
      <c r="G6"/>
      <c r="H6"/>
    </row>
    <row r="7" spans="1:8" x14ac:dyDescent="0.3">
      <c r="G7"/>
      <c r="H7"/>
    </row>
    <row r="8" spans="1:8" x14ac:dyDescent="0.3">
      <c r="G8"/>
      <c r="H8"/>
    </row>
    <row r="9" spans="1:8" ht="15" thickBot="1" x14ac:dyDescent="0.35">
      <c r="G9"/>
      <c r="H9"/>
    </row>
    <row r="10" spans="1:8" ht="15" thickBot="1" x14ac:dyDescent="0.35">
      <c r="A10" s="55" t="s">
        <v>19</v>
      </c>
      <c r="B10" s="79" t="s">
        <v>65</v>
      </c>
      <c r="C10" s="80"/>
      <c r="D10" s="80"/>
      <c r="E10" s="80"/>
      <c r="F10" s="80"/>
      <c r="G10" s="81"/>
      <c r="H10" s="56" t="s">
        <v>38</v>
      </c>
    </row>
    <row r="11" spans="1:8" x14ac:dyDescent="0.3">
      <c r="A11" t="s">
        <v>14</v>
      </c>
      <c r="B11" t="s">
        <v>0</v>
      </c>
      <c r="C11" t="s">
        <v>1</v>
      </c>
      <c r="D11" t="s">
        <v>11</v>
      </c>
      <c r="E11" t="s">
        <v>15</v>
      </c>
      <c r="F11" t="s">
        <v>16</v>
      </c>
      <c r="G11" t="s">
        <v>12</v>
      </c>
      <c r="H11" t="s">
        <v>17</v>
      </c>
    </row>
    <row r="12" spans="1:8" x14ac:dyDescent="0.3">
      <c r="A12" s="25"/>
      <c r="D12" s="18"/>
      <c r="E12" s="73">
        <f>1</f>
        <v>1</v>
      </c>
      <c r="F12" s="73"/>
      <c r="G12" s="35"/>
      <c r="H12" s="35">
        <f>Tabla20[[#This Row],[CANTIDAD]]*Tabla20[[#This Row],[PRECIO]]*Tabla20[[#This Row],[FACTOR]]</f>
        <v>0</v>
      </c>
    </row>
    <row r="13" spans="1:8" x14ac:dyDescent="0.3">
      <c r="A13" s="25"/>
      <c r="D13" s="18"/>
      <c r="E13" s="73">
        <f>1</f>
        <v>1</v>
      </c>
      <c r="F13" s="73"/>
      <c r="G13" s="35"/>
      <c r="H13" s="35">
        <f>Tabla20[[#This Row],[CANTIDAD]]*Tabla20[[#This Row],[PRECIO]]*Tabla20[[#This Row],[FACTOR]]</f>
        <v>0</v>
      </c>
    </row>
    <row r="14" spans="1:8" x14ac:dyDescent="0.3">
      <c r="A14" s="25"/>
      <c r="D14" s="18"/>
      <c r="E14" s="73">
        <f>1</f>
        <v>1</v>
      </c>
      <c r="F14" s="73"/>
      <c r="G14" s="35"/>
      <c r="H14" s="35">
        <f>Tabla20[[#This Row],[CANTIDAD]]*Tabla20[[#This Row],[PRECIO]]*Tabla20[[#This Row],[FACTOR]]</f>
        <v>0</v>
      </c>
    </row>
    <row r="15" spans="1:8" x14ac:dyDescent="0.3">
      <c r="D15" s="18"/>
      <c r="E15" s="73">
        <f>1</f>
        <v>1</v>
      </c>
      <c r="F15" s="73"/>
      <c r="G15" s="35"/>
      <c r="H15" s="35">
        <f>Tabla20[[#This Row],[CANTIDAD]]*Tabla20[[#This Row],[PRECIO]]*Tabla20[[#This Row],[FACTOR]]</f>
        <v>0</v>
      </c>
    </row>
    <row r="16" spans="1:8" x14ac:dyDescent="0.3">
      <c r="D16" s="18"/>
      <c r="E16" s="73">
        <f>1</f>
        <v>1</v>
      </c>
      <c r="F16" s="73"/>
      <c r="G16" s="35"/>
      <c r="H16" s="35">
        <f>Tabla20[[#This Row],[CANTIDAD]]*Tabla20[[#This Row],[PRECIO]]*Tabla20[[#This Row],[FACTOR]]</f>
        <v>0</v>
      </c>
    </row>
    <row r="17" spans="1:11" x14ac:dyDescent="0.3">
      <c r="A17" t="s">
        <v>18</v>
      </c>
      <c r="G17" s="35"/>
      <c r="H17" s="35">
        <f>SUM(Tabla20[TOTAL])</f>
        <v>0</v>
      </c>
    </row>
    <row r="18" spans="1:11" x14ac:dyDescent="0.3">
      <c r="G18"/>
      <c r="H18"/>
    </row>
    <row r="19" spans="1:11" ht="15" thickBot="1" x14ac:dyDescent="0.35">
      <c r="G19"/>
      <c r="H19"/>
    </row>
    <row r="20" spans="1:11" ht="15" thickBot="1" x14ac:dyDescent="0.35">
      <c r="A20" s="55" t="s">
        <v>19</v>
      </c>
      <c r="B20" s="79" t="s">
        <v>65</v>
      </c>
      <c r="C20" s="80"/>
      <c r="D20" s="80"/>
      <c r="E20" s="80"/>
      <c r="F20" s="80"/>
      <c r="G20" s="81"/>
      <c r="H20" s="56" t="s">
        <v>38</v>
      </c>
    </row>
    <row r="21" spans="1:11" outlineLevel="1" x14ac:dyDescent="0.3">
      <c r="A21" t="s">
        <v>14</v>
      </c>
      <c r="B21" t="s">
        <v>0</v>
      </c>
      <c r="C21" t="s">
        <v>1</v>
      </c>
      <c r="D21" t="s">
        <v>11</v>
      </c>
      <c r="E21" t="s">
        <v>15</v>
      </c>
      <c r="F21" t="s">
        <v>16</v>
      </c>
      <c r="G21" t="s">
        <v>12</v>
      </c>
      <c r="H21" t="s">
        <v>17</v>
      </c>
    </row>
    <row r="22" spans="1:11" outlineLevel="1" x14ac:dyDescent="0.3">
      <c r="A22" s="25"/>
      <c r="D22" s="18"/>
      <c r="E22" s="73">
        <f>1</f>
        <v>1</v>
      </c>
      <c r="F22" s="73"/>
      <c r="G22" s="35"/>
      <c r="H22" s="35">
        <f>Tabla21[[#This Row],[CANTIDAD]]*Tabla21[[#This Row],[PRECIO]]*Tabla21[[#This Row],[FACTOR]]</f>
        <v>0</v>
      </c>
    </row>
    <row r="23" spans="1:11" outlineLevel="1" x14ac:dyDescent="0.3">
      <c r="D23" s="18"/>
      <c r="E23" s="73">
        <f>1</f>
        <v>1</v>
      </c>
      <c r="F23" s="73"/>
      <c r="G23" s="35"/>
      <c r="H23" s="35">
        <f>Tabla21[[#This Row],[CANTIDAD]]*Tabla21[[#This Row],[PRECIO]]*Tabla21[[#This Row],[FACTOR]]</f>
        <v>0</v>
      </c>
    </row>
    <row r="24" spans="1:11" outlineLevel="1" x14ac:dyDescent="0.3">
      <c r="D24" s="18"/>
      <c r="E24" s="73">
        <f>1</f>
        <v>1</v>
      </c>
      <c r="F24" s="73"/>
      <c r="G24" s="35"/>
      <c r="H24" s="35">
        <f>Tabla21[[#This Row],[CANTIDAD]]*Tabla21[[#This Row],[PRECIO]]*Tabla21[[#This Row],[FACTOR]]</f>
        <v>0</v>
      </c>
    </row>
    <row r="25" spans="1:11" x14ac:dyDescent="0.3">
      <c r="A25" t="s">
        <v>18</v>
      </c>
      <c r="G25" s="35"/>
      <c r="H25" s="35">
        <f>SUM(Tabla21[TOTAL])</f>
        <v>0</v>
      </c>
    </row>
    <row r="26" spans="1:11" x14ac:dyDescent="0.3">
      <c r="G26"/>
      <c r="H26"/>
    </row>
    <row r="27" spans="1:11" x14ac:dyDescent="0.3">
      <c r="G27"/>
      <c r="H27"/>
    </row>
    <row r="28" spans="1:11" x14ac:dyDescent="0.3">
      <c r="G28"/>
      <c r="H28"/>
    </row>
    <row r="29" spans="1:11" x14ac:dyDescent="0.3">
      <c r="G29"/>
      <c r="H29"/>
    </row>
    <row r="30" spans="1:11" x14ac:dyDescent="0.3">
      <c r="G30"/>
      <c r="H30"/>
    </row>
    <row r="31" spans="1:11" x14ac:dyDescent="0.3">
      <c r="G31"/>
      <c r="H31"/>
    </row>
    <row r="32" spans="1:11" x14ac:dyDescent="0.3">
      <c r="G32"/>
      <c r="H32"/>
      <c r="K32" s="62"/>
    </row>
    <row r="33" spans="7:11" x14ac:dyDescent="0.3">
      <c r="G33"/>
      <c r="H33"/>
      <c r="K33" s="62"/>
    </row>
    <row r="34" spans="7:11" x14ac:dyDescent="0.3">
      <c r="G34"/>
      <c r="H34"/>
      <c r="K34" s="62"/>
    </row>
    <row r="35" spans="7:11" x14ac:dyDescent="0.3">
      <c r="G35"/>
      <c r="H35"/>
      <c r="K35" s="62"/>
    </row>
    <row r="36" spans="7:11" x14ac:dyDescent="0.3">
      <c r="G36"/>
      <c r="H36"/>
      <c r="K36" s="62"/>
    </row>
    <row r="37" spans="7:11" x14ac:dyDescent="0.3">
      <c r="G37"/>
      <c r="H37"/>
      <c r="K37" s="62"/>
    </row>
    <row r="38" spans="7:11" x14ac:dyDescent="0.3">
      <c r="G38"/>
      <c r="H38"/>
      <c r="K38" s="62"/>
    </row>
    <row r="39" spans="7:11" x14ac:dyDescent="0.3">
      <c r="G39"/>
      <c r="H39"/>
    </row>
    <row r="40" spans="7:11" x14ac:dyDescent="0.3">
      <c r="G40"/>
      <c r="H40"/>
    </row>
    <row r="41" spans="7:11" x14ac:dyDescent="0.3">
      <c r="G41"/>
      <c r="H41"/>
    </row>
    <row r="42" spans="7:11" x14ac:dyDescent="0.3">
      <c r="G42"/>
      <c r="H42"/>
    </row>
    <row r="43" spans="7:11" x14ac:dyDescent="0.3">
      <c r="G43"/>
      <c r="H43"/>
    </row>
    <row r="44" spans="7:11" x14ac:dyDescent="0.3">
      <c r="G44"/>
      <c r="H44"/>
    </row>
    <row r="45" spans="7:11" x14ac:dyDescent="0.3">
      <c r="G45"/>
      <c r="H45"/>
    </row>
    <row r="46" spans="7:11" x14ac:dyDescent="0.3">
      <c r="G46"/>
      <c r="H46"/>
    </row>
    <row r="47" spans="7:11" x14ac:dyDescent="0.3">
      <c r="G47"/>
      <c r="H47"/>
    </row>
    <row r="48" spans="7:11" x14ac:dyDescent="0.3">
      <c r="G48"/>
      <c r="H48"/>
    </row>
    <row r="49" spans="7:8" x14ac:dyDescent="0.3">
      <c r="G49"/>
      <c r="H49"/>
    </row>
    <row r="50" spans="7:8" x14ac:dyDescent="0.3">
      <c r="G50"/>
      <c r="H50"/>
    </row>
    <row r="51" spans="7:8" x14ac:dyDescent="0.3">
      <c r="G51"/>
      <c r="H51"/>
    </row>
    <row r="52" spans="7:8" x14ac:dyDescent="0.3">
      <c r="G52"/>
      <c r="H52"/>
    </row>
    <row r="53" spans="7:8" x14ac:dyDescent="0.3">
      <c r="G53"/>
      <c r="H53"/>
    </row>
    <row r="54" spans="7:8" x14ac:dyDescent="0.3">
      <c r="G54"/>
      <c r="H54"/>
    </row>
    <row r="55" spans="7:8" x14ac:dyDescent="0.3">
      <c r="G55"/>
      <c r="H55"/>
    </row>
    <row r="56" spans="7:8" x14ac:dyDescent="0.3">
      <c r="G56"/>
      <c r="H56"/>
    </row>
    <row r="57" spans="7:8" x14ac:dyDescent="0.3">
      <c r="G57"/>
      <c r="H57"/>
    </row>
    <row r="58" spans="7:8" x14ac:dyDescent="0.3">
      <c r="G58"/>
      <c r="H58"/>
    </row>
    <row r="59" spans="7:8" x14ac:dyDescent="0.3">
      <c r="G59"/>
      <c r="H59"/>
    </row>
    <row r="60" spans="7:8" x14ac:dyDescent="0.3">
      <c r="G60"/>
      <c r="H60"/>
    </row>
    <row r="61" spans="7:8" x14ac:dyDescent="0.3">
      <c r="G61"/>
      <c r="H61"/>
    </row>
    <row r="62" spans="7:8" x14ac:dyDescent="0.3">
      <c r="G62"/>
      <c r="H62"/>
    </row>
    <row r="63" spans="7:8" x14ac:dyDescent="0.3">
      <c r="G63"/>
      <c r="H63"/>
    </row>
    <row r="64" spans="7:8" x14ac:dyDescent="0.3">
      <c r="G64"/>
      <c r="H64"/>
    </row>
    <row r="65" spans="7:8" x14ac:dyDescent="0.3">
      <c r="G65"/>
      <c r="H65"/>
    </row>
    <row r="66" spans="7:8" x14ac:dyDescent="0.3">
      <c r="G66"/>
      <c r="H66"/>
    </row>
    <row r="67" spans="7:8" x14ac:dyDescent="0.3">
      <c r="G67"/>
      <c r="H67"/>
    </row>
    <row r="68" spans="7:8" x14ac:dyDescent="0.3">
      <c r="G68"/>
      <c r="H68"/>
    </row>
    <row r="69" spans="7:8" x14ac:dyDescent="0.3">
      <c r="G69"/>
      <c r="H69"/>
    </row>
    <row r="70" spans="7:8" x14ac:dyDescent="0.3">
      <c r="G70"/>
      <c r="H70"/>
    </row>
    <row r="71" spans="7:8" x14ac:dyDescent="0.3">
      <c r="G71"/>
      <c r="H71"/>
    </row>
    <row r="72" spans="7:8" x14ac:dyDescent="0.3">
      <c r="G72"/>
      <c r="H72"/>
    </row>
  </sheetData>
  <mergeCells count="3">
    <mergeCell ref="B10:G10"/>
    <mergeCell ref="B20:G20"/>
    <mergeCell ref="A1:H1"/>
  </mergeCells>
  <dataValidations disablePrompts="1" count="1">
    <dataValidation type="list" allowBlank="1" showInputMessage="1" showErrorMessage="1" sqref="A12:A16 A22 A23 A24" xr:uid="{E6404BFF-D194-4B9A-83FD-DC09C4548847}">
      <formula1>"MATERIALES,EQUIPOS,MANO DE OBRA,TRANSPORTE,SUBCONTRATOS,ACTIVIDADES,OTROS"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48"/>
  <sheetViews>
    <sheetView showGridLines="0" tabSelected="1" showWhiteSpace="0" zoomScale="110" zoomScaleNormal="110" zoomScaleSheetLayoutView="110" workbookViewId="0">
      <selection activeCell="F21" sqref="F21"/>
    </sheetView>
  </sheetViews>
  <sheetFormatPr baseColWidth="10" defaultColWidth="11.44140625" defaultRowHeight="14.4" outlineLevelRow="1" x14ac:dyDescent="0.3"/>
  <cols>
    <col min="1" max="1" width="12" bestFit="1" customWidth="1"/>
    <col min="2" max="2" width="11.21875" customWidth="1"/>
    <col min="3" max="3" width="40.77734375" customWidth="1"/>
    <col min="4" max="5" width="11.21875" customWidth="1"/>
    <col min="6" max="6" width="11.6640625" customWidth="1"/>
    <col min="7" max="7" width="11.21875" style="19" customWidth="1"/>
    <col min="8" max="8" width="11.44140625" style="19" bestFit="1" customWidth="1"/>
    <col min="9" max="9" width="1.33203125" customWidth="1"/>
    <col min="10" max="10" width="15.77734375" customWidth="1"/>
    <col min="11" max="12" width="11.21875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78" t="s">
        <v>36</v>
      </c>
      <c r="B1" s="78"/>
      <c r="C1" s="78"/>
      <c r="D1" s="78"/>
      <c r="E1" s="78"/>
      <c r="F1" s="78"/>
      <c r="G1" s="78"/>
      <c r="H1" s="78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7" t="s">
        <v>19</v>
      </c>
      <c r="B3" s="85" t="s">
        <v>59</v>
      </c>
      <c r="C3" s="86"/>
      <c r="D3" s="86"/>
      <c r="E3" s="86"/>
      <c r="F3" s="86"/>
      <c r="G3" s="87"/>
      <c r="H3" s="58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t="s">
        <v>45</v>
      </c>
      <c r="B5" t="e">
        <f>VLOOKUP(Tabla8[[#This Row],[DESCRIPCIÓN]],T_basico[[DESCRIPCIÓN]:[COSTO]],2,FALSE)</f>
        <v>#N/A</v>
      </c>
      <c r="C5" t="s">
        <v>58</v>
      </c>
      <c r="D5" s="18" t="e">
        <f>VLOOKUP(Tabla8[[#This Row],[DESCRIPCIÓN]],T_basico[[DESCRIPCIÓN]:[COSTO]],3,FALSE)</f>
        <v>#N/A</v>
      </c>
      <c r="E5">
        <f>1</f>
        <v>1</v>
      </c>
      <c r="F5">
        <v>2</v>
      </c>
      <c r="G5" s="35" t="e">
        <f>VLOOKUP(Tabla8[[#This Row],[DESCRIPCIÓN]],T_basico[[DESCRIPCIÓN]:[COSTO]],4,FALSE)</f>
        <v>#N/A</v>
      </c>
      <c r="H5" s="35" t="e">
        <f>Tabla8[[#This Row],[CANTIDAD]]*Tabla8[[#This Row],[PRECIO]]*Tabla8[[#This Row],[FACTOR]]</f>
        <v>#N/A</v>
      </c>
    </row>
    <row r="6" spans="1:8" outlineLevel="1" x14ac:dyDescent="0.3">
      <c r="A6" t="s">
        <v>45</v>
      </c>
      <c r="C6" t="s">
        <v>60</v>
      </c>
      <c r="D6" s="18"/>
      <c r="E6">
        <v>1</v>
      </c>
      <c r="F6">
        <v>3</v>
      </c>
      <c r="G6" s="35"/>
      <c r="H6" s="35">
        <f>Tabla8[[#This Row],[CANTIDAD]]*Tabla8[[#This Row],[PRECIO]]*Tabla8[[#This Row],[FACTOR]]</f>
        <v>0</v>
      </c>
    </row>
    <row r="7" spans="1:8" outlineLevel="1" x14ac:dyDescent="0.3">
      <c r="A7" s="25"/>
      <c r="D7" s="18"/>
      <c r="E7">
        <v>1</v>
      </c>
      <c r="G7" s="35"/>
      <c r="H7" s="35">
        <f>Tabla8[[#This Row],[CANTIDAD]]*Tabla8[[#This Row],[PRECIO]]*Tabla8[[#This Row],[FACTOR]]</f>
        <v>0</v>
      </c>
    </row>
    <row r="8" spans="1:8" outlineLevel="1" x14ac:dyDescent="0.3">
      <c r="D8" s="18"/>
      <c r="E8">
        <v>1</v>
      </c>
      <c r="G8" s="35"/>
      <c r="H8" s="35">
        <v>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 t="e">
        <f>SUM(Tabla8[TOTAL])</f>
        <v>#N/A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3" t="s">
        <v>19</v>
      </c>
      <c r="B13" s="82" t="s">
        <v>61</v>
      </c>
      <c r="C13" s="83"/>
      <c r="D13" s="83"/>
      <c r="E13" s="83"/>
      <c r="F13" s="83"/>
      <c r="G13" s="84"/>
      <c r="H13" s="64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45</v>
      </c>
      <c r="B15" t="e">
        <f>VLOOKUP(Tabla10[[#This Row],[DESCRIPCIÓN]],T_basico[[DESCRIPCIÓN]:[COSTO]],2,FALSE)</f>
        <v>#N/A</v>
      </c>
      <c r="C15" t="s">
        <v>58</v>
      </c>
      <c r="D15" s="18" t="e">
        <f>VLOOKUP(Tabla10[[#This Row],[DESCRIPCIÓN]],T_basico[[DESCRIPCIÓN]:[COSTO]],3,FALSE)</f>
        <v>#N/A</v>
      </c>
      <c r="E15">
        <v>1</v>
      </c>
      <c r="F15">
        <v>4</v>
      </c>
      <c r="G15" s="35" t="e">
        <f>VLOOKUP(Tabla10[[#This Row],[DESCRIPCIÓN]],T_basico[[DESCRIPCIÓN]:[COSTO]],4,FALSE)</f>
        <v>#N/A</v>
      </c>
      <c r="H15" s="35" t="e">
        <f>Tabla10[[#This Row],[CANTIDAD]]*Tabla10[[#This Row],[PRECIO]]*Tabla10[[#This Row],[FACTOR]]</f>
        <v>#N/A</v>
      </c>
    </row>
    <row r="16" spans="1:8" outlineLevel="1" x14ac:dyDescent="0.3">
      <c r="A16" t="s">
        <v>45</v>
      </c>
      <c r="C16" t="s">
        <v>60</v>
      </c>
      <c r="D16" s="18"/>
      <c r="E16">
        <v>1</v>
      </c>
      <c r="F16">
        <v>5</v>
      </c>
      <c r="G16" s="35"/>
      <c r="H16" s="35">
        <f>Tabla10[[#This Row],[CANTIDAD]]*Tabla10[[#This Row],[PRECIO]]*Tabla10[[#This Row],[FACTOR]]</f>
        <v>0</v>
      </c>
    </row>
    <row r="17" spans="1:8" outlineLevel="1" x14ac:dyDescent="0.3">
      <c r="D17" s="18"/>
      <c r="E17" s="73">
        <f>1</f>
        <v>1</v>
      </c>
      <c r="F17" s="73"/>
      <c r="G17" s="35"/>
      <c r="H17" s="35">
        <f>Tabla10[[#This Row],[CANTIDAD]]*Tabla10[[#This Row],[PRECIO]]*Tabla10[[#This Row],[FACTOR]]</f>
        <v>0</v>
      </c>
    </row>
    <row r="18" spans="1:8" outlineLevel="1" x14ac:dyDescent="0.3">
      <c r="D18" s="18"/>
      <c r="E18" s="73">
        <f>1</f>
        <v>1</v>
      </c>
      <c r="F18" s="73"/>
      <c r="G18" s="35"/>
      <c r="H18" s="35">
        <f>Tabla10[[#This Row],[CANTIDAD]]*Tabla10[[#This Row],[PRECIO]]*Tabla10[[#This Row],[FACTOR]]</f>
        <v>0</v>
      </c>
    </row>
    <row r="19" spans="1:8" outlineLevel="1" x14ac:dyDescent="0.3">
      <c r="D19" s="18"/>
      <c r="E19" s="73">
        <f>1</f>
        <v>1</v>
      </c>
      <c r="F19" s="73"/>
      <c r="G19" s="35"/>
      <c r="H19" s="35">
        <f>Tabla10[[#This Row],[CANTIDAD]]*Tabla10[[#This Row],[PRECIO]]*Tabla10[[#This Row],[FACTOR]]</f>
        <v>0</v>
      </c>
    </row>
    <row r="20" spans="1:8" outlineLevel="1" x14ac:dyDescent="0.3">
      <c r="D20" s="18"/>
      <c r="E20">
        <v>1</v>
      </c>
      <c r="G20" s="35"/>
      <c r="H20" s="35">
        <v>0</v>
      </c>
    </row>
    <row r="21" spans="1:8" x14ac:dyDescent="0.3">
      <c r="A21" s="25" t="s">
        <v>18</v>
      </c>
      <c r="G21" s="35"/>
      <c r="H21" s="36" t="e">
        <f>SUM(Tabla10[TOTAL])</f>
        <v>#N/A</v>
      </c>
    </row>
    <row r="22" spans="1:8" outlineLevel="1" x14ac:dyDescent="0.3">
      <c r="G22"/>
      <c r="H22"/>
    </row>
    <row r="23" spans="1:8" ht="15" thickBot="1" x14ac:dyDescent="0.35">
      <c r="G23"/>
      <c r="H23"/>
    </row>
    <row r="24" spans="1:8" ht="15" thickBot="1" x14ac:dyDescent="0.35">
      <c r="A24" s="57" t="s">
        <v>19</v>
      </c>
      <c r="B24" s="85" t="s">
        <v>66</v>
      </c>
      <c r="C24" s="86"/>
      <c r="D24" s="86"/>
      <c r="E24" s="86"/>
      <c r="F24" s="86"/>
      <c r="G24" s="87"/>
      <c r="H24" s="58" t="s">
        <v>38</v>
      </c>
    </row>
    <row r="25" spans="1:8" x14ac:dyDescent="0.3">
      <c r="A25" t="s">
        <v>14</v>
      </c>
      <c r="B25" t="s">
        <v>0</v>
      </c>
      <c r="C25" t="s">
        <v>1</v>
      </c>
      <c r="D25" t="s">
        <v>11</v>
      </c>
      <c r="E25" t="s">
        <v>15</v>
      </c>
      <c r="F25" t="s">
        <v>16</v>
      </c>
      <c r="G25" t="s">
        <v>12</v>
      </c>
      <c r="H25" t="s">
        <v>17</v>
      </c>
    </row>
    <row r="26" spans="1:8" x14ac:dyDescent="0.3">
      <c r="A26" s="25"/>
      <c r="D26" s="18"/>
      <c r="E26" s="73">
        <f>1</f>
        <v>1</v>
      </c>
      <c r="F26" s="73"/>
      <c r="G26" s="35"/>
      <c r="H26" s="35">
        <f>Tabla5[[#This Row],[CANTIDAD]]*Tabla5[[#This Row],[PRECIO]]*Tabla5[[#This Row],[FACTOR]]</f>
        <v>0</v>
      </c>
    </row>
    <row r="27" spans="1:8" x14ac:dyDescent="0.3">
      <c r="D27" s="18"/>
      <c r="E27" s="73">
        <f>1</f>
        <v>1</v>
      </c>
      <c r="F27" s="73"/>
      <c r="G27" s="35"/>
      <c r="H27" s="35">
        <f>Tabla5[[#This Row],[CANTIDAD]]*Tabla5[[#This Row],[PRECIO]]*Tabla5[[#This Row],[FACTOR]]</f>
        <v>0</v>
      </c>
    </row>
    <row r="28" spans="1:8" x14ac:dyDescent="0.3">
      <c r="D28" s="18"/>
      <c r="E28" s="73">
        <f>1</f>
        <v>1</v>
      </c>
      <c r="F28" s="73"/>
      <c r="G28" s="35"/>
      <c r="H28" s="35">
        <f>Tabla5[[#This Row],[CANTIDAD]]*Tabla5[[#This Row],[PRECIO]]*Tabla5[[#This Row],[FACTOR]]</f>
        <v>0</v>
      </c>
    </row>
    <row r="29" spans="1:8" x14ac:dyDescent="0.3">
      <c r="A29" t="s">
        <v>18</v>
      </c>
      <c r="G29" s="35"/>
      <c r="H29" s="35">
        <f>SUM(Tabla5[TOTAL])</f>
        <v>0</v>
      </c>
    </row>
    <row r="30" spans="1:8" x14ac:dyDescent="0.3">
      <c r="G30"/>
      <c r="H30"/>
    </row>
    <row r="31" spans="1:8" x14ac:dyDescent="0.3">
      <c r="G31"/>
      <c r="H31"/>
    </row>
    <row r="32" spans="1:8" x14ac:dyDescent="0.3">
      <c r="G32"/>
      <c r="H32"/>
    </row>
    <row r="33" spans="1:8" x14ac:dyDescent="0.3">
      <c r="G33"/>
      <c r="H33"/>
    </row>
    <row r="34" spans="1:8" x14ac:dyDescent="0.3">
      <c r="G34"/>
      <c r="H34"/>
    </row>
    <row r="35" spans="1:8" x14ac:dyDescent="0.3">
      <c r="G35"/>
      <c r="H35"/>
    </row>
    <row r="36" spans="1:8" x14ac:dyDescent="0.3">
      <c r="G36"/>
      <c r="H36"/>
    </row>
    <row r="37" spans="1:8" x14ac:dyDescent="0.3">
      <c r="G37"/>
      <c r="H37"/>
    </row>
    <row r="38" spans="1:8" x14ac:dyDescent="0.3">
      <c r="G38"/>
      <c r="H38"/>
    </row>
    <row r="39" spans="1:8" x14ac:dyDescent="0.3">
      <c r="G39"/>
      <c r="H39"/>
    </row>
    <row r="40" spans="1:8" x14ac:dyDescent="0.3">
      <c r="G40"/>
      <c r="H40"/>
    </row>
    <row r="41" spans="1:8" x14ac:dyDescent="0.3">
      <c r="G41"/>
      <c r="H41"/>
    </row>
    <row r="42" spans="1:8" x14ac:dyDescent="0.3">
      <c r="G42"/>
      <c r="H42"/>
    </row>
    <row r="43" spans="1:8" x14ac:dyDescent="0.3">
      <c r="G43"/>
      <c r="H43"/>
    </row>
    <row r="44" spans="1:8" x14ac:dyDescent="0.3">
      <c r="A44" s="33"/>
      <c r="B44" s="34"/>
      <c r="C44" s="48"/>
      <c r="D44" s="48"/>
      <c r="E44" s="33"/>
      <c r="F44" s="33"/>
      <c r="G44" s="33"/>
      <c r="H44" s="49"/>
    </row>
    <row r="45" spans="1:8" x14ac:dyDescent="0.3">
      <c r="A45" s="33"/>
      <c r="B45" s="34"/>
      <c r="C45" s="48"/>
      <c r="D45" s="48"/>
      <c r="E45" s="33"/>
      <c r="F45" s="33"/>
      <c r="G45" s="33"/>
      <c r="H45" s="49"/>
    </row>
    <row r="46" spans="1:8" x14ac:dyDescent="0.3">
      <c r="G46"/>
      <c r="H46"/>
    </row>
    <row r="47" spans="1:8" x14ac:dyDescent="0.3">
      <c r="A47" s="33"/>
      <c r="B47" s="34"/>
      <c r="C47" s="48"/>
      <c r="D47" s="48"/>
      <c r="E47" s="33"/>
      <c r="F47" s="33"/>
      <c r="G47" s="33"/>
      <c r="H47" s="49"/>
    </row>
    <row r="48" spans="1:8" x14ac:dyDescent="0.3">
      <c r="A48" s="33"/>
      <c r="B48" s="34"/>
      <c r="C48" s="48"/>
      <c r="D48" s="48"/>
      <c r="E48" s="33"/>
      <c r="F48" s="33"/>
      <c r="G48" s="33"/>
      <c r="H48" s="49"/>
    </row>
  </sheetData>
  <mergeCells count="4">
    <mergeCell ref="B13:G13"/>
    <mergeCell ref="A1:H1"/>
    <mergeCell ref="B3:G3"/>
    <mergeCell ref="B24:G24"/>
  </mergeCells>
  <dataValidations disablePrompts="1" count="2">
    <dataValidation type="list" allowBlank="1" showInputMessage="1" showErrorMessage="1" sqref="A5:A9 A26:A28 A15:A20" xr:uid="{216C5BB0-6CA7-41C0-B931-ED51F434248E}">
      <formula1>"MATERIALES,EQUIPOS,MANO DE OBRA,TRANSPORTE,SUBCONTRATOS,ACTIVIDADES,OTROS,APU BÁSICOS"</formula1>
    </dataValidation>
    <dataValidation type="list" allowBlank="1" showInputMessage="1" showErrorMessage="1" sqref="C5:C6 C15:C19" xr:uid="{D39A97F2-7BEC-43CB-8E0D-1A9C0ABAD1D6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7" zoomScale="90" zoomScaleNormal="90" zoomScaleSheetLayoutView="90" workbookViewId="0">
      <selection activeCell="D27" sqref="D27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92" t="s">
        <v>37</v>
      </c>
      <c r="C1" s="92"/>
      <c r="D1" s="92"/>
      <c r="E1" s="92"/>
      <c r="F1" s="92"/>
      <c r="G1" s="92"/>
      <c r="H1" s="92"/>
    </row>
    <row r="2" spans="2:8" ht="15.6" thickBot="1" x14ac:dyDescent="0.3"/>
    <row r="3" spans="2:8" ht="16.2" thickBot="1" x14ac:dyDescent="0.3">
      <c r="B3" s="88" t="s">
        <v>63</v>
      </c>
      <c r="C3" s="89"/>
      <c r="D3" s="89"/>
      <c r="E3" s="89"/>
      <c r="F3" s="89"/>
      <c r="G3" s="90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59" t="s">
        <v>61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 t="e">
        <f>VLOOKUP(Tabla7[[#This Row],[DESCRIPCIÓN]],T_apus[[DESCRIPCIÓN]:[COSTO]],4,FALSE)</f>
        <v>#N/A</v>
      </c>
      <c r="H5" s="38" t="e">
        <f>Tabla7[[#This Row],[FACTOR]]*Tabla7[[#This Row],[CANTIDAD]]*Tabla7[[#This Row],[COSTO]]</f>
        <v>#N/A</v>
      </c>
    </row>
    <row r="6" spans="2:8" outlineLevel="1" x14ac:dyDescent="0.25">
      <c r="B6" s="37" t="str">
        <f>VLOOKUP(Tabla7[[#This Row],[DESCRIPCIÓN]],T_apus[[DESCRIPCIÓN]:[COSTO]],2,FALSE)</f>
        <v>CÓD</v>
      </c>
      <c r="C6" s="59" t="s">
        <v>59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 t="e">
        <f>VLOOKUP(Tabla7[[#This Row],[DESCRIPCIÓN]],T_apus[[DESCRIPCIÓN]:[COSTO]],4,FALSE)</f>
        <v>#N/A</v>
      </c>
      <c r="H6" s="38" t="e">
        <f>Tabla7[[#This Row],[FACTOR]]*Tabla7[[#This Row],[CANTIDAD]]*Tabla7[[#This Row],[COSTO]]</f>
        <v>#N/A</v>
      </c>
    </row>
    <row r="7" spans="2:8" outlineLevel="1" x14ac:dyDescent="0.25">
      <c r="B7" s="37" t="str">
        <f>VLOOKUP(Tabla7[[#This Row],[DESCRIPCIÓN]],T_apus[[DESCRIPCIÓN]:[COSTO]],2,FALSE)</f>
        <v>CÓD</v>
      </c>
      <c r="C7" s="59" t="s">
        <v>61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 t="e">
        <f>VLOOKUP(Tabla7[[#This Row],[DESCRIPCIÓN]],T_apus[[DESCRIPCIÓN]:[COSTO]],4,FALSE)</f>
        <v>#N/A</v>
      </c>
      <c r="H7" s="38" t="e">
        <f>Tabla7[[#This Row],[FACTOR]]*Tabla7[[#This Row],[CANTIDAD]]*Tabla7[[#This Row],[COSTO]]</f>
        <v>#N/A</v>
      </c>
    </row>
    <row r="8" spans="2:8" outlineLevel="1" x14ac:dyDescent="0.25">
      <c r="B8" s="37" t="str">
        <f>VLOOKUP(Tabla7[[#This Row],[DESCRIPCIÓN]],T_apus[[DESCRIPCIÓN]:[COSTO]],2,FALSE)</f>
        <v>CÓD</v>
      </c>
      <c r="C8" s="59" t="s">
        <v>61</v>
      </c>
      <c r="D8" s="37" t="str">
        <f>VLOOKUP(Tabla7[[#This Row],[DESCRIPCIÓN]],T_apus[[DESCRIPCIÓN]:[COSTO]],3,FALSE)</f>
        <v>UND</v>
      </c>
      <c r="E8" s="38">
        <v>1</v>
      </c>
      <c r="G8" s="38" t="e">
        <f>VLOOKUP(Tabla7[[#This Row],[DESCRIPCIÓN]],T_apus[[DESCRIPCIÓN]:[COSTO]],4,FALSE)</f>
        <v>#N/A</v>
      </c>
      <c r="H8" s="38" t="e">
        <f>Tabla7[[#This Row],[FACTOR]]*Tabla7[[#This Row],[CANTIDAD]]*Tabla7[[#This Row],[COSTO]]</f>
        <v>#N/A</v>
      </c>
    </row>
    <row r="9" spans="2:8" outlineLevel="1" x14ac:dyDescent="0.25">
      <c r="B9" s="37" t="str">
        <f>VLOOKUP(Tabla7[[#This Row],[DESCRIPCIÓN]],T_apus[[DESCRIPCIÓN]:[COSTO]],2,FALSE)</f>
        <v>CÓD</v>
      </c>
      <c r="C9" s="59" t="s">
        <v>61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 t="e">
        <f>VLOOKUP(Tabla7[[#This Row],[DESCRIPCIÓN]],T_apus[[DESCRIPCIÓN]:[COSTO]],4,FALSE)</f>
        <v>#N/A</v>
      </c>
      <c r="H9" s="38" t="e">
        <f>Tabla7[[#This Row],[FACTOR]]*Tabla7[[#This Row],[CANTIDAD]]*Tabla7[[#This Row],[COSTO]]</f>
        <v>#N/A</v>
      </c>
    </row>
    <row r="10" spans="2:8" outlineLevel="1" x14ac:dyDescent="0.25">
      <c r="B10" s="37" t="str">
        <f>VLOOKUP(Tabla7[[#This Row],[DESCRIPCIÓN]],T_apus[[DESCRIPCIÓN]:[COSTO]],2,FALSE)</f>
        <v>CÓD</v>
      </c>
      <c r="C10" s="59" t="s">
        <v>59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 t="e">
        <f>VLOOKUP(Tabla7[[#This Row],[DESCRIPCIÓN]],T_apus[[DESCRIPCIÓN]:[COSTO]],4,FALSE)</f>
        <v>#N/A</v>
      </c>
      <c r="H10" s="38" t="e">
        <f>Tabla7[[#This Row],[FACTOR]]*Tabla7[[#This Row],[CANTIDAD]]*Tabla7[[#This Row],[COSTO]]</f>
        <v>#N/A</v>
      </c>
    </row>
    <row r="11" spans="2:8" outlineLevel="1" x14ac:dyDescent="0.25">
      <c r="B11" s="37" t="str">
        <f>VLOOKUP(Tabla7[[#This Row],[DESCRIPCIÓN]],T_apus[[DESCRIPCIÓN]:[COSTO]],2,FALSE)</f>
        <v>CÓD</v>
      </c>
      <c r="C11" s="59" t="s">
        <v>59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 t="e">
        <f>VLOOKUP(Tabla7[[#This Row],[DESCRIPCIÓN]],T_apus[[DESCRIPCIÓN]:[COSTO]],4,FALSE)</f>
        <v>#N/A</v>
      </c>
      <c r="H11" s="38" t="e">
        <f>Tabla7[[#This Row],[FACTOR]]*Tabla7[[#This Row],[CANTIDAD]]*Tabla7[[#This Row],[COSTO]]</f>
        <v>#N/A</v>
      </c>
    </row>
    <row r="12" spans="2:8" outlineLevel="1" x14ac:dyDescent="0.25">
      <c r="C12" s="59"/>
      <c r="E12" s="38">
        <v>1</v>
      </c>
      <c r="H12" s="38">
        <v>0</v>
      </c>
    </row>
    <row r="13" spans="2:8" ht="15.6" x14ac:dyDescent="0.3">
      <c r="B13" s="40" t="s">
        <v>18</v>
      </c>
      <c r="H13" s="41" t="e">
        <f>SUM(Tabla7[TOTAL])</f>
        <v>#N/A</v>
      </c>
    </row>
    <row r="15" spans="2:8" ht="15.6" thickBot="1" x14ac:dyDescent="0.3"/>
    <row r="16" spans="2:8" ht="16.2" thickBot="1" x14ac:dyDescent="0.3">
      <c r="B16" s="88" t="s">
        <v>64</v>
      </c>
      <c r="C16" s="89"/>
      <c r="D16" s="89"/>
      <c r="E16" s="89"/>
      <c r="F16" s="89"/>
      <c r="G16" s="90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59" t="s">
        <v>59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 t="e">
        <f>VLOOKUP(Tabla14[[#This Row],[DESCRIPCIÓN]],T_apus[[DESCRIPCIÓN]:[COSTO]],4,FALSE)</f>
        <v>#N/A</v>
      </c>
      <c r="H18" s="38" t="e">
        <f>Tabla14[[#This Row],[FACTOR]]*Tabla14[[#This Row],[CANTIDAD]]*Tabla14[[#This Row],[COSTO]]</f>
        <v>#N/A</v>
      </c>
    </row>
    <row r="19" spans="2:8" outlineLevel="1" x14ac:dyDescent="0.25">
      <c r="B19" s="37" t="str">
        <f>VLOOKUP(Tabla14[[#This Row],[DESCRIPCIÓN]],T_apus[[DESCRIPCIÓN]:[COSTO]],2,FALSE)</f>
        <v>CÓD</v>
      </c>
      <c r="C19" s="59" t="s">
        <v>59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 t="e">
        <f>VLOOKUP(Tabla14[[#This Row],[DESCRIPCIÓN]],T_apus[[DESCRIPCIÓN]:[COSTO]],4,FALSE)</f>
        <v>#N/A</v>
      </c>
      <c r="H19" s="38" t="e">
        <f>Tabla14[[#This Row],[FACTOR]]*Tabla14[[#This Row],[CANTIDAD]]*Tabla14[[#This Row],[COSTO]]</f>
        <v>#N/A</v>
      </c>
    </row>
    <row r="20" spans="2:8" outlineLevel="1" x14ac:dyDescent="0.25">
      <c r="B20" s="37" t="str">
        <f>VLOOKUP(Tabla14[[#This Row],[DESCRIPCIÓN]],T_apus[[DESCRIPCIÓN]:[COSTO]],2,FALSE)</f>
        <v>CÓD</v>
      </c>
      <c r="C20" s="59" t="s">
        <v>61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 t="e">
        <f>VLOOKUP(Tabla14[[#This Row],[DESCRIPCIÓN]],T_apus[[DESCRIPCIÓN]:[COSTO]],4,FALSE)</f>
        <v>#N/A</v>
      </c>
      <c r="H20" s="38" t="e">
        <f>Tabla14[[#This Row],[FACTOR]]*Tabla14[[#This Row],[CANTIDAD]]*Tabla14[[#This Row],[COSTO]]</f>
        <v>#N/A</v>
      </c>
    </row>
    <row r="21" spans="2:8" outlineLevel="1" x14ac:dyDescent="0.25">
      <c r="C21" s="59"/>
      <c r="E21" s="38">
        <v>1</v>
      </c>
      <c r="H21" s="38">
        <f>Tabla14[[#This Row],[FACTOR]]*Tabla14[[#This Row],[CANTIDAD]]*Tabla14[[#This Row],[COSTO]]</f>
        <v>0</v>
      </c>
    </row>
    <row r="22" spans="2:8" outlineLevel="1" x14ac:dyDescent="0.25">
      <c r="C22" s="59"/>
      <c r="E22" s="38">
        <v>1</v>
      </c>
      <c r="H22" s="38">
        <f>Tabla14[[#This Row],[FACTOR]]*Tabla14[[#This Row],[CANTIDAD]]*Tabla14[[#This Row],[COSTO]]</f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59" t="s">
        <v>61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 t="e">
        <f>VLOOKUP(Tabla14[[#This Row],[DESCRIPCIÓN]],T_apus[[DESCRIPCIÓN]:[COSTO]],4,FALSE)</f>
        <v>#N/A</v>
      </c>
      <c r="H23" s="38" t="e">
        <f>Tabla14[[#This Row],[FACTOR]]*Tabla14[[#This Row],[CANTIDAD]]*Tabla14[[#This Row],[COSTO]]</f>
        <v>#N/A</v>
      </c>
    </row>
    <row r="24" spans="2:8" outlineLevel="1" x14ac:dyDescent="0.25">
      <c r="B24" s="37" t="str">
        <f>VLOOKUP(Tabla14[[#This Row],[DESCRIPCIÓN]],T_apus[[DESCRIPCIÓN]:[COSTO]],2,FALSE)</f>
        <v>CÓD</v>
      </c>
      <c r="C24" s="59" t="s">
        <v>59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 t="e">
        <f>VLOOKUP(Tabla14[[#This Row],[DESCRIPCIÓN]],T_apus[[DESCRIPCIÓN]:[COSTO]],4,FALSE)</f>
        <v>#N/A</v>
      </c>
      <c r="H24" s="38" t="e">
        <f>Tabla14[[#This Row],[FACTOR]]*Tabla14[[#This Row],[CANTIDAD]]*Tabla14[[#This Row],[COSTO]]</f>
        <v>#N/A</v>
      </c>
    </row>
    <row r="25" spans="2:8" outlineLevel="1" x14ac:dyDescent="0.25">
      <c r="B25" s="37" t="str">
        <f>VLOOKUP(Tabla14[[#This Row],[DESCRIPCIÓN]],T_apus[[DESCRIPCIÓN]:[COSTO]],2,FALSE)</f>
        <v>CÓD</v>
      </c>
      <c r="C25" s="59" t="s">
        <v>61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 t="e">
        <f>VLOOKUP(Tabla14[[#This Row],[DESCRIPCIÓN]],T_apus[[DESCRIPCIÓN]:[COSTO]],4,FALSE)</f>
        <v>#N/A</v>
      </c>
      <c r="H25" s="38" t="e">
        <f>Tabla14[[#This Row],[FACTOR]]*Tabla14[[#This Row],[CANTIDAD]]*Tabla14[[#This Row],[COSTO]]</f>
        <v>#N/A</v>
      </c>
    </row>
    <row r="26" spans="2:8" outlineLevel="1" x14ac:dyDescent="0.25">
      <c r="C26" s="59"/>
      <c r="E26" s="38">
        <v>1</v>
      </c>
      <c r="H26" s="38">
        <v>0</v>
      </c>
    </row>
    <row r="27" spans="2:8" ht="15.6" x14ac:dyDescent="0.3">
      <c r="B27" s="40" t="s">
        <v>18</v>
      </c>
      <c r="H27" s="41" t="e">
        <f>SUM(Tabla14[TOTAL])</f>
        <v>#N/A</v>
      </c>
    </row>
    <row r="29" spans="2:8" ht="15.6" thickBot="1" x14ac:dyDescent="0.3"/>
    <row r="30" spans="2:8" ht="16.2" thickBot="1" x14ac:dyDescent="0.3">
      <c r="B30" s="88" t="s">
        <v>20</v>
      </c>
      <c r="C30" s="89"/>
      <c r="D30" s="89"/>
      <c r="E30" s="89"/>
      <c r="F30" s="89"/>
      <c r="G30" s="90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59" t="s">
        <v>59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 t="e">
        <f>VLOOKUP(Tabla89[[#This Row],[DESCRIPCIÓN]],T_apus[[DESCRIPCIÓN]:[COSTO]],4,FALSE)</f>
        <v>#N/A</v>
      </c>
      <c r="H32" s="38" t="e">
        <f>Tabla89[[#This Row],[FACTOR]]*Tabla89[[#This Row],[CANTIDAD]]*Tabla89[[#This Row],[COSTO]]</f>
        <v>#N/A</v>
      </c>
    </row>
    <row r="33" spans="2:8" outlineLevel="1" x14ac:dyDescent="0.25">
      <c r="B33" s="37" t="str">
        <f>VLOOKUP(Tabla89[[#This Row],[DESCRIPCIÓN]],T_apus[[DESCRIPCIÓN]:[COSTO]],2,FALSE)</f>
        <v>CÓD</v>
      </c>
      <c r="C33" s="59" t="s">
        <v>59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 t="e">
        <f>VLOOKUP(Tabla89[[#This Row],[DESCRIPCIÓN]],T_apus[[DESCRIPCIÓN]:[COSTO]],4,FALSE)</f>
        <v>#N/A</v>
      </c>
      <c r="H33" s="38" t="e">
        <f>Tabla89[[#This Row],[FACTOR]]*Tabla89[[#This Row],[CANTIDAD]]*Tabla89[[#This Row],[COSTO]]</f>
        <v>#N/A</v>
      </c>
    </row>
    <row r="34" spans="2:8" outlineLevel="1" x14ac:dyDescent="0.25">
      <c r="B34" s="37" t="str">
        <f>VLOOKUP(Tabla89[[#This Row],[DESCRIPCIÓN]],T_apus[[DESCRIPCIÓN]:[COSTO]],2,FALSE)</f>
        <v>CÓD</v>
      </c>
      <c r="C34" s="59" t="s">
        <v>61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 t="e">
        <f>VLOOKUP(Tabla89[[#This Row],[DESCRIPCIÓN]],T_apus[[DESCRIPCIÓN]:[COSTO]],4,FALSE)</f>
        <v>#N/A</v>
      </c>
      <c r="H34" s="38" t="e">
        <f>Tabla89[[#This Row],[FACTOR]]*Tabla89[[#This Row],[CANTIDAD]]*Tabla89[[#This Row],[COSTO]]</f>
        <v>#N/A</v>
      </c>
    </row>
    <row r="35" spans="2:8" outlineLevel="1" x14ac:dyDescent="0.25">
      <c r="B35" s="37" t="str">
        <f>VLOOKUP(Tabla89[[#This Row],[DESCRIPCIÓN]],T_apus[[DESCRIPCIÓN]:[COSTO]],2,FALSE)</f>
        <v>CÓD</v>
      </c>
      <c r="C35" s="59" t="s">
        <v>59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 t="e">
        <f>VLOOKUP(Tabla89[[#This Row],[DESCRIPCIÓN]],T_apus[[DESCRIPCIÓN]:[COSTO]],4,FALSE)</f>
        <v>#N/A</v>
      </c>
      <c r="H35" s="38" t="e">
        <f>Tabla89[[#This Row],[FACTOR]]*Tabla89[[#This Row],[CANTIDAD]]*Tabla89[[#This Row],[COSTO]]</f>
        <v>#N/A</v>
      </c>
    </row>
    <row r="36" spans="2:8" outlineLevel="1" x14ac:dyDescent="0.25">
      <c r="C36" s="59"/>
      <c r="E36" s="38">
        <v>1</v>
      </c>
      <c r="H36" s="38">
        <f>Tabla89[[#This Row],[FACTOR]]*Tabla89[[#This Row],[CANTIDAD]]*Tabla89[[#This Row],[COSTO]]</f>
        <v>0</v>
      </c>
    </row>
    <row r="37" spans="2:8" ht="15.6" x14ac:dyDescent="0.3">
      <c r="B37" s="67" t="s">
        <v>18</v>
      </c>
      <c r="C37" s="66"/>
      <c r="D37" s="65"/>
      <c r="E37" s="50"/>
      <c r="F37" s="50"/>
      <c r="G37" s="50"/>
      <c r="H37" s="41" t="e">
        <f>SUM(Tabla89[TOTAL])</f>
        <v>#N/A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tr">
        <f>$H$3</f>
        <v>CÓD</v>
      </c>
      <c r="C42" s="51" t="str">
        <f>$B$3</f>
        <v>CAPÍTULO 1</v>
      </c>
      <c r="D42" s="68" t="e">
        <f>(E42)/(E47)</f>
        <v>#N/A</v>
      </c>
      <c r="E42" s="38" t="e">
        <f>$H$13</f>
        <v>#N/A</v>
      </c>
      <c r="F42" s="37"/>
      <c r="G42" s="37"/>
    </row>
    <row r="43" spans="2:8" x14ac:dyDescent="0.25">
      <c r="B43" s="37" t="str">
        <f>$H$16</f>
        <v>CÓD</v>
      </c>
      <c r="C43" s="51" t="str">
        <f>$B$16</f>
        <v>CAPÍTULO 2</v>
      </c>
      <c r="D43" s="68" t="e">
        <f>(E43)/(E47)</f>
        <v>#N/A</v>
      </c>
      <c r="E43" s="38" t="e">
        <f>$H$27</f>
        <v>#N/A</v>
      </c>
      <c r="F43" s="37"/>
      <c r="G43" s="37"/>
    </row>
    <row r="44" spans="2:8" x14ac:dyDescent="0.25">
      <c r="B44" s="37" t="str">
        <f>$H$30</f>
        <v>CÓD</v>
      </c>
      <c r="C44" s="51" t="str">
        <f>$B$30</f>
        <v>CAPÍTULO</v>
      </c>
      <c r="D44" s="68" t="e">
        <f>(E44)/(E47)</f>
        <v>#N/A</v>
      </c>
      <c r="E44" s="38" t="e">
        <f>$H$37</f>
        <v>#N/A</v>
      </c>
      <c r="F44" s="37"/>
      <c r="G44" s="37"/>
    </row>
    <row r="47" spans="2:8" ht="15.6" x14ac:dyDescent="0.3">
      <c r="B47" s="42"/>
      <c r="C47" s="53"/>
      <c r="D47" s="43" t="s">
        <v>30</v>
      </c>
      <c r="E47" s="54" t="e">
        <f>SUM(E42:E46)</f>
        <v>#N/A</v>
      </c>
    </row>
    <row r="48" spans="2:8" x14ac:dyDescent="0.25">
      <c r="B48" s="91" t="s">
        <v>62</v>
      </c>
      <c r="C48" s="91"/>
      <c r="D48" s="91"/>
      <c r="E48" s="91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69">
        <v>0.05</v>
      </c>
      <c r="E51" s="70" t="e">
        <f>Tabla91[[#This Row],[PORCENTAJE]]*E47</f>
        <v>#N/A</v>
      </c>
    </row>
    <row r="52" spans="3:5" x14ac:dyDescent="0.25">
      <c r="C52" s="51" t="s">
        <v>27</v>
      </c>
      <c r="D52" s="69">
        <v>0.05</v>
      </c>
      <c r="E52" s="70" t="e">
        <f>Tabla91[[#This Row],[PORCENTAJE]]*E47</f>
        <v>#N/A</v>
      </c>
    </row>
    <row r="53" spans="3:5" x14ac:dyDescent="0.25">
      <c r="C53" s="51" t="s">
        <v>28</v>
      </c>
      <c r="D53" s="69">
        <v>0.1</v>
      </c>
      <c r="E53" s="70" t="e">
        <f>Tabla91[[#This Row],[PORCENTAJE]]*E47</f>
        <v>#N/A</v>
      </c>
    </row>
    <row r="54" spans="3:5" x14ac:dyDescent="0.25">
      <c r="C54" s="51" t="s">
        <v>25</v>
      </c>
      <c r="D54" s="69">
        <v>0.19</v>
      </c>
      <c r="E54" s="70" t="e">
        <f>Tabla91[[#This Row],[PORCENTAJE]]*E53</f>
        <v>#N/A</v>
      </c>
    </row>
    <row r="55" spans="3:5" ht="15.6" x14ac:dyDescent="0.3">
      <c r="D55" s="71" t="s">
        <v>29</v>
      </c>
      <c r="E55" s="72" t="e">
        <f>SUM(E51:E54)</f>
        <v>#N/A</v>
      </c>
    </row>
    <row r="56" spans="3:5" x14ac:dyDescent="0.25">
      <c r="E56" s="70"/>
    </row>
    <row r="57" spans="3:5" ht="15.6" x14ac:dyDescent="0.3">
      <c r="D57" s="40" t="s">
        <v>24</v>
      </c>
      <c r="E57" s="72" t="e">
        <f>E47+E55</f>
        <v>#N/A</v>
      </c>
    </row>
  </sheetData>
  <dataConsolidate/>
  <mergeCells count="5">
    <mergeCell ref="B30:G30"/>
    <mergeCell ref="B48:E48"/>
    <mergeCell ref="B1:H1"/>
    <mergeCell ref="B3:G3"/>
    <mergeCell ref="B16:G16"/>
  </mergeCells>
  <dataValidations disablePrompts="1" count="1">
    <dataValidation type="list" allowBlank="1" showInputMessage="1" showErrorMessage="1" sqref="C18:C26 C32:C36 C5:C12" xr:uid="{D610AE7E-8CF7-4CA0-BAAE-C8D5899D339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8"/>
  <sheetViews>
    <sheetView showGridLines="0" topLeftCell="B1" zoomScale="110" zoomScaleNormal="110" zoomScaleSheetLayoutView="130" workbookViewId="0">
      <selection activeCell="C9" sqref="C9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93" t="s">
        <v>31</v>
      </c>
      <c r="C1" s="93"/>
      <c r="D1" s="93"/>
      <c r="E1" s="93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e">
        <f>BÁSICOS!#REF!</f>
        <v>#REF!</v>
      </c>
      <c r="C3" s="4" t="e">
        <f>BÁSICOS!#REF!</f>
        <v>#REF!</v>
      </c>
      <c r="D3" s="1" t="e">
        <f>BÁSICOS!#REF!</f>
        <v>#REF!</v>
      </c>
      <c r="E3" s="5" t="e">
        <f>BÁSICOS!#REF!</f>
        <v>#REF!</v>
      </c>
    </row>
    <row r="4" spans="2:7 16200:16200" x14ac:dyDescent="0.3">
      <c r="B4" s="2" t="e">
        <f>BÁSICOS!#REF!</f>
        <v>#REF!</v>
      </c>
      <c r="C4" s="4" t="e">
        <f>BÁSICOS!#REF!</f>
        <v>#REF!</v>
      </c>
      <c r="D4" s="1" t="e">
        <f>BÁSICOS!#REF!</f>
        <v>#REF!</v>
      </c>
      <c r="E4" s="5" t="e">
        <f>BÁSICOS!#REF!</f>
        <v>#REF!</v>
      </c>
    </row>
    <row r="5" spans="2:7 16200:16200" x14ac:dyDescent="0.3">
      <c r="B5" s="2" t="e">
        <f>BÁSICOS!#REF!</f>
        <v>#REF!</v>
      </c>
      <c r="C5" s="4" t="e">
        <f>BÁSICOS!#REF!</f>
        <v>#REF!</v>
      </c>
      <c r="D5" s="1" t="e">
        <f>BÁSICOS!#REF!</f>
        <v>#REF!</v>
      </c>
      <c r="E5" s="5" t="e">
        <f>BÁSICOS!#REF!</f>
        <v>#REF!</v>
      </c>
    </row>
    <row r="6" spans="2:7 16200:16200" x14ac:dyDescent="0.3">
      <c r="B6" s="2" t="e">
        <f>BÁSICOS!#REF!</f>
        <v>#REF!</v>
      </c>
      <c r="C6" s="4" t="e">
        <f>BÁSICOS!#REF!</f>
        <v>#REF!</v>
      </c>
      <c r="D6" s="1" t="e">
        <f>BÁSICOS!#REF!</f>
        <v>#REF!</v>
      </c>
      <c r="E6" s="5" t="e">
        <f>BÁSICOS!#REF!</f>
        <v>#REF!</v>
      </c>
    </row>
    <row r="7" spans="2:7 16200:16200" x14ac:dyDescent="0.3">
      <c r="B7" s="2"/>
      <c r="E7" s="5"/>
    </row>
    <row r="8" spans="2:7 16200:16200" x14ac:dyDescent="0.3">
      <c r="B8" s="2"/>
      <c r="E8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7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2.77734375" style="6" bestFit="1" customWidth="1"/>
    <col min="6" max="16384" width="11.44140625" style="3"/>
  </cols>
  <sheetData>
    <row r="1" spans="2:5" s="8" customFormat="1" ht="30" customHeight="1" x14ac:dyDescent="0.3">
      <c r="B1" s="93" t="s">
        <v>33</v>
      </c>
      <c r="C1" s="93"/>
      <c r="D1" s="93"/>
      <c r="E1" s="93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 t="e">
        <f>APU!H10</f>
        <v>#N/A</v>
      </c>
    </row>
    <row r="4" spans="2:5" x14ac:dyDescent="0.3">
      <c r="B4" s="2" t="str">
        <f>APU!B13</f>
        <v>Apu 02</v>
      </c>
      <c r="C4" s="4" t="str">
        <f>APU!A13</f>
        <v>CÓD</v>
      </c>
      <c r="D4" s="1" t="str">
        <f>APU!H13</f>
        <v>UND</v>
      </c>
      <c r="E4" s="5" t="e">
        <f>APU!H21</f>
        <v>#N/A</v>
      </c>
    </row>
    <row r="5" spans="2:5" x14ac:dyDescent="0.3">
      <c r="B5" s="2" t="str">
        <f>APU!B24</f>
        <v>NOMBRE A.P.U.</v>
      </c>
      <c r="C5" s="4" t="str">
        <f>APU!A24</f>
        <v>CÓD</v>
      </c>
      <c r="D5" s="1" t="str">
        <f>APU!H24</f>
        <v>UND</v>
      </c>
      <c r="E5" s="5">
        <f>APU!H29</f>
        <v>0</v>
      </c>
    </row>
    <row r="6" spans="2:5" x14ac:dyDescent="0.3">
      <c r="E6" s="5"/>
    </row>
    <row r="7" spans="2:5" x14ac:dyDescent="0.3"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8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3" t="s">
        <v>32</v>
      </c>
      <c r="B1" s="93"/>
      <c r="C1" s="93"/>
      <c r="D1" s="93"/>
      <c r="E1" s="93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50</v>
      </c>
      <c r="B3" s="18" t="s">
        <v>39</v>
      </c>
      <c r="C3" s="19">
        <v>285000</v>
      </c>
      <c r="D3" s="29">
        <v>4984</v>
      </c>
      <c r="E3" s="19">
        <f>T_materiales[[#This Row],[PRECIO]]*T_materiales[[#This Row],[CANTIDAD]]</f>
        <v>1420440000</v>
      </c>
    </row>
    <row r="4" spans="1:6" x14ac:dyDescent="0.3">
      <c r="A4" t="s">
        <v>51</v>
      </c>
      <c r="B4" s="18" t="s">
        <v>48</v>
      </c>
      <c r="C4" s="19">
        <v>486</v>
      </c>
      <c r="D4" s="29">
        <v>6785</v>
      </c>
      <c r="E4" s="19">
        <f>T_materiales[[#This Row],[PRECIO]]*T_materiales[[#This Row],[CANTIDAD]]</f>
        <v>3297510</v>
      </c>
    </row>
    <row r="5" spans="1:6" x14ac:dyDescent="0.3">
      <c r="A5" t="s">
        <v>52</v>
      </c>
      <c r="B5" s="18" t="s">
        <v>39</v>
      </c>
      <c r="C5" s="19">
        <v>72500</v>
      </c>
      <c r="D5" s="29">
        <v>8586</v>
      </c>
      <c r="E5" s="19">
        <f>T_materiales[[#This Row],[PRECIO]]*T_materiales[[#This Row],[CANTIDAD]]</f>
        <v>622485000</v>
      </c>
    </row>
    <row r="6" spans="1:6" x14ac:dyDescent="0.3">
      <c r="A6" t="s">
        <v>40</v>
      </c>
      <c r="B6" s="18" t="s">
        <v>41</v>
      </c>
      <c r="C6" s="19">
        <v>100000</v>
      </c>
      <c r="D6" s="29">
        <v>1480</v>
      </c>
      <c r="E6" s="19">
        <f>T_materiales[[#This Row],[PRECIO]]*T_materiales[[#This Row],[CANTIDAD]]</f>
        <v>148000000</v>
      </c>
    </row>
    <row r="7" spans="1:6" x14ac:dyDescent="0.3">
      <c r="E7" s="19">
        <f>T_materiales[[#This Row],[PRECIO]]*T_materiales[[#This Row],[CANTIDAD]]</f>
        <v>0</v>
      </c>
    </row>
    <row r="8" spans="1:6" x14ac:dyDescent="0.3">
      <c r="A8" s="60" t="s">
        <v>18</v>
      </c>
      <c r="B8" s="27"/>
      <c r="C8" s="28"/>
      <c r="D8" s="31"/>
      <c r="E8" s="61">
        <f>SUBTOTAL(109,T_materiales[TOTAL])</f>
        <v>2194222510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2024-09-26T16:23:43Z</dcterms:modified>
</cp:coreProperties>
</file>