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drawings/drawing6.xml" ContentType="application/vnd.openxmlformats-officedocument.drawing+xml"/>
  <Override PartName="/xl/tables/table14.xml" ContentType="application/vnd.openxmlformats-officedocument.spreadsheetml.table+xml"/>
  <Override PartName="/xl/drawings/drawing7.xml" ContentType="application/vnd.openxmlformats-officedocument.drawing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duplicar_32.png" ContentType="image/.PNG"/>
  <Override PartName="/customUI/images/duplicar_16.png" ContentType="image/.PNG"/>
  <Override PartName="/customUI/images/copiar_16.png" ContentType="image/.PNG"/>
  <Override PartName="/customUI/images/buscar_32.png" ContentType="image/.PNG"/>
  <Override PartName="/customUI/images/buscar_16.png" ContentType="image/.PNG"/>
  <Override PartName="/customUI/images/materiales_32.png" ContentType="image/.PNG"/>
  <Override PartName="/customUI/images/pegar_16.png" ContentType="image/.PNG"/>
  <Override PartName="/customUI/images/nuevo_16.png" ContentType="image/.PNG"/>
  <Override PartName="/customUI/images/analisis_16.png" ContentType="image/.PNG"/>
  <Override PartName="/customUI/images/analisis_32.png" ContentType="image/.PNG"/>
  <Override PartName="/customUI/images/actualizar2_32.png" ContentType="image/.PNG"/>
  <Override PartName="/customUI/images/guardar_32.png" ContentType="image/.PNG"/>
  <Override PartName="/customUI/images/guardar_16.png" ContentType="image/.PNG"/>
  <Override PartName="/customUI/images/ocultar_16.png" ContentType="image/.PNG"/>
  <Override PartName="/customUI/images/nuevo_32.png" ContentType="image/.PNG"/>
  <Override PartName="/customUI/images/ocultar_32.png" ContentType="image/.PNG"/>
  <Override PartName="/customUI/images/cargar_16.png" ContentType="image/.PNG"/>
  <Override PartName="/customUI/images/cargar_32.png" ContentType="image/.PNG"/>
  <Override PartName="/customUI/images/menos_16.png" ContentType="image/.PNG"/>
  <Override PartName="/customUI/images/editar_16.png" ContentType="image/.PNG"/>
  <Override PartName="/customUI/images/resumen_32.png" ContentType="image/.PNG"/>
  <Override PartName="/customUI/images/eliminar_16.png" ContentType="image/.PNG"/>
  <Override PartName="/customUI/images/resumen_16.png" ContentType="image/.PNG"/>
  <Override PartName="/customUI/images/eliminar_32.png" ContentType="image/.PNG"/>
  <Override PartName="/customUI/images/mas_32.png" ContentType="image/.PNG"/>
  <Override PartName="/customUI/images/menos_32.png" ContentType="image/.PNG"/>
  <Override PartName="/customUI/images/mas_16.png" ContentType="image/.PNG"/>
  <Override PartName="/customUI/images/actualizar_32.png" ContentType="image/.PNG"/>
  <Override PartName="/customUI/images/actualizar_16.png" ContentType="image/.PNG"/>
  <Override PartName="/customUI/images/guardar2_32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3061b70d0ea4a00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09ED2EB3-6901-4513-AEF2-A3FEFBC76A6A}" xr6:coauthVersionLast="47" xr6:coauthVersionMax="47" xr10:uidLastSave="{00000000-0000-0000-0000-000000000000}"/>
  <workbookProtection workbookAlgorithmName="SHA-512" workbookHashValue="QlSIKbly1q55mTvPOlmt+PrJvcgqyl6e3C8HuIWEQ5wtjkIXhFPw4d2BGj2CgR+ztjoKmIoNEpxNwHNc9Io56Q==" workbookSaltValue="0MxHHN0dAKh2Q/GwHa73Zg==" workbookSpinCount="100000" lockStructure="1"/>
  <bookViews>
    <workbookView xWindow="-108" yWindow="-108" windowWidth="23256" windowHeight="12456" tabRatio="681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</sheets>
  <definedNames>
    <definedName name="ACTIVIDADES">T_act[DESCRIPCIÓN]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104" l="1"/>
  <c r="B15" i="104"/>
  <c r="H9" i="104"/>
  <c r="H8" i="104"/>
  <c r="H7" i="104"/>
  <c r="H6" i="104"/>
  <c r="H10" i="104" s="1"/>
  <c r="E15" i="104" s="1"/>
  <c r="H5" i="104"/>
  <c r="E7" i="103"/>
  <c r="H7" i="103" s="1"/>
  <c r="H6" i="103"/>
  <c r="E6" i="103"/>
  <c r="H5" i="103"/>
  <c r="H8" i="103" s="1"/>
  <c r="E5" i="103"/>
  <c r="H7" i="102"/>
  <c r="E7" i="102"/>
  <c r="H6" i="102"/>
  <c r="E6" i="102"/>
  <c r="E5" i="102"/>
  <c r="H5" i="102" s="1"/>
  <c r="H8" i="102" s="1"/>
  <c r="E18" i="104" l="1"/>
  <c r="E4" i="106"/>
  <c r="E24" i="104" l="1"/>
  <c r="E25" i="104" s="1"/>
  <c r="E23" i="104"/>
  <c r="E22" i="104"/>
  <c r="E26" i="104" s="1"/>
  <c r="E28" i="104" s="1"/>
  <c r="D15" i="104"/>
</calcChain>
</file>

<file path=xl/sharedStrings.xml><?xml version="1.0" encoding="utf-8"?>
<sst xmlns="http://schemas.openxmlformats.org/spreadsheetml/2006/main" count="111" uniqueCount="41">
  <si>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</si>
  <si>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</si>
  <si>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</si>
  <si>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</si>
  <si>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</si>
  <si>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</si>
  <si>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</si>
  <si>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</si>
  <si>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</si>
  <si>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</si>
  <si>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</si>
  <si>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</si>
  <si>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</si>
  <si>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</si>
  <si>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</si>
  <si>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</si>
  <si>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</si>
  <si>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</si>
  <si>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</si>
  <si>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</si>
  <si>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</si>
  <si>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</si>
  <si>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</si>
  <si>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</si>
  <si>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</si>
  <si>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</si>
  <si>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</si>
  <si>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</si>
  <si>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</si>
  <si>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</si>
  <si>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</si>
  <si>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</si>
  <si>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</si>
  <si>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</si>
  <si>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</si>
  <si>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</si>
  <si>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</si>
  <si>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</si>
  <si>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NOMBRE A.P.U. BÁSICO</t>
  </si>
  <si>
    <t>UND</t>
  </si>
  <si>
    <t>NOMBRE A.P.U.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</si>
</sst>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65" formatCode="_-* #,##0\ _€_-;\-* #,##0\ _€_-;_-* &quot;-&quot;\ _€_-;_-@_-"/>
    <numFmt numFmtId="166" formatCode="#,##0.00_ ;\-#,##0.00\ 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scheme val="minor"/>
    </font>
    <font>
      <b/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</fills>
  <borders count="21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/>
      <top style="medium">
        <color rgb="FF00AC56"/>
      </top>
      <bottom style="medium">
        <color rgb="FF00AC56"/>
      </bottom>
      <diagonal/>
    </border>
    <border>
      <left/>
      <right/>
      <top style="medium">
        <color rgb="FF00AC56"/>
      </top>
      <bottom style="medium">
        <color rgb="FF00AC56"/>
      </bottom>
      <diagonal/>
    </border>
    <border>
      <left/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97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5" fontId="0" fillId="0" borderId="0" xfId="0" applyNumberFormat="1" applyBorder="1" applyAlignment="1">
      <alignment horizontal="left"/>
    </xf>
    <xf numFmtId="165" fontId="0" fillId="0" borderId="0" xfId="0" applyNumberFormat="1" applyBorder="1"/>
    <xf numFmtId="165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5" fontId="3" fillId="0" borderId="0" xfId="0" applyNumberFormat="1" applyFont="1" applyBorder="1" applyAlignment="1">
      <alignment horizontal="left"/>
    </xf>
    <xf numFmtId="165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5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5" fontId="0" fillId="2" borderId="0" xfId="0" applyNumberFormat="1" applyFill="1"/>
    <xf numFmtId="166" fontId="0" fillId="0" borderId="0" xfId="0" applyNumberFormat="1"/>
    <xf numFmtId="166" fontId="0" fillId="0" borderId="0" xfId="0" applyNumberFormat="1" applyAlignment="1">
      <alignment horizontal="center"/>
    </xf>
    <xf numFmtId="166" fontId="0" fillId="2" borderId="0" xfId="0" applyNumberFormat="1" applyFill="1"/>
    <xf numFmtId="10" fontId="6" fillId="0" borderId="0" xfId="0" applyNumberFormat="1" applyFont="1" applyAlignment="1">
      <alignment horizontal="center"/>
    </xf>
    <xf numFmtId="0" fontId="2" fillId="0" borderId="11" xfId="0" applyFont="1" applyBorder="1" applyAlignment="1">
      <alignment horizontal="left" vertical="top"/>
    </xf>
    <xf numFmtId="9" fontId="5" fillId="0" borderId="0" xfId="13" applyFont="1" applyAlignment="1">
      <alignment horizontal="center"/>
    </xf>
    <xf numFmtId="3" fontId="5" fillId="0" borderId="0" xfId="0" applyNumberFormat="1" applyFont="1" applyAlignment="1">
      <alignment horizontal="center"/>
    </xf>
    <xf numFmtId="3" fontId="6" fillId="0" borderId="0" xfId="0" applyNumberFormat="1" applyFont="1" applyAlignment="1">
      <alignment horizontal="center"/>
    </xf>
    <xf numFmtId="3" fontId="0" fillId="0" borderId="0" xfId="0" applyNumberFormat="1"/>
    <xf numFmtId="0" fontId="8" fillId="0" borderId="0" xfId="9"/>
    <xf numFmtId="0" fontId="7" fillId="0" borderId="0" xfId="11"/>
    <xf numFmtId="0" fontId="10" fillId="2" borderId="0" xfId="0" applyFont="1" applyFill="1"/>
    <xf numFmtId="165" fontId="10" fillId="2" borderId="0" xfId="0" applyNumberFormat="1" applyFont="1" applyFill="1"/>
    <xf numFmtId="9" fontId="6" fillId="0" borderId="0" xfId="13" applyFont="1" applyAlignment="1">
      <alignment horizontal="center"/>
    </xf>
    <xf numFmtId="0" fontId="9" fillId="0" borderId="16" xfId="9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41" fontId="0" fillId="0" borderId="0" xfId="0" applyNumberFormat="1"/>
    <xf numFmtId="41" fontId="2" fillId="0" borderId="0" xfId="0" applyNumberFormat="1" applyFont="1"/>
    <xf numFmtId="41" fontId="6" fillId="0" borderId="0" xfId="0" applyNumberFormat="1" applyFont="1" applyAlignment="1">
      <alignment horizontal="center"/>
    </xf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5" fillId="0" borderId="5" xfId="0" applyNumberFormat="1" applyFont="1" applyBorder="1" applyAlignment="1">
      <alignment horizontal="center"/>
    </xf>
    <xf numFmtId="0" fontId="9" fillId="0" borderId="0" xfId="9" applyFont="1"/>
    <xf numFmtId="0" fontId="2" fillId="0" borderId="0" xfId="11" applyFont="1"/>
    <xf numFmtId="0" fontId="9" fillId="0" borderId="0" xfId="9" applyFont="1" applyAlignment="1">
      <alignment vertical="center"/>
    </xf>
    <xf numFmtId="41" fontId="8" fillId="0" borderId="0" xfId="9" applyNumberFormat="1"/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2" fillId="0" borderId="12" xfId="0" applyFont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14" xfId="0" applyFont="1" applyBorder="1" applyAlignment="1">
      <alignment horizontal="left" vertical="top"/>
    </xf>
    <xf numFmtId="0" fontId="2" fillId="0" borderId="18" xfId="11" applyFont="1" applyBorder="1" applyAlignment="1">
      <alignment horizontal="left" vertical="top"/>
    </xf>
    <xf numFmtId="0" fontId="2" fillId="0" borderId="19" xfId="11" applyFont="1" applyBorder="1" applyAlignment="1">
      <alignment horizontal="left" vertical="top"/>
    </xf>
    <xf numFmtId="0" fontId="2" fillId="0" borderId="20" xfId="11" applyFont="1" applyBorder="1" applyAlignment="1">
      <alignment horizontal="left" vertical="top"/>
    </xf>
    <xf numFmtId="41" fontId="11" fillId="3" borderId="0" xfId="0" applyNumberFormat="1" applyFont="1" applyFill="1" applyAlignment="1">
      <alignment horizontal="center" vertical="center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0" fontId="1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1" fontId="3" fillId="0" borderId="0" xfId="0" applyNumberFormat="1" applyFont="1"/>
    <xf numFmtId="14" fontId="3" fillId="0" borderId="0" xfId="0" applyNumberFormat="1" applyFont="1"/>
    <xf numFmtId="0" fontId="8" fillId="0" borderId="0" xfId="9" applyAlignment="1">
      <alignment vertical="center"/>
    </xf>
    <xf numFmtId="165" fontId="7" fillId="0" borderId="0" xfId="11" applyNumberFormat="1"/>
    <xf numFmtId="165" fontId="2" fillId="0" borderId="17" xfId="11" applyNumberFormat="1" applyFont="1" applyBorder="1" applyAlignment="1">
      <alignment horizontal="left" vertical="top"/>
    </xf>
    <xf numFmtId="165" fontId="2" fillId="0" borderId="0" xfId="11" applyNumberFormat="1" applyFont="1"/>
    <xf numFmtId="41" fontId="7" fillId="0" borderId="0" xfId="11" applyNumberFormat="1"/>
    <xf numFmtId="0" fontId="8" fillId="0" borderId="0" xfId="9" applyAlignment="1">
      <alignment horizontal="center" vertical="center"/>
    </xf>
    <xf numFmtId="0" fontId="9" fillId="0" borderId="0" xfId="0" applyFont="1"/>
    <xf numFmtId="0" fontId="8" fillId="0" borderId="0" xfId="0" applyFont="1" applyAlignment="1">
      <alignment vertical="center"/>
    </xf>
    <xf numFmtId="0" fontId="8" fillId="0" borderId="0" xfId="0" applyFont="1"/>
    <xf numFmtId="41" fontId="8" fillId="0" borderId="0" xfId="0" applyNumberFormat="1" applyFont="1"/>
    <xf numFmtId="0" fontId="6" fillId="0" borderId="0" xfId="0" applyFont="1"/>
    <xf numFmtId="41" fontId="6" fillId="0" borderId="0" xfId="0" applyNumberFormat="1" applyFont="1" applyAlignment="1">
      <alignment horizontal="left"/>
    </xf>
    <xf numFmtId="41" fontId="5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41" fontId="6" fillId="0" borderId="5" xfId="0" applyNumberFormat="1" applyFont="1" applyBorder="1" applyAlignment="1">
      <alignment horizontal="left"/>
    </xf>
    <xf numFmtId="41" fontId="5" fillId="0" borderId="6" xfId="0" applyNumberFormat="1" applyFont="1" applyBorder="1"/>
    <xf numFmtId="0" fontId="7" fillId="0" borderId="0" xfId="0" applyFont="1"/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numFmt numFmtId="33" formatCode="_-* #,##0_-;\-* #,##0_-;_-* &quot;-&quot;_-;_-@_-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</font>
    </dxf>
    <dxf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5" formatCode="_-* #,##0\ _€_-;\-* #,##0\ _€_-;_-* &quot;-&quot;\ _€_-;_-@_-"/>
    </dxf>
    <dxf>
      <numFmt numFmtId="166" formatCode="#,##0.00_ ;\-#,##0.00\ "/>
      <fill>
        <patternFill patternType="solid">
          <fgColor indexed="64"/>
          <bgColor theme="8" tint="0.79998168889431442"/>
        </patternFill>
      </fill>
    </dxf>
    <dxf>
      <numFmt numFmtId="166" formatCode="#,##0.00_ ;\-#,##0.00\ "/>
    </dxf>
    <dxf>
      <numFmt numFmtId="165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5" formatCode="_-* #,##0\ _€_-;\-* #,##0\ _€_-;_-* &quot;-&quot;\ _€_-;_-@_-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5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5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5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19"/>
      <tableStyleElement type="headerRow" dxfId="118"/>
    </tableStyle>
    <tableStyle name="S5S Green" pivot="0" count="2" xr9:uid="{00000000-0011-0000-FFFF-FFFF02000000}">
      <tableStyleElement type="wholeTable" dxfId="117"/>
      <tableStyleElement type="headerRow" dxfId="116"/>
    </tableStyle>
    <tableStyle name="S5S Greenblue" pivot="0" count="2" xr9:uid="{00000000-0011-0000-FFFF-FFFF03000000}">
      <tableStyleElement type="wholeTable" dxfId="115"/>
      <tableStyleElement type="headerRow" dxfId="114"/>
    </tableStyle>
    <tableStyle name="S5S2" pivot="0" count="2" xr9:uid="{00000000-0011-0000-FFFF-FFFF04000000}">
      <tableStyleElement type="wholeTable" dxfId="113"/>
      <tableStyleElement type="headerRow" dxfId="112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8467</xdr:rowOff>
    </xdr:from>
    <xdr:to>
      <xdr:col>0</xdr:col>
      <xdr:colOff>391583</xdr:colOff>
      <xdr:row>1</xdr:row>
      <xdr:rowOff>20659</xdr:rowOff>
    </xdr:to>
    <xdr:sp macro="[0]!EditarDescripcion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0" y="8467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1</xdr:row>
      <xdr:rowOff>12192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1</xdr:row>
      <xdr:rowOff>12192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393192</xdr:colOff>
      <xdr:row>1</xdr:row>
      <xdr:rowOff>12192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spect="1"/>
        </xdr:cNvSpPr>
      </xdr:nvSpPr>
      <xdr:spPr>
        <a:xfrm>
          <a:off x="0" y="0"/>
          <a:ext cx="393192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373370</xdr:colOff>
      <xdr:row>0</xdr:row>
      <xdr:rowOff>374904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1" y="0"/>
          <a:ext cx="373369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373370</xdr:colOff>
      <xdr:row>0</xdr:row>
      <xdr:rowOff>374904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0" y="0"/>
          <a:ext cx="373370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0</xdr:row>
      <xdr:rowOff>374904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F4120EB6-ECA4-4F57-A23F-FE9B826CE76D}" name="T_mat" displayName="T_mat" ref="A4:E11" totalsRowShown="0" headerRowDxfId="81">
  <autoFilter ref="A4:E11" xr:uid="{F4120EB6-ECA4-4F57-A23F-FE9B826CE76D}"/>
  <sortState xmlns:xlrd2="http://schemas.microsoft.com/office/spreadsheetml/2017/richdata2" ref="A5:E89">
    <sortCondition ref="A3:A88"/>
  </sortState>
  <tableColumns count="5">
    <tableColumn id="1" xr3:uid="{F9C18923-EFC9-4A76-826C-F43D152EAF7E}" name="DESCRIPCIÓN" dataDxfId="80"/>
    <tableColumn id="2" xr3:uid="{AB928117-3A66-4BCA-8762-845DD99C5482}" name="CÓDIGO" dataDxfId="79"/>
    <tableColumn id="3" xr3:uid="{6BF16BE8-4A47-4C40-B67C-39C9099A111B}" name="UNIDAD" dataDxfId="78"/>
    <tableColumn id="4" xr3:uid="{71482479-7FDE-4F55-95B1-FB08822E9AB2}" name="PRECIO" dataDxfId="77"/>
    <tableColumn id="5" xr3:uid="{7E8EB704-760B-4170-B6BB-A1CDEE560604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5B9190B0-B752-46E3-80F8-BE5A7E24BD29}" name="T_equipos" displayName="T_equipos" ref="G4:K11" totalsRowShown="0" headerRowDxfId="76">
  <autoFilter ref="G4:K11" xr:uid="{5B9190B0-B752-46E3-80F8-BE5A7E24BD29}"/>
  <tableColumns count="5">
    <tableColumn id="1" xr3:uid="{13C2E315-417C-4800-A8F5-16B5CB429BB1}" name="DESCRIPCIÓN" dataDxfId="75"/>
    <tableColumn id="2" xr3:uid="{F3F04FBC-70DE-4419-8D29-5CF658AC4656}" name="CÓDIGO" dataDxfId="74"/>
    <tableColumn id="3" xr3:uid="{9FBE096F-5E37-43E9-BE6D-38A50F51CC5D}" name="UNIDAD" dataDxfId="73"/>
    <tableColumn id="4" xr3:uid="{C4FBBC91-D58E-49AF-A1E3-460BA2D14AAA}" name="PRECIO" dataDxfId="72"/>
    <tableColumn id="5" xr3:uid="{142C52F1-9383-4E0E-AABD-4812414F1135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11DAA87F-5B99-4CF8-9EE0-EF0D52121994}" name="T_mano" displayName="T_mano" ref="M4:Q11" totalsRowShown="0" headerRowDxfId="71">
  <autoFilter ref="M4:Q11" xr:uid="{11DAA87F-5B99-4CF8-9EE0-EF0D52121994}"/>
  <sortState xmlns:xlrd2="http://schemas.microsoft.com/office/spreadsheetml/2017/richdata2" ref="M5:Q19">
    <sortCondition ref="N4"/>
  </sortState>
  <tableColumns count="5">
    <tableColumn id="1" xr3:uid="{5894FAED-B981-4BAD-B4DA-409DB57C6CDB}" name="DESCRIPCIÓN" dataDxfId="70"/>
    <tableColumn id="2" xr3:uid="{63C76935-AE39-4044-B5D4-423F277597FD}" name="CÓDIGO" dataDxfId="69"/>
    <tableColumn id="3" xr3:uid="{410417DD-9D95-447B-B6C3-48EAF7E20AA3}" name="UNIDAD" dataDxfId="68"/>
    <tableColumn id="4" xr3:uid="{00B35FB4-4262-4415-A2A7-130BB6998478}" name="PRECIO" dataDxfId="67"/>
    <tableColumn id="5" xr3:uid="{E3823583-966C-4CA4-84FD-F84D3013AAA9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CBDBED94-7E27-4AED-A432-79485D486F80}" name="T_trans" displayName="T_trans" ref="S4:W11" totalsRowShown="0" headerRowDxfId="66">
  <autoFilter ref="S4:W11" xr:uid="{CBDBED94-7E27-4AED-A432-79485D486F80}"/>
  <sortState xmlns:xlrd2="http://schemas.microsoft.com/office/spreadsheetml/2017/richdata2" ref="S5:W15">
    <sortCondition ref="T4:T15"/>
  </sortState>
  <tableColumns count="5">
    <tableColumn id="1" xr3:uid="{809FEC4E-AA8A-49AE-8459-08B7A218DD1D}" name="DESCRIPCIÓN" dataDxfId="65"/>
    <tableColumn id="2" xr3:uid="{B622DE67-7229-49BE-8E66-2A7127EC61CC}" name="CÓDIGO" dataDxfId="64"/>
    <tableColumn id="3" xr3:uid="{E0B40BA5-D4C8-47D6-966A-ACB60EA84422}" name="UNIDAD" dataDxfId="63"/>
    <tableColumn id="4" xr3:uid="{EC715D59-0144-472F-ABA4-312A916A0A4F}" name="PRECIO" dataDxfId="62"/>
    <tableColumn id="5" xr3:uid="{F16E93D5-7277-484B-B554-A31AAC166648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4D0D67D-268D-40D0-9D85-03C001CBDB63}" name="T_sub" displayName="T_sub" ref="Y4:AC11" totalsRowShown="0" headerRowDxfId="61">
  <autoFilter ref="Y4:AC11" xr:uid="{04D0D67D-268D-40D0-9D85-03C001CBDB63}"/>
  <sortState xmlns:xlrd2="http://schemas.microsoft.com/office/spreadsheetml/2017/richdata2" ref="Y5:AC18">
    <sortCondition ref="Z4"/>
  </sortState>
  <tableColumns count="5">
    <tableColumn id="1" xr3:uid="{CCFB6385-711D-4A9A-A041-1A3641B72227}" name="DESCRIPCIÓN" dataDxfId="60"/>
    <tableColumn id="2" xr3:uid="{1D175FB4-9FAC-46FA-B3DD-0EF5BCCDDFAF}" name="CÓDIGO" dataDxfId="59"/>
    <tableColumn id="3" xr3:uid="{7A2D0E70-02AD-4A69-80E2-219D3EB50788}" name="UNIDAD" dataDxfId="58"/>
    <tableColumn id="4" xr3:uid="{91CA978C-BC23-4567-9248-2388C7772019}" name="PRECIO" dataDxfId="57"/>
    <tableColumn id="5" xr3:uid="{F4387914-CDDD-48D9-AE71-8D80847FA551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5EB6C47F-5FC7-4F99-9A83-12D759F7BF6A}" name="T_otros" displayName="T_otros" ref="AK4:AO11" totalsRowShown="0" headerRowDxfId="56">
  <autoFilter ref="AK4:AO11" xr:uid="{5EB6C47F-5FC7-4F99-9A83-12D759F7BF6A}"/>
  <sortState xmlns:xlrd2="http://schemas.microsoft.com/office/spreadsheetml/2017/richdata2" ref="AK5:AO18">
    <sortCondition ref="AL4"/>
  </sortState>
  <tableColumns count="5">
    <tableColumn id="1" xr3:uid="{9AE2E51A-E004-4612-B08A-E652B634E9B8}" name="DESCRIPCIÓN" dataDxfId="55"/>
    <tableColumn id="2" xr3:uid="{AC5381CE-A1D4-4F89-BC93-E386C6765069}" name="CÓDIGO" dataDxfId="54"/>
    <tableColumn id="3" xr3:uid="{1B22182B-8A8F-4CE0-B053-56B7CD8D9A09}" name="UNIDAD" dataDxfId="53"/>
    <tableColumn id="4" xr3:uid="{2DFF4140-B4E0-4EA9-A700-9C6AA7EDB80A}" name="PRECIO" dataDxfId="52"/>
    <tableColumn id="5" xr3:uid="{EAD44E17-9B76-424C-AFAF-54D4741339DB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34D3849C-BCA4-420A-A686-B711BDC38126}" name="T_act" displayName="T_act" ref="AE4:AI11" totalsRowShown="0" headerRowDxfId="51">
  <autoFilter ref="AE4:AI11" xr:uid="{34D3849C-BCA4-420A-A686-B711BDC38126}"/>
  <sortState xmlns:xlrd2="http://schemas.microsoft.com/office/spreadsheetml/2017/richdata2" ref="AE5:AI15">
    <sortCondition ref="AE4:AE15"/>
  </sortState>
  <tableColumns count="5">
    <tableColumn id="1" xr3:uid="{1B2E9B26-8063-496C-885B-372BC1142D1B}" name="DESCRIPCIÓN" dataDxfId="50"/>
    <tableColumn id="2" xr3:uid="{04BD72A7-AD71-4DEA-BB2B-A236735C0B38}" name="CÓDIGO" dataDxfId="49"/>
    <tableColumn id="3" xr3:uid="{919E8E88-7D7E-4481-A426-49887B4053D4}" name="UNIDAD" dataDxfId="48"/>
    <tableColumn id="4" xr3:uid="{98589C23-B6AD-4142-B2A5-E667511BC4F7}" name="PRECIO" dataDxfId="47"/>
    <tableColumn id="5" xr3:uid="{42D26663-D80C-4F74-BB70-DC2EDB0A7ED5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CFAB493A-F89C-4ADF-8F77-94E6E8D7CDE4}" name="Tabla3" displayName="Tabla3" ref="A4:H8" totalsRowCount="1" headerRowDxfId="46">
  <autoFilter ref="A4:H7" xr:uid="{CFAB493A-F89C-4ADF-8F77-94E6E8D7CDE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AE965EF-0A81-4C28-8429-B039BAE83CBB}" name="TIPO" totalsRowLabel="Total" totalsRowDxfId="45"/>
    <tableColumn id="2" xr3:uid="{E38F832B-BA9E-4FD7-8288-594CFCB92174}" name="CÓDIGO"/>
    <tableColumn id="3" xr3:uid="{A992E623-14A3-4431-8B63-C438AD22AB27}" name="DESCRIPCIÓN"/>
    <tableColumn id="4" xr3:uid="{EFC388EB-B1AF-400E-AC06-BB5A5360947A}" name="UNIDAD" dataDxfId="44"/>
    <tableColumn id="5" xr3:uid="{64737F7D-00D3-4CA2-820F-B6654F13882A}" name="FACTOR" dataDxfId="43">
      <calculatedColumnFormula xml:space="preserve"> 1</calculatedColumnFormula>
    </tableColumn>
    <tableColumn id="6" xr3:uid="{663F26E2-E85E-446F-B5EF-CC7BF9906B5B}" name="CANTIDAD" dataDxfId="42"/>
    <tableColumn id="7" xr3:uid="{42695246-B51B-4B88-B6C5-9CC19DD1CF8B}" name="PRECIO" dataDxfId="41"/>
    <tableColumn id="8" xr3:uid="{38935D7A-CC79-40E3-875A-89BA2492DE49}" name="TOTAL" totalsRowFunction="custom" dataDxfId="39" totalsRowDxfId="40">
      <calculatedColumnFormula>Tabla3[[#This Row],[CANTIDAD]]*Tabla3[[#This Row],[PRECIO]]*Tabla3[[#This Row],[FACTOR]]</calculatedColumnFormula>
      <totalsRowFormula>SUM(Tabla3[TOTAL])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209879E0-F9FB-471F-89ED-D0048BD7C160}" name="Tabla5" displayName="Tabla5" ref="A4:H8" totalsRowCount="1" headerRowDxfId="38" headerRowCellStyle="Normal 41" dataCellStyle="Normal 41">
  <autoFilter ref="A4:H7" xr:uid="{209879E0-F9FB-471F-89ED-D0048BD7C16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64C0D22-74F1-40F0-B111-7AE0BF66EAB9}" name="TIPO" totalsRowLabel="Total" totalsRowDxfId="37" dataCellStyle="Normal 41"/>
    <tableColumn id="2" xr3:uid="{FF401A1D-A539-4426-8BEB-D3C7CAD2F483}" name="CÓDIGO" totalsRowDxfId="36" dataCellStyle="Normal 12 3"/>
    <tableColumn id="3" xr3:uid="{8CD912E6-C7BD-447E-8A00-E53DD3C752CF}" name="DESCRIPCIÓN" dataDxfId="34" totalsRowDxfId="35" dataCellStyle="Normal 41"/>
    <tableColumn id="4" xr3:uid="{D53BE645-C35C-47A1-ABAA-4D5F5E541BE1}" name="UNIDAD" dataDxfId="32" totalsRowDxfId="33" dataCellStyle="Normal 41"/>
    <tableColumn id="5" xr3:uid="{F26E3BF9-7552-4CB0-B863-F5DFDACCD0ED}" name="FACTOR" dataDxfId="30" totalsRowDxfId="31" dataCellStyle="Normal 41">
      <calculatedColumnFormula xml:space="preserve"> 1</calculatedColumnFormula>
    </tableColumn>
    <tableColumn id="6" xr3:uid="{41063774-D953-4C58-BC33-85B6C799AA75}" name="CANTIDAD" dataDxfId="28" totalsRowDxfId="29" dataCellStyle="Normal 41"/>
    <tableColumn id="7" xr3:uid="{2472C33E-36A2-4B7C-AAED-31560D6D26A8}" name="PRECIO" dataDxfId="26" totalsRowDxfId="27" dataCellStyle="Normal 41"/>
    <tableColumn id="8" xr3:uid="{CB316FA4-1C36-4980-A056-58B8A307616E}" name="TOTAL" totalsRowFunction="custom" dataDxfId="24" totalsRowDxfId="25" dataCellStyle="Normal 12 3">
      <calculatedColumnFormula>Tabla5[[#This Row],[CANTIDAD]]*Tabla5[[#This Row],[PRECIO]]*Tabla5[[#This Row],[FACTOR]]</calculatedColumnFormula>
      <totalsRowFormula>SUM(Tabla5[TOTAL])</totalsRowFormula>
    </tableColumn>
  </tableColumns>
  <tableStyleInfo name="S5S Blu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D30900A7-D39B-4872-9602-43883C922564}" name="Tabla7" displayName="Tabla7" ref="B4:H10" totalsRowCount="1" headerRowDxfId="23" dataDxfId="22">
  <autoFilter ref="B4:H9" xr:uid="{D30900A7-D39B-4872-9602-43883C9225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395F8EA-1705-4C47-B1CE-9277B1D8EF75}" name="CÓDIGO" totalsRowLabel="Total" dataDxfId="20" totalsRowDxfId="21"/>
    <tableColumn id="2" xr3:uid="{E769958C-3E3F-4E00-B3A3-1F37ABB2830C}" name="DESCRIPCIÓN" dataDxfId="18" totalsRowDxfId="19"/>
    <tableColumn id="3" xr3:uid="{5CA17F95-88FD-486E-ADDD-C236F2B6C13F}" name="UNIDAD" dataDxfId="16" totalsRowDxfId="17"/>
    <tableColumn id="4" xr3:uid="{937D8281-632A-4B7A-81DC-B6016231B1C7}" name="FACTOR" dataDxfId="14" totalsRowDxfId="15"/>
    <tableColumn id="5" xr3:uid="{0314D798-7871-4A73-BD17-1914B2508606}" name="CANTIDAD" dataDxfId="12" totalsRowDxfId="13"/>
    <tableColumn id="6" xr3:uid="{CBFC3F17-F73E-4634-8EAD-56FF1D5B2B4A}" name="COSTO" dataDxfId="10" totalsRowDxfId="11"/>
    <tableColumn id="7" xr3:uid="{B3E7B329-E5D8-403D-AC86-CB89B666354B}" name="TOTAL" totalsRowFunction="custom" dataDxfId="8" totalsRowDxfId="9">
      <calculatedColumnFormula>Tabla7[[#This Row],[FACTOR]]*Tabla7[[#This Row],[CANTIDAD]]*Tabla7[[#This Row],[COSTO]]</calculatedColumnFormula>
      <totalsRowFormula>SUM(Tabla7[TOTAL])</totalsRowFormula>
    </tableColumn>
  </tableColumns>
  <tableStyleInfo name="S5S Greenblu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20F082EE-A75A-4AD1-80EE-C670292780E1}" name="Tabla12" displayName="Tabla12" ref="B14:E18" totalsRowShown="0" headerRowDxfId="7">
  <autoFilter ref="B14:E18" xr:uid="{20F082EE-A75A-4AD1-80EE-C670292780E1}">
    <filterColumn colId="0" hiddenButton="1"/>
    <filterColumn colId="1" hiddenButton="1"/>
    <filterColumn colId="2" hiddenButton="1"/>
    <filterColumn colId="3" hiddenButton="1"/>
  </autoFilter>
  <tableColumns count="4">
    <tableColumn id="1" xr3:uid="{72A16AE9-9589-439B-AFA3-4A412DB58620}" name="CÓD" dataDxfId="6"/>
    <tableColumn id="2" xr3:uid="{FD59EA71-B4F3-49C8-82B1-23F885A19D19}" name="CAPÍTULO" dataDxfId="5"/>
    <tableColumn id="3" xr3:uid="{6606C5D2-665A-4CE5-83B1-B2E79ED579AA}" name="PORCENTAJE" dataDxfId="4"/>
    <tableColumn id="4" xr3:uid="{90F64AD0-29A4-4F22-864D-466EF04943DC}" name="SUBTOTAL" dataDxfId="3"/>
  </tableColumns>
  <tableStyleInfo name="S5S Green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41583D01-43E1-4434-A772-52346F017FA1}" name="Tabla13" displayName="Tabla13" ref="C21:E28" totalsRowShown="0">
  <autoFilter ref="C21:E28" xr:uid="{41583D01-43E1-4434-A772-52346F017FA1}">
    <filterColumn colId="0" hiddenButton="1"/>
    <filterColumn colId="1" hiddenButton="1"/>
    <filterColumn colId="2" hiddenButton="1"/>
  </autoFilter>
  <tableColumns count="3">
    <tableColumn id="1" xr3:uid="{C1E0B82D-AC7E-4610-9740-B2396EFDC897}" name="DESCRIPCIÓN" dataDxfId="2"/>
    <tableColumn id="2" xr3:uid="{AC544CA8-2D36-4142-A18C-89BD8016CA86}" name="PORCENTAJE" dataDxfId="1"/>
    <tableColumn id="3" xr3:uid="{0A4656A0-ECB1-410F-AB26-069FF51C2118}" name="SUBTOTAL" dataDxfId="0"/>
  </tableColumns>
  <tableStyleInfo name="S5S Green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3" insertRow="1" totalsRowShown="0" headerRowDxfId="111" dataDxfId="109" headerRowBorderDxfId="110" tableBorderDxfId="108">
  <autoFilter ref="B2:E3" xr:uid="{00000000-0009-0000-0100-00001C000000}"/>
  <sortState xmlns:xlrd2="http://schemas.microsoft.com/office/spreadsheetml/2017/richdata2" ref="B3:E3">
    <sortCondition ref="B2:B3"/>
  </sortState>
  <tableColumns count="4">
    <tableColumn id="1" xr3:uid="{00000000-0010-0000-0C00-000001000000}" name="DESCRIPCIÓN" dataDxfId="107" totalsRowDxfId="106"/>
    <tableColumn id="2" xr3:uid="{00000000-0010-0000-0C00-000002000000}" name="CÓDIGO" totalsRowDxfId="105"/>
    <tableColumn id="3" xr3:uid="{00000000-0010-0000-0C00-000003000000}" name="UNIDAD " totalsRowDxfId="104"/>
    <tableColumn id="4" xr3:uid="{00000000-0010-0000-0C00-000004000000}" name="COSTO" dataDxfId="103" totalsRowDxfId="102"/>
  </tableColumns>
  <tableStyleInfo name="S5S 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3" insertRow="1" headerRowDxfId="101" dataDxfId="100" tableBorderDxfId="99">
  <autoFilter ref="B2:E3" xr:uid="{00000000-0009-0000-0100-000006000000}"/>
  <sortState xmlns:xlrd2="http://schemas.microsoft.com/office/spreadsheetml/2017/richdata2" ref="B3:E3">
    <sortCondition ref="B2:B3"/>
  </sortState>
  <tableColumns count="4">
    <tableColumn id="1" xr3:uid="{00000000-0010-0000-0D00-000001000000}" name="DESCRIPCIÓN" dataDxfId="98" totalsRowDxfId="97"/>
    <tableColumn id="2" xr3:uid="{00000000-0010-0000-0D00-000002000000}" name="CÓDIGO" totalsRowDxfId="96"/>
    <tableColumn id="3" xr3:uid="{00000000-0010-0000-0D00-000003000000}" name="UNIDAD " totalsRowDxfId="95"/>
    <tableColumn id="4" xr3:uid="{00000000-0010-0000-0D00-000004000000}" name="COSTO" dataDxfId="94" totalsRowDxfId="93"/>
  </tableColumns>
  <tableStyleInfo name="S5S 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4" insertRow="1" totalsRowCount="1" headerRowDxfId="92" totalsRowDxfId="91">
  <autoFilter ref="A2:E3" xr:uid="{00000000-0009-0000-0100-000001000000}"/>
  <sortState xmlns:xlrd2="http://schemas.microsoft.com/office/spreadsheetml/2017/richdata2" ref="A3:E73">
    <sortCondition ref="A2:A73"/>
  </sortState>
  <tableColumns count="5">
    <tableColumn id="1" xr3:uid="{00000000-0010-0000-0E00-000001000000}" name="INSUMO" totalsRowLabel="Total" totalsRowDxfId="90"/>
    <tableColumn id="2" xr3:uid="{00000000-0010-0000-0E00-000002000000}" name="UNIDAD" dataDxfId="89" totalsRowDxfId="88"/>
    <tableColumn id="3" xr3:uid="{00000000-0010-0000-0E00-000003000000}" name="PRECIO" dataDxfId="87" totalsRowDxfId="86"/>
    <tableColumn id="4" xr3:uid="{00000000-0010-0000-0E00-000004000000}" name="CANTIDAD" dataDxfId="85" totalsRowDxfId="84"/>
    <tableColumn id="5" xr3:uid="{00000000-0010-0000-0E00-000005000000}" name="TOTAL" totalsRowFunction="sum" dataDxfId="83" totalsRowDxfId="82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tabSelected="1" zoomScale="90" zoomScaleNormal="90" zoomScaleSheetLayoutView="50" workbookViewId="0">
      <selection activeCell="B4" sqref="B4"/>
    </sheetView>
  </sheetViews>
  <sheetFormatPr baseColWidth="10" defaultColWidth="8.6640625" defaultRowHeight="14.4" x14ac:dyDescent="0.3"/>
  <cols>
    <col min="1" max="1" width="30.5546875" style="17" customWidth="1"/>
    <col min="2" max="2" width="11.109375" style="17" bestFit="1" customWidth="1"/>
    <col min="3" max="3" width="13.88671875" style="18" bestFit="1" customWidth="1"/>
    <col min="4" max="4" width="11.6640625" style="37" bestFit="1" customWidth="1"/>
    <col min="5" max="5" width="12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45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45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45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45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45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45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75" t="s">
        <v>34</v>
      </c>
      <c r="B1" s="75"/>
      <c r="C1" s="75"/>
      <c r="D1" s="75"/>
      <c r="E1" s="75"/>
    </row>
    <row r="2" spans="1:43" ht="3" customHeight="1" thickBot="1" x14ac:dyDescent="0.35"/>
    <row r="3" spans="1:43" ht="18.600000000000001" thickBot="1" x14ac:dyDescent="0.4">
      <c r="A3" s="61" t="s">
        <v>4</v>
      </c>
      <c r="B3" s="62"/>
      <c r="C3" s="62"/>
      <c r="D3" s="62"/>
      <c r="E3" s="63"/>
      <c r="G3" s="61" t="s">
        <v>5</v>
      </c>
      <c r="H3" s="62"/>
      <c r="I3" s="62"/>
      <c r="J3" s="62"/>
      <c r="K3" s="63"/>
      <c r="M3" s="61" t="s">
        <v>6</v>
      </c>
      <c r="N3" s="62"/>
      <c r="O3" s="62"/>
      <c r="P3" s="62"/>
      <c r="Q3" s="63"/>
      <c r="S3" s="61" t="s">
        <v>7</v>
      </c>
      <c r="T3" s="62"/>
      <c r="U3" s="62"/>
      <c r="V3" s="62"/>
      <c r="W3" s="63"/>
      <c r="Y3" s="61" t="s">
        <v>8</v>
      </c>
      <c r="Z3" s="62"/>
      <c r="AA3" s="62"/>
      <c r="AB3" s="62"/>
      <c r="AC3" s="63"/>
      <c r="AD3" s="18"/>
      <c r="AE3" s="61" t="s">
        <v>9</v>
      </c>
      <c r="AF3" s="62"/>
      <c r="AG3" s="62"/>
      <c r="AH3" s="62"/>
      <c r="AI3" s="63"/>
      <c r="AK3" s="61" t="s">
        <v>10</v>
      </c>
      <c r="AL3" s="62"/>
      <c r="AM3" s="62"/>
      <c r="AN3" s="62"/>
      <c r="AO3" s="63"/>
      <c r="AP3" s="76"/>
      <c r="AQ3" s="76"/>
    </row>
    <row r="4" spans="1:43" ht="15.6" x14ac:dyDescent="0.3">
      <c r="A4" s="20" t="s">
        <v>1</v>
      </c>
      <c r="B4" s="20" t="s">
        <v>0</v>
      </c>
      <c r="C4" s="21" t="s">
        <v>11</v>
      </c>
      <c r="D4" s="77" t="s">
        <v>12</v>
      </c>
      <c r="E4" s="22" t="s">
        <v>13</v>
      </c>
      <c r="G4" s="20" t="s">
        <v>1</v>
      </c>
      <c r="H4" s="20" t="s">
        <v>0</v>
      </c>
      <c r="I4" s="21" t="s">
        <v>11</v>
      </c>
      <c r="J4" s="78" t="s">
        <v>12</v>
      </c>
      <c r="K4" s="22" t="s">
        <v>13</v>
      </c>
      <c r="M4" s="23" t="s">
        <v>1</v>
      </c>
      <c r="N4" s="23" t="s">
        <v>0</v>
      </c>
      <c r="O4" s="24" t="s">
        <v>11</v>
      </c>
      <c r="P4" s="46" t="s">
        <v>12</v>
      </c>
      <c r="Q4" s="25" t="s">
        <v>13</v>
      </c>
      <c r="S4" s="23" t="s">
        <v>1</v>
      </c>
      <c r="T4" s="23" t="s">
        <v>0</v>
      </c>
      <c r="U4" s="24" t="s">
        <v>11</v>
      </c>
      <c r="V4" s="46" t="s">
        <v>12</v>
      </c>
      <c r="W4" s="25" t="s">
        <v>13</v>
      </c>
      <c r="Y4" s="23" t="s">
        <v>1</v>
      </c>
      <c r="Z4" s="23" t="s">
        <v>0</v>
      </c>
      <c r="AA4" s="24" t="s">
        <v>11</v>
      </c>
      <c r="AB4" s="46" t="s">
        <v>12</v>
      </c>
      <c r="AC4" s="25" t="s">
        <v>13</v>
      </c>
      <c r="AE4" s="23" t="s">
        <v>1</v>
      </c>
      <c r="AF4" s="23" t="s">
        <v>0</v>
      </c>
      <c r="AG4" s="24" t="s">
        <v>11</v>
      </c>
      <c r="AH4" s="46" t="s">
        <v>12</v>
      </c>
      <c r="AI4" s="25" t="s">
        <v>13</v>
      </c>
      <c r="AK4" s="23" t="s">
        <v>1</v>
      </c>
      <c r="AL4" s="23" t="s">
        <v>0</v>
      </c>
      <c r="AM4" s="24" t="s">
        <v>11</v>
      </c>
      <c r="AN4" s="46" t="s">
        <v>12</v>
      </c>
      <c r="AO4" s="25" t="s">
        <v>13</v>
      </c>
    </row>
    <row r="5" spans="1:43" ht="15.6" x14ac:dyDescent="0.3">
      <c r="A5" s="20"/>
      <c r="B5" s="20"/>
      <c r="C5" s="21"/>
      <c r="D5" s="77"/>
      <c r="E5" s="79"/>
      <c r="G5" s="20"/>
      <c r="H5" s="20"/>
      <c r="I5" s="21"/>
      <c r="J5" s="77"/>
      <c r="K5" s="79"/>
      <c r="M5" s="20"/>
      <c r="N5" s="20"/>
      <c r="O5" s="21"/>
      <c r="P5" s="77"/>
      <c r="Q5" s="79"/>
      <c r="S5" s="23"/>
      <c r="T5" s="23"/>
      <c r="U5" s="24"/>
      <c r="V5" s="46"/>
      <c r="W5" s="25"/>
      <c r="Y5" s="23"/>
      <c r="Z5" s="23"/>
      <c r="AA5" s="24"/>
      <c r="AB5" s="46"/>
      <c r="AC5" s="25"/>
      <c r="AE5" s="23"/>
      <c r="AF5" s="23"/>
      <c r="AG5" s="24"/>
      <c r="AH5" s="46"/>
      <c r="AI5" s="25"/>
      <c r="AK5" s="23"/>
      <c r="AL5" s="23"/>
      <c r="AM5" s="24"/>
      <c r="AN5" s="46"/>
      <c r="AO5" s="25"/>
    </row>
    <row r="6" spans="1:43" ht="15.6" x14ac:dyDescent="0.3">
      <c r="A6" s="20"/>
      <c r="B6" s="20"/>
      <c r="C6" s="21"/>
      <c r="D6" s="77"/>
      <c r="E6" s="79"/>
      <c r="G6" s="20"/>
      <c r="H6" s="20"/>
      <c r="I6" s="21"/>
      <c r="J6" s="78"/>
      <c r="K6" s="22"/>
      <c r="M6" s="23"/>
      <c r="N6" s="23"/>
      <c r="O6" s="24"/>
      <c r="P6" s="46"/>
      <c r="Q6" s="25"/>
      <c r="S6" s="23"/>
      <c r="T6" s="23"/>
      <c r="U6" s="24"/>
      <c r="V6" s="46"/>
      <c r="W6" s="25"/>
      <c r="Y6" s="23"/>
      <c r="Z6" s="23"/>
      <c r="AA6" s="24"/>
      <c r="AB6" s="46"/>
      <c r="AC6" s="25"/>
      <c r="AE6" s="23"/>
      <c r="AF6" s="23"/>
      <c r="AG6" s="24"/>
      <c r="AH6" s="46"/>
      <c r="AI6" s="25"/>
      <c r="AK6" s="23"/>
      <c r="AL6" s="23"/>
      <c r="AM6" s="24"/>
      <c r="AN6" s="46"/>
      <c r="AO6" s="25"/>
    </row>
    <row r="7" spans="1:43" ht="15.6" x14ac:dyDescent="0.3">
      <c r="A7" s="20"/>
      <c r="B7" s="20"/>
      <c r="C7" s="21"/>
      <c r="D7" s="77"/>
      <c r="E7" s="22"/>
      <c r="G7" s="20"/>
      <c r="H7" s="20"/>
      <c r="I7" s="21"/>
      <c r="J7" s="78"/>
      <c r="K7" s="22"/>
      <c r="M7" s="23"/>
      <c r="N7" s="23"/>
      <c r="O7" s="24"/>
      <c r="P7" s="46"/>
      <c r="Q7" s="25"/>
      <c r="S7" s="23"/>
      <c r="T7" s="23"/>
      <c r="U7" s="24"/>
      <c r="V7" s="46"/>
      <c r="W7" s="25"/>
      <c r="Y7" s="23"/>
      <c r="Z7" s="23"/>
      <c r="AA7" s="24"/>
      <c r="AB7" s="46"/>
      <c r="AC7" s="25"/>
      <c r="AE7" s="23"/>
      <c r="AF7" s="23"/>
      <c r="AG7" s="24"/>
      <c r="AH7" s="46"/>
      <c r="AI7" s="25"/>
      <c r="AK7" s="23"/>
      <c r="AL7" s="23"/>
      <c r="AM7" s="24"/>
      <c r="AN7" s="46"/>
      <c r="AO7" s="25"/>
    </row>
    <row r="8" spans="1:43" ht="15.6" x14ac:dyDescent="0.3">
      <c r="A8" s="20"/>
      <c r="B8" s="20"/>
      <c r="C8" s="21"/>
      <c r="D8" s="77"/>
      <c r="E8" s="22"/>
      <c r="G8" s="20"/>
      <c r="H8" s="20"/>
      <c r="I8" s="21"/>
      <c r="J8" s="78"/>
      <c r="K8" s="22"/>
      <c r="M8" s="23"/>
      <c r="N8" s="23"/>
      <c r="O8" s="24"/>
      <c r="P8" s="46"/>
      <c r="Q8" s="25"/>
      <c r="S8" s="23"/>
      <c r="T8" s="23"/>
      <c r="U8" s="24"/>
      <c r="V8" s="46"/>
      <c r="W8" s="25"/>
      <c r="Y8" s="23"/>
      <c r="Z8" s="23"/>
      <c r="AA8" s="24"/>
      <c r="AB8" s="46"/>
      <c r="AC8" s="25"/>
      <c r="AE8" s="23"/>
      <c r="AF8" s="23"/>
      <c r="AG8" s="24"/>
      <c r="AH8" s="46"/>
      <c r="AI8" s="25"/>
      <c r="AK8" s="23"/>
      <c r="AL8" s="23"/>
      <c r="AM8" s="24"/>
      <c r="AN8" s="46"/>
      <c r="AO8" s="25"/>
    </row>
    <row r="9" spans="1:43" ht="15.6" x14ac:dyDescent="0.3">
      <c r="A9" s="20"/>
      <c r="B9" s="20"/>
      <c r="C9" s="21"/>
      <c r="D9" s="77"/>
      <c r="E9" s="22"/>
      <c r="G9" s="20"/>
      <c r="H9" s="20"/>
      <c r="I9" s="21"/>
      <c r="J9" s="78"/>
      <c r="K9" s="22"/>
      <c r="M9" s="23"/>
      <c r="N9" s="23"/>
      <c r="O9" s="24"/>
      <c r="P9" s="46"/>
      <c r="Q9" s="25"/>
      <c r="S9" s="23"/>
      <c r="T9" s="23"/>
      <c r="U9" s="24"/>
      <c r="V9" s="46"/>
      <c r="W9" s="25"/>
      <c r="Y9" s="23"/>
      <c r="Z9" s="23"/>
      <c r="AA9" s="24"/>
      <c r="AB9" s="46"/>
      <c r="AC9" s="25"/>
      <c r="AE9" s="23"/>
      <c r="AF9" s="23"/>
      <c r="AG9" s="24"/>
      <c r="AH9" s="46"/>
      <c r="AI9" s="25"/>
      <c r="AK9" s="23"/>
      <c r="AL9" s="23"/>
      <c r="AM9" s="24"/>
      <c r="AN9" s="46"/>
      <c r="AO9" s="25"/>
    </row>
    <row r="10" spans="1:43" ht="15.6" x14ac:dyDescent="0.3">
      <c r="A10" s="20"/>
      <c r="B10" s="20"/>
      <c r="C10" s="21"/>
      <c r="D10" s="77"/>
      <c r="E10" s="22"/>
      <c r="G10" s="20"/>
      <c r="H10" s="20"/>
      <c r="I10" s="21"/>
      <c r="J10" s="78"/>
      <c r="K10" s="22"/>
      <c r="M10" s="23"/>
      <c r="N10" s="23"/>
      <c r="O10" s="24"/>
      <c r="P10" s="46"/>
      <c r="Q10" s="25"/>
      <c r="S10" s="23"/>
      <c r="T10" s="23"/>
      <c r="U10" s="24"/>
      <c r="V10" s="46"/>
      <c r="W10" s="25"/>
      <c r="Y10" s="23"/>
      <c r="Z10" s="23"/>
      <c r="AA10" s="24"/>
      <c r="AB10" s="46"/>
      <c r="AC10" s="25"/>
      <c r="AE10" s="23"/>
      <c r="AF10" s="23"/>
      <c r="AG10" s="24"/>
      <c r="AH10" s="46"/>
      <c r="AI10" s="25"/>
      <c r="AK10" s="23"/>
      <c r="AL10" s="23"/>
      <c r="AM10" s="24"/>
      <c r="AN10" s="46"/>
      <c r="AO10" s="25"/>
    </row>
    <row r="11" spans="1:43" ht="15.6" x14ac:dyDescent="0.3">
      <c r="A11" s="20"/>
      <c r="B11" s="20"/>
      <c r="C11" s="21"/>
      <c r="D11" s="77"/>
      <c r="E11" s="22"/>
      <c r="G11" s="20"/>
      <c r="H11" s="20"/>
      <c r="I11" s="21"/>
      <c r="J11" s="78"/>
      <c r="K11" s="22"/>
      <c r="M11" s="23"/>
      <c r="N11" s="23"/>
      <c r="O11" s="24"/>
      <c r="P11" s="46"/>
      <c r="Q11" s="25"/>
      <c r="S11" s="23"/>
      <c r="T11" s="23"/>
      <c r="U11" s="24"/>
      <c r="V11" s="46"/>
      <c r="W11" s="25"/>
      <c r="Y11" s="23"/>
      <c r="Z11" s="23"/>
      <c r="AA11" s="24"/>
      <c r="AB11" s="46"/>
      <c r="AC11" s="25"/>
      <c r="AE11" s="23"/>
      <c r="AF11" s="23"/>
      <c r="AG11" s="24"/>
      <c r="AH11" s="46"/>
      <c r="AI11" s="25"/>
      <c r="AK11" s="23"/>
      <c r="AL11" s="23"/>
      <c r="AM11" s="24"/>
      <c r="AN11" s="46"/>
      <c r="AO11" s="25"/>
    </row>
    <row r="22" spans="12:39" x14ac:dyDescent="0.3">
      <c r="O22" s="26"/>
    </row>
    <row r="23" spans="12:39" x14ac:dyDescent="0.3">
      <c r="O23" s="26"/>
      <c r="T23" s="18"/>
      <c r="U23" s="19"/>
    </row>
    <row r="24" spans="12:39" x14ac:dyDescent="0.3">
      <c r="O24" s="26"/>
      <c r="AL24" s="18"/>
      <c r="AM24" s="19"/>
    </row>
    <row r="25" spans="12:39" x14ac:dyDescent="0.3">
      <c r="O25" s="26"/>
    </row>
    <row r="26" spans="12:39" x14ac:dyDescent="0.3">
      <c r="O26" s="26"/>
    </row>
    <row r="27" spans="12:39" x14ac:dyDescent="0.3">
      <c r="O27" s="26"/>
    </row>
    <row r="28" spans="12:39" x14ac:dyDescent="0.3">
      <c r="L28" s="17"/>
      <c r="O28" s="26"/>
      <c r="R28" s="17"/>
      <c r="X28" s="17"/>
      <c r="AD28" s="17"/>
      <c r="AJ28" s="17"/>
    </row>
    <row r="29" spans="12:39" x14ac:dyDescent="0.3">
      <c r="O29" s="26"/>
    </row>
    <row r="30" spans="12:39" x14ac:dyDescent="0.3">
      <c r="O30" s="26"/>
    </row>
    <row r="31" spans="12:39" x14ac:dyDescent="0.3">
      <c r="O31" s="26"/>
    </row>
    <row r="32" spans="12:39" x14ac:dyDescent="0.3">
      <c r="O32" s="26"/>
    </row>
    <row r="33" spans="15:33" x14ac:dyDescent="0.3">
      <c r="O33" s="26"/>
    </row>
    <row r="34" spans="15:33" x14ac:dyDescent="0.3">
      <c r="O34" s="26"/>
    </row>
    <row r="35" spans="15:33" x14ac:dyDescent="0.3">
      <c r="O35" s="26"/>
    </row>
    <row r="36" spans="15:33" x14ac:dyDescent="0.3">
      <c r="O36" s="26"/>
    </row>
    <row r="37" spans="15:33" x14ac:dyDescent="0.3">
      <c r="O37" s="26"/>
    </row>
    <row r="38" spans="15:33" x14ac:dyDescent="0.3">
      <c r="O38" s="26"/>
    </row>
    <row r="39" spans="15:33" x14ac:dyDescent="0.3">
      <c r="O39" s="26"/>
    </row>
    <row r="40" spans="15:33" x14ac:dyDescent="0.3">
      <c r="O40" s="26"/>
      <c r="AG40" s="26"/>
    </row>
    <row r="41" spans="15:33" x14ac:dyDescent="0.3">
      <c r="O41" s="26"/>
      <c r="AG41" s="26"/>
    </row>
    <row r="42" spans="15:33" x14ac:dyDescent="0.3">
      <c r="O42" s="26"/>
      <c r="AG42" s="26"/>
    </row>
    <row r="43" spans="15:33" x14ac:dyDescent="0.3">
      <c r="O43" s="26"/>
      <c r="AG43" s="26"/>
    </row>
    <row r="44" spans="15:33" x14ac:dyDescent="0.3">
      <c r="O44" s="26"/>
      <c r="AG44" s="26"/>
    </row>
    <row r="45" spans="15:33" x14ac:dyDescent="0.3">
      <c r="O45" s="26"/>
      <c r="AG45" s="26"/>
    </row>
    <row r="46" spans="15:33" x14ac:dyDescent="0.3">
      <c r="O46" s="26"/>
      <c r="AG46" s="26"/>
    </row>
    <row r="47" spans="15:33" x14ac:dyDescent="0.3">
      <c r="O47" s="26"/>
      <c r="AG47" s="26"/>
    </row>
    <row r="48" spans="15:33" x14ac:dyDescent="0.3">
      <c r="O48" s="26"/>
      <c r="AG48" s="26"/>
    </row>
    <row r="49" spans="9:33" x14ac:dyDescent="0.3">
      <c r="O49" s="26"/>
      <c r="AA49" s="26"/>
      <c r="AG49" s="26"/>
    </row>
    <row r="50" spans="9:33" x14ac:dyDescent="0.3">
      <c r="I50" s="26"/>
      <c r="O50" s="26"/>
      <c r="AA50" s="26"/>
      <c r="AG50" s="26"/>
    </row>
    <row r="51" spans="9:33" x14ac:dyDescent="0.3">
      <c r="I51" s="26"/>
      <c r="O51" s="26"/>
      <c r="AA51" s="26"/>
      <c r="AG51" s="26"/>
    </row>
    <row r="52" spans="9:33" x14ac:dyDescent="0.3">
      <c r="I52" s="26"/>
      <c r="O52" s="26"/>
      <c r="AA52" s="26"/>
      <c r="AG52" s="26"/>
    </row>
    <row r="53" spans="9:33" x14ac:dyDescent="0.3">
      <c r="I53" s="26"/>
      <c r="O53" s="26"/>
      <c r="AA53" s="26"/>
      <c r="AG53" s="26"/>
    </row>
    <row r="54" spans="9:33" x14ac:dyDescent="0.3">
      <c r="I54" s="26"/>
      <c r="O54" s="26"/>
      <c r="AA54" s="26"/>
      <c r="AG54" s="26"/>
    </row>
    <row r="55" spans="9:33" x14ac:dyDescent="0.3">
      <c r="I55" s="26"/>
      <c r="O55" s="26"/>
      <c r="AA55" s="26"/>
      <c r="AG55" s="26"/>
    </row>
    <row r="56" spans="9:33" x14ac:dyDescent="0.3">
      <c r="I56" s="26"/>
      <c r="O56" s="26"/>
      <c r="AA56" s="26"/>
      <c r="AG56" s="26"/>
    </row>
    <row r="57" spans="9:33" x14ac:dyDescent="0.3">
      <c r="I57" s="26"/>
      <c r="O57" s="26"/>
      <c r="AA57" s="26"/>
      <c r="AG57" s="26"/>
    </row>
    <row r="58" spans="9:33" x14ac:dyDescent="0.3">
      <c r="I58" s="26"/>
      <c r="O58" s="26"/>
      <c r="AA58" s="26"/>
      <c r="AG58" s="26"/>
    </row>
    <row r="59" spans="9:33" x14ac:dyDescent="0.3">
      <c r="I59" s="26"/>
      <c r="O59" s="26"/>
      <c r="AA59" s="26"/>
      <c r="AG59" s="26"/>
    </row>
    <row r="60" spans="9:33" x14ac:dyDescent="0.3">
      <c r="I60" s="26"/>
      <c r="O60" s="26"/>
      <c r="AA60" s="26"/>
      <c r="AG60" s="26"/>
    </row>
    <row r="61" spans="9:33" x14ac:dyDescent="0.3">
      <c r="I61" s="26"/>
      <c r="O61" s="26"/>
      <c r="AA61" s="26"/>
      <c r="AG61" s="26"/>
    </row>
    <row r="62" spans="9:33" x14ac:dyDescent="0.3">
      <c r="I62" s="26"/>
      <c r="O62" s="26"/>
      <c r="AA62" s="26"/>
      <c r="AG62" s="26"/>
    </row>
    <row r="63" spans="9:33" x14ac:dyDescent="0.3">
      <c r="I63" s="26"/>
      <c r="O63" s="26"/>
      <c r="AA63" s="26"/>
      <c r="AG63" s="26"/>
    </row>
    <row r="64" spans="9:33" x14ac:dyDescent="0.3">
      <c r="I64" s="26"/>
      <c r="O64" s="26"/>
      <c r="AA64" s="26"/>
      <c r="AG64" s="26"/>
    </row>
    <row r="65" spans="9:33" x14ac:dyDescent="0.3">
      <c r="I65" s="26"/>
      <c r="O65" s="26"/>
      <c r="AA65" s="26"/>
      <c r="AG65" s="26"/>
    </row>
    <row r="66" spans="9:33" x14ac:dyDescent="0.3">
      <c r="I66" s="26"/>
      <c r="O66" s="26"/>
      <c r="AA66" s="26"/>
      <c r="AG66" s="26"/>
    </row>
    <row r="67" spans="9:33" x14ac:dyDescent="0.3">
      <c r="I67" s="26"/>
      <c r="O67" s="26"/>
      <c r="AA67" s="26"/>
      <c r="AG67" s="26"/>
    </row>
    <row r="68" spans="9:33" x14ac:dyDescent="0.3">
      <c r="I68" s="26"/>
      <c r="O68" s="26"/>
      <c r="AA68" s="26"/>
      <c r="AG68" s="26"/>
    </row>
    <row r="69" spans="9:33" x14ac:dyDescent="0.3">
      <c r="I69" s="26"/>
      <c r="O69" s="26"/>
      <c r="AA69" s="26"/>
      <c r="AG69" s="26"/>
    </row>
    <row r="70" spans="9:33" x14ac:dyDescent="0.3">
      <c r="I70" s="26"/>
      <c r="O70" s="26"/>
      <c r="AA70" s="26"/>
      <c r="AG70" s="26"/>
    </row>
    <row r="71" spans="9:33" x14ac:dyDescent="0.3">
      <c r="I71" s="26"/>
      <c r="O71" s="26"/>
      <c r="AA71" s="26"/>
      <c r="AG71" s="26"/>
    </row>
    <row r="72" spans="9:33" x14ac:dyDescent="0.3">
      <c r="I72" s="26"/>
      <c r="O72" s="26"/>
      <c r="AA72" s="26"/>
      <c r="AG72" s="26"/>
    </row>
    <row r="73" spans="9:33" x14ac:dyDescent="0.3">
      <c r="I73" s="26"/>
      <c r="O73" s="26"/>
      <c r="U73" s="26"/>
      <c r="AA73" s="26"/>
      <c r="AG73" s="26"/>
    </row>
    <row r="74" spans="9:33" x14ac:dyDescent="0.3">
      <c r="I74" s="26"/>
      <c r="O74" s="26"/>
      <c r="U74" s="26"/>
      <c r="AA74" s="26"/>
      <c r="AG74" s="26"/>
    </row>
    <row r="75" spans="9:33" x14ac:dyDescent="0.3">
      <c r="I75" s="26"/>
      <c r="O75" s="26"/>
      <c r="U75" s="26"/>
      <c r="AA75" s="26"/>
      <c r="AG75" s="26"/>
    </row>
    <row r="76" spans="9:33" x14ac:dyDescent="0.3">
      <c r="I76" s="26"/>
      <c r="O76" s="26"/>
      <c r="U76" s="26"/>
      <c r="AA76" s="26"/>
      <c r="AG76" s="26"/>
    </row>
    <row r="77" spans="9:33" x14ac:dyDescent="0.3">
      <c r="I77" s="26"/>
      <c r="O77" s="26"/>
      <c r="U77" s="26"/>
      <c r="AA77" s="26"/>
      <c r="AG77" s="26"/>
    </row>
    <row r="78" spans="9:33" x14ac:dyDescent="0.3">
      <c r="I78" s="26"/>
      <c r="O78" s="26"/>
      <c r="U78" s="26"/>
      <c r="AA78" s="26"/>
      <c r="AG78" s="26"/>
    </row>
    <row r="79" spans="9:33" x14ac:dyDescent="0.3">
      <c r="I79" s="26"/>
      <c r="O79" s="26"/>
      <c r="U79" s="26"/>
      <c r="AA79" s="26"/>
      <c r="AG79" s="26"/>
    </row>
    <row r="80" spans="9:33" x14ac:dyDescent="0.3">
      <c r="I80" s="26"/>
      <c r="O80" s="26"/>
      <c r="U80" s="26"/>
      <c r="AA80" s="26"/>
      <c r="AG80" s="26"/>
    </row>
    <row r="81" spans="9:33" x14ac:dyDescent="0.3">
      <c r="I81" s="26"/>
      <c r="O81" s="26"/>
      <c r="U81" s="26"/>
      <c r="AA81" s="26"/>
      <c r="AG81" s="26"/>
    </row>
    <row r="82" spans="9:33" x14ac:dyDescent="0.3">
      <c r="I82" s="26"/>
      <c r="O82" s="26"/>
      <c r="U82" s="26"/>
      <c r="AA82" s="26"/>
      <c r="AG82" s="26"/>
    </row>
    <row r="83" spans="9:33" x14ac:dyDescent="0.3">
      <c r="I83" s="26"/>
      <c r="O83" s="26"/>
      <c r="U83" s="26"/>
      <c r="AA83" s="26"/>
      <c r="AG83" s="26"/>
    </row>
    <row r="84" spans="9:33" x14ac:dyDescent="0.3">
      <c r="I84" s="26"/>
      <c r="O84" s="26"/>
      <c r="U84" s="26"/>
      <c r="AA84" s="26"/>
      <c r="AG84" s="26"/>
    </row>
    <row r="85" spans="9:33" x14ac:dyDescent="0.3">
      <c r="I85" s="26"/>
      <c r="O85" s="26"/>
      <c r="U85" s="26"/>
      <c r="AA85" s="26"/>
      <c r="AG85" s="26"/>
    </row>
    <row r="86" spans="9:33" x14ac:dyDescent="0.3">
      <c r="I86" s="26"/>
      <c r="O86" s="26"/>
      <c r="U86" s="26"/>
      <c r="AA86" s="26"/>
      <c r="AG86" s="26"/>
    </row>
    <row r="87" spans="9:33" x14ac:dyDescent="0.3">
      <c r="I87" s="26"/>
      <c r="O87" s="26"/>
      <c r="U87" s="26"/>
      <c r="AA87" s="26"/>
      <c r="AG87" s="26"/>
    </row>
    <row r="88" spans="9:33" x14ac:dyDescent="0.3">
      <c r="I88" s="26"/>
      <c r="O88" s="26"/>
      <c r="U88" s="26"/>
      <c r="AA88" s="26"/>
      <c r="AG88" s="26"/>
    </row>
    <row r="89" spans="9:33" x14ac:dyDescent="0.3">
      <c r="I89" s="26"/>
      <c r="O89" s="26"/>
      <c r="U89" s="26"/>
      <c r="AA89" s="26"/>
      <c r="AG89" s="26"/>
    </row>
    <row r="90" spans="9:33" x14ac:dyDescent="0.3">
      <c r="I90" s="26"/>
      <c r="O90" s="26"/>
      <c r="U90" s="26"/>
      <c r="AA90" s="26"/>
      <c r="AG90" s="26"/>
    </row>
    <row r="91" spans="9:33" x14ac:dyDescent="0.3">
      <c r="I91" s="26"/>
      <c r="O91" s="26"/>
      <c r="U91" s="26"/>
      <c r="AA91" s="26"/>
      <c r="AG91" s="26"/>
    </row>
    <row r="92" spans="9:33" x14ac:dyDescent="0.3">
      <c r="I92" s="26"/>
      <c r="O92" s="26"/>
      <c r="U92" s="26"/>
      <c r="AA92" s="26"/>
      <c r="AG92" s="26"/>
    </row>
    <row r="93" spans="9:33" x14ac:dyDescent="0.3">
      <c r="I93" s="26"/>
      <c r="O93" s="26"/>
      <c r="U93" s="26"/>
      <c r="AA93" s="26"/>
      <c r="AG93" s="26"/>
    </row>
    <row r="94" spans="9:33" x14ac:dyDescent="0.3">
      <c r="I94" s="26"/>
      <c r="O94" s="26"/>
      <c r="U94" s="26"/>
      <c r="AA94" s="26"/>
      <c r="AG94" s="26"/>
    </row>
    <row r="95" spans="9:33" x14ac:dyDescent="0.3">
      <c r="I95" s="26"/>
      <c r="O95" s="26"/>
      <c r="U95" s="26"/>
      <c r="AA95" s="26"/>
      <c r="AG95" s="26"/>
    </row>
    <row r="96" spans="9:33" x14ac:dyDescent="0.3">
      <c r="I96" s="26"/>
      <c r="O96" s="26"/>
      <c r="U96" s="26"/>
      <c r="AA96" s="26"/>
      <c r="AG96" s="26"/>
    </row>
    <row r="97" spans="9:33" x14ac:dyDescent="0.3">
      <c r="I97" s="26"/>
      <c r="U97" s="26"/>
      <c r="AA97" s="26"/>
      <c r="AG97" s="26"/>
    </row>
    <row r="98" spans="9:33" x14ac:dyDescent="0.3">
      <c r="I98" s="26"/>
      <c r="U98" s="26"/>
      <c r="AA98" s="26"/>
      <c r="AG98" s="26"/>
    </row>
    <row r="99" spans="9:33" x14ac:dyDescent="0.3">
      <c r="I99" s="26"/>
      <c r="U99" s="26"/>
      <c r="AA99" s="26"/>
      <c r="AG99" s="26"/>
    </row>
    <row r="100" spans="9:33" x14ac:dyDescent="0.3">
      <c r="I100" s="26"/>
      <c r="U100" s="26"/>
      <c r="AA100" s="26"/>
      <c r="AG100" s="26"/>
    </row>
    <row r="101" spans="9:33" x14ac:dyDescent="0.3">
      <c r="I101" s="26"/>
      <c r="U101" s="26"/>
      <c r="AA101" s="26"/>
      <c r="AG101" s="26"/>
    </row>
    <row r="102" spans="9:33" x14ac:dyDescent="0.3">
      <c r="I102" s="26"/>
      <c r="U102" s="26"/>
      <c r="AA102" s="26"/>
      <c r="AG102" s="26"/>
    </row>
    <row r="103" spans="9:33" x14ac:dyDescent="0.3">
      <c r="I103" s="26"/>
      <c r="U103" s="26"/>
      <c r="AA103" s="26"/>
      <c r="AG103" s="26"/>
    </row>
    <row r="104" spans="9:33" x14ac:dyDescent="0.3">
      <c r="I104" s="26"/>
      <c r="U104" s="26"/>
      <c r="AA104" s="26"/>
      <c r="AG104" s="26"/>
    </row>
    <row r="105" spans="9:33" x14ac:dyDescent="0.3">
      <c r="I105" s="26"/>
      <c r="U105" s="26"/>
      <c r="AA105" s="26"/>
      <c r="AG105" s="26"/>
    </row>
    <row r="106" spans="9:33" x14ac:dyDescent="0.3">
      <c r="I106" s="26"/>
      <c r="U106" s="26"/>
      <c r="AA106" s="26"/>
      <c r="AG106" s="26"/>
    </row>
    <row r="107" spans="9:33" x14ac:dyDescent="0.3">
      <c r="I107" s="26"/>
      <c r="U107" s="26"/>
      <c r="AA107" s="26"/>
      <c r="AG107" s="26"/>
    </row>
    <row r="108" spans="9:33" x14ac:dyDescent="0.3">
      <c r="I108" s="26"/>
      <c r="U108" s="26"/>
      <c r="AA108" s="26"/>
      <c r="AG108" s="26"/>
    </row>
    <row r="109" spans="9:33" x14ac:dyDescent="0.3">
      <c r="I109" s="26"/>
      <c r="U109" s="26"/>
      <c r="AA109" s="26"/>
      <c r="AG109" s="26"/>
    </row>
    <row r="110" spans="9:33" x14ac:dyDescent="0.3">
      <c r="I110" s="26"/>
      <c r="U110" s="26"/>
      <c r="AA110" s="26"/>
      <c r="AG110" s="26"/>
    </row>
    <row r="111" spans="9:33" x14ac:dyDescent="0.3">
      <c r="I111" s="26"/>
      <c r="U111" s="26"/>
      <c r="AA111" s="26"/>
      <c r="AG111" s="26"/>
    </row>
    <row r="112" spans="9:33" x14ac:dyDescent="0.3">
      <c r="I112" s="26"/>
      <c r="U112" s="26"/>
      <c r="AA112" s="26"/>
      <c r="AG112" s="26"/>
    </row>
    <row r="113" spans="9:33" x14ac:dyDescent="0.3">
      <c r="I113" s="26"/>
      <c r="U113" s="26"/>
      <c r="AA113" s="26"/>
      <c r="AG113" s="26"/>
    </row>
    <row r="114" spans="9:33" x14ac:dyDescent="0.3">
      <c r="I114" s="26"/>
      <c r="U114" s="26"/>
      <c r="AA114" s="26"/>
      <c r="AG114" s="26"/>
    </row>
    <row r="115" spans="9:33" x14ac:dyDescent="0.3">
      <c r="I115" s="26"/>
      <c r="U115" s="26"/>
      <c r="AA115" s="26"/>
    </row>
    <row r="116" spans="9:33" x14ac:dyDescent="0.3">
      <c r="I116" s="26"/>
      <c r="U116" s="26"/>
      <c r="AA116" s="26"/>
    </row>
    <row r="117" spans="9:33" x14ac:dyDescent="0.3">
      <c r="I117" s="26"/>
      <c r="U117" s="26"/>
      <c r="AA117" s="26"/>
    </row>
    <row r="118" spans="9:33" x14ac:dyDescent="0.3">
      <c r="I118" s="26"/>
      <c r="U118" s="26"/>
      <c r="AA118" s="26"/>
    </row>
    <row r="119" spans="9:33" x14ac:dyDescent="0.3">
      <c r="I119" s="26"/>
      <c r="U119" s="26"/>
      <c r="AA119" s="26"/>
    </row>
    <row r="120" spans="9:33" x14ac:dyDescent="0.3">
      <c r="I120" s="26"/>
      <c r="U120" s="26"/>
      <c r="AA120" s="26"/>
    </row>
    <row r="121" spans="9:33" x14ac:dyDescent="0.3">
      <c r="I121" s="26"/>
      <c r="U121" s="26"/>
      <c r="AA121" s="26"/>
    </row>
    <row r="122" spans="9:33" x14ac:dyDescent="0.3">
      <c r="I122" s="26"/>
      <c r="U122" s="26"/>
      <c r="AA122" s="26"/>
    </row>
    <row r="123" spans="9:33" x14ac:dyDescent="0.3">
      <c r="I123" s="26"/>
      <c r="U123" s="26"/>
      <c r="AA123" s="26"/>
    </row>
    <row r="124" spans="9:33" x14ac:dyDescent="0.3">
      <c r="I124" s="26"/>
      <c r="U124" s="26"/>
    </row>
    <row r="125" spans="9:33" x14ac:dyDescent="0.3">
      <c r="U125" s="26"/>
    </row>
    <row r="126" spans="9:33" x14ac:dyDescent="0.3">
      <c r="U126" s="26"/>
    </row>
    <row r="127" spans="9:33" x14ac:dyDescent="0.3">
      <c r="U127" s="26"/>
    </row>
    <row r="128" spans="9:33" x14ac:dyDescent="0.3">
      <c r="U128" s="26"/>
    </row>
    <row r="129" spans="21:21" x14ac:dyDescent="0.3">
      <c r="U129" s="26"/>
    </row>
    <row r="130" spans="21:21" x14ac:dyDescent="0.3">
      <c r="U130" s="26"/>
    </row>
    <row r="131" spans="21:21" x14ac:dyDescent="0.3">
      <c r="U131" s="26"/>
    </row>
    <row r="132" spans="21:21" x14ac:dyDescent="0.3">
      <c r="U132" s="26"/>
    </row>
    <row r="133" spans="21:21" x14ac:dyDescent="0.3">
      <c r="U133" s="26"/>
    </row>
    <row r="134" spans="21:21" x14ac:dyDescent="0.3">
      <c r="U134" s="26"/>
    </row>
    <row r="135" spans="21:21" x14ac:dyDescent="0.3">
      <c r="U135" s="26"/>
    </row>
    <row r="136" spans="21:21" x14ac:dyDescent="0.3">
      <c r="U136" s="26"/>
    </row>
    <row r="137" spans="21:21" x14ac:dyDescent="0.3">
      <c r="U137" s="26"/>
    </row>
    <row r="138" spans="21:21" x14ac:dyDescent="0.3">
      <c r="U138" s="26"/>
    </row>
    <row r="139" spans="21:21" x14ac:dyDescent="0.3">
      <c r="U139" s="26"/>
    </row>
    <row r="140" spans="21:21" x14ac:dyDescent="0.3">
      <c r="U140" s="26"/>
    </row>
    <row r="141" spans="21:21" x14ac:dyDescent="0.3">
      <c r="U141" s="26"/>
    </row>
    <row r="142" spans="21:21" x14ac:dyDescent="0.3">
      <c r="U142" s="26"/>
    </row>
    <row r="143" spans="21:21" x14ac:dyDescent="0.3">
      <c r="U143" s="26"/>
    </row>
    <row r="144" spans="21:21" x14ac:dyDescent="0.3">
      <c r="U144" s="26"/>
    </row>
    <row r="145" spans="21:21" x14ac:dyDescent="0.3">
      <c r="U145" s="26"/>
    </row>
    <row r="146" spans="21:21" x14ac:dyDescent="0.3">
      <c r="U146" s="26"/>
    </row>
    <row r="147" spans="21:21" x14ac:dyDescent="0.3">
      <c r="U147" s="26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H9"/>
  <sheetViews>
    <sheetView showGridLines="0" zoomScale="110" zoomScaleNormal="110" zoomScaleSheetLayoutView="110" workbookViewId="0">
      <selection activeCell="A2" sqref="A2"/>
    </sheetView>
  </sheetViews>
  <sheetFormatPr baseColWidth="10" defaultRowHeight="14.4" outlineLevelRow="1" x14ac:dyDescent="0.3"/>
  <cols>
    <col min="1" max="1" width="11.44140625" bestFit="1" customWidth="1"/>
    <col min="2" max="2" width="11.21875" customWidth="1"/>
    <col min="3" max="3" width="40.77734375" customWidth="1"/>
    <col min="4" max="6" width="11.21875" customWidth="1"/>
    <col min="7" max="8" width="11.21875" style="19" customWidth="1"/>
    <col min="9" max="9" width="1.33203125" customWidth="1"/>
  </cols>
  <sheetData>
    <row r="1" spans="1:8" ht="30" customHeight="1" x14ac:dyDescent="0.3">
      <c r="A1" s="64" t="s">
        <v>35</v>
      </c>
      <c r="B1" s="64"/>
      <c r="C1" s="64"/>
      <c r="D1" s="64"/>
      <c r="E1" s="64"/>
      <c r="F1" s="64"/>
      <c r="G1" s="64"/>
      <c r="H1" s="64"/>
    </row>
    <row r="2" spans="1:8" ht="15" thickBot="1" x14ac:dyDescent="0.35">
      <c r="G2"/>
      <c r="H2"/>
    </row>
    <row r="3" spans="1:8" ht="15" thickBot="1" x14ac:dyDescent="0.35">
      <c r="A3" s="33" t="s">
        <v>19</v>
      </c>
      <c r="B3" s="65" t="s">
        <v>38</v>
      </c>
      <c r="C3" s="66"/>
      <c r="D3" s="66"/>
      <c r="E3" s="66"/>
      <c r="F3" s="66"/>
      <c r="G3" s="67"/>
      <c r="H3" s="44" t="s">
        <v>39</v>
      </c>
    </row>
    <row r="4" spans="1:8" outlineLevel="1" x14ac:dyDescent="0.3">
      <c r="A4" s="25" t="s">
        <v>14</v>
      </c>
      <c r="B4" s="25" t="s">
        <v>0</v>
      </c>
      <c r="C4" s="25" t="s">
        <v>1</v>
      </c>
      <c r="D4" s="25" t="s">
        <v>11</v>
      </c>
      <c r="E4" s="25" t="s">
        <v>15</v>
      </c>
      <c r="F4" s="25" t="s">
        <v>16</v>
      </c>
      <c r="G4" s="25" t="s">
        <v>12</v>
      </c>
      <c r="H4" s="25" t="s">
        <v>17</v>
      </c>
    </row>
    <row r="5" spans="1:8" outlineLevel="1" x14ac:dyDescent="0.3">
      <c r="D5" s="18"/>
      <c r="E5">
        <f xml:space="preserve"> 1</f>
        <v>1</v>
      </c>
      <c r="G5" s="45"/>
      <c r="H5" s="45">
        <f>Tabla3[[#This Row],[CANTIDAD]]*Tabla3[[#This Row],[PRECIO]]*Tabla3[[#This Row],[FACTOR]]</f>
        <v>0</v>
      </c>
    </row>
    <row r="6" spans="1:8" outlineLevel="1" x14ac:dyDescent="0.3">
      <c r="D6" s="18"/>
      <c r="E6">
        <f xml:space="preserve"> 1</f>
        <v>1</v>
      </c>
      <c r="G6" s="45"/>
      <c r="H6" s="45">
        <f>Tabla3[[#This Row],[CANTIDAD]]*Tabla3[[#This Row],[PRECIO]]*Tabla3[[#This Row],[FACTOR]]</f>
        <v>0</v>
      </c>
    </row>
    <row r="7" spans="1:8" outlineLevel="1" x14ac:dyDescent="0.3">
      <c r="D7" s="18"/>
      <c r="E7">
        <f xml:space="preserve"> 1</f>
        <v>1</v>
      </c>
      <c r="G7" s="45"/>
      <c r="H7" s="45">
        <f>Tabla3[[#This Row],[CANTIDAD]]*Tabla3[[#This Row],[PRECIO]]*Tabla3[[#This Row],[FACTOR]]</f>
        <v>0</v>
      </c>
    </row>
    <row r="8" spans="1:8" x14ac:dyDescent="0.3">
      <c r="A8" s="25" t="s">
        <v>18</v>
      </c>
      <c r="G8" s="45"/>
      <c r="H8" s="46">
        <f>SUM(Tabla3[TOTAL])</f>
        <v>0</v>
      </c>
    </row>
    <row r="9" spans="1:8" x14ac:dyDescent="0.3">
      <c r="G9"/>
      <c r="H9"/>
    </row>
  </sheetData>
  <mergeCells count="2">
    <mergeCell ref="A1:H1"/>
    <mergeCell ref="B3:G3"/>
  </mergeCells>
  <dataValidations count="1">
    <dataValidation type="list" allowBlank="1" showInputMessage="1" showErrorMessage="1" sqref="A5:A7" xr:uid="{B533F6AF-CF9E-48BC-95BF-88AC15CC56E7}">
      <formula1>"MATERIALES,EQUIPOS,MANO DE OBRA,TRANSPORTE,SUBCONTRATOS,ACTIVIDADES,OTROS"</formula1>
    </dataValidation>
  </dataValidations>
  <pageMargins left="0.7" right="0.7" top="0.75" bottom="0.75" header="0.3" footer="0.3"/>
  <pageSetup paperSize="9" scale="79" fitToHeight="0" orientation="portrait" cellComments="atEnd" r:id="rId1"/>
  <colBreaks count="1" manualBreakCount="1">
    <brk id="8" max="1048575" man="1"/>
  </colBreak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H13"/>
  <sheetViews>
    <sheetView showGridLines="0" showWhiteSpace="0" zoomScale="110" zoomScaleNormal="110" zoomScaleSheetLayoutView="110" workbookViewId="0">
      <selection activeCell="A2" sqref="A2"/>
    </sheetView>
  </sheetViews>
  <sheetFormatPr baseColWidth="10" defaultColWidth="11.44140625" defaultRowHeight="14.4" outlineLevelRow="1" x14ac:dyDescent="0.3"/>
  <cols>
    <col min="1" max="1" width="13.33203125" bestFit="1" customWidth="1"/>
    <col min="2" max="2" width="11.21875" customWidth="1"/>
    <col min="3" max="3" width="40.77734375" customWidth="1"/>
    <col min="4" max="5" width="11.5546875" customWidth="1"/>
    <col min="6" max="6" width="12.109375" customWidth="1"/>
    <col min="7" max="7" width="11.5546875" style="19" customWidth="1"/>
    <col min="8" max="8" width="12.44140625" style="19" customWidth="1"/>
    <col min="9" max="9" width="1.33203125" customWidth="1"/>
  </cols>
  <sheetData>
    <row r="1" spans="1:8" ht="30" customHeight="1" x14ac:dyDescent="0.3">
      <c r="A1" s="64" t="s">
        <v>36</v>
      </c>
      <c r="B1" s="64"/>
      <c r="C1" s="64"/>
      <c r="D1" s="64"/>
      <c r="E1" s="64"/>
      <c r="F1" s="64"/>
      <c r="G1" s="64"/>
      <c r="H1" s="64"/>
    </row>
    <row r="2" spans="1:8" ht="15" thickBot="1" x14ac:dyDescent="0.35">
      <c r="A2" s="38"/>
      <c r="B2" s="39"/>
      <c r="C2" s="80"/>
      <c r="D2" s="80"/>
      <c r="E2" s="38"/>
      <c r="F2" s="38"/>
      <c r="G2" s="38"/>
      <c r="H2" s="81"/>
    </row>
    <row r="3" spans="1:8" ht="15" thickBot="1" x14ac:dyDescent="0.35">
      <c r="A3" s="43" t="s">
        <v>19</v>
      </c>
      <c r="B3" s="68" t="s">
        <v>40</v>
      </c>
      <c r="C3" s="69"/>
      <c r="D3" s="69"/>
      <c r="E3" s="69"/>
      <c r="F3" s="69"/>
      <c r="G3" s="70"/>
      <c r="H3" s="82" t="s">
        <v>39</v>
      </c>
    </row>
    <row r="4" spans="1:8" outlineLevel="1" x14ac:dyDescent="0.3">
      <c r="A4" s="54" t="s">
        <v>14</v>
      </c>
      <c r="B4" s="55" t="s">
        <v>0</v>
      </c>
      <c r="C4" s="56" t="s">
        <v>1</v>
      </c>
      <c r="D4" s="56" t="s">
        <v>11</v>
      </c>
      <c r="E4" s="54" t="s">
        <v>15</v>
      </c>
      <c r="F4" s="54" t="s">
        <v>16</v>
      </c>
      <c r="G4" s="54" t="s">
        <v>12</v>
      </c>
      <c r="H4" s="83" t="s">
        <v>17</v>
      </c>
    </row>
    <row r="5" spans="1:8" outlineLevel="1" x14ac:dyDescent="0.3">
      <c r="A5" s="38"/>
      <c r="B5" s="39"/>
      <c r="C5" s="80"/>
      <c r="D5" s="85"/>
      <c r="E5" s="38">
        <f xml:space="preserve"> 1</f>
        <v>1</v>
      </c>
      <c r="F5" s="38"/>
      <c r="G5" s="57"/>
      <c r="H5" s="84">
        <f>Tabla5[[#This Row],[CANTIDAD]]*Tabla5[[#This Row],[PRECIO]]*Tabla5[[#This Row],[FACTOR]]</f>
        <v>0</v>
      </c>
    </row>
    <row r="6" spans="1:8" outlineLevel="1" x14ac:dyDescent="0.3">
      <c r="A6" s="38"/>
      <c r="B6" s="39"/>
      <c r="C6" s="80"/>
      <c r="D6" s="85"/>
      <c r="E6" s="38">
        <f xml:space="preserve"> 1</f>
        <v>1</v>
      </c>
      <c r="F6" s="38"/>
      <c r="G6" s="57"/>
      <c r="H6" s="84">
        <f>Tabla5[[#This Row],[CANTIDAD]]*Tabla5[[#This Row],[PRECIO]]*Tabla5[[#This Row],[FACTOR]]</f>
        <v>0</v>
      </c>
    </row>
    <row r="7" spans="1:8" outlineLevel="1" x14ac:dyDescent="0.3">
      <c r="A7" s="38"/>
      <c r="B7" s="39"/>
      <c r="C7" s="80"/>
      <c r="D7" s="85"/>
      <c r="E7" s="38">
        <f xml:space="preserve"> 1</f>
        <v>1</v>
      </c>
      <c r="F7" s="38"/>
      <c r="G7" s="57"/>
      <c r="H7" s="84">
        <f>Tabla5[[#This Row],[CANTIDAD]]*Tabla5[[#This Row],[PRECIO]]*Tabla5[[#This Row],[FACTOR]]</f>
        <v>0</v>
      </c>
    </row>
    <row r="8" spans="1:8" x14ac:dyDescent="0.3">
      <c r="A8" s="86" t="s">
        <v>18</v>
      </c>
      <c r="B8" s="96"/>
      <c r="C8" s="87"/>
      <c r="D8" s="87"/>
      <c r="E8" s="88"/>
      <c r="F8" s="88"/>
      <c r="G8" s="89"/>
      <c r="H8" s="46">
        <f>SUM(Tabla5[TOTAL])</f>
        <v>0</v>
      </c>
    </row>
    <row r="9" spans="1:8" x14ac:dyDescent="0.3">
      <c r="A9" s="38"/>
      <c r="B9" s="39"/>
      <c r="C9" s="80"/>
      <c r="D9" s="80"/>
      <c r="E9" s="38"/>
      <c r="F9" s="38"/>
      <c r="G9" s="38"/>
      <c r="H9" s="81"/>
    </row>
    <row r="10" spans="1:8" x14ac:dyDescent="0.3">
      <c r="A10" s="38"/>
      <c r="B10" s="39"/>
      <c r="C10" s="80"/>
      <c r="D10" s="80"/>
      <c r="E10" s="38"/>
      <c r="F10" s="38"/>
      <c r="G10" s="38"/>
      <c r="H10" s="81"/>
    </row>
    <row r="11" spans="1:8" x14ac:dyDescent="0.3">
      <c r="G11"/>
      <c r="H11"/>
    </row>
    <row r="12" spans="1:8" x14ac:dyDescent="0.3">
      <c r="A12" s="38"/>
      <c r="B12" s="39"/>
      <c r="C12" s="80"/>
      <c r="D12" s="80"/>
      <c r="E12" s="38"/>
      <c r="F12" s="38"/>
      <c r="G12" s="38"/>
      <c r="H12" s="81"/>
    </row>
    <row r="13" spans="1:8" x14ac:dyDescent="0.3">
      <c r="A13" s="38"/>
      <c r="B13" s="39"/>
      <c r="C13" s="80"/>
      <c r="D13" s="80"/>
      <c r="E13" s="38"/>
      <c r="F13" s="38"/>
      <c r="G13" s="38"/>
      <c r="H13" s="81"/>
    </row>
  </sheetData>
  <mergeCells count="2">
    <mergeCell ref="A1:H1"/>
    <mergeCell ref="B3:G3"/>
  </mergeCells>
  <dataValidations count="1">
    <dataValidation type="list" allowBlank="1" showInputMessage="1" showErrorMessage="1" sqref="A5:A7" xr:uid="{F9816CE6-1BB9-4415-884E-DCFAD0CF10B2}">
      <formula1>"MATERIALES,EQUIPOS,MANO DE OBRA,TRANSPORTE,SUBCONTRATOS,ACTIVIDADES,OTROS,APU BÁSICOS"</formula1>
    </dataValidation>
  </dataValidations>
  <pageMargins left="0.7" right="0.7" top="0.75" bottom="0.75" header="0.3" footer="0.3"/>
  <pageSetup paperSize="9" scale="70" fitToHeight="0" orientation="portrait" cellComments="atEnd" r:id="rId1"/>
  <colBreaks count="1" manualBreakCount="1">
    <brk id="8" max="1048575" man="1"/>
  </colBreaks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H28"/>
  <sheetViews>
    <sheetView showGridLines="0" topLeftCell="B1" zoomScale="90" zoomScaleNormal="90" zoomScaleSheetLayoutView="90" workbookViewId="0">
      <selection activeCell="B2" sqref="B2"/>
    </sheetView>
  </sheetViews>
  <sheetFormatPr baseColWidth="10" defaultColWidth="11.44140625" defaultRowHeight="15" outlineLevelRow="1" x14ac:dyDescent="0.25"/>
  <cols>
    <col min="1" max="1" width="1.44140625" style="90" hidden="1" customWidth="1"/>
    <col min="2" max="2" width="15.33203125" style="47" customWidth="1"/>
    <col min="3" max="3" width="40.77734375" style="91" customWidth="1"/>
    <col min="4" max="4" width="23" style="47" bestFit="1" customWidth="1"/>
    <col min="5" max="5" width="15.33203125" style="48" customWidth="1"/>
    <col min="6" max="6" width="14.21875" style="48" bestFit="1" customWidth="1"/>
    <col min="7" max="8" width="15.33203125" style="48" customWidth="1"/>
    <col min="9" max="9" width="1.33203125" style="90" customWidth="1"/>
    <col min="10" max="16384" width="11.44140625" style="90"/>
  </cols>
  <sheetData>
    <row r="1" spans="2:8" ht="30" customHeight="1" x14ac:dyDescent="0.25">
      <c r="B1" s="71" t="s">
        <v>37</v>
      </c>
      <c r="C1" s="71"/>
      <c r="D1" s="71"/>
      <c r="E1" s="71"/>
      <c r="F1" s="71"/>
      <c r="G1" s="71"/>
      <c r="H1" s="71"/>
    </row>
    <row r="2" spans="2:8" ht="15.6" thickBot="1" x14ac:dyDescent="0.3"/>
    <row r="3" spans="2:8" ht="16.2" thickBot="1" x14ac:dyDescent="0.3">
      <c r="B3" s="72" t="s">
        <v>20</v>
      </c>
      <c r="C3" s="73"/>
      <c r="D3" s="73"/>
      <c r="E3" s="73"/>
      <c r="F3" s="73"/>
      <c r="G3" s="74"/>
      <c r="H3" s="49" t="s">
        <v>19</v>
      </c>
    </row>
    <row r="4" spans="2:8" ht="15.6" outlineLevel="1" x14ac:dyDescent="0.3">
      <c r="B4" s="50" t="s">
        <v>0</v>
      </c>
      <c r="C4" s="92" t="s">
        <v>1</v>
      </c>
      <c r="D4" s="50" t="s">
        <v>11</v>
      </c>
      <c r="E4" s="51" t="s">
        <v>15</v>
      </c>
      <c r="F4" s="51" t="s">
        <v>16</v>
      </c>
      <c r="G4" s="51" t="s">
        <v>3</v>
      </c>
      <c r="H4" s="51" t="s">
        <v>17</v>
      </c>
    </row>
    <row r="5" spans="2:8" outlineLevel="1" x14ac:dyDescent="0.25">
      <c r="E5" s="48">
        <v>1</v>
      </c>
      <c r="H5" s="48">
        <f>Tabla7[[#This Row],[FACTOR]]*Tabla7[[#This Row],[CANTIDAD]]*Tabla7[[#This Row],[COSTO]]</f>
        <v>0</v>
      </c>
    </row>
    <row r="6" spans="2:8" outlineLevel="1" x14ac:dyDescent="0.25">
      <c r="E6" s="48">
        <v>1</v>
      </c>
      <c r="H6" s="48">
        <f>Tabla7[[#This Row],[FACTOR]]*Tabla7[[#This Row],[CANTIDAD]]*Tabla7[[#This Row],[COSTO]]</f>
        <v>0</v>
      </c>
    </row>
    <row r="7" spans="2:8" outlineLevel="1" x14ac:dyDescent="0.25">
      <c r="E7" s="48">
        <v>1</v>
      </c>
      <c r="H7" s="48">
        <f>Tabla7[[#This Row],[FACTOR]]*Tabla7[[#This Row],[CANTIDAD]]*Tabla7[[#This Row],[COSTO]]</f>
        <v>0</v>
      </c>
    </row>
    <row r="8" spans="2:8" outlineLevel="1" x14ac:dyDescent="0.25">
      <c r="E8" s="48">
        <v>1</v>
      </c>
      <c r="H8" s="48">
        <f>Tabla7[[#This Row],[FACTOR]]*Tabla7[[#This Row],[CANTIDAD]]*Tabla7[[#This Row],[COSTO]]</f>
        <v>0</v>
      </c>
    </row>
    <row r="9" spans="2:8" outlineLevel="1" x14ac:dyDescent="0.25">
      <c r="E9" s="48">
        <v>1</v>
      </c>
      <c r="H9" s="48">
        <f>Tabla7[[#This Row],[FACTOR]]*Tabla7[[#This Row],[CANTIDAD]]*Tabla7[[#This Row],[COSTO]]</f>
        <v>0</v>
      </c>
    </row>
    <row r="10" spans="2:8" ht="15.6" x14ac:dyDescent="0.3">
      <c r="B10" s="59" t="s">
        <v>18</v>
      </c>
      <c r="C10" s="93"/>
      <c r="D10" s="58"/>
      <c r="E10" s="90"/>
      <c r="F10" s="90"/>
      <c r="G10" s="90"/>
      <c r="H10" s="51">
        <f>SUM(Tabla7[TOTAL])</f>
        <v>0</v>
      </c>
    </row>
    <row r="13" spans="2:8" ht="15.6" x14ac:dyDescent="0.3">
      <c r="F13" s="50"/>
      <c r="G13" s="50"/>
      <c r="H13" s="51"/>
    </row>
    <row r="14" spans="2:8" ht="15.6" x14ac:dyDescent="0.3">
      <c r="B14" s="50" t="s">
        <v>19</v>
      </c>
      <c r="C14" s="92" t="s">
        <v>20</v>
      </c>
      <c r="D14" s="50" t="s">
        <v>21</v>
      </c>
      <c r="E14" s="51" t="s">
        <v>22</v>
      </c>
      <c r="F14" s="47"/>
      <c r="G14" s="47"/>
    </row>
    <row r="15" spans="2:8" x14ac:dyDescent="0.25">
      <c r="B15" s="47" t="str">
        <f>$H$3</f>
        <v>CÓD</v>
      </c>
      <c r="C15" s="91" t="str">
        <f>$B$3</f>
        <v>CAPÍTULO</v>
      </c>
      <c r="D15" s="32" t="e">
        <f>(E15)/(E18)</f>
        <v>#DIV/0!</v>
      </c>
      <c r="E15" s="48">
        <f>$H$10</f>
        <v>0</v>
      </c>
      <c r="F15" s="47"/>
      <c r="G15" s="47"/>
    </row>
    <row r="16" spans="2:8" x14ac:dyDescent="0.25">
      <c r="F16" s="47"/>
      <c r="G16" s="47"/>
    </row>
    <row r="17" spans="2:7" x14ac:dyDescent="0.25">
      <c r="F17" s="47"/>
      <c r="G17" s="47"/>
    </row>
    <row r="18" spans="2:7" ht="15.6" x14ac:dyDescent="0.3">
      <c r="B18" s="52"/>
      <c r="C18" s="94"/>
      <c r="D18" s="53" t="s">
        <v>30</v>
      </c>
      <c r="E18" s="95">
        <f>SUM(E15:E17)</f>
        <v>0</v>
      </c>
    </row>
    <row r="21" spans="2:7" ht="15.6" x14ac:dyDescent="0.3">
      <c r="C21" s="92" t="s">
        <v>1</v>
      </c>
      <c r="D21" s="50" t="s">
        <v>21</v>
      </c>
      <c r="E21" s="51" t="s">
        <v>22</v>
      </c>
    </row>
    <row r="22" spans="2:7" x14ac:dyDescent="0.25">
      <c r="C22" s="91" t="s">
        <v>26</v>
      </c>
      <c r="D22" s="42">
        <v>0</v>
      </c>
      <c r="E22" s="36">
        <f>Tabla13[[#This Row],[PORCENTAJE]]*E18</f>
        <v>0</v>
      </c>
    </row>
    <row r="23" spans="2:7" x14ac:dyDescent="0.25">
      <c r="C23" s="91" t="s">
        <v>27</v>
      </c>
      <c r="D23" s="42">
        <v>0</v>
      </c>
      <c r="E23" s="36">
        <f>Tabla13[[#This Row],[PORCENTAJE]]*E18</f>
        <v>0</v>
      </c>
    </row>
    <row r="24" spans="2:7" x14ac:dyDescent="0.25">
      <c r="C24" s="91" t="s">
        <v>28</v>
      </c>
      <c r="D24" s="42">
        <v>0</v>
      </c>
      <c r="E24" s="36">
        <f>Tabla13[[#This Row],[PORCENTAJE]]*E18</f>
        <v>0</v>
      </c>
    </row>
    <row r="25" spans="2:7" x14ac:dyDescent="0.25">
      <c r="C25" s="91" t="s">
        <v>25</v>
      </c>
      <c r="D25" s="42">
        <v>0</v>
      </c>
      <c r="E25" s="36">
        <f>Tabla13[[#This Row],[PORCENTAJE]]*E24</f>
        <v>0</v>
      </c>
    </row>
    <row r="26" spans="2:7" ht="15.6" x14ac:dyDescent="0.3">
      <c r="D26" s="34" t="s">
        <v>29</v>
      </c>
      <c r="E26" s="35">
        <f>SUM(E22:E25)</f>
        <v>0</v>
      </c>
    </row>
    <row r="27" spans="2:7" x14ac:dyDescent="0.25">
      <c r="E27" s="36"/>
    </row>
    <row r="28" spans="2:7" ht="15.6" x14ac:dyDescent="0.3">
      <c r="D28" s="50" t="s">
        <v>24</v>
      </c>
      <c r="E28" s="35">
        <f>E18+E26</f>
        <v>0</v>
      </c>
    </row>
  </sheetData>
  <dataConsolidate/>
  <mergeCells count="2">
    <mergeCell ref="B1:H1"/>
    <mergeCell ref="B3:G3"/>
  </mergeCells>
  <dataValidations count="1">
    <dataValidation type="list" allowBlank="1" showInputMessage="1" showErrorMessage="1" sqref="C5:C9" xr:uid="{BE5D8776-E380-4EB8-A305-4C48CDC1C98D}">
      <formula1>BD_APUS</formula1>
    </dataValidation>
  </dataValidations>
  <pageMargins left="0.7" right="0.7" top="0.75" bottom="0.75" header="0.3" footer="0.3"/>
  <pageSetup paperSize="9" scale="62" fitToHeight="0" orientation="portrait" cellComments="atEnd" r:id="rId1"/>
  <colBreaks count="1" manualBreakCount="1">
    <brk id="8" max="1048575" man="1"/>
  </colBreaks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3"/>
  <sheetViews>
    <sheetView showGridLines="0" topLeftCell="B1" zoomScale="110" zoomScaleNormal="110" zoomScaleSheetLayoutView="130" workbookViewId="0">
      <selection activeCell="A3" sqref="A3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" style="7" bestFit="1" customWidth="1"/>
    <col min="6" max="16384" width="11.44140625" style="3"/>
  </cols>
  <sheetData>
    <row r="1" spans="2:7 16200:16200" ht="30" customHeight="1" x14ac:dyDescent="0.3">
      <c r="B1" s="60" t="s">
        <v>31</v>
      </c>
      <c r="C1" s="60"/>
      <c r="D1" s="60"/>
      <c r="E1" s="60"/>
    </row>
    <row r="2" spans="2:7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WYB2" s="9"/>
    </row>
    <row r="3" spans="2:7 16200:16200" x14ac:dyDescent="0.3">
      <c r="B3" s="2"/>
      <c r="E3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3"/>
  <sheetViews>
    <sheetView showGridLines="0" topLeftCell="B1" zoomScale="110" zoomScaleNormal="110" zoomScaleSheetLayoutView="110" workbookViewId="0">
      <selection activeCell="A3" sqref="A3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1.77734375" style="6" bestFit="1" customWidth="1"/>
    <col min="6" max="16384" width="11.44140625" style="3"/>
  </cols>
  <sheetData>
    <row r="1" spans="2:5" s="8" customFormat="1" ht="30" customHeight="1" x14ac:dyDescent="0.3">
      <c r="B1" s="60" t="s">
        <v>33</v>
      </c>
      <c r="C1" s="60"/>
      <c r="D1" s="60"/>
      <c r="E1" s="60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E3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4"/>
  <sheetViews>
    <sheetView showGridLines="0" zoomScale="110" zoomScaleNormal="110" workbookViewId="0">
      <selection activeCell="AK5" sqref="AK5:AO5"/>
    </sheetView>
  </sheetViews>
  <sheetFormatPr baseColWidth="10" defaultRowHeight="14.4" x14ac:dyDescent="0.3"/>
  <cols>
    <col min="1" max="1" width="30.6640625" customWidth="1"/>
    <col min="2" max="2" width="12.6640625" style="18" bestFit="1" customWidth="1"/>
    <col min="3" max="3" width="13.44140625" style="19" bestFit="1" customWidth="1"/>
    <col min="4" max="4" width="14.88671875" style="29" bestFit="1" customWidth="1"/>
    <col min="5" max="5" width="15.5546875" style="19" bestFit="1" customWidth="1"/>
    <col min="8" max="8" width="15.6640625" customWidth="1"/>
  </cols>
  <sheetData>
    <row r="1" spans="1:6" ht="30" customHeight="1" x14ac:dyDescent="0.3">
      <c r="A1" s="60" t="s">
        <v>32</v>
      </c>
      <c r="B1" s="60"/>
      <c r="C1" s="60"/>
      <c r="D1" s="60"/>
      <c r="E1" s="60"/>
    </row>
    <row r="2" spans="1:6" x14ac:dyDescent="0.3">
      <c r="A2" s="18" t="s">
        <v>23</v>
      </c>
      <c r="B2" s="18" t="s">
        <v>11</v>
      </c>
      <c r="C2" s="26" t="s">
        <v>12</v>
      </c>
      <c r="D2" s="30" t="s">
        <v>16</v>
      </c>
      <c r="E2" s="26" t="s">
        <v>17</v>
      </c>
      <c r="F2" s="18"/>
    </row>
    <row r="4" spans="1:6" x14ac:dyDescent="0.3">
      <c r="A4" s="40" t="s">
        <v>18</v>
      </c>
      <c r="B4" s="27"/>
      <c r="C4" s="28"/>
      <c r="D4" s="31"/>
      <c r="E4" s="41">
        <f>SUBTOTAL(109,T_materiales[TOTAL])</f>
        <v>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copiar_16" Type="http://schemas.openxmlformats.org/officeDocument/2006/relationships/image" Target="images/copi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pegar_16" Type="http://schemas.openxmlformats.org/officeDocument/2006/relationships/image" Target="images/pegar_16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_16.png"/><Relationship Id="editar_16" Type="http://schemas.openxmlformats.org/officeDocument/2006/relationships/image" Target="images/editar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normal" image="mas_32" onAction="Módulo02_INSUMOS.CH1M7" getEnabled="Módulo11_RIBBON.hojainsumos" screentip="Insertar filas" supertip="Crea una nueva fila en la tabla de insumos."/>
          <button id="botmenosfilasins" label="Eliminar fila" size="normal" image="menos_32" onAction="Módulo02_INSUMOS.CH1M8" getEnabled="Módulo11_RIBBON.hojainsumos" screentip="Eliminar filas" supertip="Elimina una fila en la tabla de insumos."/>
          <button id="botEditDesc" label="Editar Desc" size="normal" image="editar_16" onAction="Módulo02_INSUMOS.INSCH01" getEnabled="Módulo11_RIBBON.hojainsumos" screentip="Editar Descripción" supertip="Edita la descripción de una fila."/>
        </group>
        <group id="grupoapu" label="A.P.U">
          <button id="botnuevoapu2" label="Nuevo APU." size="large" image="nuevo_32" onAction="Módulo03_APU.GR1M1" getEnabled="Módulo11_RIBBON.hojaapu" screentip="Nueva tabla A.P.U" supertip="Crea una nueva tabla de A.P.U."/>
          <button id="boteliminaapu2" label="Eliminar APU." size="large" image="eliminar_32" onAction="Módulo03_APU.CH2M2" getEnabled="Módulo11_RIBBON.hojaapu" screentip="Eliminar tabla A.P.U." supertip="Elimina la tabla A.P.U. seleccionada."/>
          <button id="botmasfilas2" label="fila" size="normal" image="mas_16" onAction="Módulo03_APU.GR1M3" getEnabled="Módulo11_RIBBON.hojaapu" screentip="Insertar filas" supertip="Crea una nueva fila en la tabla A.P.U. seleccionada."/>
          <button id="botmenosfilas2" label="fila" size="normal" image="menos_16" onAction="Módulo03_APU.GR1M10" getEnabled="Módulo11_RIBBON.hojaapu" screentip="Eliminar filas" supertip="Elimina una fila en la tabla A.P.U. seleccionada."/>
          <button id="botactualizar2" label="listas" size="normal" image="actualizar_16" onAction="Módulo03_APU.GR1M7" getEnabled="Módulo11_RIBBON.hojaapu" screentip="Actualizar listado" supertip="Crea una nueva lista con las tablas A.P.U. existentes."/>
          <button id="botcopiarapu" label="APU" size="normal" image="copiar_16" onAction="Módulo001_APUSPRUEBA.copiarapu" getEnabled="Módulo11_RIBBON.hojaapu" screentip="Copiar APU" supertip="Copiar APU seleccionado."/>
          <button id="botpegarapu" label="APU" size="normal" image="pegar_16" onAction="Módulo001_APUSPRUEBA.pegarapu" getEnabled="Módulo11_RIBBON.hojaapu" screentip="Pegar APU" supertip="Pegar APU seleccionado."/>
          <separator id="separador3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fila" size="normal" image="mas_16" onAction="Módulo08_PRESUPUESTO.CH6M9" getEnabled="Módulo11_RIBBON.hojapresupuestos" screentip="Insertar filas" supertip="Crea una nueva fila en la tabla capítulo seleccionada."/>
          <button id="botmenosfilas3" label="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10</vt:i4>
      </vt:variant>
    </vt:vector>
  </HeadingPairs>
  <TitlesOfParts>
    <vt:vector size="17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ACTIVIDADES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2024-06-24T14:12:00Z</dcterms:modified>
</cp:coreProperties>
</file>