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a4fc35ed2b1480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4413B90D-AC97-41D2-8F1A-325D94B34587}" xr6:coauthVersionLast="47" xr6:coauthVersionMax="47" xr10:uidLastSave="{00000000-0000-0000-0000-000000000000}"/>
  <workbookProtection workbookAlgorithmName="SHA-512" workbookHashValue="9pCDMgc9EYwIKo+gpv4COTQ7p9plQfUONwbnyvEGjV7hCJ45IGnUrktpvUrK07+zaPMiU7f0UDSNvdj09Rl9lg==" workbookSaltValue="EjQPraaA1aQfaUlhPlqlDg==" workbookSpinCount="100000" lockStructure="1"/>
  <bookViews>
    <workbookView xWindow="-108" yWindow="-108" windowWidth="23256" windowHeight="12456" tabRatio="606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4" l="1"/>
  <c r="D5" i="104"/>
  <c r="E3" i="4"/>
  <c r="D3" i="4"/>
  <c r="C3" i="4"/>
  <c r="B3" i="4"/>
  <c r="D4" i="4"/>
  <c r="C4" i="4"/>
  <c r="B4" i="4"/>
  <c r="B13" i="103"/>
  <c r="D13" i="103"/>
  <c r="G13" i="103"/>
  <c r="H13" i="103" s="1"/>
  <c r="H16" i="103" s="1"/>
  <c r="B5" i="103"/>
  <c r="D5" i="103"/>
  <c r="G5" i="103"/>
  <c r="H5" i="103" s="1"/>
  <c r="H8" i="103" s="1"/>
  <c r="E4" i="4" s="1"/>
  <c r="G5" i="104" s="1"/>
  <c r="H5" i="104" s="1"/>
  <c r="H10" i="104" s="1"/>
  <c r="E3" i="10"/>
  <c r="D3" i="10"/>
  <c r="C3" i="10"/>
  <c r="B3" i="10"/>
  <c r="B5" i="102"/>
  <c r="D5" i="102"/>
  <c r="G5" i="102"/>
  <c r="H8" i="102" s="1"/>
  <c r="E4" i="106" l="1"/>
</calcChain>
</file>

<file path=xl/sharedStrings.xml><?xml version="1.0" encoding="utf-8"?>
<sst xmlns="http://schemas.openxmlformats.org/spreadsheetml/2006/main" count="153" uniqueCount="61">
  <si>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</si>
  <si>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</si>
  <si>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</si>
  <si>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</si>
  <si>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</si>
  <si>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</si>
  <si>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</si>
  <si>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</si>
  <si>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</si>
  <si>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</si>
  <si>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</si>
  <si>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</si>
  <si>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</si>
  <si>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</si>
  <si>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</si>
  <si>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</si>
  <si>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</si>
  <si>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</si>
  <si>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</si>
  <si>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</si>
  <si>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</si>
  <si>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</si>
  <si>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</si>
  <si>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</si>
  <si>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</si>
  <si>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</si>
  <si>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</si>
  <si>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</si>
  <si>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</si>
  <si>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</si>
  <si>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</si>
  <si>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</si>
  <si>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</si>
  <si>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</si>
  <si>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</si>
  <si>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</si>
  <si>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</si>
  <si>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</si>
  <si>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</si>
  <si>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</si>
  <si>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NOMBRE A.P.U.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</si>
  <si>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</si>
  <si>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</si>
  <si>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</si>
  <si>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</si>
  <si>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</si>
  <si>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</si>
  <si>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</si>
  <si>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Placa de concreto 3000 psi 10cm malla electrosoldada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</si>
  <si>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</si>
  <si>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</si>
  <si>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</si>
  <si>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</si>
  <si>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</si>
  <si>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</si>
  <si>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</si>
  <si>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</si>
  <si>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</si>
  <si>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</si>
  <si>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</si>
  <si>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basico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</si>
</sst>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0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41" fontId="6" fillId="0" borderId="0" xfId="13" applyNumberFormat="1" applyFont="1" applyAlignment="1">
      <alignment horizontal="center"/>
    </xf>
    <xf numFmtId="41" fontId="5" fillId="0" borderId="0" xfId="13" applyNumberFormat="1" applyFont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41" fontId="9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9" fillId="0" borderId="0" xfId="0" applyFont="1" applyFill="1" applyAlignment="1">
      <alignment horizontal="center" vertical="center"/>
    </xf>
    <xf numFmtId="0" fontId="0" fillId="0" borderId="19" xfId="0" applyBorder="1"/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2"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</dxf>
    <dxf>
      <numFmt numFmtId="164" formatCode="_-* #,##0\ _€_-;\-* #,##0\ _€_-;_-* &quot;-&quot;\ _€_-;_-@_-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1"/>
      <tableStyleElement type="headerRow" dxfId="120"/>
    </tableStyle>
    <tableStyle name="S5S Green" pivot="0" count="2" xr9:uid="{00000000-0011-0000-FFFF-FFFF02000000}">
      <tableStyleElement type="wholeTable" dxfId="119"/>
      <tableStyleElement type="headerRow" dxfId="118"/>
    </tableStyle>
    <tableStyle name="S5S Greenblue" pivot="0" count="2" xr9:uid="{00000000-0011-0000-FFFF-FFFF03000000}">
      <tableStyleElement type="wholeTable" dxfId="117"/>
      <tableStyleElement type="headerRow" dxfId="116"/>
    </tableStyle>
    <tableStyle name="S5S2" pivot="0" count="2" xr9:uid="{00000000-0011-0000-FFFF-FFFF04000000}">
      <tableStyleElement type="wholeTable" dxfId="115"/>
      <tableStyleElement type="headerRow" dxfId="114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691E55B-6413-4590-9ABE-1582F6EECE6F}" name="T_mat" displayName="T_mat" ref="A4:E15" totalsRowShown="0" headerRowDxfId="83">
  <autoFilter ref="A4:E15" xr:uid="{D691E55B-6413-4590-9ABE-1582F6EECE6F}"/>
  <sortState xmlns:xlrd2="http://schemas.microsoft.com/office/spreadsheetml/2017/richdata2" ref="A5:E15">
    <sortCondition ref="A4:A15"/>
  </sortState>
  <tableColumns count="5">
    <tableColumn id="1" xr3:uid="{15351A88-684C-48C5-ACDF-54D146C9A9ED}" name="DESCRIPCIÓN" dataDxfId="82"/>
    <tableColumn id="2" xr3:uid="{B61BD8F2-5BF0-4D60-B8EC-0658E8E68619}" name="CÓDIGO" dataDxfId="81"/>
    <tableColumn id="3" xr3:uid="{56D9E600-5DF4-4C8C-89F8-48A6930EA2CC}" name="UNIDAD" dataDxfId="80"/>
    <tableColumn id="4" xr3:uid="{5F7566B4-5C07-4332-B05B-D77E9D04549B}" name="PRECIO" dataDxfId="79"/>
    <tableColumn id="5" xr3:uid="{AAEED857-7AB4-4926-8682-FA589CCEF5D9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58B5FBD-E88D-4AD8-AE54-EEFEFFEEF275}" name="T_equipos" displayName="T_equipos" ref="G4:K11" totalsRowShown="0" headerRowDxfId="78">
  <autoFilter ref="G4:K11" xr:uid="{158B5FBD-E88D-4AD8-AE54-EEFEFFEEF275}"/>
  <tableColumns count="5">
    <tableColumn id="1" xr3:uid="{20A10D8D-FB18-4344-BBEB-0B3B759559B5}" name="DESCRIPCIÓN" dataDxfId="77"/>
    <tableColumn id="2" xr3:uid="{BBBA264F-C1FB-40D8-A371-3CB57F93F337}" name="CÓDIGO" dataDxfId="76"/>
    <tableColumn id="3" xr3:uid="{A79DB92A-0875-4AE8-82C3-87E28FCFBC35}" name="UNIDAD" dataDxfId="75"/>
    <tableColumn id="4" xr3:uid="{2A56E740-2F59-4217-BE09-A17193D0BE2B}" name="PRECIO" dataDxfId="74"/>
    <tableColumn id="5" xr3:uid="{806A4B42-CEA1-4038-A928-CC54D4952B4A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C62B0FCC-40A6-436A-9C00-1B0DADA2CB68}" name="T_mano" displayName="T_mano" ref="M4:Q11" totalsRowShown="0" headerRowDxfId="73">
  <autoFilter ref="M4:Q11" xr:uid="{C62B0FCC-40A6-436A-9C00-1B0DADA2CB68}"/>
  <sortState xmlns:xlrd2="http://schemas.microsoft.com/office/spreadsheetml/2017/richdata2" ref="M5:Q19">
    <sortCondition ref="N4"/>
  </sortState>
  <tableColumns count="5">
    <tableColumn id="1" xr3:uid="{F2CBA797-94EE-4D28-B71A-451746E9BD9A}" name="DESCRIPCIÓN" dataDxfId="72"/>
    <tableColumn id="2" xr3:uid="{7B9E04F0-C7BA-4019-BBEB-D8DFBD163D56}" name="CÓDIGO" dataDxfId="71"/>
    <tableColumn id="3" xr3:uid="{63820137-8131-4DE7-8922-6629C43A3483}" name="UNIDAD" dataDxfId="70"/>
    <tableColumn id="4" xr3:uid="{56FEF2AA-D2D7-4F34-B489-6667175630F6}" name="PRECIO" dataDxfId="69"/>
    <tableColumn id="5" xr3:uid="{E1D7E4DD-159A-426F-8BD7-4DCF68448A1D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A01C739-126C-4207-9576-BC0BD9E3BB78}" name="T_trans" displayName="T_trans" ref="S4:W11" totalsRowShown="0" headerRowDxfId="68">
  <autoFilter ref="S4:W11" xr:uid="{4A01C739-126C-4207-9576-BC0BD9E3BB78}"/>
  <sortState xmlns:xlrd2="http://schemas.microsoft.com/office/spreadsheetml/2017/richdata2" ref="S5:W15">
    <sortCondition ref="T4:T15"/>
  </sortState>
  <tableColumns count="5">
    <tableColumn id="1" xr3:uid="{2AEB0B0C-C408-492C-9A09-F5F8FC2A25F8}" name="DESCRIPCIÓN" dataDxfId="67"/>
    <tableColumn id="2" xr3:uid="{2145C28D-6015-4C67-AA70-A9F66E3BC51E}" name="CÓDIGO" dataDxfId="66"/>
    <tableColumn id="3" xr3:uid="{95EEAA32-CEED-48FA-BCA5-8CAA7A228419}" name="UNIDAD" dataDxfId="65"/>
    <tableColumn id="4" xr3:uid="{319E256F-7BAD-418B-9007-D689A9792DD1}" name="PRECIO" dataDxfId="64"/>
    <tableColumn id="5" xr3:uid="{97DA1BFE-048F-40B6-ADA3-70560DBB17F5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A5432880-8865-4B3A-978A-BD849B922033}" name="T_sub" displayName="T_sub" ref="Y4:AC11" totalsRowShown="0" headerRowDxfId="63">
  <autoFilter ref="Y4:AC11" xr:uid="{A5432880-8865-4B3A-978A-BD849B922033}"/>
  <sortState xmlns:xlrd2="http://schemas.microsoft.com/office/spreadsheetml/2017/richdata2" ref="Y5:AC18">
    <sortCondition ref="Z4"/>
  </sortState>
  <tableColumns count="5">
    <tableColumn id="1" xr3:uid="{8D8E4EAA-4491-4EED-88C7-C9BDB4B26246}" name="DESCRIPCIÓN" dataDxfId="62"/>
    <tableColumn id="2" xr3:uid="{438C3BD0-BBD1-4FB8-93C5-428B33201018}" name="CÓDIGO" dataDxfId="61"/>
    <tableColumn id="3" xr3:uid="{EEEE5F1F-7A17-4722-AB8C-420243ED3BB2}" name="UNIDAD" dataDxfId="60"/>
    <tableColumn id="4" xr3:uid="{355C15AB-AF4C-4AB1-BA52-B14B62B7EBCA}" name="PRECIO" dataDxfId="59"/>
    <tableColumn id="5" xr3:uid="{B00511E6-EFBC-4D21-84F8-8C49BA4FE513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739D248-1CFE-45E0-9847-56BD96B9EE83}" name="T_otros" displayName="T_otros" ref="AK4:AO11" totalsRowShown="0" headerRowDxfId="58">
  <autoFilter ref="AK4:AO11" xr:uid="{B739D248-1CFE-45E0-9847-56BD96B9EE83}"/>
  <sortState xmlns:xlrd2="http://schemas.microsoft.com/office/spreadsheetml/2017/richdata2" ref="AK5:AO18">
    <sortCondition ref="AL4"/>
  </sortState>
  <tableColumns count="5">
    <tableColumn id="1" xr3:uid="{D6548293-8989-4930-AE69-5F63E1B3D1A3}" name="DESCRIPCIÓN" dataDxfId="57"/>
    <tableColumn id="2" xr3:uid="{143A1EEA-0171-4165-99BD-824BE52A9EE0}" name="CÓDIGO" dataDxfId="56"/>
    <tableColumn id="3" xr3:uid="{6A072377-9FF0-4605-826E-0D846913BA76}" name="UNIDAD" dataDxfId="55"/>
    <tableColumn id="4" xr3:uid="{B8FAC444-105C-44EE-84E7-4889E19CE18A}" name="PRECIO" dataDxfId="54"/>
    <tableColumn id="5" xr3:uid="{23E09B9A-A3A4-40E1-9AC3-4CB3CE9C25C0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1F9E8E9-CC8E-43CE-A714-B7CAB66EA4AB}" name="T_act" displayName="T_act" ref="AE4:AI11" totalsRowShown="0" headerRowDxfId="53">
  <autoFilter ref="AE4:AI11" xr:uid="{21F9E8E9-CC8E-43CE-A714-B7CAB66EA4AB}"/>
  <sortState xmlns:xlrd2="http://schemas.microsoft.com/office/spreadsheetml/2017/richdata2" ref="AE5:AI15">
    <sortCondition ref="AE4:AE15"/>
  </sortState>
  <tableColumns count="5">
    <tableColumn id="1" xr3:uid="{2147C246-D0D3-4B82-B1D8-A1C9DC7EF9BD}" name="DESCRIPCIÓN" dataDxfId="52"/>
    <tableColumn id="2" xr3:uid="{8500ADDA-C99C-4F2C-AC88-A2FEC5186EB5}" name="CÓDIGO" dataDxfId="51"/>
    <tableColumn id="3" xr3:uid="{FBA0302F-FFE3-469B-B070-11A8088411E6}" name="UNIDAD" dataDxfId="50"/>
    <tableColumn id="4" xr3:uid="{B24F42C8-3E3B-416B-9D01-3D9F14E8485C}" name="PRECIO" dataDxfId="49"/>
    <tableColumn id="5" xr3:uid="{6E8D1E3E-9FEB-46DE-B4A6-B1CC58083EB7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C68E40-E685-4420-A4DB-5C0BDB2736F7}" name="Tabla3" displayName="Tabla3" ref="A4:H8" totalsRowCount="1">
  <autoFilter ref="A4:H7" xr:uid="{4EC68E40-E685-4420-A4DB-5C0BDB2736F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A3C9944-662C-433B-84AF-B918982CD629}" name="TIPO" totalsRowLabel="Total"/>
    <tableColumn id="2" xr3:uid="{4E95E733-35D5-457B-B0DA-E27722F43839}" name="CÓDIGO"/>
    <tableColumn id="3" xr3:uid="{1BD15A55-D96A-4882-88CA-08810E362C5C}" name="DESCRIPCIÓN"/>
    <tableColumn id="4" xr3:uid="{E8ECE3DA-FCC1-4815-9593-6F21A01FCE8D}" name="UNIDAD" dataDxfId="48"/>
    <tableColumn id="5" xr3:uid="{55A0C46D-C130-4B32-AE32-3308B9735298}" name="FACTOR" dataDxfId="47">
      <calculatedColumnFormula>1</calculatedColumnFormula>
    </tableColumn>
    <tableColumn id="6" xr3:uid="{3F3535B0-0D98-4C2D-B53B-23CBCD31CD22}" name="CANTIDAD" dataDxfId="46"/>
    <tableColumn id="7" xr3:uid="{A21971BB-81EE-46C6-8BE6-4E41756D8459}" name="PRECIO" dataDxfId="45" totalsRowDxfId="1"/>
    <tableColumn id="8" xr3:uid="{7E499919-42A5-45F3-B717-CF2DA2EF7A4B}" name="TOTAL" totalsRowFunction="custom" dataDxfId="44" totalsRowDxfId="0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42A5B8-7312-432A-869A-ABBDDC0CBDD5}" name="Tabla2" displayName="Tabla2" ref="A4:H8" totalsRowCount="1">
  <autoFilter ref="A4:H7" xr:uid="{C642A5B8-7312-432A-869A-ABBDDC0CBD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B4F344-3F43-4FC9-A3D0-34CCF598912B}" name="TIPO" totalsRowLabel="Total"/>
    <tableColumn id="2" xr3:uid="{BB1E99E8-FE58-4EEB-9119-2128DB7C2FF6}" name="CÓDIGO"/>
    <tableColumn id="3" xr3:uid="{998C4CC4-8134-4AED-A5D4-637F98A11395}" name="DESCRIPCIÓN"/>
    <tableColumn id="4" xr3:uid="{BEF73A72-7871-4480-A33A-71D6BC3552AA}" name="UNIDAD" dataDxfId="43"/>
    <tableColumn id="5" xr3:uid="{DBD40948-B6FA-4DD7-B224-B2D640CA61FD}" name="FACTOR" dataDxfId="42">
      <calculatedColumnFormula>1</calculatedColumnFormula>
    </tableColumn>
    <tableColumn id="6" xr3:uid="{04B14061-8B8F-4DFC-8714-F30C5E92AF22}" name="CANTIDAD" dataDxfId="41"/>
    <tableColumn id="7" xr3:uid="{A08CEE38-C86C-40CD-A509-640EEA252A2E}" name="PRECIO" dataDxfId="40" totalsRowDxfId="12"/>
    <tableColumn id="8" xr3:uid="{4B816A2E-1DE1-4B32-8E9C-5EA6C8EE7C10}" name="TOTAL" totalsRowFunction="custom" dataDxfId="39" totalsRowDxfId="11">
      <calculatedColumnFormula>Tabla2[[#This Row],[CANTIDAD]]*Tabla2[[#This Row],[PRECIO]]*Tabla2[[#This Row],[FACTOR]]</calculatedColumnFormula>
      <totalsRowFormula>SUM(Tabla2[TOTAL])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EBC984FA-795A-48B4-AB33-45C140001792}" name="Tabla4" displayName="Tabla4" ref="A12:H16" totalsRowCount="1">
  <autoFilter ref="A12:H15" xr:uid="{EBC984FA-795A-48B4-AB33-45C1400017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F4D6EF9-FC90-4091-A4AA-41C2B0A44D9D}" name="TIPO" totalsRowLabel="Total"/>
    <tableColumn id="2" xr3:uid="{CF5186C2-5B52-4C9E-8061-C3F9DF4D52C3}" name="CÓDIGO"/>
    <tableColumn id="3" xr3:uid="{D923BD1F-4D33-49D3-A896-02747C26A61A}" name="DESCRIPCIÓN"/>
    <tableColumn id="4" xr3:uid="{D486F00F-B43E-492F-BAD7-7C2A83BF100C}" name="UNIDAD" dataDxfId="38"/>
    <tableColumn id="5" xr3:uid="{EB6AF789-B140-4D7E-9792-60032AF05825}" name="FACTOR" dataDxfId="37">
      <calculatedColumnFormula>1</calculatedColumnFormula>
    </tableColumn>
    <tableColumn id="6" xr3:uid="{2CD98DD1-3284-4204-A771-2862BA8DF3AD}" name="CANTIDAD" dataDxfId="36"/>
    <tableColumn id="7" xr3:uid="{1BF31B57-C6D1-45B1-945F-D13777443657}" name="PRECIO" dataDxfId="35" totalsRowDxfId="10"/>
    <tableColumn id="8" xr3:uid="{57DDEE7E-C1CE-412E-B405-1AB84F766E0F}" name="TOTAL" totalsRowFunction="custom" dataDxfId="34" totalsRowDxfId="9">
      <calculatedColumnFormula>Tabla4[[#This Row],[CANTIDAD]]*Tabla4[[#This Row],[PRECIO]]*Tabla4[[#This Row],[FACTOR]]</calculatedColumnFormula>
      <totalsRowFormula>SUM(Tabla4[TOTAL])</totalsRowFormula>
    </tableColumn>
  </tableColumns>
  <tableStyleInfo name="S5S 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8A7EA69-4135-4452-B267-F84AC42681C9}" name="Tabla7" displayName="Tabla7" ref="B4:H10" totalsRowCount="1" headerRowDxfId="33" dataDxfId="32" totalsRowDxfId="31">
  <autoFilter ref="B4:H9" xr:uid="{E8A7EA69-4135-4452-B267-F84AC42681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2D2FAA5-5C83-4DEB-B038-CCBE7E15236E}" name="CÓDIGO" totalsRowLabel="Total" dataDxfId="30" totalsRowDxfId="8"/>
    <tableColumn id="2" xr3:uid="{9DC8A627-983A-4DCA-8317-9AC7451F1BC6}" name="DESCRIPCIÓN" dataDxfId="29" totalsRowDxfId="7"/>
    <tableColumn id="3" xr3:uid="{C6F5399D-B9FC-4800-B42C-46BBEFB871E6}" name="UNIDAD" dataDxfId="28" totalsRowDxfId="6"/>
    <tableColumn id="4" xr3:uid="{BE958665-2C75-4E12-99B1-B5B61E06E5E3}" name="FACTOR" dataDxfId="27" totalsRowDxfId="5"/>
    <tableColumn id="5" xr3:uid="{2AD5847F-0E49-4D4A-8FBB-16013085747E}" name="CANTIDAD" dataDxfId="26" totalsRowDxfId="4"/>
    <tableColumn id="6" xr3:uid="{FFB515F8-4A4F-4EBA-8AF2-D9D12B69B2EE}" name="COSTO" dataDxfId="25" totalsRowDxfId="3"/>
    <tableColumn id="7" xr3:uid="{62B57DFF-044B-4DE6-B413-EA55D7453F29}" name="TOTAL" totalsRowFunction="custom" dataDxfId="24" totalsRowDxfId="2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B49F080-D76F-476B-80CF-812DDEA0B4DE}" name="Tabla12" displayName="Tabla12" ref="B14:E18" totalsRowShown="0" headerRowDxfId="23" dataDxfId="22">
  <autoFilter ref="B14:E18" xr:uid="{9B49F080-D76F-476B-80CF-812DDEA0B4DE}">
    <filterColumn colId="0" hiddenButton="1"/>
    <filterColumn colId="1" hiddenButton="1"/>
    <filterColumn colId="2" hiddenButton="1"/>
    <filterColumn colId="3" hiddenButton="1"/>
  </autoFilter>
  <tableColumns count="4">
    <tableColumn id="1" xr3:uid="{4F99667C-CB80-482C-BD13-3B1DE6F6BE65}" name="CÓD" dataDxfId="21"/>
    <tableColumn id="2" xr3:uid="{3127F08B-D5D6-4319-AD6F-FD1FE7ACF471}" name="CAPÍTULO" dataDxfId="20"/>
    <tableColumn id="3" xr3:uid="{19890B8F-ED82-4E3C-82A8-F3C0B493ABC4}" name="PORCENTAJE" dataDxfId="19"/>
    <tableColumn id="4" xr3:uid="{7E2EBEE7-79FE-4F2A-89A2-4AC0219381BB}" name="SUBTOTAL" dataDxfId="18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F99F7C7-B204-4ADE-99C3-82C50ACC0638}" name="Tabla13" displayName="Tabla13" ref="C21:E28" totalsRowShown="0" headerRowDxfId="17" dataDxfId="16">
  <autoFilter ref="C21:E28" xr:uid="{1F99F7C7-B204-4ADE-99C3-82C50ACC0638}">
    <filterColumn colId="0" hiddenButton="1"/>
    <filterColumn colId="1" hiddenButton="1"/>
    <filterColumn colId="2" hiddenButton="1"/>
  </autoFilter>
  <tableColumns count="3">
    <tableColumn id="1" xr3:uid="{DAF4BD9E-F960-4779-8B10-83CBAA052337}" name="DESCRIPCIÓN" dataDxfId="15"/>
    <tableColumn id="2" xr3:uid="{BEACBF04-632D-4F0D-BB72-A4D383AEADBE}" name="PORCENTAJE" dataDxfId="14"/>
    <tableColumn id="3" xr3:uid="{33D2A3CD-F9A9-4A06-A1AD-F491D5A06B0C}" name="SUBTOTAL" dataDxfId="13"/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113" dataDxfId="111" headerRowBorderDxfId="112" tableBorderDxfId="110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109" totalsRowDxfId="108"/>
    <tableColumn id="2" xr3:uid="{00000000-0010-0000-0C00-000002000000}" name="CÓDIGO" totalsRowDxfId="107"/>
    <tableColumn id="3" xr3:uid="{00000000-0010-0000-0C00-000003000000}" name="UNIDAD " totalsRowDxfId="106"/>
    <tableColumn id="4" xr3:uid="{00000000-0010-0000-0C00-000004000000}" name="COSTO" dataDxfId="105" totalsRowDxfId="104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103" dataDxfId="102" tableBorderDxfId="101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100" totalsRowDxfId="99"/>
    <tableColumn id="2" xr3:uid="{00000000-0010-0000-0D00-000002000000}" name="CÓDIGO" totalsRowDxfId="98"/>
    <tableColumn id="3" xr3:uid="{00000000-0010-0000-0D00-000003000000}" name="UNIDAD " totalsRowDxfId="97"/>
    <tableColumn id="4" xr3:uid="{00000000-0010-0000-0D00-000004000000}" name="COSTO" dataDxfId="96" totalsRowDxfId="95"/>
  </tableColumns>
  <tableStyleInfo name="S5S 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94" totalsRowDxfId="93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88"/>
    <tableColumn id="2" xr3:uid="{00000000-0010-0000-0E00-000002000000}" name="UNIDAD" dataDxfId="92" totalsRowDxfId="87"/>
    <tableColumn id="3" xr3:uid="{00000000-0010-0000-0E00-000003000000}" name="PRECIO" dataDxfId="91" totalsRowDxfId="86"/>
    <tableColumn id="4" xr3:uid="{00000000-0010-0000-0E00-000004000000}" name="CANTIDAD" dataDxfId="90" totalsRowDxfId="85"/>
    <tableColumn id="5" xr3:uid="{00000000-0010-0000-0E00-000005000000}" name="TOTAL" totalsRowFunction="sum" dataDxfId="89" totalsRowDxfId="84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2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65" t="s">
        <v>34</v>
      </c>
      <c r="B1" s="65"/>
      <c r="C1" s="65"/>
      <c r="D1" s="65"/>
      <c r="E1" s="65"/>
    </row>
    <row r="2" spans="1:43" ht="3" customHeight="1" thickBot="1" x14ac:dyDescent="0.35"/>
    <row r="3" spans="1:43" ht="18.600000000000001" thickBot="1" x14ac:dyDescent="0.4">
      <c r="A3" s="66" t="s">
        <v>4</v>
      </c>
      <c r="B3" s="67"/>
      <c r="C3" s="67"/>
      <c r="D3" s="67"/>
      <c r="E3" s="68"/>
      <c r="G3" s="66" t="s">
        <v>5</v>
      </c>
      <c r="H3" s="67"/>
      <c r="I3" s="67"/>
      <c r="J3" s="67"/>
      <c r="K3" s="68"/>
      <c r="M3" s="66" t="s">
        <v>6</v>
      </c>
      <c r="N3" s="67"/>
      <c r="O3" s="67"/>
      <c r="P3" s="67"/>
      <c r="Q3" s="68"/>
      <c r="S3" s="66" t="s">
        <v>7</v>
      </c>
      <c r="T3" s="67"/>
      <c r="U3" s="67"/>
      <c r="V3" s="67"/>
      <c r="W3" s="68"/>
      <c r="Y3" s="66" t="s">
        <v>8</v>
      </c>
      <c r="Z3" s="67"/>
      <c r="AA3" s="67"/>
      <c r="AB3" s="67"/>
      <c r="AC3" s="68"/>
      <c r="AD3" s="18"/>
      <c r="AE3" s="66" t="s">
        <v>9</v>
      </c>
      <c r="AF3" s="67"/>
      <c r="AG3" s="67"/>
      <c r="AH3" s="67"/>
      <c r="AI3" s="68"/>
      <c r="AK3" s="66" t="s">
        <v>10</v>
      </c>
      <c r="AL3" s="67"/>
      <c r="AM3" s="67"/>
      <c r="AN3" s="67"/>
      <c r="AO3" s="68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49</v>
      </c>
      <c r="B5" s="20"/>
      <c r="C5" s="21" t="s">
        <v>50</v>
      </c>
      <c r="D5" s="45">
        <v>2694</v>
      </c>
      <c r="E5" s="47"/>
      <c r="G5" s="20" t="s">
        <v>41</v>
      </c>
      <c r="H5" s="20"/>
      <c r="I5" s="21" t="s">
        <v>42</v>
      </c>
      <c r="J5" s="45">
        <v>100000</v>
      </c>
      <c r="K5" s="47"/>
      <c r="M5" s="20" t="s">
        <v>55</v>
      </c>
      <c r="N5" s="20"/>
      <c r="O5" s="21" t="s">
        <v>56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43</v>
      </c>
      <c r="B6" s="20"/>
      <c r="C6" s="21" t="s">
        <v>44</v>
      </c>
      <c r="D6" s="45">
        <v>25</v>
      </c>
      <c r="E6" s="22"/>
      <c r="G6" s="20" t="s">
        <v>57</v>
      </c>
      <c r="H6" s="20"/>
      <c r="I6" s="21" t="s">
        <v>58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51</v>
      </c>
      <c r="B7" s="20"/>
      <c r="C7" s="21" t="s">
        <v>50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52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53</v>
      </c>
      <c r="B9" s="20"/>
      <c r="C9" s="21" t="s">
        <v>50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54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22"/>
  <sheetViews>
    <sheetView showGridLines="0" tabSelected="1" zoomScale="110" zoomScaleNormal="110" zoomScaleSheetLayoutView="110" workbookViewId="0">
      <selection activeCell="H5" sqref="H5"/>
    </sheetView>
  </sheetViews>
  <sheetFormatPr baseColWidth="10" defaultRowHeight="14.4" outlineLevelRow="1" x14ac:dyDescent="0.3"/>
  <cols>
    <col min="1" max="1" width="11.77734375" bestFit="1" customWidth="1"/>
    <col min="2" max="2" width="7.77734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7" width="8.77734375" style="19" bestFit="1" customWidth="1"/>
    <col min="8" max="8" width="10.21875" style="19" bestFit="1" customWidth="1"/>
    <col min="9" max="9" width="1.33203125" customWidth="1"/>
  </cols>
  <sheetData>
    <row r="1" spans="1:8" ht="30" customHeight="1" x14ac:dyDescent="0.3">
      <c r="A1" s="69" t="s">
        <v>35</v>
      </c>
      <c r="B1" s="69"/>
      <c r="C1" s="69"/>
      <c r="D1" s="69"/>
      <c r="E1" s="69"/>
      <c r="F1" s="69"/>
      <c r="G1" s="69"/>
      <c r="H1" s="69"/>
    </row>
    <row r="2" spans="1:8" ht="15" thickBot="1" x14ac:dyDescent="0.35">
      <c r="G2"/>
      <c r="H2"/>
    </row>
    <row r="3" spans="1:8" ht="15" thickBot="1" x14ac:dyDescent="0.35">
      <c r="A3" s="55" t="s">
        <v>19</v>
      </c>
      <c r="B3" s="78" t="s">
        <v>60</v>
      </c>
      <c r="C3" s="78"/>
      <c r="D3" s="78"/>
      <c r="E3" s="78"/>
      <c r="F3" s="78"/>
      <c r="G3" s="78"/>
      <c r="H3" s="56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</v>
      </c>
      <c r="B5">
        <f>VLOOKUP(Tabla3[[#This Row],[DESCRIPCIÓN]],T_mat[[DESCRIPCIÓN]:[PRECIO]],2,FALSE)</f>
        <v>0</v>
      </c>
      <c r="C5" t="s">
        <v>52</v>
      </c>
      <c r="D5" s="18" t="str">
        <f>VLOOKUP(Tabla3[[#This Row],[DESCRIPCIÓN]],T_mat[[DESCRIPCIÓN]:[PRECIO]],3,FALSE)</f>
        <v>m3</v>
      </c>
      <c r="E5">
        <v>1</v>
      </c>
      <c r="F5">
        <v>20</v>
      </c>
      <c r="G5" s="35">
        <f>VLOOKUP(Tabla3[[#This Row],[DESCRIPCIÓN]],T_mat[[DESCRIPCIÓN]:[PRECIO]],4,FALSE)</f>
        <v>285000</v>
      </c>
      <c r="H5" s="35"/>
    </row>
    <row r="6" spans="1:8" outlineLevel="1" x14ac:dyDescent="0.3">
      <c r="D6" s="18"/>
      <c r="E6">
        <v>1</v>
      </c>
      <c r="G6" s="35"/>
      <c r="H6" s="35">
        <v>0</v>
      </c>
    </row>
    <row r="7" spans="1:8" outlineLevel="1" x14ac:dyDescent="0.3">
      <c r="D7" s="18"/>
      <c r="E7">
        <v>1</v>
      </c>
      <c r="G7" s="35"/>
      <c r="H7" s="35">
        <v>0</v>
      </c>
    </row>
    <row r="8" spans="1:8" x14ac:dyDescent="0.3">
      <c r="A8" t="s">
        <v>18</v>
      </c>
      <c r="G8" s="35"/>
      <c r="H8" s="35">
        <f>SUM(Tabla3[TOTAL])</f>
        <v>0</v>
      </c>
    </row>
    <row r="9" spans="1:8" x14ac:dyDescent="0.3">
      <c r="G9"/>
      <c r="H9"/>
    </row>
    <row r="10" spans="1:8" x14ac:dyDescent="0.3">
      <c r="G10"/>
      <c r="H10"/>
    </row>
    <row r="11" spans="1:8" x14ac:dyDescent="0.3">
      <c r="G11"/>
      <c r="H11"/>
    </row>
    <row r="12" spans="1:8" x14ac:dyDescent="0.3">
      <c r="G12"/>
      <c r="H12"/>
    </row>
    <row r="13" spans="1:8" x14ac:dyDescent="0.3">
      <c r="G13"/>
      <c r="H13"/>
    </row>
    <row r="14" spans="1:8" x14ac:dyDescent="0.3">
      <c r="G14"/>
      <c r="H14"/>
    </row>
    <row r="15" spans="1:8" x14ac:dyDescent="0.3">
      <c r="G15"/>
      <c r="H15"/>
    </row>
    <row r="16" spans="1:8" x14ac:dyDescent="0.3">
      <c r="G16"/>
      <c r="H16"/>
    </row>
    <row r="17" spans="7:8" x14ac:dyDescent="0.3">
      <c r="G17"/>
      <c r="H17"/>
    </row>
    <row r="18" spans="7:8" x14ac:dyDescent="0.3">
      <c r="G18"/>
      <c r="H18"/>
    </row>
    <row r="19" spans="7:8" x14ac:dyDescent="0.3">
      <c r="G19"/>
      <c r="H19"/>
    </row>
    <row r="20" spans="7:8" x14ac:dyDescent="0.3">
      <c r="G20"/>
      <c r="H20"/>
    </row>
    <row r="21" spans="7:8" x14ac:dyDescent="0.3">
      <c r="G21"/>
      <c r="H21"/>
    </row>
    <row r="22" spans="7:8" x14ac:dyDescent="0.3">
      <c r="G22"/>
      <c r="H22"/>
    </row>
  </sheetData>
  <mergeCells count="1">
    <mergeCell ref="A1:H1"/>
  </mergeCells>
  <dataValidations count="2">
    <dataValidation type="list" allowBlank="1" showInputMessage="1" showErrorMessage="1" sqref="A5:A7" xr:uid="{9FE734AC-0041-4339-B7FB-5ACF8EE9E6E5}">
      <formula1>"MATERIALES,EQUIPOS,MANO DE OBRA,TRANSPORTE,SUBCONTRATOS,ACTIVIDADES,OTROS"</formula1>
    </dataValidation>
    <dataValidation type="list" allowBlank="1" showInputMessage="1" showErrorMessage="1" sqref="C5" xr:uid="{17708FC6-D747-4B01-A922-9832A546BB41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32"/>
  <sheetViews>
    <sheetView showGridLines="0" showWhiteSpace="0" zoomScale="110" zoomScaleNormal="110" zoomScaleSheetLayoutView="110" workbookViewId="0">
      <selection activeCell="K10" sqref="A6:K10"/>
    </sheetView>
  </sheetViews>
  <sheetFormatPr baseColWidth="10" defaultColWidth="11.44140625" defaultRowHeight="14.4" outlineLevelRow="1" x14ac:dyDescent="0.3"/>
  <cols>
    <col min="1" max="1" width="12.44140625" bestFit="1" customWidth="1"/>
    <col min="2" max="2" width="14.109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7" width="10.21875" style="19" bestFit="1" customWidth="1"/>
    <col min="8" max="8" width="12.21875" style="19" bestFit="1" customWidth="1"/>
    <col min="9" max="9" width="1.33203125" customWidth="1"/>
  </cols>
  <sheetData>
    <row r="1" spans="1:8" ht="30" customHeight="1" x14ac:dyDescent="0.3">
      <c r="A1" s="69" t="s">
        <v>36</v>
      </c>
      <c r="B1" s="69"/>
      <c r="C1" s="69"/>
      <c r="D1" s="69"/>
      <c r="E1" s="69"/>
      <c r="F1" s="69"/>
      <c r="G1" s="69"/>
      <c r="H1" s="69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7" t="s">
        <v>19</v>
      </c>
      <c r="B3" s="70" t="s">
        <v>48</v>
      </c>
      <c r="C3" s="71"/>
      <c r="D3" s="71"/>
      <c r="E3" s="71"/>
      <c r="F3" s="71"/>
      <c r="G3" s="72"/>
      <c r="H3" s="59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46</v>
      </c>
      <c r="B5" t="str">
        <f>VLOOKUP(Tabla2[[#This Row],[DESCRIPCIÓN]],T_basico[[DESCRIPCIÓN]:[COSTO]],2,FALSE)</f>
        <v>CÓD</v>
      </c>
      <c r="C5" t="s">
        <v>60</v>
      </c>
      <c r="D5" s="18" t="str">
        <f>VLOOKUP(Tabla2[[#This Row],[DESCRIPCIÓN]],T_basico[[DESCRIPCIÓN]:[COSTO]],3,FALSE)</f>
        <v>UND</v>
      </c>
      <c r="E5">
        <v>1</v>
      </c>
      <c r="F5">
        <v>20</v>
      </c>
      <c r="G5" s="35">
        <f>VLOOKUP(Tabla2[[#This Row],[DESCRIPCIÓN]],T_basico[[DESCRIPCIÓN]:[COSTO]],4,FALSE)</f>
        <v>0</v>
      </c>
      <c r="H5" s="35">
        <f>Tabla2[[#This Row],[CANTIDAD]]*Tabla2[[#This Row],[PRECIO]]*Tabla2[[#This Row],[FACTOR]]</f>
        <v>0</v>
      </c>
    </row>
    <row r="6" spans="1:8" outlineLevel="1" x14ac:dyDescent="0.3">
      <c r="D6" s="18"/>
      <c r="E6">
        <v>1</v>
      </c>
      <c r="G6" s="35"/>
      <c r="H6" s="35">
        <v>0</v>
      </c>
    </row>
    <row r="7" spans="1:8" outlineLevel="1" x14ac:dyDescent="0.3">
      <c r="D7" s="18"/>
      <c r="E7">
        <v>1</v>
      </c>
      <c r="G7" s="35"/>
      <c r="H7" s="35">
        <v>0</v>
      </c>
    </row>
    <row r="8" spans="1:8" x14ac:dyDescent="0.3">
      <c r="A8" t="s">
        <v>18</v>
      </c>
      <c r="G8" s="35"/>
      <c r="H8" s="35">
        <f>SUM(Tabla2[TOTAL])</f>
        <v>0</v>
      </c>
    </row>
    <row r="9" spans="1:8" x14ac:dyDescent="0.3">
      <c r="G9"/>
      <c r="H9"/>
    </row>
    <row r="10" spans="1:8" ht="15" thickBot="1" x14ac:dyDescent="0.35">
      <c r="G10"/>
      <c r="H10"/>
    </row>
    <row r="11" spans="1:8" ht="15" thickBot="1" x14ac:dyDescent="0.35">
      <c r="A11" s="57" t="s">
        <v>19</v>
      </c>
      <c r="B11" s="58" t="s">
        <v>40</v>
      </c>
      <c r="C11" s="58"/>
      <c r="D11" s="58"/>
      <c r="E11" s="58"/>
      <c r="F11" s="58"/>
      <c r="G11" s="58"/>
      <c r="H11" s="59" t="s">
        <v>38</v>
      </c>
    </row>
    <row r="12" spans="1:8" outlineLevel="1" x14ac:dyDescent="0.3">
      <c r="A12" t="s">
        <v>14</v>
      </c>
      <c r="B12" t="s">
        <v>0</v>
      </c>
      <c r="C12" t="s">
        <v>1</v>
      </c>
      <c r="D12" t="s">
        <v>11</v>
      </c>
      <c r="E12" t="s">
        <v>15</v>
      </c>
      <c r="F12" t="s">
        <v>16</v>
      </c>
      <c r="G12" t="s">
        <v>12</v>
      </c>
      <c r="H12" t="s">
        <v>17</v>
      </c>
    </row>
    <row r="13" spans="1:8" outlineLevel="1" x14ac:dyDescent="0.3">
      <c r="A13" s="25" t="s">
        <v>4</v>
      </c>
      <c r="B13">
        <f>VLOOKUP(Tabla4[[#This Row],[DESCRIPCIÓN]],T_mat[[DESCRIPCIÓN]:[PRECIO]],2,FALSE)</f>
        <v>0</v>
      </c>
      <c r="C13" t="s">
        <v>53</v>
      </c>
      <c r="D13" s="18" t="str">
        <f>VLOOKUP(Tabla4[[#This Row],[DESCRIPCIÓN]],T_mat[[DESCRIPCIÓN]:[PRECIO]],3,FALSE)</f>
        <v>kg</v>
      </c>
      <c r="E13">
        <v>1</v>
      </c>
      <c r="G13" s="35">
        <f>VLOOKUP(Tabla4[[#This Row],[DESCRIPCIÓN]],T_mat[[DESCRIPCIÓN]:[PRECIO]],4,FALSE)</f>
        <v>486</v>
      </c>
      <c r="H13" s="35">
        <f>Tabla4[[#This Row],[CANTIDAD]]*Tabla4[[#This Row],[PRECIO]]*Tabla4[[#This Row],[FACTOR]]</f>
        <v>0</v>
      </c>
    </row>
    <row r="14" spans="1:8" outlineLevel="1" x14ac:dyDescent="0.3">
      <c r="D14" s="18"/>
      <c r="E14">
        <v>1</v>
      </c>
      <c r="G14" s="35"/>
      <c r="H14" s="35">
        <v>0</v>
      </c>
    </row>
    <row r="15" spans="1:8" outlineLevel="1" x14ac:dyDescent="0.3">
      <c r="D15" s="18"/>
      <c r="E15">
        <v>1</v>
      </c>
      <c r="G15" s="35"/>
      <c r="H15" s="35">
        <v>0</v>
      </c>
    </row>
    <row r="16" spans="1:8" x14ac:dyDescent="0.3">
      <c r="A16" t="s">
        <v>18</v>
      </c>
      <c r="G16" s="35"/>
      <c r="H16" s="35">
        <f>SUM(Tabla4[TOTAL])</f>
        <v>0</v>
      </c>
    </row>
    <row r="17" spans="1:8" x14ac:dyDescent="0.3">
      <c r="G17"/>
      <c r="H17"/>
    </row>
    <row r="18" spans="1:8" x14ac:dyDescent="0.3">
      <c r="G18"/>
      <c r="H18"/>
    </row>
    <row r="19" spans="1:8" x14ac:dyDescent="0.3">
      <c r="G19"/>
      <c r="H19"/>
    </row>
    <row r="20" spans="1:8" x14ac:dyDescent="0.3">
      <c r="G20"/>
      <c r="H20"/>
    </row>
    <row r="21" spans="1:8" x14ac:dyDescent="0.3">
      <c r="G21"/>
      <c r="H21"/>
    </row>
    <row r="22" spans="1:8" x14ac:dyDescent="0.3">
      <c r="G22"/>
      <c r="H22"/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A28" s="33"/>
      <c r="B28" s="34"/>
      <c r="C28" s="48"/>
      <c r="D28" s="48"/>
      <c r="E28" s="33"/>
      <c r="F28" s="33"/>
      <c r="G28" s="33"/>
      <c r="H28" s="49"/>
    </row>
    <row r="29" spans="1:8" x14ac:dyDescent="0.3">
      <c r="A29" s="33"/>
      <c r="B29" s="34"/>
      <c r="C29" s="48"/>
      <c r="D29" s="48"/>
      <c r="E29" s="33"/>
      <c r="F29" s="33"/>
      <c r="G29" s="33"/>
      <c r="H29" s="49"/>
    </row>
    <row r="30" spans="1:8" x14ac:dyDescent="0.3">
      <c r="G30"/>
      <c r="H30"/>
    </row>
    <row r="31" spans="1:8" x14ac:dyDescent="0.3">
      <c r="A31" s="33"/>
      <c r="B31" s="34"/>
      <c r="C31" s="48"/>
      <c r="D31" s="48"/>
      <c r="E31" s="33"/>
      <c r="F31" s="33"/>
      <c r="G31" s="33"/>
      <c r="H31" s="49"/>
    </row>
    <row r="32" spans="1:8" x14ac:dyDescent="0.3">
      <c r="A32" s="33"/>
      <c r="B32" s="34"/>
      <c r="C32" s="48"/>
      <c r="D32" s="48"/>
      <c r="E32" s="33"/>
      <c r="F32" s="33"/>
      <c r="G32" s="33"/>
      <c r="H32" s="49"/>
    </row>
  </sheetData>
  <mergeCells count="2">
    <mergeCell ref="A1:H1"/>
    <mergeCell ref="B3:G3"/>
  </mergeCells>
  <dataValidations count="3">
    <dataValidation type="list" allowBlank="1" showInputMessage="1" showErrorMessage="1" sqref="A5:A7 A13:A15" xr:uid="{459FA9EE-B944-4859-8742-E33412B95485}">
      <formula1>"MATERIALES,EQUIPOS,MANO DE OBRA,TRANSPORTE,SUBCONTRATOS,ACTIVIDADES,OTROS,APU BÁSICOS"</formula1>
    </dataValidation>
    <dataValidation type="list" allowBlank="1" showInputMessage="1" showErrorMessage="1" sqref="C5" xr:uid="{BC5D6ED1-F1A4-4B1B-9392-7188ED145A7D}">
      <formula1>BÁSICOS</formula1>
    </dataValidation>
    <dataValidation type="list" allowBlank="1" showInputMessage="1" showErrorMessage="1" sqref="C13" xr:uid="{E4230913-DF72-4952-8B2A-506913493688}">
      <formula1>MATERIALES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F5" sqref="F5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4.5546875" style="37" bestFit="1" customWidth="1"/>
    <col min="5" max="5" width="14.88671875" style="38" bestFit="1" customWidth="1"/>
    <col min="6" max="6" width="14.21875" style="38" bestFit="1" customWidth="1"/>
    <col min="7" max="7" width="22.6640625" style="38" customWidth="1"/>
    <col min="8" max="8" width="14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73" t="s">
        <v>37</v>
      </c>
      <c r="C1" s="73"/>
      <c r="D1" s="73"/>
      <c r="E1" s="73"/>
      <c r="F1" s="73"/>
      <c r="G1" s="73"/>
      <c r="H1" s="73"/>
    </row>
    <row r="2" spans="2:8" ht="15.6" thickBot="1" x14ac:dyDescent="0.3"/>
    <row r="3" spans="2:8" ht="16.2" thickBot="1" x14ac:dyDescent="0.3">
      <c r="B3" s="74" t="s">
        <v>20</v>
      </c>
      <c r="C3" s="75"/>
      <c r="D3" s="75"/>
      <c r="E3" s="75"/>
      <c r="F3" s="75"/>
      <c r="G3" s="76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60" t="s">
        <v>48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0</v>
      </c>
      <c r="H5" s="38">
        <f>Tabla7[[#This Row],[CANTIDAD]]*Tabla7[[#This Row],[COSTO]]*Tabla7[[#This Row],[FACTOR]]</f>
        <v>0</v>
      </c>
    </row>
    <row r="6" spans="2:8" outlineLevel="1" x14ac:dyDescent="0.25">
      <c r="C6" s="60"/>
      <c r="E6" s="38">
        <v>1</v>
      </c>
      <c r="H6" s="38">
        <v>0</v>
      </c>
    </row>
    <row r="7" spans="2:8" outlineLevel="1" x14ac:dyDescent="0.25">
      <c r="C7" s="60"/>
      <c r="E7" s="38">
        <v>1</v>
      </c>
      <c r="H7" s="38">
        <v>0</v>
      </c>
    </row>
    <row r="8" spans="2:8" outlineLevel="1" x14ac:dyDescent="0.25">
      <c r="C8" s="60"/>
      <c r="E8" s="38">
        <v>1</v>
      </c>
      <c r="H8" s="38">
        <v>0</v>
      </c>
    </row>
    <row r="9" spans="2:8" outlineLevel="1" x14ac:dyDescent="0.25">
      <c r="C9" s="60"/>
      <c r="E9" s="38">
        <v>1</v>
      </c>
      <c r="H9" s="38">
        <v>0</v>
      </c>
    </row>
    <row r="10" spans="2:8" ht="15.6" x14ac:dyDescent="0.3">
      <c r="B10" s="40" t="s">
        <v>18</v>
      </c>
      <c r="H10" s="41">
        <f>SUM(Tabla7[TOTAL])</f>
        <v>0</v>
      </c>
    </row>
    <row r="13" spans="2:8" ht="15.6" x14ac:dyDescent="0.3">
      <c r="F13" s="40"/>
      <c r="G13" s="40"/>
      <c r="H13" s="41"/>
    </row>
    <row r="14" spans="2:8" ht="15.6" x14ac:dyDescent="0.3">
      <c r="B14" s="40" t="s">
        <v>19</v>
      </c>
      <c r="C14" s="52" t="s">
        <v>20</v>
      </c>
      <c r="D14" s="40" t="s">
        <v>21</v>
      </c>
      <c r="E14" s="41" t="s">
        <v>22</v>
      </c>
      <c r="F14" s="37"/>
      <c r="G14" s="37"/>
    </row>
    <row r="15" spans="2:8" x14ac:dyDescent="0.25">
      <c r="B15" s="37" t="s">
        <v>19</v>
      </c>
      <c r="C15" s="51" t="s">
        <v>20</v>
      </c>
      <c r="D15" s="37">
        <v>1</v>
      </c>
      <c r="E15" s="38">
        <v>456000000</v>
      </c>
      <c r="F15" s="37"/>
      <c r="G15" s="37"/>
    </row>
    <row r="16" spans="2:8" x14ac:dyDescent="0.25">
      <c r="F16" s="37"/>
      <c r="G16" s="37"/>
    </row>
    <row r="17" spans="2:7" x14ac:dyDescent="0.25">
      <c r="F17" s="37"/>
      <c r="G17" s="37"/>
    </row>
    <row r="18" spans="2:7" ht="15.6" x14ac:dyDescent="0.3">
      <c r="B18" s="42"/>
      <c r="C18" s="53"/>
      <c r="D18" s="43" t="s">
        <v>30</v>
      </c>
      <c r="E18" s="54">
        <v>456000000</v>
      </c>
    </row>
    <row r="21" spans="2:7" ht="15.6" x14ac:dyDescent="0.3">
      <c r="C21" s="52" t="s">
        <v>1</v>
      </c>
      <c r="D21" s="40" t="s">
        <v>21</v>
      </c>
      <c r="E21" s="41" t="s">
        <v>22</v>
      </c>
    </row>
    <row r="22" spans="2:7" x14ac:dyDescent="0.25">
      <c r="C22" s="51" t="s">
        <v>26</v>
      </c>
      <c r="D22" s="61">
        <v>0</v>
      </c>
      <c r="E22" s="37">
        <v>0</v>
      </c>
    </row>
    <row r="23" spans="2:7" x14ac:dyDescent="0.25">
      <c r="C23" s="51" t="s">
        <v>27</v>
      </c>
      <c r="D23" s="61">
        <v>0</v>
      </c>
      <c r="E23" s="37">
        <v>0</v>
      </c>
    </row>
    <row r="24" spans="2:7" x14ac:dyDescent="0.25">
      <c r="C24" s="51" t="s">
        <v>28</v>
      </c>
      <c r="D24" s="61">
        <v>0</v>
      </c>
      <c r="E24" s="37">
        <v>0</v>
      </c>
    </row>
    <row r="25" spans="2:7" x14ac:dyDescent="0.25">
      <c r="C25" s="51" t="s">
        <v>25</v>
      </c>
      <c r="D25" s="61">
        <v>0</v>
      </c>
      <c r="E25" s="37">
        <v>0</v>
      </c>
    </row>
    <row r="26" spans="2:7" ht="15.6" x14ac:dyDescent="0.3">
      <c r="D26" s="62" t="s">
        <v>29</v>
      </c>
      <c r="E26" s="40">
        <v>0</v>
      </c>
    </row>
    <row r="27" spans="2:7" x14ac:dyDescent="0.25">
      <c r="E27" s="37"/>
    </row>
    <row r="28" spans="2:7" ht="15.6" x14ac:dyDescent="0.3">
      <c r="D28" s="40" t="s">
        <v>24</v>
      </c>
      <c r="E28" s="40">
        <v>456000000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FD552ABA-6EB4-4B60-97D7-DCC150CB6E46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77" t="s">
        <v>31</v>
      </c>
      <c r="C1" s="77"/>
      <c r="D1" s="77"/>
      <c r="E1" s="77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basico</v>
      </c>
      <c r="C3" s="4" t="str">
        <f>BÁSICOS!A3</f>
        <v>CÓD</v>
      </c>
      <c r="D3" s="1" t="str">
        <f>BÁSICOS!H3</f>
        <v>UND</v>
      </c>
      <c r="E3" s="5">
        <f>BÁSICOS!H8</f>
        <v>0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3.77734375" style="6" bestFit="1" customWidth="1"/>
    <col min="6" max="16384" width="11.44140625" style="3"/>
  </cols>
  <sheetData>
    <row r="1" spans="2:5" s="8" customFormat="1" ht="30" customHeight="1" x14ac:dyDescent="0.3">
      <c r="B1" s="77" t="s">
        <v>33</v>
      </c>
      <c r="C1" s="77"/>
      <c r="D1" s="77"/>
      <c r="E1" s="77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APU!B11</f>
        <v>NOMBRE A.P.U.</v>
      </c>
      <c r="C3" s="4" t="str">
        <f>APU!A11</f>
        <v>CÓD</v>
      </c>
      <c r="D3" s="1" t="str">
        <f>APU!H11</f>
        <v>UND</v>
      </c>
      <c r="E3" s="5">
        <f>APU!H16</f>
        <v>0</v>
      </c>
    </row>
    <row r="4" spans="2:5" x14ac:dyDescent="0.3">
      <c r="B4" s="2" t="str">
        <f>APU!B3</f>
        <v>Placa de concreto 3000 psi 10cm malla electrosoldada</v>
      </c>
      <c r="C4" s="4" t="str">
        <f>APU!A3</f>
        <v>CÓD</v>
      </c>
      <c r="D4" s="1" t="str">
        <f>APU!H3</f>
        <v>UND</v>
      </c>
      <c r="E4" s="5">
        <f>APU!H8</f>
        <v>0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D3" sqref="D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2.109375" style="19" bestFit="1" customWidth="1"/>
    <col min="8" max="8" width="15.6640625" customWidth="1"/>
  </cols>
  <sheetData>
    <row r="1" spans="1:6" ht="30" customHeight="1" x14ac:dyDescent="0.3">
      <c r="A1" s="77" t="s">
        <v>32</v>
      </c>
      <c r="B1" s="77"/>
      <c r="C1" s="77"/>
      <c r="D1" s="77"/>
      <c r="E1" s="77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63" t="s">
        <v>18</v>
      </c>
      <c r="B4" s="27"/>
      <c r="C4" s="28"/>
      <c r="D4" s="31"/>
      <c r="E4" s="64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45</v>
      </c>
    </row>
    <row r="3" spans="1:1" x14ac:dyDescent="0.3">
      <c r="A3" t="s">
        <v>47</v>
      </c>
    </row>
    <row r="4" spans="1:1" x14ac:dyDescent="0.3">
      <c r="A4" t="s">
        <v>59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2024-09-02T17:43:41Z</dcterms:modified>
</cp:coreProperties>
</file>