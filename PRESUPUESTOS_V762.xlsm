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1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a4fc35ed2b1480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filterPrivacy="1" codeName="ThisWorkbook"/>
  <xr:revisionPtr revIDLastSave="0" documentId="13_ncr:1_{76DAA51D-CFF6-4978-8710-52C0BCB6A0A2}" xr6:coauthVersionLast="47" xr6:coauthVersionMax="47" xr10:uidLastSave="{00000000-0000-0000-0000-000000000000}"/>
  <workbookProtection workbookAlgorithmName="SHA-512" workbookHashValue="robUNficOQ1aYBWbb9zS1WQ/QsoRbD41s7lMS3mQ3we9PJbIjZ7G1iTF3BKPRfnyxaGpxvJI1A/k6KBTJpg78A==" workbookSaltValue="JOCzFXxGavqjCH+m5qyvjw==" workbookSpinCount="100000" lockStructure="1"/>
  <bookViews>
    <workbookView xWindow="-108" yWindow="-108" windowWidth="23256" windowHeight="12456" tabRatio="543" activeTab="2" xr2:uid="{00000000-000D-0000-FFFF-FFFF00000000}"/>
  </bookViews>
  <sheets>
    <sheet name="INSUMOS" sheetId="101" r:id="rId1"/>
    <sheet name="BÁSICOS" sheetId="102" r:id="rId2"/>
    <sheet name="APU" sheetId="103" r:id="rId3"/>
    <sheet name="PRESUPUESTO" sheetId="104" r:id="rId4"/>
    <sheet name="LISTA_BÁSICOS" sheetId="10" r:id="rId5"/>
    <sheet name="LISTA_APU" sheetId="4" r:id="rId6"/>
    <sheet name="MATERIALES" sheetId="106" r:id="rId7"/>
    <sheet name="Bugs" sheetId="107" r:id="rId8"/>
  </sheets>
  <definedNames>
    <definedName name="ACTIVIDADES">T_act[DESCRIPCIÓN]</definedName>
    <definedName name="BÁSICOS">T_basico[DESCRIPCIÓN]</definedName>
    <definedName name="BD_APUS">T_apus[DESCRIPCIÓN]</definedName>
    <definedName name="BD_APUS_B">T_basico[DESCRIPCIÓN]</definedName>
    <definedName name="EQUIPOS">T_equipos[DESCRIPCIÓN]</definedName>
    <definedName name="MANO_DE_OBRA">T_mano[DESCRIPCIÓN]</definedName>
    <definedName name="MATERIALES">T_mat[DESCRIPCIÓN]</definedName>
    <definedName name="OTROS">T_otros[DESCRIPCIÓN]</definedName>
    <definedName name="SUBCONTRATOS">T_sub[DESCRIPCIÓN]</definedName>
    <definedName name="TRANSPORTE">T_trans[DESCRIPCIÓN]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03" l="1"/>
  <c r="D5" i="103"/>
  <c r="G5" i="103"/>
  <c r="B5" i="104"/>
  <c r="D5" i="104"/>
  <c r="G5" i="104"/>
  <c r="E3" i="4"/>
  <c r="D3" i="4"/>
  <c r="C3" i="4"/>
  <c r="B3" i="4"/>
  <c r="D4" i="4"/>
  <c r="C4" i="4"/>
  <c r="B4" i="4"/>
  <c r="B13" i="103"/>
  <c r="D13" i="103"/>
  <c r="G13" i="103"/>
  <c r="E3" i="10"/>
  <c r="D3" i="10"/>
  <c r="C3" i="10"/>
  <c r="B3" i="10"/>
  <c r="B11" i="102"/>
  <c r="D11" i="102"/>
  <c r="G11" i="102"/>
  <c r="B10" i="102"/>
  <c r="D10" i="102"/>
  <c r="G10" i="102"/>
  <c r="B9" i="102"/>
  <c r="D9" i="102"/>
  <c r="G9" i="102"/>
  <c r="B8" i="102"/>
  <c r="D8" i="102"/>
  <c r="G8" i="102"/>
  <c r="B7" i="102"/>
  <c r="D7" i="102"/>
  <c r="G7" i="102"/>
  <c r="B6" i="102"/>
  <c r="D6" i="102"/>
  <c r="G6" i="102"/>
  <c r="B5" i="102"/>
  <c r="D5" i="102"/>
  <c r="G5" i="102"/>
  <c r="H11" i="102"/>
  <c r="E9" i="102"/>
  <c r="H9" i="102" s="1"/>
  <c r="E10" i="102"/>
  <c r="H10" i="102" s="1"/>
  <c r="E6" i="102"/>
  <c r="E7" i="102"/>
  <c r="E8" i="102"/>
  <c r="E12" i="102"/>
  <c r="H12" i="102"/>
  <c r="E11" i="102"/>
  <c r="E5" i="102"/>
  <c r="E6" i="106"/>
  <c r="E5" i="106"/>
  <c r="E4" i="106"/>
  <c r="E3" i="106"/>
  <c r="E15" i="103"/>
  <c r="H15" i="103"/>
  <c r="E14" i="103"/>
  <c r="H14" i="103"/>
  <c r="E13" i="103"/>
  <c r="E7" i="103"/>
  <c r="H7" i="103"/>
  <c r="E6" i="103"/>
  <c r="H6" i="103" s="1"/>
  <c r="E5" i="103"/>
  <c r="C15" i="104"/>
  <c r="B15" i="104"/>
  <c r="H9" i="104"/>
  <c r="H8" i="104"/>
  <c r="H7" i="104"/>
  <c r="H6" i="104"/>
  <c r="H8" i="102" l="1"/>
  <c r="H5" i="102"/>
  <c r="H13" i="103"/>
  <c r="H16" i="103" s="1"/>
  <c r="H7" i="102"/>
  <c r="H6" i="102"/>
  <c r="E7" i="106"/>
  <c r="H13" i="102" l="1"/>
  <c r="H5" i="103"/>
  <c r="H8" i="103" s="1"/>
  <c r="E4" i="4" s="1"/>
  <c r="H5" i="104" l="1"/>
  <c r="H10" i="104" s="1"/>
  <c r="E15" i="104" s="1"/>
  <c r="E18" i="104" s="1"/>
  <c r="E23" i="104" s="1"/>
  <c r="E22" i="104" l="1"/>
  <c r="E26" i="104" s="1"/>
  <c r="E28" i="104" s="1"/>
  <c r="E24" i="104"/>
  <c r="E25" i="104" s="1"/>
  <c r="D15" i="104"/>
</calcChain>
</file>

<file path=xl/sharedStrings.xml><?xml version="1.0" encoding="utf-8"?>
<sst xmlns="http://schemas.openxmlformats.org/spreadsheetml/2006/main" count="169" uniqueCount="65">
  <si>
    <t>CÓDIGO</t>
  </si>
  <si>
    <t>DESCRIPCIÓN</t>
  </si>
  <si>
    <t xml:space="preserve">UNIDAD </t>
  </si>
  <si>
    <t>COSTO</t>
  </si>
  <si>
    <t>MATERIALES</t>
  </si>
  <si>
    <t>EQUIPOS</t>
  </si>
  <si>
    <t>MANO DE OBRA</t>
  </si>
  <si>
    <t>TRASPORTE</t>
  </si>
  <si>
    <t>SUBCONTRATOS</t>
  </si>
  <si>
    <t>ACTIVIDADES</t>
  </si>
  <si>
    <t>OTROS</t>
  </si>
  <si>
    <t>UNIDAD</t>
  </si>
  <si>
    <t>PRECIO</t>
  </si>
  <si>
    <t>FECHA</t>
  </si>
  <si>
    <t>TIPO</t>
  </si>
  <si>
    <t>FACTOR</t>
  </si>
  <si>
    <t>CANTIDAD</t>
  </si>
  <si>
    <t>TOTAL</t>
  </si>
  <si>
    <t>Total</t>
  </si>
  <si>
    <t>CÓD</t>
  </si>
  <si>
    <t>CAPÍTULO</t>
  </si>
  <si>
    <t>PORCENTAJE</t>
  </si>
  <si>
    <t>SUBTOTAL</t>
  </si>
  <si>
    <t>INSUMO</t>
  </si>
  <si>
    <t>TOTAL GENERAL</t>
  </si>
  <si>
    <t>IMPUESTO SOBRE UTILIDAD</t>
  </si>
  <si>
    <t>ADMINISTRACIÓN (A)</t>
  </si>
  <si>
    <t>IMPREVISTO (I)</t>
  </si>
  <si>
    <t>UTILIDAD (U)</t>
  </si>
  <si>
    <t>TOTAL INDIRECTOS</t>
  </si>
  <si>
    <t>TOTAL DIRECTOS</t>
  </si>
  <si>
    <t>LISTADO DE APUS BÁSICOS</t>
  </si>
  <si>
    <t>CANTIDADES DE MATERIAL</t>
  </si>
  <si>
    <t>LISTADO DE APUS</t>
  </si>
  <si>
    <t>INSUMOS</t>
  </si>
  <si>
    <t>ANALISIS DE PRECIOS UNITARIOS BÁSICOS</t>
  </si>
  <si>
    <t xml:space="preserve">ANALISIS DE PRECIOS UNITARIOS </t>
  </si>
  <si>
    <t>PRESUPUESTO</t>
  </si>
  <si>
    <t>UND</t>
  </si>
  <si>
    <t>m3</t>
  </si>
  <si>
    <t>cemento</t>
  </si>
  <si>
    <t>NOMBRE A.P.U.</t>
  </si>
  <si>
    <t>herramienta menor</t>
  </si>
  <si>
    <t>gl</t>
  </si>
  <si>
    <t>cuadrilla AA</t>
  </si>
  <si>
    <t>hora</t>
  </si>
  <si>
    <t>agua</t>
  </si>
  <si>
    <t>lt</t>
  </si>
  <si>
    <t xml:space="preserve">No se debe permitir eliminar la ultima tabla de apu </t>
  </si>
  <si>
    <t>APU BÁSICOS</t>
  </si>
  <si>
    <t>la primera fila del apu tiene negrilla</t>
  </si>
  <si>
    <t>Columna</t>
  </si>
  <si>
    <t>Placa de concreto 3000 psi 10cm malla electrosoldada</t>
  </si>
  <si>
    <t>acero corru.fig 1/4-1" 60000 psi</t>
  </si>
  <si>
    <t>kg</t>
  </si>
  <si>
    <t>alambre negro recocido c-17</t>
  </si>
  <si>
    <t>arena lavada de peña</t>
  </si>
  <si>
    <t>cemento gris</t>
  </si>
  <si>
    <t>grava 1"</t>
  </si>
  <si>
    <t>cuadrilla AA albañileria</t>
  </si>
  <si>
    <t>h</t>
  </si>
  <si>
    <t>concretadora trompo 3 sacos</t>
  </si>
  <si>
    <t>d</t>
  </si>
  <si>
    <t>Concreto corriente grava comun 3000 PSI</t>
  </si>
  <si>
    <t>el nombre del apu debe estar en celdas combinadas sino al ajustar el ancho de las columnas estas quedan muy grandes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</si>
</sst>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1" formatCode="_-* #,##0_-;\-* #,##0_-;_-* &quot;-&quot;_-;_-@_-"/>
    <numFmt numFmtId="164" formatCode="_-* #,##0\ _€_-;\-* #,##0\ _€_-;_-* &quot;-&quot;\ _€_-;_-@_-"/>
    <numFmt numFmtId="165" formatCode="#,##0.00_ ;\-#,##0.00\ "/>
  </numFmts>
  <fonts count="1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5" tint="0.79995117038483843"/>
        <bgColor indexed="64"/>
      </patternFill>
    </fill>
  </fills>
  <borders count="22">
    <border>
      <left/>
      <right/>
      <top/>
      <bottom/>
      <diagonal/>
    </border>
    <border>
      <left style="medium">
        <color rgb="FF00A4F3"/>
      </left>
      <right/>
      <top style="medium">
        <color rgb="FF00A4F3"/>
      </top>
      <bottom style="medium">
        <color rgb="FF00A4F3"/>
      </bottom>
      <diagonal/>
    </border>
    <border>
      <left/>
      <right/>
      <top style="medium">
        <color rgb="FF00A4F3"/>
      </top>
      <bottom style="medium">
        <color rgb="FF00A4F3"/>
      </bottom>
      <diagonal/>
    </border>
    <border>
      <left/>
      <right style="medium">
        <color rgb="FF00A4F3"/>
      </right>
      <top style="medium">
        <color rgb="FF00A4F3"/>
      </top>
      <bottom style="medium">
        <color rgb="FF00A4F3"/>
      </bottom>
      <diagonal/>
    </border>
    <border>
      <left style="thin">
        <color rgb="FF009999"/>
      </left>
      <right/>
      <top style="thin">
        <color rgb="FF009999"/>
      </top>
      <bottom style="thin">
        <color rgb="FF009999"/>
      </bottom>
      <diagonal/>
    </border>
    <border>
      <left/>
      <right/>
      <top style="thin">
        <color rgb="FF009999"/>
      </top>
      <bottom style="thin">
        <color rgb="FF009999"/>
      </bottom>
      <diagonal/>
    </border>
    <border>
      <left style="thin">
        <color rgb="FF009999"/>
      </left>
      <right style="thin">
        <color rgb="FF009999"/>
      </right>
      <top style="thin">
        <color rgb="FF009999"/>
      </top>
      <bottom style="thin">
        <color rgb="FF009999"/>
      </bottom>
      <diagonal/>
    </border>
    <border>
      <left style="medium">
        <color rgb="FF009999"/>
      </left>
      <right/>
      <top style="medium">
        <color rgb="FF009999"/>
      </top>
      <bottom style="medium">
        <color rgb="FF009999"/>
      </bottom>
      <diagonal/>
    </border>
    <border>
      <left/>
      <right/>
      <top style="medium">
        <color rgb="FF009999"/>
      </top>
      <bottom style="medium">
        <color rgb="FF009999"/>
      </bottom>
      <diagonal/>
    </border>
    <border>
      <left/>
      <right style="hair">
        <color rgb="FF009999"/>
      </right>
      <top style="medium">
        <color rgb="FF009999"/>
      </top>
      <bottom style="medium">
        <color rgb="FF009999"/>
      </bottom>
      <diagonal/>
    </border>
    <border>
      <left style="hair">
        <color rgb="FF009999"/>
      </left>
      <right style="medium">
        <color rgb="FF009999"/>
      </right>
      <top style="medium">
        <color rgb="FF009999"/>
      </top>
      <bottom style="medium">
        <color rgb="FF009999"/>
      </bottom>
      <diagonal/>
    </border>
    <border>
      <left style="medium">
        <color rgb="FF00AC56"/>
      </left>
      <right style="hair">
        <color rgb="FF00AC56"/>
      </right>
      <top style="medium">
        <color rgb="FF00AC56"/>
      </top>
      <bottom style="medium">
        <color rgb="FF00AC56"/>
      </bottom>
      <diagonal/>
    </border>
    <border>
      <left style="hair">
        <color rgb="FF00AC56"/>
      </left>
      <right style="medium">
        <color rgb="FF00AC56"/>
      </right>
      <top style="medium">
        <color rgb="FF00AC56"/>
      </top>
      <bottom style="medium">
        <color rgb="FF00AC56"/>
      </bottom>
      <diagonal/>
    </border>
    <border>
      <left style="medium">
        <color rgb="FF0088CC"/>
      </left>
      <right style="hair">
        <color rgb="FF0088CC"/>
      </right>
      <top style="medium">
        <color rgb="FF0088CC"/>
      </top>
      <bottom style="medium">
        <color rgb="FF0088CC"/>
      </bottom>
      <diagonal/>
    </border>
    <border>
      <left style="hair">
        <color rgb="FF0088CC"/>
      </left>
      <right style="medium">
        <color rgb="FF0088CC"/>
      </right>
      <top style="medium">
        <color rgb="FF0088CC"/>
      </top>
      <bottom style="medium">
        <color rgb="FF0088CC"/>
      </bottom>
      <diagonal/>
    </border>
    <border>
      <left style="hair">
        <color rgb="FF0088CC"/>
      </left>
      <right style="hair">
        <color rgb="FF0088CC"/>
      </right>
      <top style="medium">
        <color rgb="FF0088CC"/>
      </top>
      <bottom style="medium">
        <color rgb="FF0088CC"/>
      </bottom>
      <diagonal/>
    </border>
    <border>
      <left style="hair">
        <color rgb="FF00AC56"/>
      </left>
      <right/>
      <top style="medium">
        <color rgb="FF00AC56"/>
      </top>
      <bottom style="medium">
        <color rgb="FF00AC56"/>
      </bottom>
      <diagonal/>
    </border>
    <border>
      <left/>
      <right/>
      <top style="medium">
        <color rgb="FF00AC56"/>
      </top>
      <bottom style="medium">
        <color rgb="FF00AC56"/>
      </bottom>
      <diagonal/>
    </border>
    <border>
      <left/>
      <right style="hair">
        <color rgb="FF00AC56"/>
      </right>
      <top style="medium">
        <color rgb="FF00AC56"/>
      </top>
      <bottom style="medium">
        <color rgb="FF00AC56"/>
      </bottom>
      <diagonal/>
    </border>
    <border>
      <left style="hair">
        <color rgb="FF0088CC"/>
      </left>
      <right/>
      <top style="medium">
        <color rgb="FF0088CC"/>
      </top>
      <bottom style="medium">
        <color rgb="FF0088CC"/>
      </bottom>
      <diagonal/>
    </border>
    <border>
      <left/>
      <right/>
      <top style="medium">
        <color rgb="FF0088CC"/>
      </top>
      <bottom style="medium">
        <color rgb="FF0088CC"/>
      </bottom>
      <diagonal/>
    </border>
    <border>
      <left/>
      <right style="hair">
        <color rgb="FF0088CC"/>
      </right>
      <top style="medium">
        <color rgb="FF0088CC"/>
      </top>
      <bottom style="medium">
        <color rgb="FF0088CC"/>
      </bottom>
      <diagonal/>
    </border>
  </borders>
  <cellStyleXfs count="14">
    <xf numFmtId="0" fontId="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8" fillId="0" borderId="0"/>
    <xf numFmtId="9" fontId="7" fillId="0" borderId="0" applyFont="0" applyFill="0" applyBorder="0" applyAlignment="0" applyProtection="0"/>
  </cellStyleXfs>
  <cellXfs count="83">
    <xf numFmtId="0" fontId="0" fillId="0" borderId="0" xfId="0"/>
    <xf numFmtId="0" fontId="0" fillId="0" borderId="0" xfId="0" applyBorder="1" applyAlignment="1">
      <alignment horizontal="center"/>
    </xf>
    <xf numFmtId="0" fontId="0" fillId="0" borderId="0" xfId="0" applyNumberFormat="1" applyBorder="1" applyAlignment="1">
      <alignment horizontal="left"/>
    </xf>
    <xf numFmtId="0" fontId="0" fillId="0" borderId="0" xfId="0" applyBorder="1"/>
    <xf numFmtId="0" fontId="0" fillId="0" borderId="0" xfId="0" applyBorder="1" applyAlignment="1">
      <alignment horizontal="left"/>
    </xf>
    <xf numFmtId="164" fontId="0" fillId="0" borderId="0" xfId="0" applyNumberFormat="1" applyBorder="1" applyAlignment="1">
      <alignment horizontal="left"/>
    </xf>
    <xf numFmtId="164" fontId="0" fillId="0" borderId="0" xfId="0" applyNumberFormat="1" applyBorder="1"/>
    <xf numFmtId="164" fontId="0" fillId="0" borderId="0" xfId="0" applyNumberFormat="1" applyBorder="1" applyAlignment="1">
      <alignment horizontal="right"/>
    </xf>
    <xf numFmtId="0" fontId="0" fillId="0" borderId="0" xfId="0" applyFill="1" applyBorder="1"/>
    <xf numFmtId="0" fontId="1" fillId="0" borderId="0" xfId="0" applyFont="1" applyBorder="1"/>
    <xf numFmtId="0" fontId="3" fillId="0" borderId="0" xfId="0" applyNumberFormat="1" applyFont="1" applyBorder="1" applyAlignment="1">
      <alignment horizontal="left"/>
    </xf>
    <xf numFmtId="0" fontId="3" fillId="0" borderId="0" xfId="0" applyFont="1" applyBorder="1" applyAlignment="1">
      <alignment horizontal="left"/>
    </xf>
    <xf numFmtId="164" fontId="3" fillId="0" borderId="0" xfId="0" applyNumberFormat="1" applyFont="1" applyBorder="1" applyAlignment="1">
      <alignment horizontal="left"/>
    </xf>
    <xf numFmtId="164" fontId="3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164" fontId="2" fillId="0" borderId="0" xfId="0" applyNumberFormat="1" applyFont="1" applyBorder="1" applyAlignment="1">
      <alignment horizontal="center"/>
    </xf>
    <xf numFmtId="164" fontId="2" fillId="0" borderId="0" xfId="0" applyNumberFormat="1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0" fillId="0" borderId="0" xfId="0" applyNumberForma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3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2" fillId="0" borderId="0" xfId="0" applyFont="1"/>
    <xf numFmtId="164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64" fontId="0" fillId="2" borderId="0" xfId="0" applyNumberFormat="1" applyFill="1"/>
    <xf numFmtId="165" fontId="0" fillId="0" borderId="0" xfId="0" applyNumberFormat="1"/>
    <xf numFmtId="165" fontId="0" fillId="0" borderId="0" xfId="0" applyNumberFormat="1" applyAlignment="1">
      <alignment horizontal="center"/>
    </xf>
    <xf numFmtId="165" fontId="0" fillId="2" borderId="0" xfId="0" applyNumberFormat="1" applyFill="1"/>
    <xf numFmtId="3" fontId="0" fillId="0" borderId="0" xfId="0" applyNumberFormat="1"/>
    <xf numFmtId="0" fontId="8" fillId="0" borderId="0" xfId="9"/>
    <xf numFmtId="0" fontId="7" fillId="0" borderId="0" xfId="11"/>
    <xf numFmtId="41" fontId="0" fillId="0" borderId="0" xfId="0" applyNumberFormat="1"/>
    <xf numFmtId="41" fontId="2" fillId="0" borderId="0" xfId="0" applyNumberFormat="1" applyFont="1"/>
    <xf numFmtId="41" fontId="6" fillId="0" borderId="0" xfId="0" applyNumberFormat="1" applyFont="1" applyAlignment="1">
      <alignment horizontal="center"/>
    </xf>
    <xf numFmtId="41" fontId="6" fillId="0" borderId="0" xfId="0" applyNumberFormat="1" applyFont="1"/>
    <xf numFmtId="41" fontId="5" fillId="0" borderId="10" xfId="0" applyNumberFormat="1" applyFont="1" applyBorder="1" applyAlignment="1">
      <alignment horizontal="left" vertical="top"/>
    </xf>
    <xf numFmtId="41" fontId="5" fillId="0" borderId="0" xfId="0" applyNumberFormat="1" applyFont="1" applyAlignment="1">
      <alignment horizontal="center"/>
    </xf>
    <xf numFmtId="41" fontId="5" fillId="0" borderId="0" xfId="0" applyNumberFormat="1" applyFont="1"/>
    <xf numFmtId="41" fontId="6" fillId="0" borderId="4" xfId="0" applyNumberFormat="1" applyFont="1" applyBorder="1" applyAlignment="1">
      <alignment horizontal="center"/>
    </xf>
    <xf numFmtId="41" fontId="5" fillId="0" borderId="5" xfId="0" applyNumberFormat="1" applyFont="1" applyBorder="1" applyAlignment="1">
      <alignment horizontal="center"/>
    </xf>
    <xf numFmtId="0" fontId="4" fillId="0" borderId="0" xfId="0" applyFont="1" applyAlignment="1">
      <alignment horizontal="center"/>
    </xf>
    <xf numFmtId="3" fontId="3" fillId="0" borderId="0" xfId="0" applyNumberFormat="1" applyFont="1"/>
    <xf numFmtId="41" fontId="3" fillId="0" borderId="0" xfId="0" applyNumberFormat="1" applyFont="1"/>
    <xf numFmtId="14" fontId="3" fillId="0" borderId="0" xfId="0" applyNumberFormat="1" applyFont="1"/>
    <xf numFmtId="0" fontId="8" fillId="0" borderId="0" xfId="9" applyAlignment="1">
      <alignment vertical="center"/>
    </xf>
    <xf numFmtId="164" fontId="7" fillId="0" borderId="0" xfId="11" applyNumberFormat="1"/>
    <xf numFmtId="0" fontId="6" fillId="0" borderId="0" xfId="0" applyFont="1"/>
    <xf numFmtId="41" fontId="6" fillId="0" borderId="0" xfId="0" applyNumberFormat="1" applyFont="1" applyAlignment="1">
      <alignment horizontal="left"/>
    </xf>
    <xf numFmtId="41" fontId="5" fillId="0" borderId="0" xfId="0" applyNumberFormat="1" applyFont="1" applyAlignment="1">
      <alignment horizontal="left"/>
    </xf>
    <xf numFmtId="41" fontId="6" fillId="0" borderId="5" xfId="0" applyNumberFormat="1" applyFont="1" applyBorder="1" applyAlignment="1">
      <alignment horizontal="left"/>
    </xf>
    <xf numFmtId="41" fontId="5" fillId="0" borderId="6" xfId="0" applyNumberFormat="1" applyFont="1" applyBorder="1"/>
    <xf numFmtId="0" fontId="0" fillId="0" borderId="0" xfId="0" applyNumberFormat="1"/>
    <xf numFmtId="0" fontId="0" fillId="0" borderId="11" xfId="0" applyBorder="1"/>
    <xf numFmtId="0" fontId="0" fillId="0" borderId="12" xfId="0" applyBorder="1"/>
    <xf numFmtId="0" fontId="9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9" fillId="3" borderId="0" xfId="0" applyFont="1" applyFill="1" applyAlignment="1">
      <alignment horizontal="center" vertical="center"/>
    </xf>
    <xf numFmtId="41" fontId="9" fillId="3" borderId="0" xfId="0" applyNumberFormat="1" applyFont="1" applyFill="1" applyAlignment="1">
      <alignment horizontal="center" vertical="center"/>
    </xf>
    <xf numFmtId="41" fontId="5" fillId="0" borderId="7" xfId="0" applyNumberFormat="1" applyFont="1" applyBorder="1" applyAlignment="1">
      <alignment horizontal="left" vertical="top"/>
    </xf>
    <xf numFmtId="41" fontId="5" fillId="0" borderId="8" xfId="0" applyNumberFormat="1" applyFont="1" applyBorder="1" applyAlignment="1">
      <alignment horizontal="left" vertical="top"/>
    </xf>
    <xf numFmtId="41" fontId="5" fillId="0" borderId="9" xfId="0" applyNumberFormat="1" applyFont="1" applyBorder="1" applyAlignment="1">
      <alignment horizontal="left" vertical="top"/>
    </xf>
    <xf numFmtId="0" fontId="9" fillId="0" borderId="0" xfId="0" applyFont="1" applyFill="1" applyAlignment="1">
      <alignment horizontal="center" vertical="center"/>
    </xf>
    <xf numFmtId="0" fontId="0" fillId="0" borderId="13" xfId="0" applyBorder="1"/>
    <xf numFmtId="0" fontId="0" fillId="0" borderId="15" xfId="0" applyBorder="1"/>
    <xf numFmtId="0" fontId="0" fillId="0" borderId="14" xfId="0" applyBorder="1"/>
    <xf numFmtId="41" fontId="6" fillId="0" borderId="0" xfId="0" applyNumberFormat="1" applyFont="1" applyFill="1" applyAlignment="1">
      <alignment horizontal="left"/>
    </xf>
    <xf numFmtId="41" fontId="6" fillId="0" borderId="0" xfId="13" applyNumberFormat="1" applyFont="1" applyAlignment="1">
      <alignment horizontal="center"/>
    </xf>
    <xf numFmtId="41" fontId="5" fillId="0" borderId="0" xfId="13" applyNumberFormat="1" applyFont="1" applyAlignment="1">
      <alignment horizontal="center"/>
    </xf>
    <xf numFmtId="0" fontId="2" fillId="2" borderId="0" xfId="0" applyFont="1" applyFill="1"/>
    <xf numFmtId="164" fontId="2" fillId="2" borderId="0" xfId="0" applyNumberFormat="1" applyFont="1" applyFill="1"/>
    <xf numFmtId="0" fontId="0" fillId="0" borderId="16" xfId="0" applyBorder="1" applyAlignment="1">
      <alignment horizontal="left"/>
    </xf>
    <xf numFmtId="0" fontId="0" fillId="0" borderId="17" xfId="0" applyBorder="1" applyAlignment="1">
      <alignment horizontal="left"/>
    </xf>
    <xf numFmtId="0" fontId="0" fillId="0" borderId="18" xfId="0" applyBorder="1" applyAlignment="1">
      <alignment horizontal="left"/>
    </xf>
    <xf numFmtId="41" fontId="6" fillId="4" borderId="0" xfId="0" applyNumberFormat="1" applyFont="1" applyFill="1" applyAlignment="1">
      <alignment horizontal="left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21" xfId="0" applyBorder="1" applyAlignment="1">
      <alignment horizontal="left"/>
    </xf>
  </cellXfs>
  <cellStyles count="14">
    <cellStyle name="Normal" xfId="0" builtinId="0"/>
    <cellStyle name="Normal 11" xfId="12" xr:uid="{00000000-0005-0000-0000-000001000000}"/>
    <cellStyle name="Normal 12 3" xfId="11" xr:uid="{00000000-0005-0000-0000-000002000000}"/>
    <cellStyle name="Normal 40" xfId="10" xr:uid="{00000000-0005-0000-0000-000003000000}"/>
    <cellStyle name="Normal 41" xfId="9" xr:uid="{00000000-0005-0000-0000-000004000000}"/>
    <cellStyle name="Normal 42" xfId="1" xr:uid="{00000000-0005-0000-0000-000005000000}"/>
    <cellStyle name="Normal 43" xfId="2" xr:uid="{00000000-0005-0000-0000-000006000000}"/>
    <cellStyle name="Normal 45" xfId="3" xr:uid="{00000000-0005-0000-0000-000007000000}"/>
    <cellStyle name="Normal 46" xfId="4" xr:uid="{00000000-0005-0000-0000-000008000000}"/>
    <cellStyle name="Normal 47" xfId="5" xr:uid="{00000000-0005-0000-0000-000009000000}"/>
    <cellStyle name="Normal 48" xfId="6" xr:uid="{00000000-0005-0000-0000-00000A000000}"/>
    <cellStyle name="Normal 49" xfId="7" xr:uid="{00000000-0005-0000-0000-00000B000000}"/>
    <cellStyle name="Normal 51" xfId="8" xr:uid="{00000000-0005-0000-0000-00000C000000}"/>
    <cellStyle name="Porcentaje" xfId="13" builtinId="5"/>
  </cellStyles>
  <dxfs count="122">
    <dxf>
      <numFmt numFmtId="33" formatCode="_-* #,##0_-;\-* #,##0_-;_-* &quot;-&quot;_-;_-@_-"/>
    </dxf>
    <dxf>
      <numFmt numFmtId="33" formatCode="_-* #,##0_-;\-* #,##0_-;_-* &quot;-&quot;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* #,##0\ _€_-;\-* #,##0\ _€_-;_-* &quot;-&quot;\ _€_-;_-@_-"/>
      <fill>
        <patternFill patternType="solid">
          <fgColor indexed="64"/>
          <bgColor theme="8" tint="0.79998168889431442"/>
        </patternFill>
      </fill>
    </dxf>
    <dxf>
      <numFmt numFmtId="165" formatCode="#,##0.00_ ;\-#,##0.00\ "/>
      <fill>
        <patternFill patternType="solid">
          <fgColor indexed="64"/>
          <bgColor theme="8" tint="0.79998168889431442"/>
        </patternFill>
      </fill>
    </dxf>
    <dxf>
      <numFmt numFmtId="164" formatCode="_-* #,##0\ _€_-;\-* #,##0\ _€_-;_-* &quot;-&quot;\ _€_-;_-@_-"/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79998168889431442"/>
        </patternFill>
      </fill>
    </dxf>
    <dxf>
      <numFmt numFmtId="164" formatCode="_-* #,##0\ _€_-;\-* #,##0\ _€_-;_-* &quot;-&quot;\ _€_-;_-@_-"/>
    </dxf>
    <dxf>
      <numFmt numFmtId="165" formatCode="#,##0.00_ ;\-#,##0.00\ "/>
    </dxf>
    <dxf>
      <numFmt numFmtId="164" formatCode="_-* #,##0\ _€_-;\-* #,##0\ _€_-;_-* &quot;-&quot;\ _€_-;_-@_-"/>
    </dxf>
    <dxf>
      <alignment horizontal="center" vertical="bottom" textRotation="0" wrapText="0" indent="0" justifyLastLine="0" shrinkToFit="0" readingOrder="0"/>
    </dxf>
    <dxf>
      <numFmt numFmtId="33" formatCode="_-* #,##0_-;\-* #,##0_-;_-* &quot;-&quot;_-;_-@_-"/>
    </dxf>
    <dxf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33" formatCode="_-* #,##0_-;\-* #,##0_-;_-* &quot;-&quot;_-;_-@_-"/>
    </dxf>
    <dxf>
      <font>
        <b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numFmt numFmtId="33" formatCode="_-* #,##0_-;\-* #,##0_-;_-* &quot;-&quot;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8" tint="0.79998168889431442"/>
        </patternFill>
      </fill>
    </dxf>
    <dxf>
      <alignment horizontal="center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64" formatCode="_-* #,##0\ _€_-;\-* #,##0\ _€_-;_-* &quot;-&quot;\ _€_-;_-@_-"/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  <border outline="0">
        <top style="medium">
          <color rgb="FF000000"/>
        </top>
      </border>
    </dxf>
    <dxf>
      <numFmt numFmtId="164" formatCode="_-* #,##0\ _€_-;\-* #,##0\ _€_-;_-* &quot;-&quot;\ _€_-;_-@_-"/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4" formatCode="_-* #,##0\ _€_-;\-* #,##0\ _€_-;_-* &quot;-&quot;\ _€_-;_-@_-"/>
      <alignment horizontal="left" vertical="bottom" textRotation="0" wrapText="0" indent="0" justifyLastLine="0" shrinkToFit="0" readingOrder="0"/>
    </dxf>
    <dxf>
      <numFmt numFmtId="164" formatCode="_-* #,##0\ _€_-;\-* #,##0\ _€_-;_-* &quot;-&quot;\ _€_-;_-@_-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border outline="0">
        <top style="medium">
          <color rgb="FF000000"/>
        </top>
      </border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</dxf>
    <dxf>
      <numFmt numFmtId="3" formatCode="#,##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color theme="0"/>
      </font>
      <fill>
        <patternFill>
          <bgColor theme="1" tint="0.14996795556505021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theme="1" tint="0.14996795556505021"/>
        </left>
        <right style="hair">
          <color theme="1" tint="0.14996795556505021"/>
        </right>
        <top style="hair">
          <color theme="1" tint="0.14996795556505021"/>
        </top>
        <bottom style="hair">
          <color theme="1" tint="0.14996795556505021"/>
        </bottom>
        <vertical style="hair">
          <color theme="1" tint="0.14996795556505021"/>
        </vertical>
        <horizontal style="hair">
          <color theme="1" tint="0.14996795556505021"/>
        </horizontal>
      </border>
    </dxf>
    <dxf>
      <font>
        <strike val="0"/>
        <color theme="0"/>
      </font>
      <fill>
        <patternFill>
          <bgColor rgb="FF009999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9999"/>
        </left>
        <right style="hair">
          <color rgb="FF009999"/>
        </right>
        <top style="hair">
          <color rgb="FF009999"/>
        </top>
        <bottom style="hair">
          <color rgb="FF009999"/>
        </bottom>
        <vertical style="hair">
          <color rgb="FF009999"/>
        </vertical>
        <horizontal style="hair">
          <color rgb="FF009999"/>
        </horizontal>
      </border>
    </dxf>
    <dxf>
      <font>
        <strike val="0"/>
        <color theme="0"/>
      </font>
      <fill>
        <patternFill>
          <bgColor rgb="FF00AC56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AC56"/>
        </left>
        <right style="hair">
          <color rgb="FF00AC56"/>
        </right>
        <top style="hair">
          <color rgb="FF00AC56"/>
        </top>
        <bottom style="hair">
          <color rgb="FF00AC56"/>
        </bottom>
        <vertical style="hair">
          <color rgb="FF00AC56"/>
        </vertical>
        <horizontal style="hair">
          <color rgb="FF00AC56"/>
        </horizontal>
      </border>
    </dxf>
    <dxf>
      <font>
        <strike val="0"/>
        <color theme="0"/>
      </font>
      <fill>
        <patternFill>
          <bgColor rgb="FF0088CC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88CC"/>
        </left>
        <right style="hair">
          <color rgb="FF0088CC"/>
        </right>
        <top style="hair">
          <color rgb="FF0088CC"/>
        </top>
        <bottom style="hair">
          <color rgb="FF0088CC"/>
        </bottom>
        <vertical style="hair">
          <color rgb="FF0088CC"/>
        </vertical>
        <horizontal style="hair">
          <color rgb="FF0088CC"/>
        </horizontal>
      </border>
    </dxf>
  </dxfs>
  <tableStyles count="5" defaultTableStyle="TableStyleMedium2" defaultPivotStyle="PivotStyleMedium9">
    <tableStyle name="Estilo de tabla 1" pivot="0" count="1" xr9:uid="{00000000-0011-0000-FFFF-FFFF00000000}">
      <tableStyleElement type="secondColumnStripe" size="7"/>
    </tableStyle>
    <tableStyle name="S5S Blue" pivot="0" count="2" xr9:uid="{00000000-0011-0000-FFFF-FFFF01000000}">
      <tableStyleElement type="wholeTable" dxfId="121"/>
      <tableStyleElement type="headerRow" dxfId="120"/>
    </tableStyle>
    <tableStyle name="S5S Green" pivot="0" count="2" xr9:uid="{00000000-0011-0000-FFFF-FFFF02000000}">
      <tableStyleElement type="wholeTable" dxfId="119"/>
      <tableStyleElement type="headerRow" dxfId="118"/>
    </tableStyle>
    <tableStyle name="S5S Greenblue" pivot="0" count="2" xr9:uid="{00000000-0011-0000-FFFF-FFFF03000000}">
      <tableStyleElement type="wholeTable" dxfId="117"/>
      <tableStyleElement type="headerRow" dxfId="116"/>
    </tableStyle>
    <tableStyle name="S5S2" pivot="0" count="2" xr9:uid="{00000000-0011-0000-FFFF-FFFF04000000}">
      <tableStyleElement type="wholeTable" dxfId="115"/>
      <tableStyleElement type="headerRow" dxfId="114"/>
    </tableStyle>
  </tableStyles>
  <colors>
    <mruColors>
      <color rgb="FFFF0000"/>
      <color rgb="FFFF3300"/>
      <color rgb="FF00AC56"/>
      <color rgb="FF0088CC"/>
      <color rgb="FF323232"/>
      <color rgb="FF009999"/>
      <color rgb="FFFF6600"/>
      <color rgb="FF66CCFF"/>
      <color rgb="FF3399FF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[0]!exppdfbot" textlink="">
      <xdr:nvSpPr>
        <xdr:cNvPr id="2" name="Elips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7B8C78C-4EA5-4DB6-8D9E-50FFF5CD917D}" name="T_mat" displayName="T_mat" ref="A4:E15" totalsRowShown="0" headerRowDxfId="113">
  <autoFilter ref="A4:E15" xr:uid="{37B8C78C-4EA5-4DB6-8D9E-50FFF5CD917D}"/>
  <sortState xmlns:xlrd2="http://schemas.microsoft.com/office/spreadsheetml/2017/richdata2" ref="A5:E15">
    <sortCondition ref="A4:A15"/>
  </sortState>
  <tableColumns count="5">
    <tableColumn id="1" xr3:uid="{26D19916-4875-4C12-BD68-5EC6E654F1F9}" name="DESCRIPCIÓN" dataDxfId="112"/>
    <tableColumn id="2" xr3:uid="{BEC29022-9420-4DF7-8302-E64E8FE2E332}" name="CÓDIGO" dataDxfId="111"/>
    <tableColumn id="3" xr3:uid="{1B8F3E0F-CB0B-47AA-9DE0-BA5799B0A5F9}" name="UNIDAD" dataDxfId="110"/>
    <tableColumn id="4" xr3:uid="{8995E1A5-4874-4578-AE3D-8976C5F50F6C}" name="PRECIO" dataDxfId="109"/>
    <tableColumn id="5" xr3:uid="{49EB0541-31C9-429D-8703-4B02CC001B90}" name="FECHA"/>
  </tableColumns>
  <tableStyleInfo name="S5S Blu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19311-D404-411F-BEC6-28A791335363}" name="T_equipos" displayName="T_equipos" ref="G4:K11" totalsRowShown="0" headerRowDxfId="108">
  <autoFilter ref="G4:K11" xr:uid="{35119311-D404-411F-BEC6-28A791335363}"/>
  <tableColumns count="5">
    <tableColumn id="1" xr3:uid="{988EC271-F9E8-479F-A12D-22EC2C92C28F}" name="DESCRIPCIÓN" dataDxfId="107"/>
    <tableColumn id="2" xr3:uid="{DC2B0257-8F91-41C6-847D-0CA0FD42522B}" name="CÓDIGO" dataDxfId="106"/>
    <tableColumn id="3" xr3:uid="{772EDB55-5011-4758-BC30-C189FF96486E}" name="UNIDAD" dataDxfId="105"/>
    <tableColumn id="4" xr3:uid="{5A74DB41-B64C-443A-B777-AF65DDF71388}" name="PRECIO" dataDxfId="104"/>
    <tableColumn id="5" xr3:uid="{16BC6138-2407-43E0-A875-F9F44913CCCA}" name="FECHA"/>
  </tableColumns>
  <tableStyleInfo name="S5S Blu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5332B71-5B98-4F9A-9CB5-09AAA14D3FC3}" name="T_mano" displayName="T_mano" ref="M4:Q11" totalsRowShown="0" headerRowDxfId="103">
  <autoFilter ref="M4:Q11" xr:uid="{C5332B71-5B98-4F9A-9CB5-09AAA14D3FC3}"/>
  <sortState xmlns:xlrd2="http://schemas.microsoft.com/office/spreadsheetml/2017/richdata2" ref="M5:Q19">
    <sortCondition ref="N4"/>
  </sortState>
  <tableColumns count="5">
    <tableColumn id="1" xr3:uid="{7B498A9C-A38B-4C94-BE40-4D31533AA9C8}" name="DESCRIPCIÓN" dataDxfId="102"/>
    <tableColumn id="2" xr3:uid="{11352BEE-FDD3-4A64-A1C7-DB0D0B09D752}" name="CÓDIGO" dataDxfId="101"/>
    <tableColumn id="3" xr3:uid="{16DED22C-8E50-41AC-8D56-91AFA25CE5FF}" name="UNIDAD" dataDxfId="100"/>
    <tableColumn id="4" xr3:uid="{558C3441-6088-4DB6-B9A3-E7BA1A24CF37}" name="PRECIO" dataDxfId="99"/>
    <tableColumn id="5" xr3:uid="{08073BDB-1B0F-4814-8CC5-2B9FBD7DC5F4}" name="FECHA"/>
  </tableColumns>
  <tableStyleInfo name="S5S Blu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1D2C994-6626-4759-87C5-64EFA7C4DEA8}" name="T_trans" displayName="T_trans" ref="S4:W11" totalsRowShown="0" headerRowDxfId="98">
  <autoFilter ref="S4:W11" xr:uid="{31D2C994-6626-4759-87C5-64EFA7C4DEA8}"/>
  <sortState xmlns:xlrd2="http://schemas.microsoft.com/office/spreadsheetml/2017/richdata2" ref="S5:W15">
    <sortCondition ref="T4:T15"/>
  </sortState>
  <tableColumns count="5">
    <tableColumn id="1" xr3:uid="{2FF8C2F7-A63F-43DD-A2C8-131A451AB6D3}" name="DESCRIPCIÓN" dataDxfId="97"/>
    <tableColumn id="2" xr3:uid="{6CA67687-C4C7-4D45-80CC-B974173BAF26}" name="CÓDIGO" dataDxfId="96"/>
    <tableColumn id="3" xr3:uid="{E567B84B-DD78-4D3A-A4A8-62F56C9037E1}" name="UNIDAD" dataDxfId="95"/>
    <tableColumn id="4" xr3:uid="{95B11736-EF1B-462D-89BC-740345733D60}" name="PRECIO" dataDxfId="94"/>
    <tableColumn id="5" xr3:uid="{0942BB87-C63C-48CA-B13C-B64F6AB4BFDA}" name="FECHA"/>
  </tableColumns>
  <tableStyleInfo name="S5S Blu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A989305-1A33-4D3D-AF43-18651FCDFEA8}" name="T_sub" displayName="T_sub" ref="Y4:AC11" totalsRowShown="0" headerRowDxfId="93">
  <autoFilter ref="Y4:AC11" xr:uid="{7A989305-1A33-4D3D-AF43-18651FCDFEA8}"/>
  <sortState xmlns:xlrd2="http://schemas.microsoft.com/office/spreadsheetml/2017/richdata2" ref="Y5:AC18">
    <sortCondition ref="Z4"/>
  </sortState>
  <tableColumns count="5">
    <tableColumn id="1" xr3:uid="{2CFD0838-E716-4F3F-B0E0-CA9136FEF910}" name="DESCRIPCIÓN" dataDxfId="92"/>
    <tableColumn id="2" xr3:uid="{5474709D-E8D6-42DE-86B9-894F96537C2A}" name="CÓDIGO" dataDxfId="91"/>
    <tableColumn id="3" xr3:uid="{86A0DA5C-202B-413D-97C9-8C51EA785B90}" name="UNIDAD" dataDxfId="90"/>
    <tableColumn id="4" xr3:uid="{A1823461-9988-4B02-B180-F8A2CC68B416}" name="PRECIO" dataDxfId="89"/>
    <tableColumn id="5" xr3:uid="{D71BEAF6-AD8E-4B39-8EA9-70E8D7FD42F8}" name="FECHA"/>
  </tableColumns>
  <tableStyleInfo name="S5S Blu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9F99BFF-C59B-4E65-999B-1F97FF996CC2}" name="T_otros" displayName="T_otros" ref="AK4:AO11" totalsRowShown="0" headerRowDxfId="88">
  <autoFilter ref="AK4:AO11" xr:uid="{B9F99BFF-C59B-4E65-999B-1F97FF996CC2}"/>
  <sortState xmlns:xlrd2="http://schemas.microsoft.com/office/spreadsheetml/2017/richdata2" ref="AK5:AO18">
    <sortCondition ref="AL4"/>
  </sortState>
  <tableColumns count="5">
    <tableColumn id="1" xr3:uid="{5B8FE7AB-986A-40BF-A762-E9F4E4EFFF75}" name="DESCRIPCIÓN" dataDxfId="87"/>
    <tableColumn id="2" xr3:uid="{ADCB8C7D-B782-4E46-B97D-B1A52862A7BB}" name="CÓDIGO" dataDxfId="86"/>
    <tableColumn id="3" xr3:uid="{103AC8E6-DCE9-48FE-8A46-313DA46B48F9}" name="UNIDAD" dataDxfId="85"/>
    <tableColumn id="4" xr3:uid="{05D17D65-510F-4691-B8E6-4319E57CBE1B}" name="PRECIO" dataDxfId="84"/>
    <tableColumn id="5" xr3:uid="{48DDFC48-BF64-45AD-A9EF-26CE73A6F6AF}" name="FECHA"/>
  </tableColumns>
  <tableStyleInfo name="S5S Blu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1B7C5848-DA90-4D18-9665-449BF648B58E}" name="T_act" displayName="T_act" ref="AE4:AI11" totalsRowShown="0" headerRowDxfId="83">
  <autoFilter ref="AE4:AI11" xr:uid="{1B7C5848-DA90-4D18-9665-449BF648B58E}"/>
  <sortState xmlns:xlrd2="http://schemas.microsoft.com/office/spreadsheetml/2017/richdata2" ref="AE5:AI15">
    <sortCondition ref="AE4:AE15"/>
  </sortState>
  <tableColumns count="5">
    <tableColumn id="1" xr3:uid="{CDCF99D9-445E-40BF-8B34-B2D930ABA465}" name="DESCRIPCIÓN" dataDxfId="82"/>
    <tableColumn id="2" xr3:uid="{693861C4-C1EF-4DC2-8B33-63A6DEEA520B}" name="CÓDIGO" dataDxfId="81"/>
    <tableColumn id="3" xr3:uid="{352EE5E8-E5F3-4884-B9BE-9CF01AAC0774}" name="UNIDAD" dataDxfId="80"/>
    <tableColumn id="4" xr3:uid="{EDA26071-671A-4A20-B7EE-983BD065D3A4}" name="PRECIO" dataDxfId="79"/>
    <tableColumn id="5" xr3:uid="{E30FAF65-D4DA-487F-A747-8B65E54BE52C}" name="FECHA"/>
  </tableColumns>
  <tableStyleInfo name="S5S Blu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4FA391D-1B99-4E37-A1BB-BF88CF8378A8}" name="Tabla5" displayName="Tabla5" ref="A4:H13" totalsRowCount="1">
  <autoFilter ref="A4:H12" xr:uid="{84FA391D-1B99-4E37-A1BB-BF88CF8378A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7F972842-1445-449A-8779-BAB5F6565465}" name="TIPO" totalsRowLabel="Total"/>
    <tableColumn id="2" xr3:uid="{8CCB6ADA-AAEE-4AFA-AC9E-EF1AA1F1758A}" name="CÓDIGO"/>
    <tableColumn id="3" xr3:uid="{CC004F6F-0D74-4732-A657-C2D878EF81A1}" name="DESCRIPCIÓN"/>
    <tableColumn id="4" xr3:uid="{534BF4EA-B94E-49A6-A54F-D583EF58FF11}" name="UNIDAD" dataDxfId="17"/>
    <tableColumn id="5" xr3:uid="{E6762400-8E9A-4E6F-9AF9-0C4DDB7E334B}" name="FACTOR" dataDxfId="16">
      <calculatedColumnFormula>1</calculatedColumnFormula>
    </tableColumn>
    <tableColumn id="6" xr3:uid="{AE50B51C-A7C3-43A6-8D3B-B81583AC49DC}" name="CANTIDAD" dataDxfId="15"/>
    <tableColumn id="7" xr3:uid="{D11F14D9-4FC1-45C2-B6B0-ECB9E58FE7DD}" name="PRECIO" dataDxfId="14" totalsRowDxfId="12"/>
    <tableColumn id="8" xr3:uid="{41487C18-8C30-48AA-88C2-63B83010AC94}" name="TOTAL" totalsRowFunction="custom" dataDxfId="13" totalsRowDxfId="11">
      <calculatedColumnFormula>Tabla5[[#This Row],[CANTIDAD]]*Tabla5[[#This Row],[PRECIO]]*Tabla5[[#This Row],[FACTOR]]</calculatedColumnFormula>
      <totalsRowFormula>SUM(Tabla5[TOTAL])</totalsRowFormula>
    </tableColumn>
  </tableColumns>
  <tableStyleInfo name="S5S Green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B15147E-5FF5-40A9-B038-76187725E6D3}" name="Tabla2" displayName="Tabla2" ref="A4:H8" totalsRowCount="1">
  <autoFilter ref="A4:H7" xr:uid="{FB15147E-5FF5-40A9-B038-76187725E6D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7ED94201-4288-4A00-9302-050A1ED47D62}" name="TIPO" totalsRowLabel="Total"/>
    <tableColumn id="2" xr3:uid="{1193B0C1-B052-4381-81D9-0EA969F3ECBF}" name="CÓDIGO"/>
    <tableColumn id="3" xr3:uid="{E654EFA8-C213-499D-A4B5-2C1F7F9880CC}" name="DESCRIPCIÓN"/>
    <tableColumn id="4" xr3:uid="{2CCA0049-47A5-4AA8-81FA-1383E8170991}" name="UNIDAD" dataDxfId="57"/>
    <tableColumn id="5" xr3:uid="{E4D3B87D-E1D4-4A3E-BF98-EC90FA91CA94}" name="FACTOR" dataDxfId="56">
      <calculatedColumnFormula>1</calculatedColumnFormula>
    </tableColumn>
    <tableColumn id="6" xr3:uid="{99705CB0-3360-46ED-BB94-876BA81FFB01}" name="CANTIDAD" dataDxfId="55"/>
    <tableColumn id="7" xr3:uid="{2AE67B4D-919D-4206-BFF7-D3A7C8B37D7D}" name="PRECIO" dataDxfId="54" totalsRowDxfId="1"/>
    <tableColumn id="8" xr3:uid="{02D1CF9E-C265-4BD5-BB86-443D81C16F34}" name="TOTAL" totalsRowFunction="custom" dataDxfId="53" totalsRowDxfId="0">
      <calculatedColumnFormula>Tabla2[[#This Row],[CANTIDAD]]*Tabla2[[#This Row],[PRECIO]]*Tabla2[[#This Row],[FACTOR]]</calculatedColumnFormula>
      <totalsRowFormula>SUM(Tabla2[TOTAL])</totalsRowFormula>
    </tableColumn>
  </tableColumns>
  <tableStyleInfo name="S5S Blu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1CC0D9A-939A-40B7-B22C-D07C8CB00D16}" name="Tabla4" displayName="Tabla4" ref="A12:H16" totalsRowCount="1">
  <autoFilter ref="A12:H15" xr:uid="{81CC0D9A-939A-40B7-B22C-D07C8CB00D1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E670818A-AD35-4D1B-833E-2791B431C3AB}" name="TIPO" totalsRowLabel="Total"/>
    <tableColumn id="2" xr3:uid="{4D82CAB5-0416-48AA-8DA4-EF3B34B5C4ED}" name="CÓDIGO"/>
    <tableColumn id="3" xr3:uid="{9E62A2AD-2060-4AC9-9497-59D28D2404ED}" name="DESCRIPCIÓN"/>
    <tableColumn id="4" xr3:uid="{CD920A2A-999F-47C1-8743-E0BD473B4537}" name="UNIDAD" dataDxfId="52"/>
    <tableColumn id="5" xr3:uid="{AA54454E-1102-4600-9A4C-045A08C907D3}" name="FACTOR" dataDxfId="51">
      <calculatedColumnFormula>1</calculatedColumnFormula>
    </tableColumn>
    <tableColumn id="6" xr3:uid="{20A96EFD-973D-4D6B-81DE-23ECED0159E9}" name="CANTIDAD" dataDxfId="50"/>
    <tableColumn id="7" xr3:uid="{EC92D030-169C-4EBD-9E05-9926612F3280}" name="PRECIO" dataDxfId="49" totalsRowDxfId="10"/>
    <tableColumn id="8" xr3:uid="{A28AB329-4574-43B6-BE1B-62CC24D3281D}" name="TOTAL" totalsRowFunction="custom" dataDxfId="48" totalsRowDxfId="9">
      <calculatedColumnFormula>Tabla4[[#This Row],[CANTIDAD]]*Tabla4[[#This Row],[PRECIO]]*Tabla4[[#This Row],[FACTOR]]</calculatedColumnFormula>
      <totalsRowFormula>SUM(Tabla4[TOTAL])</totalsRowFormula>
    </tableColumn>
  </tableColumns>
  <tableStyleInfo name="S5S Blu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34EF17C5-FB53-42E1-B963-33F995F5E72C}" name="Tabla7" displayName="Tabla7" ref="B4:H10" totalsRowCount="1" headerRowDxfId="40" dataDxfId="38" totalsRowDxfId="39">
  <autoFilter ref="B4:H9" xr:uid="{34EF17C5-FB53-42E1-B963-33F995F5E72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37341945-73EE-43BB-A263-0C2F03C93743}" name="CÓDIGO" totalsRowLabel="Total" dataDxfId="47" totalsRowDxfId="8"/>
    <tableColumn id="2" xr3:uid="{6496F09C-BA35-473D-82FE-D4B215D99EEA}" name="DESCRIPCIÓN" dataDxfId="46" totalsRowDxfId="7"/>
    <tableColumn id="3" xr3:uid="{0BB1DF6F-F534-408C-BD13-7A95370BCE99}" name="UNIDAD" dataDxfId="45" totalsRowDxfId="6"/>
    <tableColumn id="4" xr3:uid="{99895A69-0954-43EF-A934-969241B24366}" name="FACTOR" dataDxfId="44" totalsRowDxfId="5"/>
    <tableColumn id="5" xr3:uid="{354DCC26-6E82-46CA-B448-D4C5C2B3DBD3}" name="CANTIDAD" dataDxfId="43" totalsRowDxfId="4"/>
    <tableColumn id="6" xr3:uid="{62A49B5D-C102-4309-B045-5A20594609D0}" name="COSTO" dataDxfId="42" totalsRowDxfId="3"/>
    <tableColumn id="7" xr3:uid="{5ECEFDEB-7E7D-4CB7-929B-95A0C16BB792}" name="TOTAL" totalsRowFunction="custom" dataDxfId="41" totalsRowDxfId="2">
      <calculatedColumnFormula>Tabla7[[#This Row],[FACTOR]]*Tabla7[[#This Row],[CANTIDAD]]*Tabla7[[#This Row],[COSTO]]</calculatedColumnFormula>
      <totalsRowFormula>SUM(Tabla7[TOTAL])</totalsRowFormula>
    </tableColumn>
  </tableColumns>
  <tableStyleInfo name="S5S Greenblue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43FFA02-96B4-4895-B089-E28503B73BB6}" name="Tabla12" displayName="Tabla12" ref="B14:E18" totalsRowShown="0" headerRowDxfId="33" dataDxfId="32">
  <autoFilter ref="B14:E18" xr:uid="{043FFA02-96B4-4895-B089-E28503B73BB6}">
    <filterColumn colId="0" hiddenButton="1"/>
    <filterColumn colId="1" hiddenButton="1"/>
    <filterColumn colId="2" hiddenButton="1"/>
    <filterColumn colId="3" hiddenButton="1"/>
  </autoFilter>
  <tableColumns count="4">
    <tableColumn id="1" xr3:uid="{E4C91019-7607-43DF-A249-EB7D0CE8D2CA}" name="CÓD" dataDxfId="37"/>
    <tableColumn id="2" xr3:uid="{19DD6E3D-756B-4E42-9033-0BCEABFA8EB5}" name="CAPÍTULO" dataDxfId="36"/>
    <tableColumn id="3" xr3:uid="{FC96FD05-4775-4EFF-844B-A5403A993CFE}" name="PORCENTAJE" dataDxfId="35"/>
    <tableColumn id="4" xr3:uid="{1ADEB4D2-1280-4A0A-842B-6F22A86A36AB}" name="SUBTOTAL" dataDxfId="34"/>
  </tableColumns>
  <tableStyleInfo name="S5S Greenblue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36C235E8-8A76-4756-BD2D-0B296EC800AA}" name="Tabla13" displayName="Tabla13" ref="C21:E28" totalsRowShown="0" headerRowDxfId="28" dataDxfId="27">
  <autoFilter ref="C21:E28" xr:uid="{36C235E8-8A76-4756-BD2D-0B296EC800AA}">
    <filterColumn colId="0" hiddenButton="1"/>
    <filterColumn colId="1" hiddenButton="1"/>
    <filterColumn colId="2" hiddenButton="1"/>
  </autoFilter>
  <tableColumns count="3">
    <tableColumn id="1" xr3:uid="{E3894D35-62BE-4F36-AB8D-53EF395578EF}" name="DESCRIPCIÓN" dataDxfId="31"/>
    <tableColumn id="2" xr3:uid="{66EBEF3D-9695-40C8-B126-6669D3663D26}" name="PORCENTAJE" dataDxfId="30"/>
    <tableColumn id="3" xr3:uid="{CD81F62D-DCCE-4EA5-9DE3-2E969A23EA7F}" name="SUBTOTAL" dataDxfId="29"/>
  </tableColumns>
  <tableStyleInfo name="S5S Greenblue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C000000}" name="T_basico" displayName="T_basico" ref="B2:E5" totalsRowShown="0" headerRowDxfId="78" dataDxfId="76" headerRowBorderDxfId="77" tableBorderDxfId="75">
  <autoFilter ref="B2:E5" xr:uid="{00000000-0009-0000-0100-00001C000000}"/>
  <sortState xmlns:xlrd2="http://schemas.microsoft.com/office/spreadsheetml/2017/richdata2" ref="B3:E5">
    <sortCondition ref="B2:B5"/>
  </sortState>
  <tableColumns count="4">
    <tableColumn id="1" xr3:uid="{00000000-0010-0000-0C00-000001000000}" name="DESCRIPCIÓN" dataDxfId="74" totalsRowDxfId="73"/>
    <tableColumn id="2" xr3:uid="{00000000-0010-0000-0C00-000002000000}" name="CÓDIGO" totalsRowDxfId="72"/>
    <tableColumn id="3" xr3:uid="{00000000-0010-0000-0C00-000003000000}" name="UNIDAD " totalsRowDxfId="71"/>
    <tableColumn id="4" xr3:uid="{00000000-0010-0000-0C00-000004000000}" name="COSTO" dataDxfId="70" totalsRowDxfId="69"/>
  </tableColumns>
  <tableStyleInfo name="S5S Blue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_apus" displayName="T_apus" ref="B2:E6" headerRowDxfId="68" dataDxfId="67" tableBorderDxfId="66">
  <autoFilter ref="B2:E6" xr:uid="{00000000-0009-0000-0100-000006000000}"/>
  <sortState xmlns:xlrd2="http://schemas.microsoft.com/office/spreadsheetml/2017/richdata2" ref="B3:E6">
    <sortCondition ref="B2:B6"/>
  </sortState>
  <tableColumns count="4">
    <tableColumn id="1" xr3:uid="{00000000-0010-0000-0D00-000001000000}" name="DESCRIPCIÓN" dataDxfId="65" totalsRowDxfId="64"/>
    <tableColumn id="2" xr3:uid="{00000000-0010-0000-0D00-000002000000}" name="CÓDIGO" totalsRowDxfId="63"/>
    <tableColumn id="3" xr3:uid="{00000000-0010-0000-0D00-000003000000}" name="UNIDAD " totalsRowDxfId="62"/>
    <tableColumn id="4" xr3:uid="{00000000-0010-0000-0D00-000004000000}" name="COSTO" dataDxfId="61" totalsRowDxfId="60"/>
  </tableColumns>
  <tableStyleInfo name="S5S Blue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E000000}" name="T_materiales" displayName="T_materiales" ref="A2:E7" totalsRowCount="1" headerRowDxfId="59" totalsRowDxfId="58">
  <autoFilter ref="A2:E6" xr:uid="{00000000-0009-0000-0100-000001000000}"/>
  <sortState xmlns:xlrd2="http://schemas.microsoft.com/office/spreadsheetml/2017/richdata2" ref="A3:E76">
    <sortCondition ref="A2:A76"/>
  </sortState>
  <tableColumns count="5">
    <tableColumn id="1" xr3:uid="{00000000-0010-0000-0E00-000001000000}" name="INSUMO" totalsRowLabel="Total" totalsRowDxfId="22"/>
    <tableColumn id="2" xr3:uid="{00000000-0010-0000-0E00-000002000000}" name="UNIDAD" dataDxfId="26" totalsRowDxfId="21"/>
    <tableColumn id="3" xr3:uid="{00000000-0010-0000-0E00-000003000000}" name="PRECIO" dataDxfId="25" totalsRowDxfId="20"/>
    <tableColumn id="4" xr3:uid="{00000000-0010-0000-0E00-000004000000}" name="CANTIDAD" dataDxfId="24" totalsRowDxfId="19"/>
    <tableColumn id="5" xr3:uid="{00000000-0010-0000-0E00-000005000000}" name="TOTAL" totalsRowFunction="sum" dataDxfId="23" totalsRowDxfId="18">
      <calculatedColumnFormula>T_materiales[[#This Row],[PRECIO]]*T_materiales[[#This Row],[CANTIDAD]]</calculatedColumnFormula>
    </tableColumn>
  </tableColumns>
  <tableStyleInfo name="S5S Greenblue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  <a:softEdge rad="0"/>
        </a:effectLst>
        <a:scene3d>
          <a:camera prst="orthographicFront"/>
          <a:lightRig rig="threePt" dir="t"/>
        </a:scene3d>
        <a:sp3d>
          <a:bevelT w="19050" h="19050" prst="coolSlant"/>
        </a:sp3d>
      </a:spPr>
      <a:bodyPr vertOverflow="clip" horzOverflow="clip" rtlCol="0" anchor="ctr"/>
      <a:lstStyle>
        <a:defPPr algn="ctr">
          <a:defRPr sz="800" b="1">
            <a:solidFill>
              <a:srgbClr val="0066FF"/>
            </a:solidFill>
          </a:defRPr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3.xml"/><Relationship Id="rId4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tabColor rgb="FF00AC56"/>
    <pageSetUpPr fitToPage="1"/>
  </sheetPr>
  <dimension ref="A1:AQ147"/>
  <sheetViews>
    <sheetView showGridLines="0" zoomScaleNormal="100" zoomScaleSheetLayoutView="50" workbookViewId="0">
      <selection activeCell="G8" sqref="G8"/>
    </sheetView>
  </sheetViews>
  <sheetFormatPr baseColWidth="10" defaultColWidth="8.6640625" defaultRowHeight="14.4" x14ac:dyDescent="0.3"/>
  <cols>
    <col min="1" max="1" width="30.5546875" style="17" customWidth="1"/>
    <col min="2" max="2" width="11.109375" style="17" bestFit="1" customWidth="1"/>
    <col min="3" max="3" width="13.88671875" style="18" bestFit="1" customWidth="1"/>
    <col min="4" max="4" width="11.6640625" style="32" bestFit="1" customWidth="1"/>
    <col min="5" max="5" width="12" bestFit="1" customWidth="1"/>
    <col min="6" max="6" width="1.6640625" customWidth="1"/>
    <col min="7" max="7" width="28.33203125" style="17" bestFit="1" customWidth="1"/>
    <col min="8" max="8" width="15" style="17" customWidth="1"/>
    <col min="9" max="9" width="15" style="18" customWidth="1"/>
    <col min="10" max="10" width="12.109375" style="35" customWidth="1"/>
    <col min="11" max="11" width="15" customWidth="1"/>
    <col min="12" max="12" width="1.109375" customWidth="1"/>
    <col min="13" max="13" width="28" style="17" customWidth="1"/>
    <col min="14" max="14" width="10.5546875" style="17" bestFit="1" customWidth="1"/>
    <col min="15" max="15" width="13.109375" style="18" bestFit="1" customWidth="1"/>
    <col min="16" max="16" width="12.109375" style="35" bestFit="1" customWidth="1"/>
    <col min="17" max="17" width="12" bestFit="1" customWidth="1"/>
    <col min="18" max="18" width="1.44140625" customWidth="1"/>
    <col min="19" max="19" width="31.33203125" style="17" bestFit="1" customWidth="1"/>
    <col min="20" max="20" width="10.5546875" style="17" bestFit="1" customWidth="1"/>
    <col min="21" max="21" width="13.109375" style="18" bestFit="1" customWidth="1"/>
    <col min="22" max="22" width="11.109375" style="35" bestFit="1" customWidth="1"/>
    <col min="23" max="23" width="11.5546875" bestFit="1" customWidth="1"/>
    <col min="24" max="24" width="1.33203125" customWidth="1"/>
    <col min="25" max="25" width="34.109375" style="17" customWidth="1"/>
    <col min="26" max="26" width="10.5546875" style="17" bestFit="1" customWidth="1"/>
    <col min="27" max="27" width="13.109375" style="18" bestFit="1" customWidth="1"/>
    <col min="28" max="28" width="12.109375" style="35" customWidth="1"/>
    <col min="29" max="29" width="11.5546875" bestFit="1" customWidth="1"/>
    <col min="30" max="30" width="1.33203125" customWidth="1"/>
    <col min="31" max="31" width="36.109375" style="17" customWidth="1"/>
    <col min="32" max="32" width="10.5546875" style="17" bestFit="1" customWidth="1"/>
    <col min="33" max="33" width="13.109375" style="18" bestFit="1" customWidth="1"/>
    <col min="34" max="34" width="12.109375" style="35" bestFit="1" customWidth="1"/>
    <col min="35" max="35" width="11.5546875" bestFit="1" customWidth="1"/>
    <col min="36" max="36" width="1.44140625" customWidth="1"/>
    <col min="37" max="37" width="28.88671875" style="17" customWidth="1"/>
    <col min="38" max="38" width="10.5546875" style="17" bestFit="1" customWidth="1"/>
    <col min="39" max="39" width="13.109375" style="18" bestFit="1" customWidth="1"/>
    <col min="40" max="40" width="11.109375" style="35" bestFit="1" customWidth="1"/>
    <col min="41" max="41" width="11.5546875" bestFit="1" customWidth="1"/>
    <col min="42" max="42" width="2" customWidth="1"/>
    <col min="43" max="43" width="11.5546875" customWidth="1"/>
    <col min="44" max="44" width="1.33203125" customWidth="1"/>
    <col min="45" max="45" width="15.33203125" bestFit="1" customWidth="1"/>
    <col min="46" max="46" width="1.33203125" customWidth="1"/>
    <col min="47" max="47" width="15.33203125" bestFit="1" customWidth="1"/>
    <col min="48" max="48" width="1.6640625" customWidth="1"/>
  </cols>
  <sheetData>
    <row r="1" spans="1:43" ht="30" customHeight="1" x14ac:dyDescent="0.3">
      <c r="A1" s="58" t="s">
        <v>34</v>
      </c>
      <c r="B1" s="58"/>
      <c r="C1" s="58"/>
      <c r="D1" s="58"/>
      <c r="E1" s="58"/>
    </row>
    <row r="2" spans="1:43" ht="3" customHeight="1" thickBot="1" x14ac:dyDescent="0.35"/>
    <row r="3" spans="1:43" ht="18.600000000000001" thickBot="1" x14ac:dyDescent="0.4">
      <c r="A3" s="59" t="s">
        <v>4</v>
      </c>
      <c r="B3" s="60"/>
      <c r="C3" s="60"/>
      <c r="D3" s="60"/>
      <c r="E3" s="61"/>
      <c r="G3" s="59" t="s">
        <v>5</v>
      </c>
      <c r="H3" s="60"/>
      <c r="I3" s="60"/>
      <c r="J3" s="60"/>
      <c r="K3" s="61"/>
      <c r="M3" s="59" t="s">
        <v>6</v>
      </c>
      <c r="N3" s="60"/>
      <c r="O3" s="60"/>
      <c r="P3" s="60"/>
      <c r="Q3" s="61"/>
      <c r="S3" s="59" t="s">
        <v>7</v>
      </c>
      <c r="T3" s="60"/>
      <c r="U3" s="60"/>
      <c r="V3" s="60"/>
      <c r="W3" s="61"/>
      <c r="Y3" s="59" t="s">
        <v>8</v>
      </c>
      <c r="Z3" s="60"/>
      <c r="AA3" s="60"/>
      <c r="AB3" s="60"/>
      <c r="AC3" s="61"/>
      <c r="AD3" s="18"/>
      <c r="AE3" s="59" t="s">
        <v>9</v>
      </c>
      <c r="AF3" s="60"/>
      <c r="AG3" s="60"/>
      <c r="AH3" s="60"/>
      <c r="AI3" s="61"/>
      <c r="AK3" s="59" t="s">
        <v>10</v>
      </c>
      <c r="AL3" s="60"/>
      <c r="AM3" s="60"/>
      <c r="AN3" s="60"/>
      <c r="AO3" s="61"/>
      <c r="AP3" s="44"/>
      <c r="AQ3" s="44"/>
    </row>
    <row r="4" spans="1:43" ht="15.6" x14ac:dyDescent="0.3">
      <c r="A4" s="20" t="s">
        <v>1</v>
      </c>
      <c r="B4" s="20" t="s">
        <v>0</v>
      </c>
      <c r="C4" s="21" t="s">
        <v>11</v>
      </c>
      <c r="D4" s="45" t="s">
        <v>12</v>
      </c>
      <c r="E4" s="22" t="s">
        <v>13</v>
      </c>
      <c r="G4" s="20" t="s">
        <v>1</v>
      </c>
      <c r="H4" s="20" t="s">
        <v>0</v>
      </c>
      <c r="I4" s="21" t="s">
        <v>11</v>
      </c>
      <c r="J4" s="46" t="s">
        <v>12</v>
      </c>
      <c r="K4" s="22" t="s">
        <v>13</v>
      </c>
      <c r="M4" s="23" t="s">
        <v>1</v>
      </c>
      <c r="N4" s="23" t="s">
        <v>0</v>
      </c>
      <c r="O4" s="24" t="s">
        <v>11</v>
      </c>
      <c r="P4" s="36" t="s">
        <v>12</v>
      </c>
      <c r="Q4" s="25" t="s">
        <v>13</v>
      </c>
      <c r="S4" s="23" t="s">
        <v>1</v>
      </c>
      <c r="T4" s="23" t="s">
        <v>0</v>
      </c>
      <c r="U4" s="24" t="s">
        <v>11</v>
      </c>
      <c r="V4" s="36" t="s">
        <v>12</v>
      </c>
      <c r="W4" s="25" t="s">
        <v>13</v>
      </c>
      <c r="Y4" s="23" t="s">
        <v>1</v>
      </c>
      <c r="Z4" s="23" t="s">
        <v>0</v>
      </c>
      <c r="AA4" s="24" t="s">
        <v>11</v>
      </c>
      <c r="AB4" s="36" t="s">
        <v>12</v>
      </c>
      <c r="AC4" s="25" t="s">
        <v>13</v>
      </c>
      <c r="AE4" s="23" t="s">
        <v>1</v>
      </c>
      <c r="AF4" s="23" t="s">
        <v>0</v>
      </c>
      <c r="AG4" s="24" t="s">
        <v>11</v>
      </c>
      <c r="AH4" s="36" t="s">
        <v>12</v>
      </c>
      <c r="AI4" s="25" t="s">
        <v>13</v>
      </c>
      <c r="AK4" s="23" t="s">
        <v>1</v>
      </c>
      <c r="AL4" s="23" t="s">
        <v>0</v>
      </c>
      <c r="AM4" s="24" t="s">
        <v>11</v>
      </c>
      <c r="AN4" s="36" t="s">
        <v>12</v>
      </c>
      <c r="AO4" s="25" t="s">
        <v>13</v>
      </c>
    </row>
    <row r="5" spans="1:43" ht="15.6" x14ac:dyDescent="0.3">
      <c r="A5" s="20" t="s">
        <v>53</v>
      </c>
      <c r="B5" s="20"/>
      <c r="C5" s="21" t="s">
        <v>54</v>
      </c>
      <c r="D5" s="45">
        <v>2694</v>
      </c>
      <c r="E5" s="47"/>
      <c r="G5" s="20" t="s">
        <v>42</v>
      </c>
      <c r="H5" s="20"/>
      <c r="I5" s="21" t="s">
        <v>43</v>
      </c>
      <c r="J5" s="45">
        <v>100000</v>
      </c>
      <c r="K5" s="47"/>
      <c r="M5" s="20" t="s">
        <v>59</v>
      </c>
      <c r="N5" s="20"/>
      <c r="O5" s="21" t="s">
        <v>60</v>
      </c>
      <c r="P5" s="45">
        <v>21793</v>
      </c>
      <c r="Q5" s="47"/>
      <c r="S5" s="23"/>
      <c r="T5" s="23"/>
      <c r="U5" s="24"/>
      <c r="V5" s="36"/>
      <c r="W5" s="25"/>
      <c r="Y5" s="23"/>
      <c r="Z5" s="23"/>
      <c r="AA5" s="24"/>
      <c r="AB5" s="36"/>
      <c r="AC5" s="25"/>
      <c r="AE5" s="23"/>
      <c r="AF5" s="23"/>
      <c r="AG5" s="24"/>
      <c r="AH5" s="36"/>
      <c r="AI5" s="25"/>
      <c r="AK5" s="23"/>
      <c r="AL5" s="23"/>
      <c r="AM5" s="24"/>
      <c r="AN5" s="36"/>
      <c r="AO5" s="25"/>
    </row>
    <row r="6" spans="1:43" ht="15.6" x14ac:dyDescent="0.3">
      <c r="A6" s="20" t="s">
        <v>46</v>
      </c>
      <c r="B6" s="20"/>
      <c r="C6" s="21" t="s">
        <v>47</v>
      </c>
      <c r="D6" s="45">
        <v>25</v>
      </c>
      <c r="E6" s="22"/>
      <c r="G6" s="20" t="s">
        <v>61</v>
      </c>
      <c r="H6" s="20"/>
      <c r="I6" s="21" t="s">
        <v>62</v>
      </c>
      <c r="J6" s="45">
        <v>110215</v>
      </c>
      <c r="K6" s="22"/>
      <c r="M6" s="23"/>
      <c r="N6" s="23"/>
      <c r="O6" s="24"/>
      <c r="P6" s="36"/>
      <c r="Q6" s="25"/>
      <c r="S6" s="23"/>
      <c r="T6" s="23"/>
      <c r="U6" s="24"/>
      <c r="V6" s="36"/>
      <c r="W6" s="25"/>
      <c r="Y6" s="23"/>
      <c r="Z6" s="23"/>
      <c r="AA6" s="24"/>
      <c r="AB6" s="36"/>
      <c r="AC6" s="25"/>
      <c r="AE6" s="23"/>
      <c r="AF6" s="23"/>
      <c r="AG6" s="24"/>
      <c r="AH6" s="36"/>
      <c r="AI6" s="25"/>
      <c r="AK6" s="23"/>
      <c r="AL6" s="23"/>
      <c r="AM6" s="24"/>
      <c r="AN6" s="36"/>
      <c r="AO6" s="25"/>
    </row>
    <row r="7" spans="1:43" ht="15.6" x14ac:dyDescent="0.3">
      <c r="A7" s="20" t="s">
        <v>55</v>
      </c>
      <c r="B7" s="20"/>
      <c r="C7" s="21" t="s">
        <v>54</v>
      </c>
      <c r="D7" s="45">
        <v>7400</v>
      </c>
      <c r="E7" s="47"/>
      <c r="G7" s="20"/>
      <c r="H7" s="20"/>
      <c r="I7" s="21"/>
      <c r="J7" s="46"/>
      <c r="K7" s="22"/>
      <c r="M7" s="23"/>
      <c r="N7" s="23"/>
      <c r="O7" s="24"/>
      <c r="P7" s="36"/>
      <c r="Q7" s="25"/>
      <c r="S7" s="23"/>
      <c r="T7" s="23"/>
      <c r="U7" s="24"/>
      <c r="V7" s="36"/>
      <c r="W7" s="25"/>
      <c r="Y7" s="23"/>
      <c r="Z7" s="23"/>
      <c r="AA7" s="24"/>
      <c r="AB7" s="36"/>
      <c r="AC7" s="25"/>
      <c r="AE7" s="23"/>
      <c r="AF7" s="23"/>
      <c r="AG7" s="24"/>
      <c r="AH7" s="36"/>
      <c r="AI7" s="25"/>
      <c r="AK7" s="23"/>
      <c r="AL7" s="23"/>
      <c r="AM7" s="24"/>
      <c r="AN7" s="36"/>
      <c r="AO7" s="25"/>
    </row>
    <row r="8" spans="1:43" ht="15.6" x14ac:dyDescent="0.3">
      <c r="A8" s="20" t="s">
        <v>56</v>
      </c>
      <c r="B8" s="20"/>
      <c r="C8" s="21" t="s">
        <v>39</v>
      </c>
      <c r="D8" s="45">
        <v>285000</v>
      </c>
      <c r="E8" s="22"/>
      <c r="G8" s="20"/>
      <c r="H8" s="20"/>
      <c r="I8" s="21"/>
      <c r="J8" s="46"/>
      <c r="K8" s="22"/>
      <c r="M8" s="23"/>
      <c r="N8" s="23"/>
      <c r="O8" s="24"/>
      <c r="P8" s="36"/>
      <c r="Q8" s="25"/>
      <c r="S8" s="23"/>
      <c r="T8" s="23"/>
      <c r="U8" s="24"/>
      <c r="V8" s="36"/>
      <c r="W8" s="25"/>
      <c r="Y8" s="23"/>
      <c r="Z8" s="23"/>
      <c r="AA8" s="24"/>
      <c r="AB8" s="36"/>
      <c r="AC8" s="25"/>
      <c r="AE8" s="23"/>
      <c r="AF8" s="23"/>
      <c r="AG8" s="24"/>
      <c r="AH8" s="36"/>
      <c r="AI8" s="25"/>
      <c r="AK8" s="23"/>
      <c r="AL8" s="23"/>
      <c r="AM8" s="24"/>
      <c r="AN8" s="36"/>
      <c r="AO8" s="25"/>
    </row>
    <row r="9" spans="1:43" ht="15.6" x14ac:dyDescent="0.3">
      <c r="A9" s="20" t="s">
        <v>57</v>
      </c>
      <c r="B9" s="20"/>
      <c r="C9" s="21" t="s">
        <v>54</v>
      </c>
      <c r="D9" s="45">
        <v>486</v>
      </c>
      <c r="E9" s="22"/>
      <c r="G9" s="20"/>
      <c r="H9" s="20"/>
      <c r="I9" s="21"/>
      <c r="J9" s="46"/>
      <c r="K9" s="22"/>
      <c r="M9" s="23"/>
      <c r="N9" s="23"/>
      <c r="O9" s="24"/>
      <c r="P9" s="36"/>
      <c r="Q9" s="25"/>
      <c r="S9" s="23"/>
      <c r="T9" s="23"/>
      <c r="U9" s="24"/>
      <c r="V9" s="36"/>
      <c r="W9" s="25"/>
      <c r="Y9" s="23"/>
      <c r="Z9" s="23"/>
      <c r="AA9" s="24"/>
      <c r="AB9" s="36"/>
      <c r="AC9" s="25"/>
      <c r="AE9" s="23"/>
      <c r="AF9" s="23"/>
      <c r="AG9" s="24"/>
      <c r="AH9" s="36"/>
      <c r="AI9" s="25"/>
      <c r="AK9" s="23"/>
      <c r="AL9" s="23"/>
      <c r="AM9" s="24"/>
      <c r="AN9" s="36"/>
      <c r="AO9" s="25"/>
    </row>
    <row r="10" spans="1:43" ht="15.6" x14ac:dyDescent="0.3">
      <c r="A10" s="20" t="s">
        <v>58</v>
      </c>
      <c r="B10" s="20"/>
      <c r="C10" s="21" t="s">
        <v>39</v>
      </c>
      <c r="D10" s="45">
        <v>72500</v>
      </c>
      <c r="E10" s="22"/>
      <c r="G10" s="20"/>
      <c r="H10" s="20"/>
      <c r="I10" s="21"/>
      <c r="J10" s="46"/>
      <c r="K10" s="22"/>
      <c r="M10" s="23"/>
      <c r="N10" s="23"/>
      <c r="O10" s="24"/>
      <c r="P10" s="36"/>
      <c r="Q10" s="25"/>
      <c r="S10" s="23"/>
      <c r="T10" s="23"/>
      <c r="U10" s="24"/>
      <c r="V10" s="36"/>
      <c r="W10" s="25"/>
      <c r="Y10" s="23"/>
      <c r="Z10" s="23"/>
      <c r="AA10" s="24"/>
      <c r="AB10" s="36"/>
      <c r="AC10" s="25"/>
      <c r="AE10" s="23"/>
      <c r="AF10" s="23"/>
      <c r="AG10" s="24"/>
      <c r="AH10" s="36"/>
      <c r="AI10" s="25"/>
      <c r="AK10" s="23"/>
      <c r="AL10" s="23"/>
      <c r="AM10" s="24"/>
      <c r="AN10" s="36"/>
      <c r="AO10" s="25"/>
    </row>
    <row r="11" spans="1:43" ht="15.6" x14ac:dyDescent="0.3">
      <c r="E11" s="22"/>
      <c r="G11" s="20"/>
      <c r="H11" s="20"/>
      <c r="I11" s="21"/>
      <c r="J11" s="46"/>
      <c r="K11" s="22"/>
      <c r="M11" s="23"/>
      <c r="N11" s="23"/>
      <c r="O11" s="24"/>
      <c r="P11" s="36"/>
      <c r="Q11" s="25"/>
      <c r="S11" s="23"/>
      <c r="T11" s="23"/>
      <c r="U11" s="24"/>
      <c r="V11" s="36"/>
      <c r="W11" s="25"/>
      <c r="Y11" s="23"/>
      <c r="Z11" s="23"/>
      <c r="AA11" s="24"/>
      <c r="AB11" s="36"/>
      <c r="AC11" s="25"/>
      <c r="AE11" s="23"/>
      <c r="AF11" s="23"/>
      <c r="AG11" s="24"/>
      <c r="AH11" s="36"/>
      <c r="AI11" s="25"/>
      <c r="AK11" s="23"/>
      <c r="AL11" s="23"/>
      <c r="AM11" s="24"/>
      <c r="AN11" s="36"/>
      <c r="AO11" s="25"/>
    </row>
    <row r="12" spans="1:43" ht="15.6" x14ac:dyDescent="0.3">
      <c r="A12" s="20"/>
      <c r="B12" s="20"/>
      <c r="C12" s="21"/>
      <c r="D12" s="45"/>
      <c r="E12" s="22"/>
    </row>
    <row r="13" spans="1:43" ht="15.6" x14ac:dyDescent="0.3">
      <c r="A13" s="20"/>
      <c r="B13" s="20"/>
      <c r="C13" s="21"/>
      <c r="D13" s="45"/>
      <c r="E13" s="22"/>
    </row>
    <row r="14" spans="1:43" ht="15.6" x14ac:dyDescent="0.3">
      <c r="A14" s="20"/>
      <c r="B14" s="20"/>
      <c r="C14" s="21"/>
      <c r="D14" s="45"/>
      <c r="E14" s="22"/>
    </row>
    <row r="15" spans="1:43" ht="15.6" x14ac:dyDescent="0.3">
      <c r="A15" s="20"/>
      <c r="B15" s="20"/>
      <c r="C15" s="21"/>
      <c r="D15" s="45"/>
      <c r="E15" s="22"/>
    </row>
    <row r="22" spans="12:39" x14ac:dyDescent="0.3">
      <c r="O22" s="26"/>
    </row>
    <row r="23" spans="12:39" x14ac:dyDescent="0.3">
      <c r="O23" s="26"/>
      <c r="T23" s="18"/>
      <c r="U23" s="19"/>
    </row>
    <row r="24" spans="12:39" x14ac:dyDescent="0.3">
      <c r="O24" s="26"/>
      <c r="AL24" s="18"/>
      <c r="AM24" s="19"/>
    </row>
    <row r="25" spans="12:39" x14ac:dyDescent="0.3">
      <c r="O25" s="26"/>
    </row>
    <row r="26" spans="12:39" x14ac:dyDescent="0.3">
      <c r="O26" s="26"/>
    </row>
    <row r="27" spans="12:39" x14ac:dyDescent="0.3">
      <c r="O27" s="26"/>
    </row>
    <row r="28" spans="12:39" x14ac:dyDescent="0.3">
      <c r="L28" s="17"/>
      <c r="O28" s="26"/>
      <c r="R28" s="17"/>
      <c r="X28" s="17"/>
      <c r="AD28" s="17"/>
      <c r="AJ28" s="17"/>
    </row>
    <row r="29" spans="12:39" x14ac:dyDescent="0.3">
      <c r="O29" s="26"/>
    </row>
    <row r="30" spans="12:39" x14ac:dyDescent="0.3">
      <c r="O30" s="26"/>
    </row>
    <row r="31" spans="12:39" x14ac:dyDescent="0.3">
      <c r="O31" s="26"/>
    </row>
    <row r="32" spans="12:39" x14ac:dyDescent="0.3">
      <c r="O32" s="26"/>
    </row>
    <row r="33" spans="15:33" x14ac:dyDescent="0.3">
      <c r="O33" s="26"/>
    </row>
    <row r="34" spans="15:33" x14ac:dyDescent="0.3">
      <c r="O34" s="26"/>
    </row>
    <row r="35" spans="15:33" x14ac:dyDescent="0.3">
      <c r="O35" s="26"/>
    </row>
    <row r="36" spans="15:33" x14ac:dyDescent="0.3">
      <c r="O36" s="26"/>
    </row>
    <row r="37" spans="15:33" x14ac:dyDescent="0.3">
      <c r="O37" s="26"/>
    </row>
    <row r="38" spans="15:33" x14ac:dyDescent="0.3">
      <c r="O38" s="26"/>
    </row>
    <row r="39" spans="15:33" x14ac:dyDescent="0.3">
      <c r="O39" s="26"/>
    </row>
    <row r="40" spans="15:33" x14ac:dyDescent="0.3">
      <c r="O40" s="26"/>
      <c r="AG40" s="26"/>
    </row>
    <row r="41" spans="15:33" x14ac:dyDescent="0.3">
      <c r="O41" s="26"/>
      <c r="AG41" s="26"/>
    </row>
    <row r="42" spans="15:33" x14ac:dyDescent="0.3">
      <c r="O42" s="26"/>
      <c r="AG42" s="26"/>
    </row>
    <row r="43" spans="15:33" x14ac:dyDescent="0.3">
      <c r="O43" s="26"/>
      <c r="AG43" s="26"/>
    </row>
    <row r="44" spans="15:33" x14ac:dyDescent="0.3">
      <c r="O44" s="26"/>
      <c r="AG44" s="26"/>
    </row>
    <row r="45" spans="15:33" x14ac:dyDescent="0.3">
      <c r="O45" s="26"/>
      <c r="AG45" s="26"/>
    </row>
    <row r="46" spans="15:33" x14ac:dyDescent="0.3">
      <c r="O46" s="26"/>
      <c r="AG46" s="26"/>
    </row>
    <row r="47" spans="15:33" x14ac:dyDescent="0.3">
      <c r="O47" s="26"/>
      <c r="AG47" s="26"/>
    </row>
    <row r="48" spans="15:33" x14ac:dyDescent="0.3">
      <c r="O48" s="26"/>
      <c r="AG48" s="26"/>
    </row>
    <row r="49" spans="9:33" x14ac:dyDescent="0.3">
      <c r="O49" s="26"/>
      <c r="AA49" s="26"/>
      <c r="AG49" s="26"/>
    </row>
    <row r="50" spans="9:33" x14ac:dyDescent="0.3">
      <c r="I50" s="26"/>
      <c r="O50" s="26"/>
      <c r="AA50" s="26"/>
      <c r="AG50" s="26"/>
    </row>
    <row r="51" spans="9:33" x14ac:dyDescent="0.3">
      <c r="I51" s="26"/>
      <c r="O51" s="26"/>
      <c r="AA51" s="26"/>
      <c r="AG51" s="26"/>
    </row>
    <row r="52" spans="9:33" x14ac:dyDescent="0.3">
      <c r="I52" s="26"/>
      <c r="O52" s="26"/>
      <c r="AA52" s="26"/>
      <c r="AG52" s="26"/>
    </row>
    <row r="53" spans="9:33" x14ac:dyDescent="0.3">
      <c r="I53" s="26"/>
      <c r="O53" s="26"/>
      <c r="AA53" s="26"/>
      <c r="AG53" s="26"/>
    </row>
    <row r="54" spans="9:33" x14ac:dyDescent="0.3">
      <c r="I54" s="26"/>
      <c r="O54" s="26"/>
      <c r="AA54" s="26"/>
      <c r="AG54" s="26"/>
    </row>
    <row r="55" spans="9:33" x14ac:dyDescent="0.3">
      <c r="I55" s="26"/>
      <c r="O55" s="26"/>
      <c r="AA55" s="26"/>
      <c r="AG55" s="26"/>
    </row>
    <row r="56" spans="9:33" x14ac:dyDescent="0.3">
      <c r="I56" s="26"/>
      <c r="O56" s="26"/>
      <c r="AA56" s="26"/>
      <c r="AG56" s="26"/>
    </row>
    <row r="57" spans="9:33" x14ac:dyDescent="0.3">
      <c r="I57" s="26"/>
      <c r="O57" s="26"/>
      <c r="AA57" s="26"/>
      <c r="AG57" s="26"/>
    </row>
    <row r="58" spans="9:33" x14ac:dyDescent="0.3">
      <c r="I58" s="26"/>
      <c r="O58" s="26"/>
      <c r="AA58" s="26"/>
      <c r="AG58" s="26"/>
    </row>
    <row r="59" spans="9:33" x14ac:dyDescent="0.3">
      <c r="I59" s="26"/>
      <c r="O59" s="26"/>
      <c r="AA59" s="26"/>
      <c r="AG59" s="26"/>
    </row>
    <row r="60" spans="9:33" x14ac:dyDescent="0.3">
      <c r="I60" s="26"/>
      <c r="O60" s="26"/>
      <c r="AA60" s="26"/>
      <c r="AG60" s="26"/>
    </row>
    <row r="61" spans="9:33" x14ac:dyDescent="0.3">
      <c r="I61" s="26"/>
      <c r="O61" s="26"/>
      <c r="AA61" s="26"/>
      <c r="AG61" s="26"/>
    </row>
    <row r="62" spans="9:33" x14ac:dyDescent="0.3">
      <c r="I62" s="26"/>
      <c r="O62" s="26"/>
      <c r="AA62" s="26"/>
      <c r="AG62" s="26"/>
    </row>
    <row r="63" spans="9:33" x14ac:dyDescent="0.3">
      <c r="I63" s="26"/>
      <c r="O63" s="26"/>
      <c r="AA63" s="26"/>
      <c r="AG63" s="26"/>
    </row>
    <row r="64" spans="9:33" x14ac:dyDescent="0.3">
      <c r="I64" s="26"/>
      <c r="O64" s="26"/>
      <c r="AA64" s="26"/>
      <c r="AG64" s="26"/>
    </row>
    <row r="65" spans="9:33" x14ac:dyDescent="0.3">
      <c r="I65" s="26"/>
      <c r="O65" s="26"/>
      <c r="AA65" s="26"/>
      <c r="AG65" s="26"/>
    </row>
    <row r="66" spans="9:33" x14ac:dyDescent="0.3">
      <c r="I66" s="26"/>
      <c r="O66" s="26"/>
      <c r="AA66" s="26"/>
      <c r="AG66" s="26"/>
    </row>
    <row r="67" spans="9:33" x14ac:dyDescent="0.3">
      <c r="I67" s="26"/>
      <c r="O67" s="26"/>
      <c r="AA67" s="26"/>
      <c r="AG67" s="26"/>
    </row>
    <row r="68" spans="9:33" x14ac:dyDescent="0.3">
      <c r="I68" s="26"/>
      <c r="O68" s="26"/>
      <c r="AA68" s="26"/>
      <c r="AG68" s="26"/>
    </row>
    <row r="69" spans="9:33" x14ac:dyDescent="0.3">
      <c r="I69" s="26"/>
      <c r="O69" s="26"/>
      <c r="AA69" s="26"/>
      <c r="AG69" s="26"/>
    </row>
    <row r="70" spans="9:33" x14ac:dyDescent="0.3">
      <c r="I70" s="26"/>
      <c r="O70" s="26"/>
      <c r="AA70" s="26"/>
      <c r="AG70" s="26"/>
    </row>
    <row r="71" spans="9:33" x14ac:dyDescent="0.3">
      <c r="I71" s="26"/>
      <c r="O71" s="26"/>
      <c r="AA71" s="26"/>
      <c r="AG71" s="26"/>
    </row>
    <row r="72" spans="9:33" x14ac:dyDescent="0.3">
      <c r="I72" s="26"/>
      <c r="O72" s="26"/>
      <c r="AA72" s="26"/>
      <c r="AG72" s="26"/>
    </row>
    <row r="73" spans="9:33" x14ac:dyDescent="0.3">
      <c r="I73" s="26"/>
      <c r="O73" s="26"/>
      <c r="U73" s="26"/>
      <c r="AA73" s="26"/>
      <c r="AG73" s="26"/>
    </row>
    <row r="74" spans="9:33" x14ac:dyDescent="0.3">
      <c r="I74" s="26"/>
      <c r="O74" s="26"/>
      <c r="U74" s="26"/>
      <c r="AA74" s="26"/>
      <c r="AG74" s="26"/>
    </row>
    <row r="75" spans="9:33" x14ac:dyDescent="0.3">
      <c r="I75" s="26"/>
      <c r="O75" s="26"/>
      <c r="U75" s="26"/>
      <c r="AA75" s="26"/>
      <c r="AG75" s="26"/>
    </row>
    <row r="76" spans="9:33" x14ac:dyDescent="0.3">
      <c r="I76" s="26"/>
      <c r="O76" s="26"/>
      <c r="U76" s="26"/>
      <c r="AA76" s="26"/>
      <c r="AG76" s="26"/>
    </row>
    <row r="77" spans="9:33" x14ac:dyDescent="0.3">
      <c r="I77" s="26"/>
      <c r="O77" s="26"/>
      <c r="U77" s="26"/>
      <c r="AA77" s="26"/>
      <c r="AG77" s="26"/>
    </row>
    <row r="78" spans="9:33" x14ac:dyDescent="0.3">
      <c r="I78" s="26"/>
      <c r="O78" s="26"/>
      <c r="U78" s="26"/>
      <c r="AA78" s="26"/>
      <c r="AG78" s="26"/>
    </row>
    <row r="79" spans="9:33" x14ac:dyDescent="0.3">
      <c r="I79" s="26"/>
      <c r="O79" s="26"/>
      <c r="U79" s="26"/>
      <c r="AA79" s="26"/>
      <c r="AG79" s="26"/>
    </row>
    <row r="80" spans="9:33" x14ac:dyDescent="0.3">
      <c r="I80" s="26"/>
      <c r="O80" s="26"/>
      <c r="U80" s="26"/>
      <c r="AA80" s="26"/>
      <c r="AG80" s="26"/>
    </row>
    <row r="81" spans="9:33" x14ac:dyDescent="0.3">
      <c r="I81" s="26"/>
      <c r="O81" s="26"/>
      <c r="U81" s="26"/>
      <c r="AA81" s="26"/>
      <c r="AG81" s="26"/>
    </row>
    <row r="82" spans="9:33" x14ac:dyDescent="0.3">
      <c r="I82" s="26"/>
      <c r="O82" s="26"/>
      <c r="U82" s="26"/>
      <c r="AA82" s="26"/>
      <c r="AG82" s="26"/>
    </row>
    <row r="83" spans="9:33" x14ac:dyDescent="0.3">
      <c r="I83" s="26"/>
      <c r="O83" s="26"/>
      <c r="U83" s="26"/>
      <c r="AA83" s="26"/>
      <c r="AG83" s="26"/>
    </row>
    <row r="84" spans="9:33" x14ac:dyDescent="0.3">
      <c r="I84" s="26"/>
      <c r="O84" s="26"/>
      <c r="U84" s="26"/>
      <c r="AA84" s="26"/>
      <c r="AG84" s="26"/>
    </row>
    <row r="85" spans="9:33" x14ac:dyDescent="0.3">
      <c r="I85" s="26"/>
      <c r="O85" s="26"/>
      <c r="U85" s="26"/>
      <c r="AA85" s="26"/>
      <c r="AG85" s="26"/>
    </row>
    <row r="86" spans="9:33" x14ac:dyDescent="0.3">
      <c r="I86" s="26"/>
      <c r="O86" s="26"/>
      <c r="U86" s="26"/>
      <c r="AA86" s="26"/>
      <c r="AG86" s="26"/>
    </row>
    <row r="87" spans="9:33" x14ac:dyDescent="0.3">
      <c r="I87" s="26"/>
      <c r="O87" s="26"/>
      <c r="U87" s="26"/>
      <c r="AA87" s="26"/>
      <c r="AG87" s="26"/>
    </row>
    <row r="88" spans="9:33" x14ac:dyDescent="0.3">
      <c r="I88" s="26"/>
      <c r="O88" s="26"/>
      <c r="U88" s="26"/>
      <c r="AA88" s="26"/>
      <c r="AG88" s="26"/>
    </row>
    <row r="89" spans="9:33" x14ac:dyDescent="0.3">
      <c r="I89" s="26"/>
      <c r="O89" s="26"/>
      <c r="U89" s="26"/>
      <c r="AA89" s="26"/>
      <c r="AG89" s="26"/>
    </row>
    <row r="90" spans="9:33" x14ac:dyDescent="0.3">
      <c r="I90" s="26"/>
      <c r="O90" s="26"/>
      <c r="U90" s="26"/>
      <c r="AA90" s="26"/>
      <c r="AG90" s="26"/>
    </row>
    <row r="91" spans="9:33" x14ac:dyDescent="0.3">
      <c r="I91" s="26"/>
      <c r="O91" s="26"/>
      <c r="U91" s="26"/>
      <c r="AA91" s="26"/>
      <c r="AG91" s="26"/>
    </row>
    <row r="92" spans="9:33" x14ac:dyDescent="0.3">
      <c r="I92" s="26"/>
      <c r="O92" s="26"/>
      <c r="U92" s="26"/>
      <c r="AA92" s="26"/>
      <c r="AG92" s="26"/>
    </row>
    <row r="93" spans="9:33" x14ac:dyDescent="0.3">
      <c r="I93" s="26"/>
      <c r="O93" s="26"/>
      <c r="U93" s="26"/>
      <c r="AA93" s="26"/>
      <c r="AG93" s="26"/>
    </row>
    <row r="94" spans="9:33" x14ac:dyDescent="0.3">
      <c r="I94" s="26"/>
      <c r="O94" s="26"/>
      <c r="U94" s="26"/>
      <c r="AA94" s="26"/>
      <c r="AG94" s="26"/>
    </row>
    <row r="95" spans="9:33" x14ac:dyDescent="0.3">
      <c r="I95" s="26"/>
      <c r="O95" s="26"/>
      <c r="U95" s="26"/>
      <c r="AA95" s="26"/>
      <c r="AG95" s="26"/>
    </row>
    <row r="96" spans="9:33" x14ac:dyDescent="0.3">
      <c r="I96" s="26"/>
      <c r="O96" s="26"/>
      <c r="U96" s="26"/>
      <c r="AA96" s="26"/>
      <c r="AG96" s="26"/>
    </row>
    <row r="97" spans="9:33" x14ac:dyDescent="0.3">
      <c r="I97" s="26"/>
      <c r="U97" s="26"/>
      <c r="AA97" s="26"/>
      <c r="AG97" s="26"/>
    </row>
    <row r="98" spans="9:33" x14ac:dyDescent="0.3">
      <c r="I98" s="26"/>
      <c r="U98" s="26"/>
      <c r="AA98" s="26"/>
      <c r="AG98" s="26"/>
    </row>
    <row r="99" spans="9:33" x14ac:dyDescent="0.3">
      <c r="I99" s="26"/>
      <c r="U99" s="26"/>
      <c r="AA99" s="26"/>
      <c r="AG99" s="26"/>
    </row>
    <row r="100" spans="9:33" x14ac:dyDescent="0.3">
      <c r="I100" s="26"/>
      <c r="U100" s="26"/>
      <c r="AA100" s="26"/>
      <c r="AG100" s="26"/>
    </row>
    <row r="101" spans="9:33" x14ac:dyDescent="0.3">
      <c r="I101" s="26"/>
      <c r="U101" s="26"/>
      <c r="AA101" s="26"/>
      <c r="AG101" s="26"/>
    </row>
    <row r="102" spans="9:33" x14ac:dyDescent="0.3">
      <c r="I102" s="26"/>
      <c r="U102" s="26"/>
      <c r="AA102" s="26"/>
      <c r="AG102" s="26"/>
    </row>
    <row r="103" spans="9:33" x14ac:dyDescent="0.3">
      <c r="I103" s="26"/>
      <c r="U103" s="26"/>
      <c r="AA103" s="26"/>
      <c r="AG103" s="26"/>
    </row>
    <row r="104" spans="9:33" x14ac:dyDescent="0.3">
      <c r="I104" s="26"/>
      <c r="U104" s="26"/>
      <c r="AA104" s="26"/>
      <c r="AG104" s="26"/>
    </row>
    <row r="105" spans="9:33" x14ac:dyDescent="0.3">
      <c r="I105" s="26"/>
      <c r="U105" s="26"/>
      <c r="AA105" s="26"/>
      <c r="AG105" s="26"/>
    </row>
    <row r="106" spans="9:33" x14ac:dyDescent="0.3">
      <c r="I106" s="26"/>
      <c r="U106" s="26"/>
      <c r="AA106" s="26"/>
      <c r="AG106" s="26"/>
    </row>
    <row r="107" spans="9:33" x14ac:dyDescent="0.3">
      <c r="I107" s="26"/>
      <c r="U107" s="26"/>
      <c r="AA107" s="26"/>
      <c r="AG107" s="26"/>
    </row>
    <row r="108" spans="9:33" x14ac:dyDescent="0.3">
      <c r="I108" s="26"/>
      <c r="U108" s="26"/>
      <c r="AA108" s="26"/>
      <c r="AG108" s="26"/>
    </row>
    <row r="109" spans="9:33" x14ac:dyDescent="0.3">
      <c r="I109" s="26"/>
      <c r="U109" s="26"/>
      <c r="AA109" s="26"/>
      <c r="AG109" s="26"/>
    </row>
    <row r="110" spans="9:33" x14ac:dyDescent="0.3">
      <c r="I110" s="26"/>
      <c r="U110" s="26"/>
      <c r="AA110" s="26"/>
      <c r="AG110" s="26"/>
    </row>
    <row r="111" spans="9:33" x14ac:dyDescent="0.3">
      <c r="I111" s="26"/>
      <c r="U111" s="26"/>
      <c r="AA111" s="26"/>
      <c r="AG111" s="26"/>
    </row>
    <row r="112" spans="9:33" x14ac:dyDescent="0.3">
      <c r="I112" s="26"/>
      <c r="U112" s="26"/>
      <c r="AA112" s="26"/>
      <c r="AG112" s="26"/>
    </row>
    <row r="113" spans="9:33" x14ac:dyDescent="0.3">
      <c r="I113" s="26"/>
      <c r="U113" s="26"/>
      <c r="AA113" s="26"/>
      <c r="AG113" s="26"/>
    </row>
    <row r="114" spans="9:33" x14ac:dyDescent="0.3">
      <c r="I114" s="26"/>
      <c r="U114" s="26"/>
      <c r="AA114" s="26"/>
      <c r="AG114" s="26"/>
    </row>
    <row r="115" spans="9:33" x14ac:dyDescent="0.3">
      <c r="I115" s="26"/>
      <c r="U115" s="26"/>
      <c r="AA115" s="26"/>
    </row>
    <row r="116" spans="9:33" x14ac:dyDescent="0.3">
      <c r="I116" s="26"/>
      <c r="U116" s="26"/>
      <c r="AA116" s="26"/>
    </row>
    <row r="117" spans="9:33" x14ac:dyDescent="0.3">
      <c r="I117" s="26"/>
      <c r="U117" s="26"/>
      <c r="AA117" s="26"/>
    </row>
    <row r="118" spans="9:33" x14ac:dyDescent="0.3">
      <c r="I118" s="26"/>
      <c r="U118" s="26"/>
      <c r="AA118" s="26"/>
    </row>
    <row r="119" spans="9:33" x14ac:dyDescent="0.3">
      <c r="I119" s="26"/>
      <c r="U119" s="26"/>
      <c r="AA119" s="26"/>
    </row>
    <row r="120" spans="9:33" x14ac:dyDescent="0.3">
      <c r="I120" s="26"/>
      <c r="U120" s="26"/>
      <c r="AA120" s="26"/>
    </row>
    <row r="121" spans="9:33" x14ac:dyDescent="0.3">
      <c r="I121" s="26"/>
      <c r="U121" s="26"/>
      <c r="AA121" s="26"/>
    </row>
    <row r="122" spans="9:33" x14ac:dyDescent="0.3">
      <c r="I122" s="26"/>
      <c r="U122" s="26"/>
      <c r="AA122" s="26"/>
    </row>
    <row r="123" spans="9:33" x14ac:dyDescent="0.3">
      <c r="I123" s="26"/>
      <c r="U123" s="26"/>
      <c r="AA123" s="26"/>
    </row>
    <row r="124" spans="9:33" x14ac:dyDescent="0.3">
      <c r="I124" s="26"/>
      <c r="U124" s="26"/>
    </row>
    <row r="125" spans="9:33" x14ac:dyDescent="0.3">
      <c r="U125" s="26"/>
    </row>
    <row r="126" spans="9:33" x14ac:dyDescent="0.3">
      <c r="U126" s="26"/>
    </row>
    <row r="127" spans="9:33" x14ac:dyDescent="0.3">
      <c r="U127" s="26"/>
    </row>
    <row r="128" spans="9:33" x14ac:dyDescent="0.3">
      <c r="U128" s="26"/>
    </row>
    <row r="129" spans="21:21" x14ac:dyDescent="0.3">
      <c r="U129" s="26"/>
    </row>
    <row r="130" spans="21:21" x14ac:dyDescent="0.3">
      <c r="U130" s="26"/>
    </row>
    <row r="131" spans="21:21" x14ac:dyDescent="0.3">
      <c r="U131" s="26"/>
    </row>
    <row r="132" spans="21:21" x14ac:dyDescent="0.3">
      <c r="U132" s="26"/>
    </row>
    <row r="133" spans="21:21" x14ac:dyDescent="0.3">
      <c r="U133" s="26"/>
    </row>
    <row r="134" spans="21:21" x14ac:dyDescent="0.3">
      <c r="U134" s="26"/>
    </row>
    <row r="135" spans="21:21" x14ac:dyDescent="0.3">
      <c r="U135" s="26"/>
    </row>
    <row r="136" spans="21:21" x14ac:dyDescent="0.3">
      <c r="U136" s="26"/>
    </row>
    <row r="137" spans="21:21" x14ac:dyDescent="0.3">
      <c r="U137" s="26"/>
    </row>
    <row r="138" spans="21:21" x14ac:dyDescent="0.3">
      <c r="U138" s="26"/>
    </row>
    <row r="139" spans="21:21" x14ac:dyDescent="0.3">
      <c r="U139" s="26"/>
    </row>
    <row r="140" spans="21:21" x14ac:dyDescent="0.3">
      <c r="U140" s="26"/>
    </row>
    <row r="141" spans="21:21" x14ac:dyDescent="0.3">
      <c r="U141" s="26"/>
    </row>
    <row r="142" spans="21:21" x14ac:dyDescent="0.3">
      <c r="U142" s="26"/>
    </row>
    <row r="143" spans="21:21" x14ac:dyDescent="0.3">
      <c r="U143" s="26"/>
    </row>
    <row r="144" spans="21:21" x14ac:dyDescent="0.3">
      <c r="U144" s="26"/>
    </row>
    <row r="145" spans="21:21" x14ac:dyDescent="0.3">
      <c r="U145" s="26"/>
    </row>
    <row r="146" spans="21:21" x14ac:dyDescent="0.3">
      <c r="U146" s="26"/>
    </row>
    <row r="147" spans="21:21" x14ac:dyDescent="0.3">
      <c r="U147" s="26"/>
    </row>
  </sheetData>
  <mergeCells count="8">
    <mergeCell ref="A1:E1"/>
    <mergeCell ref="AE3:AI3"/>
    <mergeCell ref="AK3:AO3"/>
    <mergeCell ref="A3:E3"/>
    <mergeCell ref="G3:K3"/>
    <mergeCell ref="M3:Q3"/>
    <mergeCell ref="S3:W3"/>
    <mergeCell ref="Y3:AC3"/>
  </mergeCells>
  <pageMargins left="0.7" right="0.7" top="0.75" bottom="0.75" header="0.3" footer="0.3"/>
  <pageSetup paperSize="9" scale="15" fitToHeight="0" orientation="portrait" cellComments="atEnd" r:id="rId1"/>
  <colBreaks count="8" manualBreakCount="8">
    <brk id="5" max="1048575" man="1"/>
    <brk id="6" max="1048575" man="1"/>
    <brk id="11" max="1048575" man="1"/>
    <brk id="17" max="1048575" man="1"/>
    <brk id="23" max="1048575" man="1"/>
    <brk id="29" max="1048575" man="1"/>
    <brk id="35" max="1048575" man="1"/>
    <brk id="41" max="1048575" man="1"/>
  </colBreaks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tabColor rgb="FF0088CC"/>
    <outlinePr summaryBelow="0"/>
    <pageSetUpPr fitToPage="1"/>
  </sheetPr>
  <dimension ref="A1:H27"/>
  <sheetViews>
    <sheetView showGridLines="0" zoomScale="110" zoomScaleNormal="110" zoomScaleSheetLayoutView="110" workbookViewId="0">
      <selection activeCell="A4" sqref="A4:A13"/>
    </sheetView>
  </sheetViews>
  <sheetFormatPr baseColWidth="10" defaultRowHeight="14.4" outlineLevelRow="1" x14ac:dyDescent="0.3"/>
  <cols>
    <col min="1" max="1" width="14.44140625" bestFit="1" customWidth="1"/>
    <col min="2" max="2" width="7.77734375" bestFit="1" customWidth="1"/>
    <col min="3" max="3" width="40.77734375" customWidth="1"/>
    <col min="4" max="4" width="7.77734375" bestFit="1" customWidth="1"/>
    <col min="5" max="5" width="7.5546875" bestFit="1" customWidth="1"/>
    <col min="6" max="6" width="9.6640625" bestFit="1" customWidth="1"/>
    <col min="7" max="8" width="8.77734375" style="19" bestFit="1" customWidth="1"/>
    <col min="9" max="9" width="1.33203125" customWidth="1"/>
  </cols>
  <sheetData>
    <row r="1" spans="1:8" ht="30" customHeight="1" x14ac:dyDescent="0.3">
      <c r="A1" s="62" t="s">
        <v>35</v>
      </c>
      <c r="B1" s="62"/>
      <c r="C1" s="62"/>
      <c r="D1" s="62"/>
      <c r="E1" s="62"/>
      <c r="F1" s="62"/>
      <c r="G1" s="62"/>
      <c r="H1" s="62"/>
    </row>
    <row r="2" spans="1:8" ht="15" thickBot="1" x14ac:dyDescent="0.35">
      <c r="G2"/>
      <c r="H2"/>
    </row>
    <row r="3" spans="1:8" ht="15" thickBot="1" x14ac:dyDescent="0.35">
      <c r="A3" s="56" t="s">
        <v>19</v>
      </c>
      <c r="B3" s="76" t="s">
        <v>63</v>
      </c>
      <c r="C3" s="77"/>
      <c r="D3" s="77"/>
      <c r="E3" s="77"/>
      <c r="F3" s="77"/>
      <c r="G3" s="78"/>
      <c r="H3" s="57" t="s">
        <v>38</v>
      </c>
    </row>
    <row r="4" spans="1:8" outlineLevel="1" x14ac:dyDescent="0.3">
      <c r="A4" t="s">
        <v>14</v>
      </c>
      <c r="B4" t="s">
        <v>0</v>
      </c>
      <c r="C4" t="s">
        <v>1</v>
      </c>
      <c r="D4" t="s">
        <v>11</v>
      </c>
      <c r="E4" t="s">
        <v>15</v>
      </c>
      <c r="F4" t="s">
        <v>16</v>
      </c>
      <c r="G4" t="s">
        <v>12</v>
      </c>
      <c r="H4" t="s">
        <v>17</v>
      </c>
    </row>
    <row r="5" spans="1:8" outlineLevel="1" x14ac:dyDescent="0.3">
      <c r="A5" s="25" t="s">
        <v>4</v>
      </c>
      <c r="B5">
        <f>VLOOKUP(Tabla5[[#This Row],[DESCRIPCIÓN]],T_mat[[DESCRIPCIÓN]:[PRECIO]],2,FALSE)</f>
        <v>0</v>
      </c>
      <c r="C5" t="s">
        <v>46</v>
      </c>
      <c r="D5" s="18" t="str">
        <f>VLOOKUP(Tabla5[[#This Row],[DESCRIPCIÓN]],T_mat[[DESCRIPCIÓN]:[PRECIO]],3,FALSE)</f>
        <v>lt</v>
      </c>
      <c r="E5" s="55">
        <f>1</f>
        <v>1</v>
      </c>
      <c r="F5" s="55">
        <v>180</v>
      </c>
      <c r="G5" s="35">
        <f>VLOOKUP(Tabla5[[#This Row],[DESCRIPCIÓN]],T_mat[[DESCRIPCIÓN]:[PRECIO]],4,FALSE)</f>
        <v>25</v>
      </c>
      <c r="H5" s="35">
        <f>Tabla5[[#This Row],[CANTIDAD]]*Tabla5[[#This Row],[PRECIO]]*Tabla5[[#This Row],[FACTOR]]</f>
        <v>4500</v>
      </c>
    </row>
    <row r="6" spans="1:8" outlineLevel="1" x14ac:dyDescent="0.3">
      <c r="A6" s="25" t="s">
        <v>4</v>
      </c>
      <c r="B6">
        <f>VLOOKUP(Tabla5[[#This Row],[DESCRIPCIÓN]],T_mat[[DESCRIPCIÓN]:[PRECIO]],2,FALSE)</f>
        <v>0</v>
      </c>
      <c r="C6" t="s">
        <v>56</v>
      </c>
      <c r="D6" s="18" t="str">
        <f>VLOOKUP(Tabla5[[#This Row],[DESCRIPCIÓN]],T_mat[[DESCRIPCIÓN]:[PRECIO]],3,FALSE)</f>
        <v>m3</v>
      </c>
      <c r="E6" s="55">
        <f>1</f>
        <v>1</v>
      </c>
      <c r="F6" s="55">
        <v>0.56000000000000005</v>
      </c>
      <c r="G6" s="35">
        <f>VLOOKUP(Tabla5[[#This Row],[DESCRIPCIÓN]],T_mat[[DESCRIPCIÓN]:[PRECIO]],4,FALSE)</f>
        <v>285000</v>
      </c>
      <c r="H6" s="35">
        <f>Tabla5[[#This Row],[CANTIDAD]]*Tabla5[[#This Row],[PRECIO]]*Tabla5[[#This Row],[FACTOR]]</f>
        <v>159600.00000000003</v>
      </c>
    </row>
    <row r="7" spans="1:8" outlineLevel="1" x14ac:dyDescent="0.3">
      <c r="A7" s="25" t="s">
        <v>4</v>
      </c>
      <c r="B7">
        <f>VLOOKUP(Tabla5[[#This Row],[DESCRIPCIÓN]],T_mat[[DESCRIPCIÓN]:[PRECIO]],2,FALSE)</f>
        <v>0</v>
      </c>
      <c r="C7" t="s">
        <v>57</v>
      </c>
      <c r="D7" s="18" t="str">
        <f>VLOOKUP(Tabla5[[#This Row],[DESCRIPCIÓN]],T_mat[[DESCRIPCIÓN]:[PRECIO]],3,FALSE)</f>
        <v>kg</v>
      </c>
      <c r="E7" s="55">
        <f>1</f>
        <v>1</v>
      </c>
      <c r="F7" s="55">
        <v>350</v>
      </c>
      <c r="G7" s="35">
        <f>VLOOKUP(Tabla5[[#This Row],[DESCRIPCIÓN]],T_mat[[DESCRIPCIÓN]:[PRECIO]],4,FALSE)</f>
        <v>486</v>
      </c>
      <c r="H7" s="35">
        <f>Tabla5[[#This Row],[CANTIDAD]]*Tabla5[[#This Row],[PRECIO]]*Tabla5[[#This Row],[FACTOR]]</f>
        <v>170100</v>
      </c>
    </row>
    <row r="8" spans="1:8" outlineLevel="1" x14ac:dyDescent="0.3">
      <c r="A8" s="25" t="s">
        <v>5</v>
      </c>
      <c r="B8">
        <f>VLOOKUP(Tabla5[[#This Row],[DESCRIPCIÓN]],T_equipos[[DESCRIPCIÓN]:[PRECIO]],2,FALSE)</f>
        <v>0</v>
      </c>
      <c r="C8" t="s">
        <v>61</v>
      </c>
      <c r="D8" s="18" t="str">
        <f>VLOOKUP(Tabla5[[#This Row],[DESCRIPCIÓN]],T_equipos[[DESCRIPCIÓN]:[PRECIO]],3,FALSE)</f>
        <v>d</v>
      </c>
      <c r="E8" s="55">
        <f>1</f>
        <v>1</v>
      </c>
      <c r="F8" s="55">
        <v>0.13</v>
      </c>
      <c r="G8" s="35">
        <f>VLOOKUP(Tabla5[[#This Row],[DESCRIPCIÓN]],T_equipos[[DESCRIPCIÓN]:[PRECIO]],4,FALSE)</f>
        <v>110215</v>
      </c>
      <c r="H8" s="35">
        <f>Tabla5[[#This Row],[CANTIDAD]]*Tabla5[[#This Row],[PRECIO]]*Tabla5[[#This Row],[FACTOR]]</f>
        <v>14327.95</v>
      </c>
    </row>
    <row r="9" spans="1:8" outlineLevel="1" x14ac:dyDescent="0.3">
      <c r="A9" s="25" t="s">
        <v>4</v>
      </c>
      <c r="B9">
        <f>VLOOKUP(Tabla5[[#This Row],[DESCRIPCIÓN]],T_mat[[DESCRIPCIÓN]:[PRECIO]],2,FALSE)</f>
        <v>0</v>
      </c>
      <c r="C9" t="s">
        <v>58</v>
      </c>
      <c r="D9" s="18" t="str">
        <f>VLOOKUP(Tabla5[[#This Row],[DESCRIPCIÓN]],T_mat[[DESCRIPCIÓN]:[PRECIO]],3,FALSE)</f>
        <v>m3</v>
      </c>
      <c r="E9" s="55">
        <f>1</f>
        <v>1</v>
      </c>
      <c r="F9" s="55">
        <v>0.84</v>
      </c>
      <c r="G9" s="35">
        <f>VLOOKUP(Tabla5[[#This Row],[DESCRIPCIÓN]],T_mat[[DESCRIPCIÓN]:[PRECIO]],4,FALSE)</f>
        <v>72500</v>
      </c>
      <c r="H9" s="35">
        <f>Tabla5[[#This Row],[CANTIDAD]]*Tabla5[[#This Row],[PRECIO]]*Tabla5[[#This Row],[FACTOR]]</f>
        <v>60900</v>
      </c>
    </row>
    <row r="10" spans="1:8" outlineLevel="1" x14ac:dyDescent="0.3">
      <c r="A10" s="25" t="s">
        <v>5</v>
      </c>
      <c r="B10">
        <f>VLOOKUP(Tabla5[[#This Row],[DESCRIPCIÓN]],T_equipos[[DESCRIPCIÓN]:[PRECIO]],2,FALSE)</f>
        <v>0</v>
      </c>
      <c r="C10" t="s">
        <v>42</v>
      </c>
      <c r="D10" s="18" t="str">
        <f>VLOOKUP(Tabla5[[#This Row],[DESCRIPCIÓN]],T_equipos[[DESCRIPCIÓN]:[PRECIO]],3,FALSE)</f>
        <v>gl</v>
      </c>
      <c r="E10" s="55">
        <f>1</f>
        <v>1</v>
      </c>
      <c r="F10" s="55">
        <v>4.5330000000000002E-2</v>
      </c>
      <c r="G10" s="35">
        <f>VLOOKUP(Tabla5[[#This Row],[DESCRIPCIÓN]],T_equipos[[DESCRIPCIÓN]:[PRECIO]],4,FALSE)</f>
        <v>100000</v>
      </c>
      <c r="H10" s="35">
        <f>Tabla5[[#This Row],[CANTIDAD]]*Tabla5[[#This Row],[PRECIO]]*Tabla5[[#This Row],[FACTOR]]</f>
        <v>4533</v>
      </c>
    </row>
    <row r="11" spans="1:8" outlineLevel="1" x14ac:dyDescent="0.3">
      <c r="A11" t="s">
        <v>6</v>
      </c>
      <c r="B11">
        <f>VLOOKUP(Tabla5[[#This Row],[DESCRIPCIÓN]],T_mano[[DESCRIPCIÓN]:[PRECIO]],2,FALSE)</f>
        <v>0</v>
      </c>
      <c r="C11" t="s">
        <v>59</v>
      </c>
      <c r="D11" s="18" t="str">
        <f>VLOOKUP(Tabla5[[#This Row],[DESCRIPCIÓN]],T_mano[[DESCRIPCIÓN]:[PRECIO]],3,FALSE)</f>
        <v>h</v>
      </c>
      <c r="E11" s="55">
        <f>1</f>
        <v>1</v>
      </c>
      <c r="F11" s="55">
        <v>1</v>
      </c>
      <c r="G11" s="35">
        <f>VLOOKUP(Tabla5[[#This Row],[DESCRIPCIÓN]],T_mano[[DESCRIPCIÓN]:[PRECIO]],4,FALSE)</f>
        <v>21793</v>
      </c>
      <c r="H11" s="35">
        <f>Tabla5[[#This Row],[CANTIDAD]]*Tabla5[[#This Row],[PRECIO]]*Tabla5[[#This Row],[FACTOR]]</f>
        <v>21793</v>
      </c>
    </row>
    <row r="12" spans="1:8" outlineLevel="1" x14ac:dyDescent="0.3">
      <c r="D12" s="18"/>
      <c r="E12" s="55">
        <f>1</f>
        <v>1</v>
      </c>
      <c r="F12" s="55"/>
      <c r="G12" s="35"/>
      <c r="H12" s="35">
        <f>Tabla5[[#This Row],[CANTIDAD]]*Tabla5[[#This Row],[PRECIO]]*Tabla5[[#This Row],[FACTOR]]</f>
        <v>0</v>
      </c>
    </row>
    <row r="13" spans="1:8" x14ac:dyDescent="0.3">
      <c r="A13" t="s">
        <v>18</v>
      </c>
      <c r="G13" s="35"/>
      <c r="H13" s="35">
        <f>SUM(Tabla5[TOTAL])</f>
        <v>435753.95</v>
      </c>
    </row>
    <row r="14" spans="1:8" x14ac:dyDescent="0.3">
      <c r="G14"/>
      <c r="H14"/>
    </row>
    <row r="15" spans="1:8" x14ac:dyDescent="0.3">
      <c r="G15"/>
      <c r="H15"/>
    </row>
    <row r="16" spans="1:8" x14ac:dyDescent="0.3">
      <c r="G16"/>
      <c r="H16"/>
    </row>
    <row r="17" spans="7:8" x14ac:dyDescent="0.3">
      <c r="G17"/>
      <c r="H17"/>
    </row>
    <row r="18" spans="7:8" x14ac:dyDescent="0.3">
      <c r="G18"/>
      <c r="H18"/>
    </row>
    <row r="19" spans="7:8" x14ac:dyDescent="0.3">
      <c r="G19"/>
      <c r="H19"/>
    </row>
    <row r="20" spans="7:8" x14ac:dyDescent="0.3">
      <c r="G20"/>
      <c r="H20"/>
    </row>
    <row r="21" spans="7:8" x14ac:dyDescent="0.3">
      <c r="G21"/>
      <c r="H21"/>
    </row>
    <row r="22" spans="7:8" x14ac:dyDescent="0.3">
      <c r="G22"/>
      <c r="H22"/>
    </row>
    <row r="23" spans="7:8" x14ac:dyDescent="0.3">
      <c r="G23"/>
      <c r="H23"/>
    </row>
    <row r="24" spans="7:8" x14ac:dyDescent="0.3">
      <c r="G24"/>
      <c r="H24"/>
    </row>
    <row r="25" spans="7:8" x14ac:dyDescent="0.3">
      <c r="G25"/>
      <c r="H25"/>
    </row>
    <row r="26" spans="7:8" x14ac:dyDescent="0.3">
      <c r="G26"/>
      <c r="H26"/>
    </row>
    <row r="27" spans="7:8" x14ac:dyDescent="0.3">
      <c r="G27"/>
      <c r="H27"/>
    </row>
  </sheetData>
  <mergeCells count="2">
    <mergeCell ref="A1:H1"/>
    <mergeCell ref="B3:G3"/>
  </mergeCells>
  <dataValidations count="4">
    <dataValidation type="list" allowBlank="1" showInputMessage="1" showErrorMessage="1" sqref="A5:A8 A10:A12 A9" xr:uid="{5EBCFABB-0073-41C2-A315-A92BB3F45F70}">
      <formula1>"MATERIALES,EQUIPOS,MANO DE OBRA,TRANSPORTE,SUBCONTRATOS,ACTIVIDADES,OTROS"</formula1>
    </dataValidation>
    <dataValidation type="list" allowBlank="1" showInputMessage="1" showErrorMessage="1" sqref="C5 C6 C7 C9" xr:uid="{7FB7787A-EC72-4F71-B576-82264491251E}">
      <formula1>MATERIALES</formula1>
    </dataValidation>
    <dataValidation type="list" allowBlank="1" showInputMessage="1" showErrorMessage="1" sqref="C8 C10" xr:uid="{26C796C2-F27E-45CD-9EE5-43591406C4D5}">
      <formula1>EQUIPOS</formula1>
    </dataValidation>
    <dataValidation type="list" allowBlank="1" showInputMessage="1" showErrorMessage="1" sqref="C11" xr:uid="{83849C1E-2438-48C8-929A-DBD8D4B3FFE0}">
      <formula1>MANO_DE_OBRA</formula1>
    </dataValidation>
  </dataValidations>
  <pageMargins left="0.7" right="0.7" top="0.75" bottom="0.75" header="0.3" footer="0.3"/>
  <pageSetup paperSize="9" scale="73" fitToHeight="0" orientation="portrait" cellComments="atEnd" r:id="rId1"/>
  <colBreaks count="1" manualBreakCount="1">
    <brk id="8" max="1048575" man="1"/>
  </colBreak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>
    <tabColor rgb="FF00AC56"/>
    <outlinePr summaryBelow="0"/>
    <pageSetUpPr fitToPage="1"/>
  </sheetPr>
  <dimension ref="A1:H32"/>
  <sheetViews>
    <sheetView showGridLines="0" tabSelected="1" showWhiteSpace="0" zoomScale="110" zoomScaleNormal="110" zoomScaleSheetLayoutView="110" workbookViewId="0">
      <selection activeCell="D8" sqref="D8"/>
    </sheetView>
  </sheetViews>
  <sheetFormatPr baseColWidth="10" defaultColWidth="11.44140625" defaultRowHeight="14.4" outlineLevelRow="1" x14ac:dyDescent="0.3"/>
  <cols>
    <col min="1" max="1" width="12.44140625" bestFit="1" customWidth="1"/>
    <col min="2" max="2" width="14.109375" bestFit="1" customWidth="1"/>
    <col min="3" max="3" width="36" bestFit="1" customWidth="1"/>
    <col min="4" max="4" width="7.77734375" bestFit="1" customWidth="1"/>
    <col min="5" max="5" width="7.5546875" bestFit="1" customWidth="1"/>
    <col min="6" max="6" width="9.6640625" bestFit="1" customWidth="1"/>
    <col min="7" max="7" width="8.77734375" style="19" bestFit="1" customWidth="1"/>
    <col min="8" max="8" width="10.21875" style="19" bestFit="1" customWidth="1"/>
    <col min="9" max="9" width="1.33203125" customWidth="1"/>
  </cols>
  <sheetData>
    <row r="1" spans="1:8" ht="30" customHeight="1" x14ac:dyDescent="0.3">
      <c r="A1" s="62" t="s">
        <v>36</v>
      </c>
      <c r="B1" s="62"/>
      <c r="C1" s="62"/>
      <c r="D1" s="62"/>
      <c r="E1" s="62"/>
      <c r="F1" s="62"/>
      <c r="G1" s="62"/>
      <c r="H1" s="62"/>
    </row>
    <row r="2" spans="1:8" ht="15" thickBot="1" x14ac:dyDescent="0.35">
      <c r="A2" s="33"/>
      <c r="B2" s="34"/>
      <c r="C2" s="48"/>
      <c r="D2" s="48"/>
      <c r="E2" s="33"/>
      <c r="F2" s="33"/>
      <c r="G2" s="33"/>
      <c r="H2" s="49"/>
    </row>
    <row r="3" spans="1:8" ht="15" thickBot="1" x14ac:dyDescent="0.35">
      <c r="A3" s="68" t="s">
        <v>19</v>
      </c>
      <c r="B3" s="80" t="s">
        <v>52</v>
      </c>
      <c r="C3" s="81"/>
      <c r="D3" s="81"/>
      <c r="E3" s="81"/>
      <c r="F3" s="81"/>
      <c r="G3" s="82"/>
      <c r="H3" s="70" t="s">
        <v>38</v>
      </c>
    </row>
    <row r="4" spans="1:8" outlineLevel="1" x14ac:dyDescent="0.3">
      <c r="A4" t="s">
        <v>14</v>
      </c>
      <c r="B4" t="s">
        <v>0</v>
      </c>
      <c r="C4" t="s">
        <v>1</v>
      </c>
      <c r="D4" t="s">
        <v>11</v>
      </c>
      <c r="E4" t="s">
        <v>15</v>
      </c>
      <c r="F4" t="s">
        <v>16</v>
      </c>
      <c r="G4" t="s">
        <v>12</v>
      </c>
      <c r="H4" t="s">
        <v>17</v>
      </c>
    </row>
    <row r="5" spans="1:8" outlineLevel="1" x14ac:dyDescent="0.3">
      <c r="A5" s="25" t="s">
        <v>49</v>
      </c>
      <c r="B5" t="str">
        <f>VLOOKUP(Tabla2[[#This Row],[DESCRIPCIÓN]],T_basico[[DESCRIPCIÓN]:[COSTO]],2,FALSE)</f>
        <v>CÓD</v>
      </c>
      <c r="C5" t="s">
        <v>63</v>
      </c>
      <c r="D5" s="18" t="str">
        <f>VLOOKUP(Tabla2[[#This Row],[DESCRIPCIÓN]],T_basico[[DESCRIPCIÓN]:[COSTO]],3,FALSE)</f>
        <v>UND</v>
      </c>
      <c r="E5" s="55">
        <f>1</f>
        <v>1</v>
      </c>
      <c r="F5" s="55">
        <v>20</v>
      </c>
      <c r="G5" s="35">
        <f>VLOOKUP(Tabla2[[#This Row],[DESCRIPCIÓN]],T_basico[[DESCRIPCIÓN]:[COSTO]],4,FALSE)</f>
        <v>435753.95</v>
      </c>
      <c r="H5" s="35">
        <f>Tabla2[[#This Row],[CANTIDAD]]*Tabla2[[#This Row],[PRECIO]]*Tabla2[[#This Row],[FACTOR]]</f>
        <v>8715079</v>
      </c>
    </row>
    <row r="6" spans="1:8" outlineLevel="1" x14ac:dyDescent="0.3">
      <c r="D6" s="18"/>
      <c r="E6" s="55">
        <f>1</f>
        <v>1</v>
      </c>
      <c r="F6" s="55"/>
      <c r="G6" s="35"/>
      <c r="H6" s="35">
        <f>Tabla2[[#This Row],[CANTIDAD]]*Tabla2[[#This Row],[PRECIO]]*Tabla2[[#This Row],[FACTOR]]</f>
        <v>0</v>
      </c>
    </row>
    <row r="7" spans="1:8" outlineLevel="1" x14ac:dyDescent="0.3">
      <c r="D7" s="18"/>
      <c r="E7" s="55">
        <f>1</f>
        <v>1</v>
      </c>
      <c r="F7" s="55"/>
      <c r="G7" s="35"/>
      <c r="H7" s="35">
        <f>Tabla2[[#This Row],[CANTIDAD]]*Tabla2[[#This Row],[PRECIO]]*Tabla2[[#This Row],[FACTOR]]</f>
        <v>0</v>
      </c>
    </row>
    <row r="8" spans="1:8" x14ac:dyDescent="0.3">
      <c r="A8" t="s">
        <v>18</v>
      </c>
      <c r="G8" s="35"/>
      <c r="H8" s="35">
        <f>SUM(Tabla2[TOTAL])</f>
        <v>8715079</v>
      </c>
    </row>
    <row r="9" spans="1:8" x14ac:dyDescent="0.3">
      <c r="G9"/>
      <c r="H9"/>
    </row>
    <row r="10" spans="1:8" ht="15" thickBot="1" x14ac:dyDescent="0.35">
      <c r="G10"/>
      <c r="H10"/>
    </row>
    <row r="11" spans="1:8" ht="15" thickBot="1" x14ac:dyDescent="0.35">
      <c r="A11" s="68" t="s">
        <v>19</v>
      </c>
      <c r="B11" s="69" t="s">
        <v>41</v>
      </c>
      <c r="C11" s="69"/>
      <c r="D11" s="69"/>
      <c r="E11" s="69"/>
      <c r="F11" s="69"/>
      <c r="G11" s="69"/>
      <c r="H11" s="70" t="s">
        <v>38</v>
      </c>
    </row>
    <row r="12" spans="1:8" outlineLevel="1" x14ac:dyDescent="0.3">
      <c r="A12" t="s">
        <v>14</v>
      </c>
      <c r="B12" t="s">
        <v>0</v>
      </c>
      <c r="C12" t="s">
        <v>1</v>
      </c>
      <c r="D12" t="s">
        <v>11</v>
      </c>
      <c r="E12" t="s">
        <v>15</v>
      </c>
      <c r="F12" t="s">
        <v>16</v>
      </c>
      <c r="G12" t="s">
        <v>12</v>
      </c>
      <c r="H12" t="s">
        <v>17</v>
      </c>
    </row>
    <row r="13" spans="1:8" outlineLevel="1" x14ac:dyDescent="0.3">
      <c r="A13" s="25" t="s">
        <v>4</v>
      </c>
      <c r="B13" t="e">
        <f>VLOOKUP(Tabla4[[#This Row],[DESCRIPCIÓN]],T_mat[[DESCRIPCIÓN]:[PRECIO]],2,FALSE)</f>
        <v>#N/A</v>
      </c>
      <c r="C13" t="s">
        <v>40</v>
      </c>
      <c r="D13" s="18" t="e">
        <f>VLOOKUP(Tabla4[[#This Row],[DESCRIPCIÓN]],T_mat[[DESCRIPCIÓN]:[PRECIO]],3,FALSE)</f>
        <v>#N/A</v>
      </c>
      <c r="E13" s="55">
        <f>1</f>
        <v>1</v>
      </c>
      <c r="F13" s="55"/>
      <c r="G13" s="35" t="e">
        <f>VLOOKUP(Tabla4[[#This Row],[DESCRIPCIÓN]],T_mat[[DESCRIPCIÓN]:[PRECIO]],4,FALSE)</f>
        <v>#N/A</v>
      </c>
      <c r="H13" s="35" t="e">
        <f>Tabla4[[#This Row],[CANTIDAD]]*Tabla4[[#This Row],[PRECIO]]*Tabla4[[#This Row],[FACTOR]]</f>
        <v>#N/A</v>
      </c>
    </row>
    <row r="14" spans="1:8" outlineLevel="1" x14ac:dyDescent="0.3">
      <c r="D14" s="18"/>
      <c r="E14" s="55">
        <f>1</f>
        <v>1</v>
      </c>
      <c r="F14" s="55"/>
      <c r="G14" s="35"/>
      <c r="H14" s="35">
        <f>Tabla4[[#This Row],[CANTIDAD]]*Tabla4[[#This Row],[PRECIO]]*Tabla4[[#This Row],[FACTOR]]</f>
        <v>0</v>
      </c>
    </row>
    <row r="15" spans="1:8" outlineLevel="1" x14ac:dyDescent="0.3">
      <c r="D15" s="18"/>
      <c r="E15" s="55">
        <f>1</f>
        <v>1</v>
      </c>
      <c r="F15" s="55"/>
      <c r="G15" s="35"/>
      <c r="H15" s="35">
        <f>Tabla4[[#This Row],[CANTIDAD]]*Tabla4[[#This Row],[PRECIO]]*Tabla4[[#This Row],[FACTOR]]</f>
        <v>0</v>
      </c>
    </row>
    <row r="16" spans="1:8" x14ac:dyDescent="0.3">
      <c r="A16" t="s">
        <v>18</v>
      </c>
      <c r="G16" s="35"/>
      <c r="H16" s="35" t="e">
        <f>SUM(Tabla4[TOTAL])</f>
        <v>#N/A</v>
      </c>
    </row>
    <row r="17" spans="1:8" x14ac:dyDescent="0.3">
      <c r="G17"/>
      <c r="H17"/>
    </row>
    <row r="18" spans="1:8" x14ac:dyDescent="0.3">
      <c r="G18"/>
      <c r="H18"/>
    </row>
    <row r="19" spans="1:8" x14ac:dyDescent="0.3">
      <c r="G19"/>
      <c r="H19"/>
    </row>
    <row r="20" spans="1:8" x14ac:dyDescent="0.3">
      <c r="G20"/>
      <c r="H20"/>
    </row>
    <row r="21" spans="1:8" x14ac:dyDescent="0.3">
      <c r="G21"/>
      <c r="H21"/>
    </row>
    <row r="22" spans="1:8" x14ac:dyDescent="0.3">
      <c r="G22"/>
      <c r="H22"/>
    </row>
    <row r="23" spans="1:8" x14ac:dyDescent="0.3">
      <c r="G23"/>
      <c r="H23"/>
    </row>
    <row r="24" spans="1:8" x14ac:dyDescent="0.3">
      <c r="G24"/>
      <c r="H24"/>
    </row>
    <row r="25" spans="1:8" x14ac:dyDescent="0.3">
      <c r="G25"/>
      <c r="H25"/>
    </row>
    <row r="26" spans="1:8" x14ac:dyDescent="0.3">
      <c r="G26"/>
      <c r="H26"/>
    </row>
    <row r="27" spans="1:8" x14ac:dyDescent="0.3">
      <c r="G27"/>
      <c r="H27"/>
    </row>
    <row r="28" spans="1:8" x14ac:dyDescent="0.3">
      <c r="A28" s="33"/>
      <c r="B28" s="34"/>
      <c r="C28" s="48"/>
      <c r="D28" s="48"/>
      <c r="E28" s="33"/>
      <c r="F28" s="33"/>
      <c r="G28" s="33"/>
      <c r="H28" s="49"/>
    </row>
    <row r="29" spans="1:8" x14ac:dyDescent="0.3">
      <c r="A29" s="33"/>
      <c r="B29" s="34"/>
      <c r="C29" s="48"/>
      <c r="D29" s="48"/>
      <c r="E29" s="33"/>
      <c r="F29" s="33"/>
      <c r="G29" s="33"/>
      <c r="H29" s="49"/>
    </row>
    <row r="30" spans="1:8" x14ac:dyDescent="0.3">
      <c r="G30"/>
      <c r="H30"/>
    </row>
    <row r="31" spans="1:8" x14ac:dyDescent="0.3">
      <c r="A31" s="33"/>
      <c r="B31" s="34"/>
      <c r="C31" s="48"/>
      <c r="D31" s="48"/>
      <c r="E31" s="33"/>
      <c r="F31" s="33"/>
      <c r="G31" s="33"/>
      <c r="H31" s="49"/>
    </row>
    <row r="32" spans="1:8" x14ac:dyDescent="0.3">
      <c r="A32" s="33"/>
      <c r="B32" s="34"/>
      <c r="C32" s="48"/>
      <c r="D32" s="48"/>
      <c r="E32" s="33"/>
      <c r="F32" s="33"/>
      <c r="G32" s="33"/>
      <c r="H32" s="49"/>
    </row>
  </sheetData>
  <mergeCells count="2">
    <mergeCell ref="A1:H1"/>
    <mergeCell ref="B3:G3"/>
  </mergeCells>
  <dataValidations count="3">
    <dataValidation type="list" allowBlank="1" showInputMessage="1" showErrorMessage="1" sqref="A5 A6 A7 A13 A14 A15" xr:uid="{045D00A0-7020-4036-8D6D-759686CD79B3}">
      <formula1>"MATERIALES,EQUIPOS,MANO DE OBRA,TRANSPORTE,SUBCONTRATOS,ACTIVIDADES,OTROS,APU BÁSICOS"</formula1>
    </dataValidation>
    <dataValidation type="list" allowBlank="1" showInputMessage="1" showErrorMessage="1" sqref="C5" xr:uid="{912B2ED3-9AD9-44B4-A300-4C723C347CD8}">
      <formula1>BÁSICOS</formula1>
    </dataValidation>
    <dataValidation type="list" allowBlank="1" showInputMessage="1" showErrorMessage="1" sqref="C13" xr:uid="{3F9FBADF-9F55-445A-8C2C-80E39513531E}">
      <formula1>MATERIALES</formula1>
    </dataValidation>
  </dataValidations>
  <pageMargins left="0.7" right="0.7" top="0.75" bottom="0.75" header="0.3" footer="0.3"/>
  <pageSetup paperSize="9" scale="84" fitToHeight="0" orientation="portrait" cellComments="atEnd" r:id="rId1"/>
  <colBreaks count="1" manualBreakCount="1">
    <brk id="8" max="1048575" man="1"/>
  </colBreaks>
  <legacy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>
    <tabColor rgb="FF0088CC"/>
    <outlinePr summaryBelow="0"/>
    <pageSetUpPr fitToPage="1"/>
  </sheetPr>
  <dimension ref="A1:H28"/>
  <sheetViews>
    <sheetView showGridLines="0" topLeftCell="B1" zoomScale="90" zoomScaleNormal="90" zoomScaleSheetLayoutView="90" workbookViewId="0">
      <selection activeCell="C22" sqref="C22:E22"/>
    </sheetView>
  </sheetViews>
  <sheetFormatPr baseColWidth="10" defaultColWidth="11.44140625" defaultRowHeight="15" outlineLevelRow="1" x14ac:dyDescent="0.25"/>
  <cols>
    <col min="1" max="1" width="1.44140625" style="50" hidden="1" customWidth="1"/>
    <col min="2" max="2" width="11.5546875" style="37" bestFit="1" customWidth="1"/>
    <col min="3" max="3" width="40.77734375" style="51" customWidth="1"/>
    <col min="4" max="4" width="23" style="37" bestFit="1" customWidth="1"/>
    <col min="5" max="5" width="14.6640625" style="38" bestFit="1" customWidth="1"/>
    <col min="6" max="6" width="14.21875" style="38" bestFit="1" customWidth="1"/>
    <col min="7" max="7" width="10.5546875" style="38" bestFit="1" customWidth="1"/>
    <col min="8" max="8" width="10" style="38" bestFit="1" customWidth="1"/>
    <col min="9" max="9" width="1.33203125" style="50" customWidth="1"/>
    <col min="10" max="16384" width="11.44140625" style="50"/>
  </cols>
  <sheetData>
    <row r="1" spans="2:8" ht="30" customHeight="1" x14ac:dyDescent="0.25">
      <c r="B1" s="63" t="s">
        <v>37</v>
      </c>
      <c r="C1" s="63"/>
      <c r="D1" s="63"/>
      <c r="E1" s="63"/>
      <c r="F1" s="63"/>
      <c r="G1" s="63"/>
      <c r="H1" s="63"/>
    </row>
    <row r="2" spans="2:8" ht="15.6" thickBot="1" x14ac:dyDescent="0.3"/>
    <row r="3" spans="2:8" ht="16.2" thickBot="1" x14ac:dyDescent="0.3">
      <c r="B3" s="64" t="s">
        <v>20</v>
      </c>
      <c r="C3" s="65"/>
      <c r="D3" s="65"/>
      <c r="E3" s="65"/>
      <c r="F3" s="65"/>
      <c r="G3" s="66"/>
      <c r="H3" s="39" t="s">
        <v>19</v>
      </c>
    </row>
    <row r="4" spans="2:8" ht="15.6" outlineLevel="1" x14ac:dyDescent="0.3">
      <c r="B4" s="40" t="s">
        <v>0</v>
      </c>
      <c r="C4" s="52" t="s">
        <v>1</v>
      </c>
      <c r="D4" s="40" t="s">
        <v>11</v>
      </c>
      <c r="E4" s="41" t="s">
        <v>15</v>
      </c>
      <c r="F4" s="41" t="s">
        <v>16</v>
      </c>
      <c r="G4" s="41" t="s">
        <v>3</v>
      </c>
      <c r="H4" s="41" t="s">
        <v>17</v>
      </c>
    </row>
    <row r="5" spans="2:8" outlineLevel="1" x14ac:dyDescent="0.25">
      <c r="B5" s="37" t="e">
        <f>VLOOKUP(Tabla7[[#This Row],[DESCRIPCIÓN]],T_apus[[DESCRIPCIÓN]:[COSTO]],2,FALSE)</f>
        <v>#N/A</v>
      </c>
      <c r="C5" s="79" t="s">
        <v>51</v>
      </c>
      <c r="D5" s="37" t="e">
        <f>VLOOKUP(Tabla7[[#This Row],[DESCRIPCIÓN]],T_apus[[DESCRIPCIÓN]:[COSTO]],3,FALSE)</f>
        <v>#N/A</v>
      </c>
      <c r="E5" s="38">
        <v>1</v>
      </c>
      <c r="F5" s="38">
        <v>4</v>
      </c>
      <c r="G5" s="38" t="e">
        <f>VLOOKUP(Tabla7[[#This Row],[DESCRIPCIÓN]],T_apus[[DESCRIPCIÓN]:[COSTO]],4,FALSE)</f>
        <v>#N/A</v>
      </c>
      <c r="H5" s="38" t="e">
        <f>Tabla7[[#This Row],[FACTOR]]*Tabla7[[#This Row],[CANTIDAD]]*Tabla7[[#This Row],[COSTO]]</f>
        <v>#N/A</v>
      </c>
    </row>
    <row r="6" spans="2:8" outlineLevel="1" x14ac:dyDescent="0.25">
      <c r="C6" s="71"/>
      <c r="E6" s="38">
        <v>1</v>
      </c>
      <c r="H6" s="38">
        <f>Tabla7[[#This Row],[FACTOR]]*Tabla7[[#This Row],[CANTIDAD]]*Tabla7[[#This Row],[COSTO]]</f>
        <v>0</v>
      </c>
    </row>
    <row r="7" spans="2:8" outlineLevel="1" x14ac:dyDescent="0.25">
      <c r="C7" s="71"/>
      <c r="E7" s="38">
        <v>1</v>
      </c>
      <c r="H7" s="38">
        <f>Tabla7[[#This Row],[FACTOR]]*Tabla7[[#This Row],[CANTIDAD]]*Tabla7[[#This Row],[COSTO]]</f>
        <v>0</v>
      </c>
    </row>
    <row r="8" spans="2:8" outlineLevel="1" x14ac:dyDescent="0.25">
      <c r="C8" s="71"/>
      <c r="E8" s="38">
        <v>1</v>
      </c>
      <c r="H8" s="38">
        <f>Tabla7[[#This Row],[FACTOR]]*Tabla7[[#This Row],[CANTIDAD]]*Tabla7[[#This Row],[COSTO]]</f>
        <v>0</v>
      </c>
    </row>
    <row r="9" spans="2:8" outlineLevel="1" x14ac:dyDescent="0.25">
      <c r="C9" s="71"/>
      <c r="E9" s="38">
        <v>1</v>
      </c>
      <c r="H9" s="38">
        <f>Tabla7[[#This Row],[FACTOR]]*Tabla7[[#This Row],[CANTIDAD]]*Tabla7[[#This Row],[COSTO]]</f>
        <v>0</v>
      </c>
    </row>
    <row r="10" spans="2:8" ht="15.6" x14ac:dyDescent="0.3">
      <c r="B10" s="40" t="s">
        <v>18</v>
      </c>
      <c r="H10" s="41" t="e">
        <f>SUM(Tabla7[TOTAL])</f>
        <v>#N/A</v>
      </c>
    </row>
    <row r="13" spans="2:8" ht="15.6" x14ac:dyDescent="0.3">
      <c r="F13" s="40"/>
      <c r="G13" s="40"/>
      <c r="H13" s="41"/>
    </row>
    <row r="14" spans="2:8" ht="15.6" x14ac:dyDescent="0.3">
      <c r="B14" s="40" t="s">
        <v>19</v>
      </c>
      <c r="C14" s="52" t="s">
        <v>20</v>
      </c>
      <c r="D14" s="40" t="s">
        <v>21</v>
      </c>
      <c r="E14" s="41" t="s">
        <v>22</v>
      </c>
      <c r="F14" s="37"/>
      <c r="G14" s="37"/>
    </row>
    <row r="15" spans="2:8" x14ac:dyDescent="0.25">
      <c r="B15" s="37" t="str">
        <f>$H$3</f>
        <v>CÓD</v>
      </c>
      <c r="C15" s="51" t="str">
        <f>$B$3</f>
        <v>CAPÍTULO</v>
      </c>
      <c r="D15" s="37" t="e">
        <f>(E15)/(E18)</f>
        <v>#N/A</v>
      </c>
      <c r="E15" s="38" t="e">
        <f>$H$10</f>
        <v>#N/A</v>
      </c>
      <c r="F15" s="37"/>
      <c r="G15" s="37"/>
    </row>
    <row r="16" spans="2:8" x14ac:dyDescent="0.25">
      <c r="F16" s="37"/>
      <c r="G16" s="37"/>
    </row>
    <row r="17" spans="2:7" x14ac:dyDescent="0.25">
      <c r="F17" s="37"/>
      <c r="G17" s="37"/>
    </row>
    <row r="18" spans="2:7" ht="15.6" x14ac:dyDescent="0.3">
      <c r="B18" s="42"/>
      <c r="C18" s="53"/>
      <c r="D18" s="43" t="s">
        <v>30</v>
      </c>
      <c r="E18" s="54" t="e">
        <f>SUM(E15:E17)</f>
        <v>#N/A</v>
      </c>
    </row>
    <row r="21" spans="2:7" ht="15.6" x14ac:dyDescent="0.3">
      <c r="C21" s="52" t="s">
        <v>1</v>
      </c>
      <c r="D21" s="40" t="s">
        <v>21</v>
      </c>
      <c r="E21" s="41" t="s">
        <v>22</v>
      </c>
    </row>
    <row r="22" spans="2:7" x14ac:dyDescent="0.25">
      <c r="C22" s="51" t="s">
        <v>26</v>
      </c>
      <c r="D22" s="72">
        <v>0</v>
      </c>
      <c r="E22" s="37" t="e">
        <f>Tabla13[[#This Row],[PORCENTAJE]]*E18</f>
        <v>#N/A</v>
      </c>
    </row>
    <row r="23" spans="2:7" x14ac:dyDescent="0.25">
      <c r="C23" s="51" t="s">
        <v>27</v>
      </c>
      <c r="D23" s="72">
        <v>0</v>
      </c>
      <c r="E23" s="37" t="e">
        <f>Tabla13[[#This Row],[PORCENTAJE]]*E18</f>
        <v>#N/A</v>
      </c>
    </row>
    <row r="24" spans="2:7" x14ac:dyDescent="0.25">
      <c r="C24" s="51" t="s">
        <v>28</v>
      </c>
      <c r="D24" s="72">
        <v>0</v>
      </c>
      <c r="E24" s="37" t="e">
        <f>Tabla13[[#This Row],[PORCENTAJE]]*E18</f>
        <v>#N/A</v>
      </c>
    </row>
    <row r="25" spans="2:7" x14ac:dyDescent="0.25">
      <c r="C25" s="51" t="s">
        <v>25</v>
      </c>
      <c r="D25" s="72">
        <v>0</v>
      </c>
      <c r="E25" s="37" t="e">
        <f>Tabla13[[#This Row],[PORCENTAJE]]*E24</f>
        <v>#N/A</v>
      </c>
    </row>
    <row r="26" spans="2:7" ht="15.6" x14ac:dyDescent="0.3">
      <c r="D26" s="73" t="s">
        <v>29</v>
      </c>
      <c r="E26" s="40" t="e">
        <f>SUM(E22:E25)</f>
        <v>#N/A</v>
      </c>
    </row>
    <row r="27" spans="2:7" x14ac:dyDescent="0.25">
      <c r="E27" s="37"/>
    </row>
    <row r="28" spans="2:7" ht="15.6" x14ac:dyDescent="0.3">
      <c r="D28" s="40" t="s">
        <v>24</v>
      </c>
      <c r="E28" s="40" t="e">
        <f>E18+E26</f>
        <v>#N/A</v>
      </c>
    </row>
  </sheetData>
  <dataConsolidate/>
  <mergeCells count="2">
    <mergeCell ref="B1:H1"/>
    <mergeCell ref="B3:G3"/>
  </mergeCells>
  <dataValidations count="1">
    <dataValidation type="list" allowBlank="1" showInputMessage="1" showErrorMessage="1" sqref="C5:C9" xr:uid="{FB747661-0F2B-4F74-B78F-9725B3427E44}">
      <formula1>BD_APUS</formula1>
    </dataValidation>
  </dataValidations>
  <pageMargins left="0.7" right="0.7" top="0.75" bottom="0.75" header="0.3" footer="0.3"/>
  <pageSetup paperSize="9" scale="62" fitToHeight="0" orientation="portrait" cellComments="atEnd" r:id="rId1"/>
  <colBreaks count="1" manualBreakCount="1">
    <brk id="8" max="1048575" man="1"/>
  </colBreaks>
  <drawing r:id="rId2"/>
  <tableParts count="3"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rgb="FF00AC56"/>
    <pageSetUpPr fitToPage="1"/>
  </sheetPr>
  <dimension ref="A1:WYB5"/>
  <sheetViews>
    <sheetView showGridLines="0" topLeftCell="B1" zoomScale="110" zoomScaleNormal="110" zoomScaleSheetLayoutView="130" workbookViewId="0">
      <selection activeCell="A2" sqref="A2"/>
    </sheetView>
  </sheetViews>
  <sheetFormatPr baseColWidth="10" defaultColWidth="11.44140625" defaultRowHeight="14.4" x14ac:dyDescent="0.3"/>
  <cols>
    <col min="1" max="1" width="0.88671875" style="3" hidden="1" customWidth="1"/>
    <col min="2" max="2" width="40.77734375" style="4" customWidth="1"/>
    <col min="3" max="3" width="11" style="4" bestFit="1" customWidth="1"/>
    <col min="4" max="4" width="15" style="1" bestFit="1" customWidth="1"/>
    <col min="5" max="5" width="11" style="7" bestFit="1" customWidth="1"/>
    <col min="6" max="16384" width="11.44140625" style="3"/>
  </cols>
  <sheetData>
    <row r="1" spans="2:7 16200:16200" ht="30" customHeight="1" x14ac:dyDescent="0.3">
      <c r="B1" s="67" t="s">
        <v>31</v>
      </c>
      <c r="C1" s="67"/>
      <c r="D1" s="67"/>
      <c r="E1" s="67"/>
    </row>
    <row r="2" spans="2:7 16200:16200" ht="15.6" x14ac:dyDescent="0.3">
      <c r="B2" s="10" t="s">
        <v>1</v>
      </c>
      <c r="C2" s="11" t="s">
        <v>0</v>
      </c>
      <c r="D2" s="13" t="s">
        <v>2</v>
      </c>
      <c r="E2" s="12" t="s">
        <v>3</v>
      </c>
      <c r="G2" s="9"/>
      <c r="WYB2" s="9"/>
    </row>
    <row r="3" spans="2:7 16200:16200" x14ac:dyDescent="0.3">
      <c r="B3" s="2" t="str">
        <f>BÁSICOS!B3</f>
        <v>Concreto corriente grava comun 3000 PSI</v>
      </c>
      <c r="C3" s="4" t="str">
        <f>BÁSICOS!A3</f>
        <v>CÓD</v>
      </c>
      <c r="D3" s="1" t="str">
        <f>BÁSICOS!H3</f>
        <v>UND</v>
      </c>
      <c r="E3" s="5">
        <f>BÁSICOS!H13</f>
        <v>435753.95</v>
      </c>
    </row>
    <row r="4" spans="2:7 16200:16200" x14ac:dyDescent="0.3">
      <c r="B4" s="2"/>
      <c r="E4" s="5"/>
    </row>
    <row r="5" spans="2:7 16200:16200" x14ac:dyDescent="0.3">
      <c r="B5" s="2"/>
      <c r="E5" s="5"/>
    </row>
  </sheetData>
  <mergeCells count="1">
    <mergeCell ref="B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>
    <tabColor rgb="FF0088CC"/>
    <pageSetUpPr fitToPage="1"/>
  </sheetPr>
  <dimension ref="A1:E6"/>
  <sheetViews>
    <sheetView showGridLines="0" topLeftCell="B1" zoomScale="110" zoomScaleNormal="110" zoomScaleSheetLayoutView="110" workbookViewId="0">
      <selection activeCell="A2" sqref="A2"/>
    </sheetView>
  </sheetViews>
  <sheetFormatPr baseColWidth="10" defaultColWidth="11.44140625" defaultRowHeight="14.4" x14ac:dyDescent="0.3"/>
  <cols>
    <col min="1" max="1" width="1.109375" style="3" hidden="1" customWidth="1"/>
    <col min="2" max="2" width="40.77734375" style="2" customWidth="1"/>
    <col min="3" max="3" width="10" style="4" bestFit="1" customWidth="1"/>
    <col min="4" max="4" width="14.109375" style="1" bestFit="1" customWidth="1"/>
    <col min="5" max="5" width="10.33203125" style="6" bestFit="1" customWidth="1"/>
    <col min="6" max="16384" width="11.44140625" style="3"/>
  </cols>
  <sheetData>
    <row r="1" spans="2:5" s="8" customFormat="1" ht="30" customHeight="1" x14ac:dyDescent="0.3">
      <c r="B1" s="67" t="s">
        <v>33</v>
      </c>
      <c r="C1" s="67"/>
      <c r="D1" s="67"/>
      <c r="E1" s="67"/>
    </row>
    <row r="2" spans="2:5" ht="15" customHeight="1" x14ac:dyDescent="0.3">
      <c r="B2" s="14" t="s">
        <v>1</v>
      </c>
      <c r="C2" s="14" t="s">
        <v>0</v>
      </c>
      <c r="D2" s="15" t="s">
        <v>2</v>
      </c>
      <c r="E2" s="16" t="s">
        <v>3</v>
      </c>
    </row>
    <row r="3" spans="2:5" ht="15" customHeight="1" x14ac:dyDescent="0.3">
      <c r="B3" s="2" t="str">
        <f>APU!B11</f>
        <v>NOMBRE A.P.U.</v>
      </c>
      <c r="C3" s="4" t="str">
        <f>APU!A11</f>
        <v>CÓD</v>
      </c>
      <c r="D3" s="1" t="str">
        <f>APU!H11</f>
        <v>UND</v>
      </c>
      <c r="E3" s="5" t="e">
        <f>APU!H16</f>
        <v>#N/A</v>
      </c>
    </row>
    <row r="4" spans="2:5" x14ac:dyDescent="0.3">
      <c r="B4" s="2" t="str">
        <f>APU!B3</f>
        <v>Placa de concreto 3000 psi 10cm malla electrosoldada</v>
      </c>
      <c r="C4" s="4" t="str">
        <f>APU!A3</f>
        <v>CÓD</v>
      </c>
      <c r="D4" s="1" t="str">
        <f>APU!H3</f>
        <v>UND</v>
      </c>
      <c r="E4" s="5">
        <f>APU!H8</f>
        <v>8715079</v>
      </c>
    </row>
    <row r="5" spans="2:5" x14ac:dyDescent="0.3">
      <c r="E5" s="5"/>
    </row>
    <row r="6" spans="2:5" x14ac:dyDescent="0.3">
      <c r="E6" s="5"/>
    </row>
  </sheetData>
  <mergeCells count="1">
    <mergeCell ref="B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>
    <tabColor rgb="FF00AC56"/>
    <pageSetUpPr fitToPage="1"/>
  </sheetPr>
  <dimension ref="A1:F7"/>
  <sheetViews>
    <sheetView showGridLines="0" zoomScale="110" zoomScaleNormal="110" workbookViewId="0">
      <selection activeCell="D3" sqref="D3"/>
    </sheetView>
  </sheetViews>
  <sheetFormatPr baseColWidth="10" defaultRowHeight="14.4" x14ac:dyDescent="0.3"/>
  <cols>
    <col min="1" max="1" width="30.77734375" customWidth="1"/>
    <col min="2" max="2" width="12.21875" style="18" bestFit="1" customWidth="1"/>
    <col min="3" max="3" width="12.88671875" style="19" bestFit="1" customWidth="1"/>
    <col min="4" max="4" width="14.109375" style="29" bestFit="1" customWidth="1"/>
    <col min="5" max="5" width="12.109375" style="19" bestFit="1" customWidth="1"/>
    <col min="8" max="8" width="15.6640625" customWidth="1"/>
  </cols>
  <sheetData>
    <row r="1" spans="1:6" ht="30" customHeight="1" x14ac:dyDescent="0.3">
      <c r="A1" s="67" t="s">
        <v>32</v>
      </c>
      <c r="B1" s="67"/>
      <c r="C1" s="67"/>
      <c r="D1" s="67"/>
      <c r="E1" s="67"/>
    </row>
    <row r="2" spans="1:6" x14ac:dyDescent="0.3">
      <c r="A2" s="18" t="s">
        <v>23</v>
      </c>
      <c r="B2" s="18" t="s">
        <v>11</v>
      </c>
      <c r="C2" s="26" t="s">
        <v>12</v>
      </c>
      <c r="D2" s="30" t="s">
        <v>16</v>
      </c>
      <c r="E2" s="26" t="s">
        <v>17</v>
      </c>
      <c r="F2" s="18"/>
    </row>
    <row r="3" spans="1:6" x14ac:dyDescent="0.3">
      <c r="A3" t="s">
        <v>40</v>
      </c>
      <c r="B3" s="18" t="s">
        <v>39</v>
      </c>
      <c r="C3" s="19">
        <v>100</v>
      </c>
      <c r="D3" s="29">
        <v>80</v>
      </c>
      <c r="E3" s="19">
        <f>T_materiales[[#This Row],[PRECIO]]*T_materiales[[#This Row],[CANTIDAD]]</f>
        <v>8000</v>
      </c>
    </row>
    <row r="4" spans="1:6" x14ac:dyDescent="0.3">
      <c r="A4" t="s">
        <v>42</v>
      </c>
      <c r="B4" s="18" t="s">
        <v>43</v>
      </c>
      <c r="C4" s="19">
        <v>5</v>
      </c>
      <c r="D4" s="29">
        <v>160</v>
      </c>
      <c r="E4" s="19">
        <f>T_materiales[[#This Row],[PRECIO]]*T_materiales[[#This Row],[CANTIDAD]]</f>
        <v>800</v>
      </c>
    </row>
    <row r="5" spans="1:6" x14ac:dyDescent="0.3">
      <c r="A5" t="s">
        <v>44</v>
      </c>
      <c r="B5" s="18" t="s">
        <v>45</v>
      </c>
      <c r="C5" s="19">
        <v>25</v>
      </c>
      <c r="D5" s="29">
        <v>240</v>
      </c>
      <c r="E5" s="19">
        <f>T_materiales[[#This Row],[PRECIO]]*T_materiales[[#This Row],[CANTIDAD]]</f>
        <v>6000</v>
      </c>
    </row>
    <row r="6" spans="1:6" x14ac:dyDescent="0.3">
      <c r="E6" s="19">
        <f>T_materiales[[#This Row],[PRECIO]]*T_materiales[[#This Row],[CANTIDAD]]</f>
        <v>0</v>
      </c>
    </row>
    <row r="7" spans="1:6" x14ac:dyDescent="0.3">
      <c r="A7" s="74" t="s">
        <v>18</v>
      </c>
      <c r="B7" s="27"/>
      <c r="C7" s="28"/>
      <c r="D7" s="31"/>
      <c r="E7" s="75">
        <f>SUBTOTAL(109,T_materiales[TOTAL])</f>
        <v>14800</v>
      </c>
    </row>
  </sheetData>
  <mergeCells count="1">
    <mergeCell ref="A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183BD-DCD0-44AB-943A-67C9C309A6CB}">
  <dimension ref="A2:A4"/>
  <sheetViews>
    <sheetView workbookViewId="0">
      <selection activeCell="A5" sqref="A5"/>
    </sheetView>
  </sheetViews>
  <sheetFormatPr baseColWidth="10" defaultRowHeight="14.4" x14ac:dyDescent="0.3"/>
  <sheetData>
    <row r="2" spans="1:1" x14ac:dyDescent="0.3">
      <c r="A2" t="s">
        <v>48</v>
      </c>
    </row>
    <row r="3" spans="1:1" x14ac:dyDescent="0.3">
      <c r="A3" t="s">
        <v>50</v>
      </c>
    </row>
    <row r="4" spans="1:1" x14ac:dyDescent="0.3">
      <c r="A4" t="s">
        <v>64</v>
      </c>
    </row>
  </sheetData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duplicar_32" Type="http://schemas.openxmlformats.org/officeDocument/2006/relationships/image" Target="images/duplicar_32.png"/><Relationship Id="duplicar_16" Type="http://schemas.openxmlformats.org/officeDocument/2006/relationships/image" Target="images/duplicar_16.png"/><Relationship Id="copiar_16" Type="http://schemas.openxmlformats.org/officeDocument/2006/relationships/image" Target="images/copiar_16.png"/><Relationship Id="buscar_32" Type="http://schemas.openxmlformats.org/officeDocument/2006/relationships/image" Target="images/buscar_32.png"/><Relationship Id="buscar_16" Type="http://schemas.openxmlformats.org/officeDocument/2006/relationships/image" Target="images/buscar_16.png"/><Relationship Id="materiales_32" Type="http://schemas.openxmlformats.org/officeDocument/2006/relationships/image" Target="images/materiales_32.png"/><Relationship Id="pegar_16" Type="http://schemas.openxmlformats.org/officeDocument/2006/relationships/image" Target="images/pegar_16.png"/><Relationship Id="nuevo_16" Type="http://schemas.openxmlformats.org/officeDocument/2006/relationships/image" Target="images/nuevo_16.png"/><Relationship Id="analisis_16" Type="http://schemas.openxmlformats.org/officeDocument/2006/relationships/image" Target="images/analisis_16.png"/><Relationship Id="analisis_32" Type="http://schemas.openxmlformats.org/officeDocument/2006/relationships/image" Target="images/analisis_32.png"/><Relationship Id="actualizar2_32" Type="http://schemas.openxmlformats.org/officeDocument/2006/relationships/image" Target="images/actualizar2_32.png"/><Relationship Id="guardar_32" Type="http://schemas.openxmlformats.org/officeDocument/2006/relationships/image" Target="images/guardar_32.png"/><Relationship Id="guardar_16" Type="http://schemas.openxmlformats.org/officeDocument/2006/relationships/image" Target="images/guardar_16.png"/><Relationship Id="ocultar_16" Type="http://schemas.openxmlformats.org/officeDocument/2006/relationships/image" Target="images/ocultar_16.png"/><Relationship Id="nuevo_32" Type="http://schemas.openxmlformats.org/officeDocument/2006/relationships/image" Target="images/nuevo_32.png"/><Relationship Id="ocultar_32" Type="http://schemas.openxmlformats.org/officeDocument/2006/relationships/image" Target="images/ocultar_32.png"/><Relationship Id="cargar_16" Type="http://schemas.openxmlformats.org/officeDocument/2006/relationships/image" Target="images/cargar_16.png"/><Relationship Id="cargar_32" Type="http://schemas.openxmlformats.org/officeDocument/2006/relationships/image" Target="images/cargar_32.png"/><Relationship Id="menos_16" Type="http://schemas.openxmlformats.org/officeDocument/2006/relationships/image" Target="images/menos_16.png"/><Relationship Id="editar_16" Type="http://schemas.openxmlformats.org/officeDocument/2006/relationships/image" Target="images/editar_16.png"/><Relationship Id="resumen_32" Type="http://schemas.openxmlformats.org/officeDocument/2006/relationships/image" Target="images/resumen_32.png"/><Relationship Id="eliminar_16" Type="http://schemas.openxmlformats.org/officeDocument/2006/relationships/image" Target="images/eliminar_16.png"/><Relationship Id="resumen_16" Type="http://schemas.openxmlformats.org/officeDocument/2006/relationships/image" Target="images/resumen_16.png"/><Relationship Id="eliminar_32" Type="http://schemas.openxmlformats.org/officeDocument/2006/relationships/image" Target="images/eliminar_32.png"/><Relationship Id="mas_32" Type="http://schemas.openxmlformats.org/officeDocument/2006/relationships/image" Target="images/mas_32.png"/><Relationship Id="menos_32" Type="http://schemas.openxmlformats.org/officeDocument/2006/relationships/image" Target="images/menos_32.png"/><Relationship Id="mas_16" Type="http://schemas.openxmlformats.org/officeDocument/2006/relationships/image" Target="images/mas_16.png"/><Relationship Id="actualizar_32" Type="http://schemas.openxmlformats.org/officeDocument/2006/relationships/image" Target="images/actualizar_32.png"/><Relationship Id="actualizar_16" Type="http://schemas.openxmlformats.org/officeDocument/2006/relationships/image" Target="images/actualizar_16.png"/><Relationship Id="guardar2_32" Type="http://schemas.openxmlformats.org/officeDocument/2006/relationships/image" Target="images/guardar2_32.png"/></Relationships>
</file>

<file path=customUI/customUI14.xml><?xml version="1.0" encoding="utf-8"?>
<customUI xmlns="http://schemas.microsoft.com/office/2009/07/customui" onLoad="Módulo11_RIBBON.alcargarRibbon">
  <ribbon startFromScratch="false">
    <tabs>
      <tab id="presupuesto" label="S5S Presupuestos">
        <group id="grupoinsumos" label="INSUMOS">
          <button id="botmasfilasins" label="Insertar fila" size="normal" image="mas_32" onAction="Módulo02_INSUMOS.InsMasFilas" getEnabled="Módulo11_RIBBON.hojainsumos" screentip="Insertar filas" supertip="Crea una nueva fila en la tabla de insumos."/>
          <button id="botmenosfilasins" label="Eliminar fila" size="normal" image="menos_32" onAction="Módulo02_INSUMOS.InsMenosFilas" getEnabled="Módulo11_RIBBON.hojainsumos" screentip="Eliminar filas" supertip="Elimina una fila en la tabla de insumos."/>
          <button id="botEditDesc" label="Editar Desc" size="normal" image="editar_16" onAction="Módulo02_INSUMOS.InsActualizaInsumo" getEnabled="Módulo11_RIBBON.hojainsumos" screentip="Editar Descripción" supertip="Edita la descripción de una fila."/>
        </group>
        <group id="grupoapu" label="A.P.U">
          <button id="botnuevoapu2" label="Nuevo APU." size="large" image="nuevo_32" onAction="Módulo03_APU.ApuNuevoApu" getEnabled="Módulo11_RIBBON.hojaapu" screentip="Nueva tabla A.P.U" supertip="Crea una nueva tabla de A.P.U."/>
          <button id="boteliminaapu2" label="Eliminar APU." size="large" image="eliminar_32" onAction="Módulo03_APU.CH2M2" getEnabled="Módulo11_RIBBON.hojaapu" screentip="Eliminar tabla A.P.U." supertip="Elimina la tabla A.P.U. seleccionada."/>
          <button id="botmasfilas2" label="fila" size="normal" image="mas_16" onAction="Módulo03_APU.GR1M3" getEnabled="Módulo11_RIBBON.hojaapu" screentip="Insertar filas" supertip="Crea una nueva fila en la tabla A.P.U. seleccionada."/>
          <button id="botmenosfilas2" label="fila" size="normal" image="menos_16" onAction="Módulo03_APU.GR1M10" getEnabled="Módulo11_RIBBON.hojaapu" screentip="Eliminar filas" supertip="Elimina una fila en la tabla A.P.U. seleccionada."/>
          <button id="botactualizar2" label="listas" size="normal" image="actualizar_16" onAction="Módulo03_APU.GR1M7" getEnabled="Módulo11_RIBBON.hojaapu" screentip="Actualizar listado" supertip="Crea una nueva lista con las tablas A.P.U. existentes."/>
          <button id="botcopiarapu" label="APU" size="normal" image="copiar_16" onAction="Módulo001_APUSPRUEBA.copiarapu" getEnabled="Módulo11_RIBBON.hojaapu" screentip="Copiar APU" supertip="Copiar APU seleccionado."/>
          <button id="botpegarapu" label="APU" size="normal" image="pegar_16" onAction="Módulo001_APUSPRUEBA.pegarapu" getEnabled="Módulo11_RIBBON.hojaapu" screentip="Pegar APU" supertip="Pegar APU seleccionado."/>
          <separator id="separador3"/>
          <button id="botbuscar2" label="Buscar insumo" size="normal" image="buscar_16" onAction="Módulo03_APU.GR1M5" getEnabled="Módulo11_RIBBON.hojaapu" screentip="Buscar insumo" supertip="Ubica el insumo seleccionado."/>
          <button id="botanalisis2" label="Incidencia" size="normal" image="analisis_16" onAction="Módulo03_APU.CH2M8" getEnabled="Módulo11_RIBBON.hojaapu" screentip="Incidencia" supertip="Crea las tablas y gráficos de análisis de datos para la tabla A.P.U. seleccionada."/>
          <button id="botocultar2" label="Ocultar Incidencia" size="normal" image="ocultar_16" onAction="Módulo03_APU.GR1M9" getEnabled="Módulo11_RIBBON.hojaapu" screentip="Ocultar Incidencia" supertip="Elimina los elementos de análisis de datos en la hoja."/>
        </group>
        <group id="grupopresupuesto" label="PRESUPUESTO">
          <button id="botnuevocapitulo" label="Nuevo capítulo" size="large" image="nuevo_32" onAction="Módulo08_PRESUPUESTO.CH6M1" getEnabled="Módulo11_RIBBON.hojapresupuestos" screentip="Nueva tabla capítulo" supertip="Crea una nueva tabla tipo capítulo."/>
          <button id="boteliminacapitulo" label="Eliminar capítulo" size="large" image="eliminar_32" onAction="Módulo08_PRESUPUESTO.CH6M8" getEnabled="Módulo11_RIBBON.hojapresupuestos" screentip="Eliminar tabla capítulo" supertip="Elimina la tabla capítulo seleccionada."/>
          <button id="botmasfilas3" label="fila" size="normal" image="mas_16" onAction="Módulo08_PRESUPUESTO.CH6M9" getEnabled="Módulo11_RIBBON.hojapresupuestos" screentip="Insertar filas" supertip="Crea una nueva fila en la tabla capítulo seleccionada."/>
          <button id="botmenosfilas3" label="fila" size="normal" image="menos_16" onAction="Módulo08_PRESUPUESTO.CH6M10" getEnabled="Módulo11_RIBBON.hojapresupuestos" screentip="Eliminar filas" supertip="Elimina una fila en la tabla capítulo seleccionada."/>
          <separator id="separador5"/>
          <button id="botbuscar3" label="Buscar A.P.U." size="normal" image="buscar_16" onAction="Módulo08_PRESUPUESTO.CH6M11" getEnabled="Módulo11_RIBBON.hojapresupuestos" screentip="Buscar A.P.U" supertip="Ubica la tabla A.P.U. seleccionada."/>
          <button id="botanalisis3" label="Incidencia" size="normal" image="analisis_16" onAction="Módulo08_PRESUPUESTO.CH6M12" getEnabled="Módulo11_RIBBON.hojapresupuestos" screentip="Incidencia" supertip="Crea las tablas y gráficos de análisis de datos para la hoja presupuesto."/>
          <button id="botocultar3" label="Ocultar Incidencia" size="normal" image="ocultar_16" onAction="Módulo08_PRESUPUESTO.CH6M13" getEnabled="Módulo11_RIBBON.hojapresupuestos" screentip="Ocultar Incidencia" supertip="Elimina los elementos de análisis de datos en la hoja presupuesto."/>
        </group>
        <group id="grupolistados" label="LISTAS A.P.U.">
          <button id="botonbuscarapulist" label="Buscar A.P.U." size="large" image="buscar_32" onAction="Módulo03_APU.GR2M1" getEnabled="Módulo11_RIBBON.hojalistaapus" screentip="Buscar A.P.U." supertip="Ubica la tabla A.P.U. seleccionada en la lista."/>
        </group>
        <group id="grupomateriales" label="CANTIDADES">
          <button id="botonmateriales" label="Cantidad de Materiales" size="large" image="materiales_32" onAction="Módulo12_MATERIALES.CH8M1" getEnabled="Módulo11_RIBBON.hojamateriales" screentip="Cantidad de materiales" supertip="Calcula la cantidad de cada insumo usado en el proyecto."/>
        </group>
        <group id="grupoguardar" label="ARCHIVO">
          <button id="botactutodo" label="Actualizar proyecto" size="large" image="actualizar2_32" onAction="Módulo10_GUARDAR.CH7M1" screentip="Actualizar proyecto" supertip="Actualiza todas las referencias del proyecto."/>
          <separator id="separador6"/>
          <button id="botgrapido" label="Guardar" size="large" image="guardar_32" onAction="Módulo10_GUARDAR.CH6M32" screentip="Guardar rápido" supertip="Guardar progreso."/>
          <button id="botguardar" label="Guardar como" size="large" image="guardar2_32" onAction="Módulo10_GUARDAR.CH6M28" screentip="Guardar como" supertip="Guarda una copia del proyecto en la ubicación seleccionada."/>
          <button id="botcargar" label="Cargar" size="large" image="cargar_32" onAction="Módulo10_GUARDAR.CH6M29" screentip="Cargar copia" supertip="Cierra el proyecto actual y carga una copia seleccionada."/>
          <button id="botexportar" label="Exportar resumen" size="large" image="resumen_32" onAction="Módulo09_RESUMEN.CH6M21" screentip="Exportar resumen" supertip="Crea un resumen de los A.P.U. y presupuesto en un archivo nuevo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10</vt:i4>
      </vt:variant>
    </vt:vector>
  </HeadingPairs>
  <TitlesOfParts>
    <vt:vector size="18" baseType="lpstr">
      <vt:lpstr>INSUMOS</vt:lpstr>
      <vt:lpstr>BÁSICOS</vt:lpstr>
      <vt:lpstr>APU</vt:lpstr>
      <vt:lpstr>PRESUPUESTO</vt:lpstr>
      <vt:lpstr>LISTA_BÁSICOS</vt:lpstr>
      <vt:lpstr>LISTA_APU</vt:lpstr>
      <vt:lpstr>MATERIALES</vt:lpstr>
      <vt:lpstr>Bugs</vt:lpstr>
      <vt:lpstr>ACTIVIDADES</vt:lpstr>
      <vt:lpstr>BÁSICOS</vt:lpstr>
      <vt:lpstr>BD_APUS</vt:lpstr>
      <vt:lpstr>BD_APUS_B</vt:lpstr>
      <vt:lpstr>EQUIPOS</vt:lpstr>
      <vt:lpstr>MANO_DE_OBRA</vt:lpstr>
      <vt:lpstr>MATERIALES</vt:lpstr>
      <vt:lpstr>OTROS</vt:lpstr>
      <vt:lpstr>SUBCONTRATOS</vt:lpstr>
      <vt:lpstr>TRANSPORTE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- Ciao -</dc:title>
  <dc:creator/>
  <cp:lastModifiedBy/>
  <dcterms:created xsi:type="dcterms:W3CDTF">2006-09-16T00:00:00Z</dcterms:created>
  <dcterms:modified xsi:type="dcterms:W3CDTF">2024-08-30T00:19:29Z</dcterms:modified>
</cp:coreProperties>
</file>