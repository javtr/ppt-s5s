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96933b549ec4f5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7D1477A8-0D4D-43B3-B7C4-D542E38467B3}" xr6:coauthVersionLast="47" xr6:coauthVersionMax="47" xr10:uidLastSave="{00000000-0000-0000-0000-000000000000}"/>
  <workbookProtection workbookAlgorithmName="SHA-512" workbookHashValue="3RoVHPNe3KCqHk8cbzEDsMlw2Dg7IXhqjOE08JXDo8zalKk1BB7lvimmjMhU+zJ4orWEp8E8/f6JOnaQ7oA9xg==" workbookSaltValue="HAb7PSezMVMPqCM25+VrTg==" workbookSpinCount="100000" lockStructure="1"/>
  <bookViews>
    <workbookView xWindow="-108" yWindow="-108" windowWidth="23256" windowHeight="12456" tabRatio="606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04" l="1"/>
  <c r="D35" i="104"/>
  <c r="G35" i="104"/>
  <c r="H35" i="104"/>
  <c r="B34" i="104"/>
  <c r="D34" i="104"/>
  <c r="G34" i="104"/>
  <c r="H34" i="104" s="1"/>
  <c r="B33" i="104"/>
  <c r="D33" i="104"/>
  <c r="G33" i="104"/>
  <c r="H33" i="104"/>
  <c r="B32" i="104"/>
  <c r="D32" i="104"/>
  <c r="G32" i="104"/>
  <c r="H32" i="104" s="1"/>
  <c r="H37" i="104" s="1"/>
  <c r="B25" i="104"/>
  <c r="D25" i="104"/>
  <c r="G25" i="104"/>
  <c r="H25" i="104"/>
  <c r="B24" i="104"/>
  <c r="D24" i="104"/>
  <c r="G24" i="104"/>
  <c r="H24" i="104" s="1"/>
  <c r="B23" i="104"/>
  <c r="D23" i="104"/>
  <c r="G23" i="104"/>
  <c r="H23" i="104"/>
  <c r="B20" i="104"/>
  <c r="D20" i="104"/>
  <c r="G20" i="104"/>
  <c r="H20" i="104" s="1"/>
  <c r="B19" i="104"/>
  <c r="D19" i="104"/>
  <c r="G19" i="104"/>
  <c r="H19" i="104"/>
  <c r="B18" i="104"/>
  <c r="D18" i="104"/>
  <c r="G18" i="104"/>
  <c r="H18" i="104" s="1"/>
  <c r="B11" i="104"/>
  <c r="D11" i="104"/>
  <c r="G11" i="104"/>
  <c r="H11" i="104"/>
  <c r="B10" i="104"/>
  <c r="D10" i="104"/>
  <c r="G10" i="104"/>
  <c r="H10" i="104" s="1"/>
  <c r="B9" i="104"/>
  <c r="D9" i="104"/>
  <c r="G9" i="104"/>
  <c r="H9" i="104"/>
  <c r="B8" i="104"/>
  <c r="D8" i="104"/>
  <c r="G8" i="104"/>
  <c r="H8" i="104" s="1"/>
  <c r="B7" i="104"/>
  <c r="D7" i="104"/>
  <c r="G7" i="104"/>
  <c r="H7" i="104"/>
  <c r="B6" i="104"/>
  <c r="D6" i="104"/>
  <c r="G6" i="104"/>
  <c r="H6" i="104" s="1"/>
  <c r="B5" i="104"/>
  <c r="D5" i="104"/>
  <c r="G5" i="104"/>
  <c r="H5" i="10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B43" i="103"/>
  <c r="D43" i="103"/>
  <c r="G43" i="103"/>
  <c r="H43" i="103"/>
  <c r="B42" i="103"/>
  <c r="D42" i="103"/>
  <c r="G42" i="103"/>
  <c r="H42" i="103" s="1"/>
  <c r="H46" i="103" s="1"/>
  <c r="B34" i="103"/>
  <c r="D34" i="103"/>
  <c r="G34" i="103"/>
  <c r="H34" i="103" s="1"/>
  <c r="B33" i="103"/>
  <c r="D33" i="103"/>
  <c r="G33" i="103"/>
  <c r="H33" i="103" s="1"/>
  <c r="H37" i="103" s="1"/>
  <c r="B25" i="103"/>
  <c r="D25" i="103"/>
  <c r="G25" i="103"/>
  <c r="H25" i="103"/>
  <c r="B24" i="103"/>
  <c r="D24" i="103"/>
  <c r="G24" i="103"/>
  <c r="H24" i="103" s="1"/>
  <c r="H28" i="103" s="1"/>
  <c r="B16" i="103"/>
  <c r="D16" i="103"/>
  <c r="G16" i="103"/>
  <c r="H16" i="103" s="1"/>
  <c r="B15" i="103"/>
  <c r="D15" i="103"/>
  <c r="G15" i="103"/>
  <c r="H15" i="103" s="1"/>
  <c r="H19" i="103" s="1"/>
  <c r="B7" i="103"/>
  <c r="D7" i="103"/>
  <c r="G7" i="103"/>
  <c r="H7" i="103"/>
  <c r="B5" i="103"/>
  <c r="D5" i="103"/>
  <c r="G5" i="103"/>
  <c r="H5" i="103" s="1"/>
  <c r="H10" i="103" s="1"/>
  <c r="E3" i="10"/>
  <c r="D3" i="10"/>
  <c r="C3" i="10"/>
  <c r="B3" i="10"/>
  <c r="E5" i="10"/>
  <c r="D5" i="10"/>
  <c r="C5" i="10"/>
  <c r="B5" i="10"/>
  <c r="E4" i="10"/>
  <c r="D4" i="10"/>
  <c r="C4" i="10"/>
  <c r="B4" i="10"/>
  <c r="B27" i="102"/>
  <c r="D27" i="102"/>
  <c r="G27" i="102"/>
  <c r="H27" i="102" s="1"/>
  <c r="H31" i="102" s="1"/>
  <c r="B18" i="102"/>
  <c r="D18" i="102"/>
  <c r="G18" i="102"/>
  <c r="H18" i="102" s="1"/>
  <c r="H22" i="102" s="1"/>
  <c r="B6" i="102"/>
  <c r="D6" i="102"/>
  <c r="G6" i="102"/>
  <c r="H6" i="102" s="1"/>
  <c r="H12" i="102" s="1"/>
  <c r="H13" i="104" l="1"/>
  <c r="H27" i="104"/>
  <c r="E4" i="106"/>
</calcChain>
</file>

<file path=xl/sharedStrings.xml><?xml version="1.0" encoding="utf-8"?>
<sst xmlns="http://schemas.openxmlformats.org/spreadsheetml/2006/main" count="274" uniqueCount="65">
  <si>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</si>
  <si>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</si>
  <si>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</si>
  <si>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</si>
  <si>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</si>
  <si>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</si>
  <si>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</si>
  <si>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</si>
  <si>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</si>
  <si>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</si>
  <si>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</si>
  <si>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</si>
  <si>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</si>
  <si>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</si>
  <si>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</si>
  <si>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</si>
  <si>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</si>
  <si>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</si>
  <si>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</si>
  <si>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</si>
  <si>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</si>
  <si>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</si>
  <si>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</si>
  <si>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</si>
  <si>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</si>
  <si>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</si>
  <si>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</si>
  <si>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</si>
  <si>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</si>
  <si>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</si>
  <si>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</si>
  <si>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</si>
  <si>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</si>
  <si>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</si>
  <si>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</si>
  <si>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</si>
  <si>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</si>
  <si>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</si>
  <si>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</si>
  <si>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</si>
  <si>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</si>
  <si>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</si>
  <si>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</si>
  <si>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</si>
  <si>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</si>
  <si>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</si>
  <si>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</si>
  <si>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</si>
  <si>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</si>
  <si>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</si>
  <si>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</si>
  <si>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</si>
  <si>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</si>
  <si>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</si>
  <si>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</si>
  <si>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</si>
  <si>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</si>
  <si>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</si>
  <si>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Apu 01</t>
  </si>
  <si>
    <t>Apu 02</t>
  </si>
  <si>
    <t>OK</t>
  </si>
  <si>
    <t>CAPÍTULO 1</t>
  </si>
  <si>
    <t>CAPÍTULO 2</t>
  </si>
  <si>
    <t>NOMBRE A.P.U. BÁSICO</t>
  </si>
  <si>
    <t>Basico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</si>
</sst>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FF66"/>
        <bgColor indexed="64"/>
      </patternFill>
    </fill>
  </fills>
  <borders count="26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/>
      <right/>
      <top style="thin">
        <color rgb="FF009999"/>
      </top>
      <bottom/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2" borderId="0" xfId="0" applyFont="1" applyFill="1"/>
    <xf numFmtId="164" fontId="2" fillId="2" borderId="0" xfId="0" applyNumberFormat="1" applyFont="1" applyFill="1"/>
    <xf numFmtId="0" fontId="2" fillId="0" borderId="21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9" fontId="6" fillId="0" borderId="0" xfId="13" applyFont="1" applyAlignment="1">
      <alignment horizontal="center"/>
    </xf>
    <xf numFmtId="3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9" fillId="3" borderId="0" xfId="0" applyFont="1" applyFill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2" fillId="0" borderId="2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41" fontId="6" fillId="4" borderId="25" xfId="0" applyNumberFormat="1" applyFont="1" applyFill="1" applyBorder="1" applyAlignment="1">
      <alignment horizontal="center"/>
    </xf>
    <xf numFmtId="41" fontId="9" fillId="3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1" fontId="6" fillId="0" borderId="0" xfId="0" applyNumberFormat="1" applyFont="1" applyFill="1" applyAlignment="1">
      <alignment horizontal="left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9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94"/>
      <tableStyleElement type="headerRow" dxfId="193"/>
    </tableStyle>
    <tableStyle name="S5S Green" pivot="0" count="2" xr9:uid="{00000000-0011-0000-FFFF-FFFF02000000}">
      <tableStyleElement type="wholeTable" dxfId="192"/>
      <tableStyleElement type="headerRow" dxfId="191"/>
    </tableStyle>
    <tableStyle name="S5S Greenblue" pivot="0" count="2" xr9:uid="{00000000-0011-0000-FFFF-FFFF03000000}">
      <tableStyleElement type="wholeTable" dxfId="190"/>
      <tableStyleElement type="headerRow" dxfId="189"/>
    </tableStyle>
    <tableStyle name="S5S2" pivot="0" count="2" xr9:uid="{00000000-0011-0000-FFFF-FFFF04000000}">
      <tableStyleElement type="wholeTable" dxfId="188"/>
      <tableStyleElement type="headerRow" dxfId="187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1C0F655D-128A-4847-986F-C04098D1F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63F5800F-72B3-4173-BD46-AB5D8C75C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E26302-E4F5-4FE0-9296-D1C71E330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4B595F1A-6A48-4909-9280-D76C4F81D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C286C4D-59FC-496B-BA05-6DD751EC5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FCC344E8-E8CD-4024-80A6-B5C26BA9D8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2C6910C-B922-4688-887B-EA5D6236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3EBF20B9-5EB5-4BEA-B994-E31B6D0E2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5A5DDDA9-6D91-4A08-AEA1-0729047EF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375C4C-1B27-4E31-843A-FF3B06D0F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1880FFB7-4C55-4151-BA1E-94357B369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F2B1016-9F3F-4CDA-8019-5F412C171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9C20F2C7-412E-4489-9E6C-8AF7D1C673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9FA128A0-F454-4C5B-8909-982AAD36C9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AAD5B23F-C167-42B0-88E7-7DF39078C0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47198F63-6E82-4370-9DF3-7FF2FEEF09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18C17EF2-E70C-4131-9589-337496316A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401A7210-5FA9-41D0-B6DA-114145AE1C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97763E19-099F-4A69-9B9E-C5E3BEB4BE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3D7E8041-B8F7-4371-BE2F-6309011FDB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3B0FFAAE-2D5A-4D5E-957A-82DB8FD44B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674C1FE6-0CF7-4F75-ABA8-6F377D6BA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79DEC9C0-3A5D-4120-AEC3-6EF9E34A62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8FE0279A-C8D7-43A1-A6DD-DF2BA4150B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47B5BFE7-1CAC-4C6E-BCA1-EE2C800FDA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C50235F8-E716-4F6D-8FC6-5AEBDA9E55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3AE337F8-4BCC-47C9-91E5-06B62AE599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585FFB10-7D91-4351-BBDE-DD15ABE470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94713CEB-608C-49E0-BDEA-FC99343462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2B55844C-678B-435B-8712-E50939121C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DB0D2820-F74A-40C3-9C9C-72B6873478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ADAC8F83-5073-4619-8A5F-0474159C7D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6AF646F0-FC79-4444-82E0-A61C2B545C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E7F11485-F286-42E4-8835-06A2E0C34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" name="Elipse 55">
          <a:extLst>
            <a:ext uri="{FF2B5EF4-FFF2-40B4-BE49-F238E27FC236}">
              <a16:creationId xmlns:a16="http://schemas.microsoft.com/office/drawing/2014/main" id="{4A186A66-F132-481C-B066-8AFB1FFA0B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23A4FAC5-F211-43D3-A03D-C9D125D167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" name="Elipse 57">
          <a:extLst>
            <a:ext uri="{FF2B5EF4-FFF2-40B4-BE49-F238E27FC236}">
              <a16:creationId xmlns:a16="http://schemas.microsoft.com/office/drawing/2014/main" id="{FE9DEF89-D80B-4F3B-8946-298FF3563D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5D45871C-96B0-4F18-9A20-50A66869E9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7BAD59DE-6481-487C-B479-81933CCB3F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" name="Elipse 60">
          <a:extLst>
            <a:ext uri="{FF2B5EF4-FFF2-40B4-BE49-F238E27FC236}">
              <a16:creationId xmlns:a16="http://schemas.microsoft.com/office/drawing/2014/main" id="{78F79BA8-447C-4CEC-95AF-6DD2F27A9A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B0AEB44F-7024-4084-BDD0-780259DC02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4D92072C-6C92-4192-BADD-0FEDBA2AB1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" name="Elipse 63">
          <a:extLst>
            <a:ext uri="{FF2B5EF4-FFF2-40B4-BE49-F238E27FC236}">
              <a16:creationId xmlns:a16="http://schemas.microsoft.com/office/drawing/2014/main" id="{EFE0B582-007A-44CB-A6E5-1500201466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" name="Elipse 64">
          <a:extLst>
            <a:ext uri="{FF2B5EF4-FFF2-40B4-BE49-F238E27FC236}">
              <a16:creationId xmlns:a16="http://schemas.microsoft.com/office/drawing/2014/main" id="{BB784028-CD2D-462D-836F-89277E03A5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51129A6C-5994-490D-B43B-8717D7078A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" name="Elipse 66">
          <a:extLst>
            <a:ext uri="{FF2B5EF4-FFF2-40B4-BE49-F238E27FC236}">
              <a16:creationId xmlns:a16="http://schemas.microsoft.com/office/drawing/2014/main" id="{3E2851BD-98A4-4F2E-AA75-A92F727C71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D8F28D13-5734-4D68-B49C-F5E8C36041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" name="Elipse 68">
          <a:extLst>
            <a:ext uri="{FF2B5EF4-FFF2-40B4-BE49-F238E27FC236}">
              <a16:creationId xmlns:a16="http://schemas.microsoft.com/office/drawing/2014/main" id="{4E9F72DE-967A-4C6C-93EC-ACD54327D2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" name="Elipse 69">
          <a:extLst>
            <a:ext uri="{FF2B5EF4-FFF2-40B4-BE49-F238E27FC236}">
              <a16:creationId xmlns:a16="http://schemas.microsoft.com/office/drawing/2014/main" id="{35F54344-3968-4433-87F1-51F5943C62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" name="Elipse 70">
          <a:extLst>
            <a:ext uri="{FF2B5EF4-FFF2-40B4-BE49-F238E27FC236}">
              <a16:creationId xmlns:a16="http://schemas.microsoft.com/office/drawing/2014/main" id="{C5C719CB-B93D-4CD6-A015-2827B4EDE0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" name="Elipse 71">
          <a:extLst>
            <a:ext uri="{FF2B5EF4-FFF2-40B4-BE49-F238E27FC236}">
              <a16:creationId xmlns:a16="http://schemas.microsoft.com/office/drawing/2014/main" id="{8078C6F7-2990-4CE0-9155-BE72A6FE17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" name="Elipse 72">
          <a:extLst>
            <a:ext uri="{FF2B5EF4-FFF2-40B4-BE49-F238E27FC236}">
              <a16:creationId xmlns:a16="http://schemas.microsoft.com/office/drawing/2014/main" id="{405D7E76-3774-4B0B-87A2-7744284AB0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" name="Elipse 73">
          <a:extLst>
            <a:ext uri="{FF2B5EF4-FFF2-40B4-BE49-F238E27FC236}">
              <a16:creationId xmlns:a16="http://schemas.microsoft.com/office/drawing/2014/main" id="{432CA0C4-2A8E-41DE-9D4B-8E234D4824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" name="Elipse 74">
          <a:extLst>
            <a:ext uri="{FF2B5EF4-FFF2-40B4-BE49-F238E27FC236}">
              <a16:creationId xmlns:a16="http://schemas.microsoft.com/office/drawing/2014/main" id="{FC3E2598-3C38-40CA-854F-F656D12DD4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" name="Elipse 75">
          <a:extLst>
            <a:ext uri="{FF2B5EF4-FFF2-40B4-BE49-F238E27FC236}">
              <a16:creationId xmlns:a16="http://schemas.microsoft.com/office/drawing/2014/main" id="{58432B6A-B6E4-435F-9D3D-7CC9A974BA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" name="Elipse 76">
          <a:extLst>
            <a:ext uri="{FF2B5EF4-FFF2-40B4-BE49-F238E27FC236}">
              <a16:creationId xmlns:a16="http://schemas.microsoft.com/office/drawing/2014/main" id="{C755C7D7-883A-4B24-A863-6C63E38584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" name="Elipse 77">
          <a:extLst>
            <a:ext uri="{FF2B5EF4-FFF2-40B4-BE49-F238E27FC236}">
              <a16:creationId xmlns:a16="http://schemas.microsoft.com/office/drawing/2014/main" id="{C78FF1E9-EF83-4A10-B624-04D8997C8E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" name="Elipse 78">
          <a:extLst>
            <a:ext uri="{FF2B5EF4-FFF2-40B4-BE49-F238E27FC236}">
              <a16:creationId xmlns:a16="http://schemas.microsoft.com/office/drawing/2014/main" id="{9F6D0805-DA35-4417-ABF1-F63FF97483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" name="Elipse 79">
          <a:extLst>
            <a:ext uri="{FF2B5EF4-FFF2-40B4-BE49-F238E27FC236}">
              <a16:creationId xmlns:a16="http://schemas.microsoft.com/office/drawing/2014/main" id="{4A1DFB8B-5F98-4B7F-8BA7-5D3E4A5338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" name="Elipse 80">
          <a:extLst>
            <a:ext uri="{FF2B5EF4-FFF2-40B4-BE49-F238E27FC236}">
              <a16:creationId xmlns:a16="http://schemas.microsoft.com/office/drawing/2014/main" id="{02154D5C-4AE6-4024-A4A3-69F7B52AE9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" name="Elipse 81">
          <a:extLst>
            <a:ext uri="{FF2B5EF4-FFF2-40B4-BE49-F238E27FC236}">
              <a16:creationId xmlns:a16="http://schemas.microsoft.com/office/drawing/2014/main" id="{6C79DC70-0617-4FA8-A82F-92032A1161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" name="Elipse 82">
          <a:extLst>
            <a:ext uri="{FF2B5EF4-FFF2-40B4-BE49-F238E27FC236}">
              <a16:creationId xmlns:a16="http://schemas.microsoft.com/office/drawing/2014/main" id="{F631853B-DBE4-4784-B3F2-552E61375B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" name="Elipse 83">
          <a:extLst>
            <a:ext uri="{FF2B5EF4-FFF2-40B4-BE49-F238E27FC236}">
              <a16:creationId xmlns:a16="http://schemas.microsoft.com/office/drawing/2014/main" id="{7B277DC4-1CE6-4149-B845-6F027C66AD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" name="Elipse 84">
          <a:extLst>
            <a:ext uri="{FF2B5EF4-FFF2-40B4-BE49-F238E27FC236}">
              <a16:creationId xmlns:a16="http://schemas.microsoft.com/office/drawing/2014/main" id="{3C3C094E-D51B-4AEE-BDD5-DEE1C35042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" name="Elipse 85">
          <a:extLst>
            <a:ext uri="{FF2B5EF4-FFF2-40B4-BE49-F238E27FC236}">
              <a16:creationId xmlns:a16="http://schemas.microsoft.com/office/drawing/2014/main" id="{960305D3-9571-4C10-BA1B-F497514367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" name="Elipse 86">
          <a:extLst>
            <a:ext uri="{FF2B5EF4-FFF2-40B4-BE49-F238E27FC236}">
              <a16:creationId xmlns:a16="http://schemas.microsoft.com/office/drawing/2014/main" id="{D1CAD3A2-FD66-4EE8-A533-3399D61746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" name="Elipse 87">
          <a:extLst>
            <a:ext uri="{FF2B5EF4-FFF2-40B4-BE49-F238E27FC236}">
              <a16:creationId xmlns:a16="http://schemas.microsoft.com/office/drawing/2014/main" id="{D3B3D47F-7C02-4D96-85E9-20083B27AF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" name="Elipse 88">
          <a:extLst>
            <a:ext uri="{FF2B5EF4-FFF2-40B4-BE49-F238E27FC236}">
              <a16:creationId xmlns:a16="http://schemas.microsoft.com/office/drawing/2014/main" id="{288404BB-9DCA-4DAD-A979-9864F0876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" name="Elipse 89">
          <a:extLst>
            <a:ext uri="{FF2B5EF4-FFF2-40B4-BE49-F238E27FC236}">
              <a16:creationId xmlns:a16="http://schemas.microsoft.com/office/drawing/2014/main" id="{1F33FB29-6D24-48C5-B8C2-DB13BB1E53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" name="Elipse 90">
          <a:extLst>
            <a:ext uri="{FF2B5EF4-FFF2-40B4-BE49-F238E27FC236}">
              <a16:creationId xmlns:a16="http://schemas.microsoft.com/office/drawing/2014/main" id="{D9002DBD-B076-438E-92D1-F7A65EB29E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" name="Elipse 91">
          <a:extLst>
            <a:ext uri="{FF2B5EF4-FFF2-40B4-BE49-F238E27FC236}">
              <a16:creationId xmlns:a16="http://schemas.microsoft.com/office/drawing/2014/main" id="{9792504A-FC57-4613-8FB3-6F89614D58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" name="Elipse 92">
          <a:extLst>
            <a:ext uri="{FF2B5EF4-FFF2-40B4-BE49-F238E27FC236}">
              <a16:creationId xmlns:a16="http://schemas.microsoft.com/office/drawing/2014/main" id="{688A087F-93F1-4620-BA82-DE483D2C9C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" name="Elipse 93">
          <a:extLst>
            <a:ext uri="{FF2B5EF4-FFF2-40B4-BE49-F238E27FC236}">
              <a16:creationId xmlns:a16="http://schemas.microsoft.com/office/drawing/2014/main" id="{E3BD6055-102B-4EAE-858D-8E8B4FC52A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" name="Elipse 94">
          <a:extLst>
            <a:ext uri="{FF2B5EF4-FFF2-40B4-BE49-F238E27FC236}">
              <a16:creationId xmlns:a16="http://schemas.microsoft.com/office/drawing/2014/main" id="{67CC22DC-5783-4751-A317-52D18095FD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" name="Elipse 95">
          <a:extLst>
            <a:ext uri="{FF2B5EF4-FFF2-40B4-BE49-F238E27FC236}">
              <a16:creationId xmlns:a16="http://schemas.microsoft.com/office/drawing/2014/main" id="{E527E01D-0E5A-416F-B40D-FAD0F0F989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" name="Elipse 96">
          <a:extLst>
            <a:ext uri="{FF2B5EF4-FFF2-40B4-BE49-F238E27FC236}">
              <a16:creationId xmlns:a16="http://schemas.microsoft.com/office/drawing/2014/main" id="{DCAED4F4-4CC2-4A53-AD17-F55B36C2EC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" name="Elipse 97">
          <a:extLst>
            <a:ext uri="{FF2B5EF4-FFF2-40B4-BE49-F238E27FC236}">
              <a16:creationId xmlns:a16="http://schemas.microsoft.com/office/drawing/2014/main" id="{9E0743D8-C2FF-4E2F-84C0-8990659167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" name="Elipse 98">
          <a:extLst>
            <a:ext uri="{FF2B5EF4-FFF2-40B4-BE49-F238E27FC236}">
              <a16:creationId xmlns:a16="http://schemas.microsoft.com/office/drawing/2014/main" id="{AD3EB2D1-4640-482C-A6FC-0A971E70B4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F83EEEB5-6258-440C-8E91-7077EE07F9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DDFB0207-F559-4143-AAAE-761F7C65D4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2E7BB998-E36A-47D4-B14B-DF41967BB1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0D139E9B-2038-43D8-A682-33DF196431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" name="Elipse 103">
          <a:extLst>
            <a:ext uri="{FF2B5EF4-FFF2-40B4-BE49-F238E27FC236}">
              <a16:creationId xmlns:a16="http://schemas.microsoft.com/office/drawing/2014/main" id="{38C6CE1D-3999-4129-A980-403ABF516E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" name="Elipse 104">
          <a:extLst>
            <a:ext uri="{FF2B5EF4-FFF2-40B4-BE49-F238E27FC236}">
              <a16:creationId xmlns:a16="http://schemas.microsoft.com/office/drawing/2014/main" id="{B3ED4F18-32F2-4E75-B34B-0D84F04FEA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" name="Elipse 105">
          <a:extLst>
            <a:ext uri="{FF2B5EF4-FFF2-40B4-BE49-F238E27FC236}">
              <a16:creationId xmlns:a16="http://schemas.microsoft.com/office/drawing/2014/main" id="{B0D8F18C-D753-4192-A67F-8976B992F9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" name="Elipse 106">
          <a:extLst>
            <a:ext uri="{FF2B5EF4-FFF2-40B4-BE49-F238E27FC236}">
              <a16:creationId xmlns:a16="http://schemas.microsoft.com/office/drawing/2014/main" id="{ECE7A5EE-471E-4E14-ABCB-2CB996E47D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117677BC-C434-4012-80CE-BEDC0EC10D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" name="Elipse 108">
          <a:extLst>
            <a:ext uri="{FF2B5EF4-FFF2-40B4-BE49-F238E27FC236}">
              <a16:creationId xmlns:a16="http://schemas.microsoft.com/office/drawing/2014/main" id="{2DD98B37-DA5E-49D7-AC19-44226C60CE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" name="Elipse 109">
          <a:extLst>
            <a:ext uri="{FF2B5EF4-FFF2-40B4-BE49-F238E27FC236}">
              <a16:creationId xmlns:a16="http://schemas.microsoft.com/office/drawing/2014/main" id="{84188054-38BC-46C0-B7C3-E379A72716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C149EB94-2E49-49C8-A88B-1F2D1F295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" name="Elipse 111">
          <a:extLst>
            <a:ext uri="{FF2B5EF4-FFF2-40B4-BE49-F238E27FC236}">
              <a16:creationId xmlns:a16="http://schemas.microsoft.com/office/drawing/2014/main" id="{C987D9B2-E435-453E-B32C-19CAD75273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" name="Elipse 112">
          <a:extLst>
            <a:ext uri="{FF2B5EF4-FFF2-40B4-BE49-F238E27FC236}">
              <a16:creationId xmlns:a16="http://schemas.microsoft.com/office/drawing/2014/main" id="{F00AE55B-D515-4501-9CAD-5DFCBF9848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1FE31398-E8C9-4EDD-A062-882331C64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" name="Elipse 114">
          <a:extLst>
            <a:ext uri="{FF2B5EF4-FFF2-40B4-BE49-F238E27FC236}">
              <a16:creationId xmlns:a16="http://schemas.microsoft.com/office/drawing/2014/main" id="{C83D8FAE-ECEA-4009-9A2E-69787506E0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4FA0FFEB-90A5-458A-BF72-85719BF792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" name="Elipse 116">
          <a:extLst>
            <a:ext uri="{FF2B5EF4-FFF2-40B4-BE49-F238E27FC236}">
              <a16:creationId xmlns:a16="http://schemas.microsoft.com/office/drawing/2014/main" id="{44E98AA8-5F21-4F94-B9ED-BBD4D72AA2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" name="Elipse 117">
          <a:extLst>
            <a:ext uri="{FF2B5EF4-FFF2-40B4-BE49-F238E27FC236}">
              <a16:creationId xmlns:a16="http://schemas.microsoft.com/office/drawing/2014/main" id="{C173F207-29F6-45D4-B559-9E380E3A32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" name="Elipse 118">
          <a:extLst>
            <a:ext uri="{FF2B5EF4-FFF2-40B4-BE49-F238E27FC236}">
              <a16:creationId xmlns:a16="http://schemas.microsoft.com/office/drawing/2014/main" id="{09224F9E-CBA2-46CD-87E3-D2B2F17EB4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" name="Elipse 119">
          <a:extLst>
            <a:ext uri="{FF2B5EF4-FFF2-40B4-BE49-F238E27FC236}">
              <a16:creationId xmlns:a16="http://schemas.microsoft.com/office/drawing/2014/main" id="{7C6824EB-3C2F-4495-9F90-470140300F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" name="Elipse 120">
          <a:extLst>
            <a:ext uri="{FF2B5EF4-FFF2-40B4-BE49-F238E27FC236}">
              <a16:creationId xmlns:a16="http://schemas.microsoft.com/office/drawing/2014/main" id="{711BF185-2694-41DF-B865-F84492ED88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" name="Elipse 121">
          <a:extLst>
            <a:ext uri="{FF2B5EF4-FFF2-40B4-BE49-F238E27FC236}">
              <a16:creationId xmlns:a16="http://schemas.microsoft.com/office/drawing/2014/main" id="{976C24CF-2E50-49E8-83B9-AB534CA309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" name="Elipse 122">
          <a:extLst>
            <a:ext uri="{FF2B5EF4-FFF2-40B4-BE49-F238E27FC236}">
              <a16:creationId xmlns:a16="http://schemas.microsoft.com/office/drawing/2014/main" id="{C28ACB08-7853-484F-B33A-204B8B1BC8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" name="Elipse 123">
          <a:extLst>
            <a:ext uri="{FF2B5EF4-FFF2-40B4-BE49-F238E27FC236}">
              <a16:creationId xmlns:a16="http://schemas.microsoft.com/office/drawing/2014/main" id="{AAC180C0-6A4B-42B8-8312-BB9BF702A7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" name="Elipse 124">
          <a:extLst>
            <a:ext uri="{FF2B5EF4-FFF2-40B4-BE49-F238E27FC236}">
              <a16:creationId xmlns:a16="http://schemas.microsoft.com/office/drawing/2014/main" id="{5D60E6A4-4C08-4486-A3A0-27FFBE3B07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" name="Elipse 125">
          <a:extLst>
            <a:ext uri="{FF2B5EF4-FFF2-40B4-BE49-F238E27FC236}">
              <a16:creationId xmlns:a16="http://schemas.microsoft.com/office/drawing/2014/main" id="{2CB0A66B-86D4-4816-8A00-C35C601DBD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" name="Elipse 126">
          <a:extLst>
            <a:ext uri="{FF2B5EF4-FFF2-40B4-BE49-F238E27FC236}">
              <a16:creationId xmlns:a16="http://schemas.microsoft.com/office/drawing/2014/main" id="{CA4B9D7C-3258-4112-B228-A1FE68237F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" name="Elipse 127">
          <a:extLst>
            <a:ext uri="{FF2B5EF4-FFF2-40B4-BE49-F238E27FC236}">
              <a16:creationId xmlns:a16="http://schemas.microsoft.com/office/drawing/2014/main" id="{A06C0C13-6D8D-4395-9040-20A56CEFF9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" name="Elipse 128">
          <a:extLst>
            <a:ext uri="{FF2B5EF4-FFF2-40B4-BE49-F238E27FC236}">
              <a16:creationId xmlns:a16="http://schemas.microsoft.com/office/drawing/2014/main" id="{8E3AB9CE-D6AE-42BE-85B6-D0AD123A8A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" name="Elipse 129">
          <a:extLst>
            <a:ext uri="{FF2B5EF4-FFF2-40B4-BE49-F238E27FC236}">
              <a16:creationId xmlns:a16="http://schemas.microsoft.com/office/drawing/2014/main" id="{2AAFA24D-FD98-4D54-A81B-21261562D5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" name="Elipse 130">
          <a:extLst>
            <a:ext uri="{FF2B5EF4-FFF2-40B4-BE49-F238E27FC236}">
              <a16:creationId xmlns:a16="http://schemas.microsoft.com/office/drawing/2014/main" id="{51A2E1A3-1FB7-4721-AB18-1ACCF81AB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" name="Elipse 131">
          <a:extLst>
            <a:ext uri="{FF2B5EF4-FFF2-40B4-BE49-F238E27FC236}">
              <a16:creationId xmlns:a16="http://schemas.microsoft.com/office/drawing/2014/main" id="{B02AEFE6-03E6-4E4C-A529-8D524BDD05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" name="Elipse 132">
          <a:extLst>
            <a:ext uri="{FF2B5EF4-FFF2-40B4-BE49-F238E27FC236}">
              <a16:creationId xmlns:a16="http://schemas.microsoft.com/office/drawing/2014/main" id="{F98BD1E5-DB38-4CAB-80A0-3823E2274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" name="Elipse 133">
          <a:extLst>
            <a:ext uri="{FF2B5EF4-FFF2-40B4-BE49-F238E27FC236}">
              <a16:creationId xmlns:a16="http://schemas.microsoft.com/office/drawing/2014/main" id="{B159DAE1-8B71-4455-933F-A6C3396310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" name="Elipse 134">
          <a:extLst>
            <a:ext uri="{FF2B5EF4-FFF2-40B4-BE49-F238E27FC236}">
              <a16:creationId xmlns:a16="http://schemas.microsoft.com/office/drawing/2014/main" id="{8C846CC6-CCBF-4F40-8A09-67F6F6F93A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" name="Elipse 135">
          <a:extLst>
            <a:ext uri="{FF2B5EF4-FFF2-40B4-BE49-F238E27FC236}">
              <a16:creationId xmlns:a16="http://schemas.microsoft.com/office/drawing/2014/main" id="{83ABDBD6-5415-4CC7-822D-AB40B6DB1F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" name="Elipse 136">
          <a:extLst>
            <a:ext uri="{FF2B5EF4-FFF2-40B4-BE49-F238E27FC236}">
              <a16:creationId xmlns:a16="http://schemas.microsoft.com/office/drawing/2014/main" id="{F5211FD2-1B1B-4082-BF70-BFC8352F29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" name="Elipse 137">
          <a:extLst>
            <a:ext uri="{FF2B5EF4-FFF2-40B4-BE49-F238E27FC236}">
              <a16:creationId xmlns:a16="http://schemas.microsoft.com/office/drawing/2014/main" id="{8F65DA61-CEDD-4B66-A721-76392701B0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" name="Elipse 138">
          <a:extLst>
            <a:ext uri="{FF2B5EF4-FFF2-40B4-BE49-F238E27FC236}">
              <a16:creationId xmlns:a16="http://schemas.microsoft.com/office/drawing/2014/main" id="{1CCA9502-FAEF-4272-8717-AE0850FE3C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" name="Elipse 139">
          <a:extLst>
            <a:ext uri="{FF2B5EF4-FFF2-40B4-BE49-F238E27FC236}">
              <a16:creationId xmlns:a16="http://schemas.microsoft.com/office/drawing/2014/main" id="{0D73B637-207F-4BD0-A4C0-5F5A7AECED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" name="Elipse 140">
          <a:extLst>
            <a:ext uri="{FF2B5EF4-FFF2-40B4-BE49-F238E27FC236}">
              <a16:creationId xmlns:a16="http://schemas.microsoft.com/office/drawing/2014/main" id="{BAA2BFB0-373B-427F-AADA-C1593CF2C7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" name="Elipse 141">
          <a:extLst>
            <a:ext uri="{FF2B5EF4-FFF2-40B4-BE49-F238E27FC236}">
              <a16:creationId xmlns:a16="http://schemas.microsoft.com/office/drawing/2014/main" id="{B3537879-E33D-49C6-AEF1-6354F8C662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" name="Elipse 142">
          <a:extLst>
            <a:ext uri="{FF2B5EF4-FFF2-40B4-BE49-F238E27FC236}">
              <a16:creationId xmlns:a16="http://schemas.microsoft.com/office/drawing/2014/main" id="{583DFF2B-ECF4-4364-86EA-105BB3557B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" name="Elipse 143">
          <a:extLst>
            <a:ext uri="{FF2B5EF4-FFF2-40B4-BE49-F238E27FC236}">
              <a16:creationId xmlns:a16="http://schemas.microsoft.com/office/drawing/2014/main" id="{925F06B3-47DF-4671-9E26-57662DB775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" name="Elipse 144">
          <a:extLst>
            <a:ext uri="{FF2B5EF4-FFF2-40B4-BE49-F238E27FC236}">
              <a16:creationId xmlns:a16="http://schemas.microsoft.com/office/drawing/2014/main" id="{40D9B3AC-545A-48F8-82AA-516A03770C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" name="Elipse 145">
          <a:extLst>
            <a:ext uri="{FF2B5EF4-FFF2-40B4-BE49-F238E27FC236}">
              <a16:creationId xmlns:a16="http://schemas.microsoft.com/office/drawing/2014/main" id="{4DEFA89A-715E-40DC-9618-5CB98A8EC5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" name="Elipse 146">
          <a:extLst>
            <a:ext uri="{FF2B5EF4-FFF2-40B4-BE49-F238E27FC236}">
              <a16:creationId xmlns:a16="http://schemas.microsoft.com/office/drawing/2014/main" id="{DA1F9741-8825-44C5-BABC-3BBE0AC189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" name="Elipse 147">
          <a:extLst>
            <a:ext uri="{FF2B5EF4-FFF2-40B4-BE49-F238E27FC236}">
              <a16:creationId xmlns:a16="http://schemas.microsoft.com/office/drawing/2014/main" id="{5965251E-5C31-4CD2-8664-B30C49B137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" name="Elipse 148">
          <a:extLst>
            <a:ext uri="{FF2B5EF4-FFF2-40B4-BE49-F238E27FC236}">
              <a16:creationId xmlns:a16="http://schemas.microsoft.com/office/drawing/2014/main" id="{7A48ECAB-4C38-4AA9-8A5C-2192600D06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" name="Elipse 149">
          <a:extLst>
            <a:ext uri="{FF2B5EF4-FFF2-40B4-BE49-F238E27FC236}">
              <a16:creationId xmlns:a16="http://schemas.microsoft.com/office/drawing/2014/main" id="{5255DEC5-BB44-45E4-924F-7F66298F19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" name="Elipse 150">
          <a:extLst>
            <a:ext uri="{FF2B5EF4-FFF2-40B4-BE49-F238E27FC236}">
              <a16:creationId xmlns:a16="http://schemas.microsoft.com/office/drawing/2014/main" id="{7EEBE173-CE76-4174-9708-B41002DF6A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EFBC51DA-A234-4314-86F3-7FB2447114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" name="Elipse 152">
          <a:extLst>
            <a:ext uri="{FF2B5EF4-FFF2-40B4-BE49-F238E27FC236}">
              <a16:creationId xmlns:a16="http://schemas.microsoft.com/office/drawing/2014/main" id="{3070143A-62EE-48AF-80FC-4909F3F134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2612B499-FDB4-4442-891F-D4E7D0CD8F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" name="Elipse 154">
          <a:extLst>
            <a:ext uri="{FF2B5EF4-FFF2-40B4-BE49-F238E27FC236}">
              <a16:creationId xmlns:a16="http://schemas.microsoft.com/office/drawing/2014/main" id="{FE615740-1268-445B-9714-C708B7E136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" name="Elipse 155">
          <a:extLst>
            <a:ext uri="{FF2B5EF4-FFF2-40B4-BE49-F238E27FC236}">
              <a16:creationId xmlns:a16="http://schemas.microsoft.com/office/drawing/2014/main" id="{A0E43F4F-3368-46A5-95EC-3C3A7EEA7C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" name="Elipse 156">
          <a:extLst>
            <a:ext uri="{FF2B5EF4-FFF2-40B4-BE49-F238E27FC236}">
              <a16:creationId xmlns:a16="http://schemas.microsoft.com/office/drawing/2014/main" id="{C9BBF2F1-1F94-4A16-B603-D5637FC419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" name="Elipse 157">
          <a:extLst>
            <a:ext uri="{FF2B5EF4-FFF2-40B4-BE49-F238E27FC236}">
              <a16:creationId xmlns:a16="http://schemas.microsoft.com/office/drawing/2014/main" id="{483F0D00-DD69-4670-B608-E6F97218FF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" name="Elipse 158">
          <a:extLst>
            <a:ext uri="{FF2B5EF4-FFF2-40B4-BE49-F238E27FC236}">
              <a16:creationId xmlns:a16="http://schemas.microsoft.com/office/drawing/2014/main" id="{3DFEE214-090A-44FE-839D-9744A905D1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" name="Elipse 159">
          <a:extLst>
            <a:ext uri="{FF2B5EF4-FFF2-40B4-BE49-F238E27FC236}">
              <a16:creationId xmlns:a16="http://schemas.microsoft.com/office/drawing/2014/main" id="{9EE34723-62D2-4AD7-A793-09A34502DD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" name="Elipse 160">
          <a:extLst>
            <a:ext uri="{FF2B5EF4-FFF2-40B4-BE49-F238E27FC236}">
              <a16:creationId xmlns:a16="http://schemas.microsoft.com/office/drawing/2014/main" id="{25F06900-FC84-4E26-99D2-5A3F9752B4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" name="Elipse 161">
          <a:extLst>
            <a:ext uri="{FF2B5EF4-FFF2-40B4-BE49-F238E27FC236}">
              <a16:creationId xmlns:a16="http://schemas.microsoft.com/office/drawing/2014/main" id="{1E84369E-CBD7-4722-BE4D-B93AC2B3F3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" name="Elipse 162">
          <a:extLst>
            <a:ext uri="{FF2B5EF4-FFF2-40B4-BE49-F238E27FC236}">
              <a16:creationId xmlns:a16="http://schemas.microsoft.com/office/drawing/2014/main" id="{CC85B733-8EAB-429E-9B26-C6C99FEB40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" name="Elipse 163">
          <a:extLst>
            <a:ext uri="{FF2B5EF4-FFF2-40B4-BE49-F238E27FC236}">
              <a16:creationId xmlns:a16="http://schemas.microsoft.com/office/drawing/2014/main" id="{091F013E-2438-495E-BC06-6E0A4823B5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" name="Elipse 164">
          <a:extLst>
            <a:ext uri="{FF2B5EF4-FFF2-40B4-BE49-F238E27FC236}">
              <a16:creationId xmlns:a16="http://schemas.microsoft.com/office/drawing/2014/main" id="{F72EC03A-32CF-4D5E-8222-4F5BF08F3A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" name="Elipse 165">
          <a:extLst>
            <a:ext uri="{FF2B5EF4-FFF2-40B4-BE49-F238E27FC236}">
              <a16:creationId xmlns:a16="http://schemas.microsoft.com/office/drawing/2014/main" id="{B9B9BA52-20B7-4201-AEFD-78FA8B9FE2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" name="Elipse 166">
          <a:extLst>
            <a:ext uri="{FF2B5EF4-FFF2-40B4-BE49-F238E27FC236}">
              <a16:creationId xmlns:a16="http://schemas.microsoft.com/office/drawing/2014/main" id="{656208CC-C9EA-4E86-AE18-835598A06A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" name="Elipse 167">
          <a:extLst>
            <a:ext uri="{FF2B5EF4-FFF2-40B4-BE49-F238E27FC236}">
              <a16:creationId xmlns:a16="http://schemas.microsoft.com/office/drawing/2014/main" id="{7925A0EF-AEAD-464B-BC7B-7C2B7343E6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" name="Elipse 168">
          <a:extLst>
            <a:ext uri="{FF2B5EF4-FFF2-40B4-BE49-F238E27FC236}">
              <a16:creationId xmlns:a16="http://schemas.microsoft.com/office/drawing/2014/main" id="{F9394D0F-5B47-4AE5-AAF5-22CDDE725B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" name="Elipse 169">
          <a:extLst>
            <a:ext uri="{FF2B5EF4-FFF2-40B4-BE49-F238E27FC236}">
              <a16:creationId xmlns:a16="http://schemas.microsoft.com/office/drawing/2014/main" id="{35FF0281-FBA9-4653-B194-1293592006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" name="Elipse 170">
          <a:extLst>
            <a:ext uri="{FF2B5EF4-FFF2-40B4-BE49-F238E27FC236}">
              <a16:creationId xmlns:a16="http://schemas.microsoft.com/office/drawing/2014/main" id="{E200D13D-5BDB-43F6-A187-E3970CAE0E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" name="Elipse 171">
          <a:extLst>
            <a:ext uri="{FF2B5EF4-FFF2-40B4-BE49-F238E27FC236}">
              <a16:creationId xmlns:a16="http://schemas.microsoft.com/office/drawing/2014/main" id="{C40A8E1A-2A78-4513-BB1C-75E0014C50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" name="Elipse 172">
          <a:extLst>
            <a:ext uri="{FF2B5EF4-FFF2-40B4-BE49-F238E27FC236}">
              <a16:creationId xmlns:a16="http://schemas.microsoft.com/office/drawing/2014/main" id="{B69E66B9-DC49-41FF-93DC-82062A67BF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" name="Elipse 173">
          <a:extLst>
            <a:ext uri="{FF2B5EF4-FFF2-40B4-BE49-F238E27FC236}">
              <a16:creationId xmlns:a16="http://schemas.microsoft.com/office/drawing/2014/main" id="{81DF6256-0776-4BAD-A1EF-453FB13A44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" name="Elipse 174">
          <a:extLst>
            <a:ext uri="{FF2B5EF4-FFF2-40B4-BE49-F238E27FC236}">
              <a16:creationId xmlns:a16="http://schemas.microsoft.com/office/drawing/2014/main" id="{9AD62247-668B-4D0E-B58B-86F381EC8D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" name="Elipse 175">
          <a:extLst>
            <a:ext uri="{FF2B5EF4-FFF2-40B4-BE49-F238E27FC236}">
              <a16:creationId xmlns:a16="http://schemas.microsoft.com/office/drawing/2014/main" id="{A6C4583E-64EF-4B47-A70A-87AD84B0C6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" name="Elipse 176">
          <a:extLst>
            <a:ext uri="{FF2B5EF4-FFF2-40B4-BE49-F238E27FC236}">
              <a16:creationId xmlns:a16="http://schemas.microsoft.com/office/drawing/2014/main" id="{3A932112-7FCF-4A36-B61D-1873754FDF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" name="Elipse 177">
          <a:extLst>
            <a:ext uri="{FF2B5EF4-FFF2-40B4-BE49-F238E27FC236}">
              <a16:creationId xmlns:a16="http://schemas.microsoft.com/office/drawing/2014/main" id="{89603E75-6B6F-425D-BF07-78CABB2075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" name="Elipse 178">
          <a:extLst>
            <a:ext uri="{FF2B5EF4-FFF2-40B4-BE49-F238E27FC236}">
              <a16:creationId xmlns:a16="http://schemas.microsoft.com/office/drawing/2014/main" id="{6196655D-E3D3-455F-8B72-06587E4DBB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" name="Elipse 179">
          <a:extLst>
            <a:ext uri="{FF2B5EF4-FFF2-40B4-BE49-F238E27FC236}">
              <a16:creationId xmlns:a16="http://schemas.microsoft.com/office/drawing/2014/main" id="{1993276B-E531-4A3A-8CF8-4E16F8B48F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" name="Elipse 180">
          <a:extLst>
            <a:ext uri="{FF2B5EF4-FFF2-40B4-BE49-F238E27FC236}">
              <a16:creationId xmlns:a16="http://schemas.microsoft.com/office/drawing/2014/main" id="{CDB4CB00-04AC-4DD5-980D-1DF0EA9253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" name="Elipse 181">
          <a:extLst>
            <a:ext uri="{FF2B5EF4-FFF2-40B4-BE49-F238E27FC236}">
              <a16:creationId xmlns:a16="http://schemas.microsoft.com/office/drawing/2014/main" id="{9D636724-4FF3-4CC4-844A-3ABEA26AFE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" name="Elipse 182">
          <a:extLst>
            <a:ext uri="{FF2B5EF4-FFF2-40B4-BE49-F238E27FC236}">
              <a16:creationId xmlns:a16="http://schemas.microsoft.com/office/drawing/2014/main" id="{C3D52670-4EBC-4D73-B4E3-AD0FB4A3B0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" name="Elipse 183">
          <a:extLst>
            <a:ext uri="{FF2B5EF4-FFF2-40B4-BE49-F238E27FC236}">
              <a16:creationId xmlns:a16="http://schemas.microsoft.com/office/drawing/2014/main" id="{7AB3C98A-02D4-4185-A83D-C45E42B957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" name="Elipse 184">
          <a:extLst>
            <a:ext uri="{FF2B5EF4-FFF2-40B4-BE49-F238E27FC236}">
              <a16:creationId xmlns:a16="http://schemas.microsoft.com/office/drawing/2014/main" id="{AED10A34-8FF1-42E1-AD7F-4F86414473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" name="Elipse 185">
          <a:extLst>
            <a:ext uri="{FF2B5EF4-FFF2-40B4-BE49-F238E27FC236}">
              <a16:creationId xmlns:a16="http://schemas.microsoft.com/office/drawing/2014/main" id="{FD35230B-BF07-428A-AB35-0D4F08BABC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" name="Elipse 186">
          <a:extLst>
            <a:ext uri="{FF2B5EF4-FFF2-40B4-BE49-F238E27FC236}">
              <a16:creationId xmlns:a16="http://schemas.microsoft.com/office/drawing/2014/main" id="{3D1C3468-9F0A-4728-A371-8EBDD4A951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" name="Elipse 187">
          <a:extLst>
            <a:ext uri="{FF2B5EF4-FFF2-40B4-BE49-F238E27FC236}">
              <a16:creationId xmlns:a16="http://schemas.microsoft.com/office/drawing/2014/main" id="{F4AFC5D2-F439-4E03-8B65-378257D0D3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" name="Elipse 188">
          <a:extLst>
            <a:ext uri="{FF2B5EF4-FFF2-40B4-BE49-F238E27FC236}">
              <a16:creationId xmlns:a16="http://schemas.microsoft.com/office/drawing/2014/main" id="{E51393C8-AFA3-45F0-8126-8A8313D4E5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" name="Elipse 189">
          <a:extLst>
            <a:ext uri="{FF2B5EF4-FFF2-40B4-BE49-F238E27FC236}">
              <a16:creationId xmlns:a16="http://schemas.microsoft.com/office/drawing/2014/main" id="{EB0A2CF1-2933-4DDA-8963-5A1032BDE4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" name="Elipse 190">
          <a:extLst>
            <a:ext uri="{FF2B5EF4-FFF2-40B4-BE49-F238E27FC236}">
              <a16:creationId xmlns:a16="http://schemas.microsoft.com/office/drawing/2014/main" id="{2B571464-D906-4268-B987-FD36A46784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" name="Elipse 191">
          <a:extLst>
            <a:ext uri="{FF2B5EF4-FFF2-40B4-BE49-F238E27FC236}">
              <a16:creationId xmlns:a16="http://schemas.microsoft.com/office/drawing/2014/main" id="{738FA0E4-4DA8-4BAC-8357-6DD6FC8814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" name="Elipse 192">
          <a:extLst>
            <a:ext uri="{FF2B5EF4-FFF2-40B4-BE49-F238E27FC236}">
              <a16:creationId xmlns:a16="http://schemas.microsoft.com/office/drawing/2014/main" id="{A512F3D5-6FD1-4757-905D-E38E6EA301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" name="Elipse 193">
          <a:extLst>
            <a:ext uri="{FF2B5EF4-FFF2-40B4-BE49-F238E27FC236}">
              <a16:creationId xmlns:a16="http://schemas.microsoft.com/office/drawing/2014/main" id="{DDC5D34D-00CD-4468-B027-F67B23F6CD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" name="Elipse 194">
          <a:extLst>
            <a:ext uri="{FF2B5EF4-FFF2-40B4-BE49-F238E27FC236}">
              <a16:creationId xmlns:a16="http://schemas.microsoft.com/office/drawing/2014/main" id="{AE98FF6F-0509-4914-905B-D70E63CA3D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" name="Elipse 195">
          <a:extLst>
            <a:ext uri="{FF2B5EF4-FFF2-40B4-BE49-F238E27FC236}">
              <a16:creationId xmlns:a16="http://schemas.microsoft.com/office/drawing/2014/main" id="{AEB40339-1597-4425-A3C6-FBC5147635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" name="Elipse 196">
          <a:extLst>
            <a:ext uri="{FF2B5EF4-FFF2-40B4-BE49-F238E27FC236}">
              <a16:creationId xmlns:a16="http://schemas.microsoft.com/office/drawing/2014/main" id="{6F844C15-B71E-4C05-9787-9DC58C612F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" name="Elipse 197">
          <a:extLst>
            <a:ext uri="{FF2B5EF4-FFF2-40B4-BE49-F238E27FC236}">
              <a16:creationId xmlns:a16="http://schemas.microsoft.com/office/drawing/2014/main" id="{E8B80A59-A3FA-4C57-9E59-BC81FD6E1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" name="Elipse 198">
          <a:extLst>
            <a:ext uri="{FF2B5EF4-FFF2-40B4-BE49-F238E27FC236}">
              <a16:creationId xmlns:a16="http://schemas.microsoft.com/office/drawing/2014/main" id="{52C6B371-DA9C-492D-A5CD-50B23C4B20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" name="Elipse 199">
          <a:extLst>
            <a:ext uri="{FF2B5EF4-FFF2-40B4-BE49-F238E27FC236}">
              <a16:creationId xmlns:a16="http://schemas.microsoft.com/office/drawing/2014/main" id="{8E68361B-F2D3-47A7-B8CA-83A34B8027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" name="Elipse 200">
          <a:extLst>
            <a:ext uri="{FF2B5EF4-FFF2-40B4-BE49-F238E27FC236}">
              <a16:creationId xmlns:a16="http://schemas.microsoft.com/office/drawing/2014/main" id="{84B438D2-C6F1-4685-8155-11E338CFE5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" name="Elipse 201">
          <a:extLst>
            <a:ext uri="{FF2B5EF4-FFF2-40B4-BE49-F238E27FC236}">
              <a16:creationId xmlns:a16="http://schemas.microsoft.com/office/drawing/2014/main" id="{E5E1350C-DBE4-4D2E-9AF2-921FDEB275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" name="Elipse 202">
          <a:extLst>
            <a:ext uri="{FF2B5EF4-FFF2-40B4-BE49-F238E27FC236}">
              <a16:creationId xmlns:a16="http://schemas.microsoft.com/office/drawing/2014/main" id="{41DA6953-0CA7-4F55-88CF-210109BE66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" name="Elipse 203">
          <a:extLst>
            <a:ext uri="{FF2B5EF4-FFF2-40B4-BE49-F238E27FC236}">
              <a16:creationId xmlns:a16="http://schemas.microsoft.com/office/drawing/2014/main" id="{E5350446-9A58-4147-880F-BCDFB12D76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" name="Elipse 204">
          <a:extLst>
            <a:ext uri="{FF2B5EF4-FFF2-40B4-BE49-F238E27FC236}">
              <a16:creationId xmlns:a16="http://schemas.microsoft.com/office/drawing/2014/main" id="{F6A4BC08-AF1C-4750-94E0-6428C9B7B1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" name="Elipse 205">
          <a:extLst>
            <a:ext uri="{FF2B5EF4-FFF2-40B4-BE49-F238E27FC236}">
              <a16:creationId xmlns:a16="http://schemas.microsoft.com/office/drawing/2014/main" id="{86FDF52E-958B-4194-8D55-573E84661A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" name="Elipse 206">
          <a:extLst>
            <a:ext uri="{FF2B5EF4-FFF2-40B4-BE49-F238E27FC236}">
              <a16:creationId xmlns:a16="http://schemas.microsoft.com/office/drawing/2014/main" id="{5B724099-6CFF-44CB-8421-7847D7B0C7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" name="Elipse 207">
          <a:extLst>
            <a:ext uri="{FF2B5EF4-FFF2-40B4-BE49-F238E27FC236}">
              <a16:creationId xmlns:a16="http://schemas.microsoft.com/office/drawing/2014/main" id="{AC037B91-B388-4526-9933-4446A212F3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" name="Elipse 208">
          <a:extLst>
            <a:ext uri="{FF2B5EF4-FFF2-40B4-BE49-F238E27FC236}">
              <a16:creationId xmlns:a16="http://schemas.microsoft.com/office/drawing/2014/main" id="{AF07FFB6-0EBA-40E3-BB4F-83D265CF01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" name="Elipse 209">
          <a:extLst>
            <a:ext uri="{FF2B5EF4-FFF2-40B4-BE49-F238E27FC236}">
              <a16:creationId xmlns:a16="http://schemas.microsoft.com/office/drawing/2014/main" id="{A1DE2D35-CD50-427F-9077-CF723F4D5C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" name="Elipse 210">
          <a:extLst>
            <a:ext uri="{FF2B5EF4-FFF2-40B4-BE49-F238E27FC236}">
              <a16:creationId xmlns:a16="http://schemas.microsoft.com/office/drawing/2014/main" id="{05A930AE-90E8-4ABB-9B32-D5AAF7E290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" name="Elipse 211">
          <a:extLst>
            <a:ext uri="{FF2B5EF4-FFF2-40B4-BE49-F238E27FC236}">
              <a16:creationId xmlns:a16="http://schemas.microsoft.com/office/drawing/2014/main" id="{035CB2A6-CF11-4DF2-A8F7-F942BD69C7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" name="Elipse 212">
          <a:extLst>
            <a:ext uri="{FF2B5EF4-FFF2-40B4-BE49-F238E27FC236}">
              <a16:creationId xmlns:a16="http://schemas.microsoft.com/office/drawing/2014/main" id="{12C1FEE3-22F0-442F-BE44-1946DBA838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" name="Elipse 213">
          <a:extLst>
            <a:ext uri="{FF2B5EF4-FFF2-40B4-BE49-F238E27FC236}">
              <a16:creationId xmlns:a16="http://schemas.microsoft.com/office/drawing/2014/main" id="{9B61ACB5-58B0-4474-878E-064A40BE8C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" name="Elipse 214">
          <a:extLst>
            <a:ext uri="{FF2B5EF4-FFF2-40B4-BE49-F238E27FC236}">
              <a16:creationId xmlns:a16="http://schemas.microsoft.com/office/drawing/2014/main" id="{5BB2B44A-93F5-4F15-AF14-F8B075E667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" name="Elipse 215">
          <a:extLst>
            <a:ext uri="{FF2B5EF4-FFF2-40B4-BE49-F238E27FC236}">
              <a16:creationId xmlns:a16="http://schemas.microsoft.com/office/drawing/2014/main" id="{FDA46D54-7905-49DA-A848-3E977A7672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" name="Elipse 216">
          <a:extLst>
            <a:ext uri="{FF2B5EF4-FFF2-40B4-BE49-F238E27FC236}">
              <a16:creationId xmlns:a16="http://schemas.microsoft.com/office/drawing/2014/main" id="{8F67B972-8E07-4B03-8ADD-C3365233F4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" name="Elipse 217">
          <a:extLst>
            <a:ext uri="{FF2B5EF4-FFF2-40B4-BE49-F238E27FC236}">
              <a16:creationId xmlns:a16="http://schemas.microsoft.com/office/drawing/2014/main" id="{D7893367-24D5-4E42-B9FC-B761DD52C5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" name="Elipse 218">
          <a:extLst>
            <a:ext uri="{FF2B5EF4-FFF2-40B4-BE49-F238E27FC236}">
              <a16:creationId xmlns:a16="http://schemas.microsoft.com/office/drawing/2014/main" id="{DB2239D0-2109-4A50-85AD-04F27C7DC4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" name="Elipse 219">
          <a:extLst>
            <a:ext uri="{FF2B5EF4-FFF2-40B4-BE49-F238E27FC236}">
              <a16:creationId xmlns:a16="http://schemas.microsoft.com/office/drawing/2014/main" id="{E872DCC9-D9D4-408B-84C9-98464DF2BD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" name="Elipse 220">
          <a:extLst>
            <a:ext uri="{FF2B5EF4-FFF2-40B4-BE49-F238E27FC236}">
              <a16:creationId xmlns:a16="http://schemas.microsoft.com/office/drawing/2014/main" id="{3A0980E5-8E27-4932-8A21-1E3ED7C79B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" name="Elipse 221">
          <a:extLst>
            <a:ext uri="{FF2B5EF4-FFF2-40B4-BE49-F238E27FC236}">
              <a16:creationId xmlns:a16="http://schemas.microsoft.com/office/drawing/2014/main" id="{41318626-380E-480A-AE7A-009DA591A1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" name="Elipse 222">
          <a:extLst>
            <a:ext uri="{FF2B5EF4-FFF2-40B4-BE49-F238E27FC236}">
              <a16:creationId xmlns:a16="http://schemas.microsoft.com/office/drawing/2014/main" id="{3EF4075D-4916-464F-9D8F-181A8F6C7E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" name="Elipse 223">
          <a:extLst>
            <a:ext uri="{FF2B5EF4-FFF2-40B4-BE49-F238E27FC236}">
              <a16:creationId xmlns:a16="http://schemas.microsoft.com/office/drawing/2014/main" id="{B1D3312C-B47F-4546-8D86-068A3435AA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" name="Elipse 224">
          <a:extLst>
            <a:ext uri="{FF2B5EF4-FFF2-40B4-BE49-F238E27FC236}">
              <a16:creationId xmlns:a16="http://schemas.microsoft.com/office/drawing/2014/main" id="{F82A90AC-5591-4DC2-969C-8C02237CD6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" name="Elipse 225">
          <a:extLst>
            <a:ext uri="{FF2B5EF4-FFF2-40B4-BE49-F238E27FC236}">
              <a16:creationId xmlns:a16="http://schemas.microsoft.com/office/drawing/2014/main" id="{7C26C892-7434-461B-8288-A1BE424315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" name="Elipse 226">
          <a:extLst>
            <a:ext uri="{FF2B5EF4-FFF2-40B4-BE49-F238E27FC236}">
              <a16:creationId xmlns:a16="http://schemas.microsoft.com/office/drawing/2014/main" id="{58E50456-A3B8-476F-BC82-C5DC8F0777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" name="Elipse 227">
          <a:extLst>
            <a:ext uri="{FF2B5EF4-FFF2-40B4-BE49-F238E27FC236}">
              <a16:creationId xmlns:a16="http://schemas.microsoft.com/office/drawing/2014/main" id="{0F918F76-6166-4711-B358-51CF77E41E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" name="Elipse 228">
          <a:extLst>
            <a:ext uri="{FF2B5EF4-FFF2-40B4-BE49-F238E27FC236}">
              <a16:creationId xmlns:a16="http://schemas.microsoft.com/office/drawing/2014/main" id="{7B5495ED-0477-4562-9C3B-862D383C6A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" name="Elipse 229">
          <a:extLst>
            <a:ext uri="{FF2B5EF4-FFF2-40B4-BE49-F238E27FC236}">
              <a16:creationId xmlns:a16="http://schemas.microsoft.com/office/drawing/2014/main" id="{4E4D8E86-2EA3-4E81-BAB0-6892DABE3F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" name="Elipse 230">
          <a:extLst>
            <a:ext uri="{FF2B5EF4-FFF2-40B4-BE49-F238E27FC236}">
              <a16:creationId xmlns:a16="http://schemas.microsoft.com/office/drawing/2014/main" id="{5A6C942D-B707-48CF-B93A-A61BC956FD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" name="Elipse 231">
          <a:extLst>
            <a:ext uri="{FF2B5EF4-FFF2-40B4-BE49-F238E27FC236}">
              <a16:creationId xmlns:a16="http://schemas.microsoft.com/office/drawing/2014/main" id="{4BB6292F-6385-4BEE-BCFB-6CFFBA925C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" name="Elipse 232">
          <a:extLst>
            <a:ext uri="{FF2B5EF4-FFF2-40B4-BE49-F238E27FC236}">
              <a16:creationId xmlns:a16="http://schemas.microsoft.com/office/drawing/2014/main" id="{15B90469-8D3A-4CCD-84C4-BF03EDB605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" name="Elipse 233">
          <a:extLst>
            <a:ext uri="{FF2B5EF4-FFF2-40B4-BE49-F238E27FC236}">
              <a16:creationId xmlns:a16="http://schemas.microsoft.com/office/drawing/2014/main" id="{6B0DF4E9-0572-4C9A-A31B-FA47970389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" name="Elipse 234">
          <a:extLst>
            <a:ext uri="{FF2B5EF4-FFF2-40B4-BE49-F238E27FC236}">
              <a16:creationId xmlns:a16="http://schemas.microsoft.com/office/drawing/2014/main" id="{05698A21-91FD-44FA-987B-FBC5D257D5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" name="Elipse 235">
          <a:extLst>
            <a:ext uri="{FF2B5EF4-FFF2-40B4-BE49-F238E27FC236}">
              <a16:creationId xmlns:a16="http://schemas.microsoft.com/office/drawing/2014/main" id="{3DFAECBE-5BD7-41DC-B734-2E9D114A17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" name="Elipse 236">
          <a:extLst>
            <a:ext uri="{FF2B5EF4-FFF2-40B4-BE49-F238E27FC236}">
              <a16:creationId xmlns:a16="http://schemas.microsoft.com/office/drawing/2014/main" id="{AFC3CFEA-9C48-41E1-8D7E-F3AFCD0C44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" name="Elipse 237">
          <a:extLst>
            <a:ext uri="{FF2B5EF4-FFF2-40B4-BE49-F238E27FC236}">
              <a16:creationId xmlns:a16="http://schemas.microsoft.com/office/drawing/2014/main" id="{3BD43B90-5B53-4F19-A27A-0725710183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" name="Elipse 238">
          <a:extLst>
            <a:ext uri="{FF2B5EF4-FFF2-40B4-BE49-F238E27FC236}">
              <a16:creationId xmlns:a16="http://schemas.microsoft.com/office/drawing/2014/main" id="{F04DDFEE-9B53-4F9D-BB8E-ED58E1ED5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" name="Elipse 239">
          <a:extLst>
            <a:ext uri="{FF2B5EF4-FFF2-40B4-BE49-F238E27FC236}">
              <a16:creationId xmlns:a16="http://schemas.microsoft.com/office/drawing/2014/main" id="{6F3663D0-000E-4538-AEF5-AD0B519AD7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" name="Elipse 240">
          <a:extLst>
            <a:ext uri="{FF2B5EF4-FFF2-40B4-BE49-F238E27FC236}">
              <a16:creationId xmlns:a16="http://schemas.microsoft.com/office/drawing/2014/main" id="{86B5781F-391B-4DD4-A865-ED88048BE4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" name="Elipse 241">
          <a:extLst>
            <a:ext uri="{FF2B5EF4-FFF2-40B4-BE49-F238E27FC236}">
              <a16:creationId xmlns:a16="http://schemas.microsoft.com/office/drawing/2014/main" id="{51F5FDD3-FDBA-42F2-89D0-E11DA9927A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" name="Elipse 242">
          <a:extLst>
            <a:ext uri="{FF2B5EF4-FFF2-40B4-BE49-F238E27FC236}">
              <a16:creationId xmlns:a16="http://schemas.microsoft.com/office/drawing/2014/main" id="{DCC7D27C-5DC3-441F-821A-3970CFBBE5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" name="Elipse 243">
          <a:extLst>
            <a:ext uri="{FF2B5EF4-FFF2-40B4-BE49-F238E27FC236}">
              <a16:creationId xmlns:a16="http://schemas.microsoft.com/office/drawing/2014/main" id="{67108B52-098A-456D-B041-83D03090BB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" name="Elipse 244">
          <a:extLst>
            <a:ext uri="{FF2B5EF4-FFF2-40B4-BE49-F238E27FC236}">
              <a16:creationId xmlns:a16="http://schemas.microsoft.com/office/drawing/2014/main" id="{166F4096-0C57-4983-B1B9-E37943C2E0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" name="Elipse 245">
          <a:extLst>
            <a:ext uri="{FF2B5EF4-FFF2-40B4-BE49-F238E27FC236}">
              <a16:creationId xmlns:a16="http://schemas.microsoft.com/office/drawing/2014/main" id="{D740C6EB-6091-47B8-ACFB-0F8DEAE625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" name="Elipse 246">
          <a:extLst>
            <a:ext uri="{FF2B5EF4-FFF2-40B4-BE49-F238E27FC236}">
              <a16:creationId xmlns:a16="http://schemas.microsoft.com/office/drawing/2014/main" id="{C48FFB2C-25F0-4894-9D63-4A4EB50348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" name="Elipse 247">
          <a:extLst>
            <a:ext uri="{FF2B5EF4-FFF2-40B4-BE49-F238E27FC236}">
              <a16:creationId xmlns:a16="http://schemas.microsoft.com/office/drawing/2014/main" id="{9522C934-054F-404F-88AA-3CEFA4D307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" name="Elipse 248">
          <a:extLst>
            <a:ext uri="{FF2B5EF4-FFF2-40B4-BE49-F238E27FC236}">
              <a16:creationId xmlns:a16="http://schemas.microsoft.com/office/drawing/2014/main" id="{42B993B7-527A-4ED8-8411-915F538A32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" name="Elipse 249">
          <a:extLst>
            <a:ext uri="{FF2B5EF4-FFF2-40B4-BE49-F238E27FC236}">
              <a16:creationId xmlns:a16="http://schemas.microsoft.com/office/drawing/2014/main" id="{D2314FEA-CD0F-4345-996B-F809157309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" name="Elipse 250">
          <a:extLst>
            <a:ext uri="{FF2B5EF4-FFF2-40B4-BE49-F238E27FC236}">
              <a16:creationId xmlns:a16="http://schemas.microsoft.com/office/drawing/2014/main" id="{202703FD-E724-463A-8851-F9547E8B0A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" name="Elipse 251">
          <a:extLst>
            <a:ext uri="{FF2B5EF4-FFF2-40B4-BE49-F238E27FC236}">
              <a16:creationId xmlns:a16="http://schemas.microsoft.com/office/drawing/2014/main" id="{CBA03C17-3FAD-4D7B-BE2D-FC228CAB8D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" name="Elipse 252">
          <a:extLst>
            <a:ext uri="{FF2B5EF4-FFF2-40B4-BE49-F238E27FC236}">
              <a16:creationId xmlns:a16="http://schemas.microsoft.com/office/drawing/2014/main" id="{EB137BFB-3C45-4691-977D-741E0265F6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" name="Elipse 253">
          <a:extLst>
            <a:ext uri="{FF2B5EF4-FFF2-40B4-BE49-F238E27FC236}">
              <a16:creationId xmlns:a16="http://schemas.microsoft.com/office/drawing/2014/main" id="{ED502E43-B345-420E-A7CD-D3F920422C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" name="Elipse 254">
          <a:extLst>
            <a:ext uri="{FF2B5EF4-FFF2-40B4-BE49-F238E27FC236}">
              <a16:creationId xmlns:a16="http://schemas.microsoft.com/office/drawing/2014/main" id="{5CCD2442-7942-4331-9C48-A141A6721E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" name="Elipse 255">
          <a:extLst>
            <a:ext uri="{FF2B5EF4-FFF2-40B4-BE49-F238E27FC236}">
              <a16:creationId xmlns:a16="http://schemas.microsoft.com/office/drawing/2014/main" id="{8B87C8B4-B664-45A5-BA71-8086DA25C1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" name="Elipse 256">
          <a:extLst>
            <a:ext uri="{FF2B5EF4-FFF2-40B4-BE49-F238E27FC236}">
              <a16:creationId xmlns:a16="http://schemas.microsoft.com/office/drawing/2014/main" id="{A3F2FFB1-B00C-45D5-B061-077128780F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" name="Elipse 257">
          <a:extLst>
            <a:ext uri="{FF2B5EF4-FFF2-40B4-BE49-F238E27FC236}">
              <a16:creationId xmlns:a16="http://schemas.microsoft.com/office/drawing/2014/main" id="{55A64338-E079-49E5-A637-0562006409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" name="Elipse 258">
          <a:extLst>
            <a:ext uri="{FF2B5EF4-FFF2-40B4-BE49-F238E27FC236}">
              <a16:creationId xmlns:a16="http://schemas.microsoft.com/office/drawing/2014/main" id="{FB3C2F9D-7E58-4710-AA59-6A522B7664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" name="Elipse 259">
          <a:extLst>
            <a:ext uri="{FF2B5EF4-FFF2-40B4-BE49-F238E27FC236}">
              <a16:creationId xmlns:a16="http://schemas.microsoft.com/office/drawing/2014/main" id="{1202D818-2A82-41FE-B3FE-7730829F56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" name="Elipse 260">
          <a:extLst>
            <a:ext uri="{FF2B5EF4-FFF2-40B4-BE49-F238E27FC236}">
              <a16:creationId xmlns:a16="http://schemas.microsoft.com/office/drawing/2014/main" id="{C70DB52A-4B73-4DA6-B5C3-A2F031911A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" name="Elipse 261">
          <a:extLst>
            <a:ext uri="{FF2B5EF4-FFF2-40B4-BE49-F238E27FC236}">
              <a16:creationId xmlns:a16="http://schemas.microsoft.com/office/drawing/2014/main" id="{B5B407DF-25A3-4FA6-976B-CDBCF3969A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" name="Elipse 262">
          <a:extLst>
            <a:ext uri="{FF2B5EF4-FFF2-40B4-BE49-F238E27FC236}">
              <a16:creationId xmlns:a16="http://schemas.microsoft.com/office/drawing/2014/main" id="{54266F3F-E1C6-40E7-9AFD-499DFE8F9A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" name="Elipse 263">
          <a:extLst>
            <a:ext uri="{FF2B5EF4-FFF2-40B4-BE49-F238E27FC236}">
              <a16:creationId xmlns:a16="http://schemas.microsoft.com/office/drawing/2014/main" id="{0C365001-C1FB-4A8F-BCFF-DC9CDF74C6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" name="Elipse 264">
          <a:extLst>
            <a:ext uri="{FF2B5EF4-FFF2-40B4-BE49-F238E27FC236}">
              <a16:creationId xmlns:a16="http://schemas.microsoft.com/office/drawing/2014/main" id="{B6E4FB5D-448A-4ED4-831D-4B3764A9B2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" name="Elipse 265">
          <a:extLst>
            <a:ext uri="{FF2B5EF4-FFF2-40B4-BE49-F238E27FC236}">
              <a16:creationId xmlns:a16="http://schemas.microsoft.com/office/drawing/2014/main" id="{CE3B97E6-7F22-4F08-B7CF-FDD760F08A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" name="Elipse 266">
          <a:extLst>
            <a:ext uri="{FF2B5EF4-FFF2-40B4-BE49-F238E27FC236}">
              <a16:creationId xmlns:a16="http://schemas.microsoft.com/office/drawing/2014/main" id="{6A986373-8C2F-447C-B776-6F159BB91D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" name="Elipse 267">
          <a:extLst>
            <a:ext uri="{FF2B5EF4-FFF2-40B4-BE49-F238E27FC236}">
              <a16:creationId xmlns:a16="http://schemas.microsoft.com/office/drawing/2014/main" id="{5DD31B1A-B391-4E76-8811-38CFB7053A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" name="Elipse 268">
          <a:extLst>
            <a:ext uri="{FF2B5EF4-FFF2-40B4-BE49-F238E27FC236}">
              <a16:creationId xmlns:a16="http://schemas.microsoft.com/office/drawing/2014/main" id="{14830A46-BCC8-42AD-BB23-2CD473910C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" name="Elipse 269">
          <a:extLst>
            <a:ext uri="{FF2B5EF4-FFF2-40B4-BE49-F238E27FC236}">
              <a16:creationId xmlns:a16="http://schemas.microsoft.com/office/drawing/2014/main" id="{9D32BE65-6066-4A97-A4B1-0F373F8663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" name="Elipse 270">
          <a:extLst>
            <a:ext uri="{FF2B5EF4-FFF2-40B4-BE49-F238E27FC236}">
              <a16:creationId xmlns:a16="http://schemas.microsoft.com/office/drawing/2014/main" id="{A1631769-8901-4127-813D-821445015D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" name="Elipse 271">
          <a:extLst>
            <a:ext uri="{FF2B5EF4-FFF2-40B4-BE49-F238E27FC236}">
              <a16:creationId xmlns:a16="http://schemas.microsoft.com/office/drawing/2014/main" id="{53D49C8B-C9C7-42F8-8DF2-090710784F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" name="Elipse 272">
          <a:extLst>
            <a:ext uri="{FF2B5EF4-FFF2-40B4-BE49-F238E27FC236}">
              <a16:creationId xmlns:a16="http://schemas.microsoft.com/office/drawing/2014/main" id="{E9DCD8F3-D02D-430D-BE65-949DF34D10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" name="Elipse 273">
          <a:extLst>
            <a:ext uri="{FF2B5EF4-FFF2-40B4-BE49-F238E27FC236}">
              <a16:creationId xmlns:a16="http://schemas.microsoft.com/office/drawing/2014/main" id="{0534EA3C-3E31-49A5-9D94-C6069BBD9E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" name="Elipse 274">
          <a:extLst>
            <a:ext uri="{FF2B5EF4-FFF2-40B4-BE49-F238E27FC236}">
              <a16:creationId xmlns:a16="http://schemas.microsoft.com/office/drawing/2014/main" id="{D101B9C3-6319-494E-B748-7BB1E7FFB2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" name="Elipse 275">
          <a:extLst>
            <a:ext uri="{FF2B5EF4-FFF2-40B4-BE49-F238E27FC236}">
              <a16:creationId xmlns:a16="http://schemas.microsoft.com/office/drawing/2014/main" id="{C03AB819-C73E-4D60-A83B-E7C69847D4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" name="Elipse 276">
          <a:extLst>
            <a:ext uri="{FF2B5EF4-FFF2-40B4-BE49-F238E27FC236}">
              <a16:creationId xmlns:a16="http://schemas.microsoft.com/office/drawing/2014/main" id="{7B068C46-B61A-41B5-B15F-4B6BCBD028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" name="Elipse 277">
          <a:extLst>
            <a:ext uri="{FF2B5EF4-FFF2-40B4-BE49-F238E27FC236}">
              <a16:creationId xmlns:a16="http://schemas.microsoft.com/office/drawing/2014/main" id="{901035C2-B3A9-4A7A-8C54-C79BC37A3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" name="Elipse 278">
          <a:extLst>
            <a:ext uri="{FF2B5EF4-FFF2-40B4-BE49-F238E27FC236}">
              <a16:creationId xmlns:a16="http://schemas.microsoft.com/office/drawing/2014/main" id="{CF460CAD-3127-4BFD-8AF3-0C4B73E6BB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8529DC3D-81A0-4821-804E-530F6929D6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" name="Elipse 280">
          <a:extLst>
            <a:ext uri="{FF2B5EF4-FFF2-40B4-BE49-F238E27FC236}">
              <a16:creationId xmlns:a16="http://schemas.microsoft.com/office/drawing/2014/main" id="{2D72DBC9-4DCF-4140-83F2-388E1EE869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" name="Elipse 281">
          <a:extLst>
            <a:ext uri="{FF2B5EF4-FFF2-40B4-BE49-F238E27FC236}">
              <a16:creationId xmlns:a16="http://schemas.microsoft.com/office/drawing/2014/main" id="{FE3BA801-DE6E-4746-97FD-1786F8F9E0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" name="Elipse 282">
          <a:extLst>
            <a:ext uri="{FF2B5EF4-FFF2-40B4-BE49-F238E27FC236}">
              <a16:creationId xmlns:a16="http://schemas.microsoft.com/office/drawing/2014/main" id="{0E609E55-1ED9-41E0-98B7-10A7A1668D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" name="Elipse 283">
          <a:extLst>
            <a:ext uri="{FF2B5EF4-FFF2-40B4-BE49-F238E27FC236}">
              <a16:creationId xmlns:a16="http://schemas.microsoft.com/office/drawing/2014/main" id="{D47CDC55-5EF0-432D-B74A-703F4B9089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" name="Elipse 284">
          <a:extLst>
            <a:ext uri="{FF2B5EF4-FFF2-40B4-BE49-F238E27FC236}">
              <a16:creationId xmlns:a16="http://schemas.microsoft.com/office/drawing/2014/main" id="{BB4EA5C3-EDA2-4B28-BC95-36C69B852F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" name="Elipse 285">
          <a:extLst>
            <a:ext uri="{FF2B5EF4-FFF2-40B4-BE49-F238E27FC236}">
              <a16:creationId xmlns:a16="http://schemas.microsoft.com/office/drawing/2014/main" id="{E46FC9E3-B0CC-4FB4-B754-023BD0E622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" name="Elipse 286">
          <a:extLst>
            <a:ext uri="{FF2B5EF4-FFF2-40B4-BE49-F238E27FC236}">
              <a16:creationId xmlns:a16="http://schemas.microsoft.com/office/drawing/2014/main" id="{58D6CD6D-F315-4565-90F6-D5E65C1146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" name="Elipse 287">
          <a:extLst>
            <a:ext uri="{FF2B5EF4-FFF2-40B4-BE49-F238E27FC236}">
              <a16:creationId xmlns:a16="http://schemas.microsoft.com/office/drawing/2014/main" id="{800B8FFC-D2A8-48F7-A5D7-64F0239290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" name="Elipse 288">
          <a:extLst>
            <a:ext uri="{FF2B5EF4-FFF2-40B4-BE49-F238E27FC236}">
              <a16:creationId xmlns:a16="http://schemas.microsoft.com/office/drawing/2014/main" id="{ED67B76A-F7DC-48BB-94D5-AA81B99656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" name="Elipse 289">
          <a:extLst>
            <a:ext uri="{FF2B5EF4-FFF2-40B4-BE49-F238E27FC236}">
              <a16:creationId xmlns:a16="http://schemas.microsoft.com/office/drawing/2014/main" id="{921B95F1-654E-4EDF-A4AC-B0084B69A6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" name="Elipse 290">
          <a:extLst>
            <a:ext uri="{FF2B5EF4-FFF2-40B4-BE49-F238E27FC236}">
              <a16:creationId xmlns:a16="http://schemas.microsoft.com/office/drawing/2014/main" id="{D0BEA822-473B-4E1C-BC46-A02F70D0F3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" name="Elipse 291">
          <a:extLst>
            <a:ext uri="{FF2B5EF4-FFF2-40B4-BE49-F238E27FC236}">
              <a16:creationId xmlns:a16="http://schemas.microsoft.com/office/drawing/2014/main" id="{A096D473-2F5A-44A8-BF89-615E1DC667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" name="Elipse 292">
          <a:extLst>
            <a:ext uri="{FF2B5EF4-FFF2-40B4-BE49-F238E27FC236}">
              <a16:creationId xmlns:a16="http://schemas.microsoft.com/office/drawing/2014/main" id="{2208EC50-F6BD-4428-A54F-736BABEDEE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" name="Elipse 293">
          <a:extLst>
            <a:ext uri="{FF2B5EF4-FFF2-40B4-BE49-F238E27FC236}">
              <a16:creationId xmlns:a16="http://schemas.microsoft.com/office/drawing/2014/main" id="{B103A042-1009-4BB2-96E5-80D87B7C5E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" name="Elipse 294">
          <a:extLst>
            <a:ext uri="{FF2B5EF4-FFF2-40B4-BE49-F238E27FC236}">
              <a16:creationId xmlns:a16="http://schemas.microsoft.com/office/drawing/2014/main" id="{7A231E05-9F25-4004-BBB2-81EC8BCCFF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" name="Elipse 295">
          <a:extLst>
            <a:ext uri="{FF2B5EF4-FFF2-40B4-BE49-F238E27FC236}">
              <a16:creationId xmlns:a16="http://schemas.microsoft.com/office/drawing/2014/main" id="{8CC097C0-E4C8-48A8-A97C-7B9ADB99CB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" name="Elipse 296">
          <a:extLst>
            <a:ext uri="{FF2B5EF4-FFF2-40B4-BE49-F238E27FC236}">
              <a16:creationId xmlns:a16="http://schemas.microsoft.com/office/drawing/2014/main" id="{11909647-6B6E-442F-9CF9-2312065FD2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" name="Elipse 297">
          <a:extLst>
            <a:ext uri="{FF2B5EF4-FFF2-40B4-BE49-F238E27FC236}">
              <a16:creationId xmlns:a16="http://schemas.microsoft.com/office/drawing/2014/main" id="{F9DB40AC-F6D9-4332-BE6F-4F64739FFC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" name="Elipse 298">
          <a:extLst>
            <a:ext uri="{FF2B5EF4-FFF2-40B4-BE49-F238E27FC236}">
              <a16:creationId xmlns:a16="http://schemas.microsoft.com/office/drawing/2014/main" id="{A3239748-CCDF-4428-AB64-CE3E0DE1DA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" name="Elipse 299">
          <a:extLst>
            <a:ext uri="{FF2B5EF4-FFF2-40B4-BE49-F238E27FC236}">
              <a16:creationId xmlns:a16="http://schemas.microsoft.com/office/drawing/2014/main" id="{FBC3F7C3-794A-4DDC-B3D7-3D6F7246D6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" name="Elipse 300">
          <a:extLst>
            <a:ext uri="{FF2B5EF4-FFF2-40B4-BE49-F238E27FC236}">
              <a16:creationId xmlns:a16="http://schemas.microsoft.com/office/drawing/2014/main" id="{B7EB1983-1968-4F51-98A9-C0E0D96220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" name="Elipse 301">
          <a:extLst>
            <a:ext uri="{FF2B5EF4-FFF2-40B4-BE49-F238E27FC236}">
              <a16:creationId xmlns:a16="http://schemas.microsoft.com/office/drawing/2014/main" id="{F9AEFD38-512A-4433-8061-39389308CE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" name="Elipse 302">
          <a:extLst>
            <a:ext uri="{FF2B5EF4-FFF2-40B4-BE49-F238E27FC236}">
              <a16:creationId xmlns:a16="http://schemas.microsoft.com/office/drawing/2014/main" id="{594ABB31-0313-4660-BE8E-33EE099345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" name="Elipse 303">
          <a:extLst>
            <a:ext uri="{FF2B5EF4-FFF2-40B4-BE49-F238E27FC236}">
              <a16:creationId xmlns:a16="http://schemas.microsoft.com/office/drawing/2014/main" id="{85231223-49A5-4152-8A1A-35CE3D341B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" name="Elipse 304">
          <a:extLst>
            <a:ext uri="{FF2B5EF4-FFF2-40B4-BE49-F238E27FC236}">
              <a16:creationId xmlns:a16="http://schemas.microsoft.com/office/drawing/2014/main" id="{F3FE98CC-6375-4B41-A9F3-CD9576D327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" name="Elipse 305">
          <a:extLst>
            <a:ext uri="{FF2B5EF4-FFF2-40B4-BE49-F238E27FC236}">
              <a16:creationId xmlns:a16="http://schemas.microsoft.com/office/drawing/2014/main" id="{E0363493-B228-437C-9FEC-61F2B758CC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" name="Elipse 306">
          <a:extLst>
            <a:ext uri="{FF2B5EF4-FFF2-40B4-BE49-F238E27FC236}">
              <a16:creationId xmlns:a16="http://schemas.microsoft.com/office/drawing/2014/main" id="{5FBB0A4C-8B1E-4D28-AB6A-1CE1B35F48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" name="Elipse 307">
          <a:extLst>
            <a:ext uri="{FF2B5EF4-FFF2-40B4-BE49-F238E27FC236}">
              <a16:creationId xmlns:a16="http://schemas.microsoft.com/office/drawing/2014/main" id="{5C2194E9-D6E4-49DA-9A65-B171329377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" name="Elipse 308">
          <a:extLst>
            <a:ext uri="{FF2B5EF4-FFF2-40B4-BE49-F238E27FC236}">
              <a16:creationId xmlns:a16="http://schemas.microsoft.com/office/drawing/2014/main" id="{65794D59-277F-48F8-901E-28618A7A53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" name="Elipse 309">
          <a:extLst>
            <a:ext uri="{FF2B5EF4-FFF2-40B4-BE49-F238E27FC236}">
              <a16:creationId xmlns:a16="http://schemas.microsoft.com/office/drawing/2014/main" id="{2F011991-A085-47DA-A42B-4A73A415A5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" name="Elipse 310">
          <a:extLst>
            <a:ext uri="{FF2B5EF4-FFF2-40B4-BE49-F238E27FC236}">
              <a16:creationId xmlns:a16="http://schemas.microsoft.com/office/drawing/2014/main" id="{C5939FC6-CC3E-4955-842E-1AC4BA1758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" name="Elipse 311">
          <a:extLst>
            <a:ext uri="{FF2B5EF4-FFF2-40B4-BE49-F238E27FC236}">
              <a16:creationId xmlns:a16="http://schemas.microsoft.com/office/drawing/2014/main" id="{4E0901A7-5F2B-4932-8E31-765AFFEFC4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" name="Elipse 312">
          <a:extLst>
            <a:ext uri="{FF2B5EF4-FFF2-40B4-BE49-F238E27FC236}">
              <a16:creationId xmlns:a16="http://schemas.microsoft.com/office/drawing/2014/main" id="{CC073DA0-6D01-42DB-BB44-0C656EB1E0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" name="Elipse 313">
          <a:extLst>
            <a:ext uri="{FF2B5EF4-FFF2-40B4-BE49-F238E27FC236}">
              <a16:creationId xmlns:a16="http://schemas.microsoft.com/office/drawing/2014/main" id="{52CAD943-8E89-465E-94C2-B1315E9A02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" name="Elipse 314">
          <a:extLst>
            <a:ext uri="{FF2B5EF4-FFF2-40B4-BE49-F238E27FC236}">
              <a16:creationId xmlns:a16="http://schemas.microsoft.com/office/drawing/2014/main" id="{043E9F5B-09BD-4F46-8FD8-00016DC819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" name="Elipse 315">
          <a:extLst>
            <a:ext uri="{FF2B5EF4-FFF2-40B4-BE49-F238E27FC236}">
              <a16:creationId xmlns:a16="http://schemas.microsoft.com/office/drawing/2014/main" id="{AE3A9E65-6E03-43F1-A129-90EE430E2C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" name="Elipse 316">
          <a:extLst>
            <a:ext uri="{FF2B5EF4-FFF2-40B4-BE49-F238E27FC236}">
              <a16:creationId xmlns:a16="http://schemas.microsoft.com/office/drawing/2014/main" id="{5D93826E-B74C-47CB-94B2-BCAE8A5D73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" name="Elipse 317">
          <a:extLst>
            <a:ext uri="{FF2B5EF4-FFF2-40B4-BE49-F238E27FC236}">
              <a16:creationId xmlns:a16="http://schemas.microsoft.com/office/drawing/2014/main" id="{8ED8D856-9861-40D1-B4E5-F44115210E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" name="Elipse 318">
          <a:extLst>
            <a:ext uri="{FF2B5EF4-FFF2-40B4-BE49-F238E27FC236}">
              <a16:creationId xmlns:a16="http://schemas.microsoft.com/office/drawing/2014/main" id="{1707F730-D14C-450A-AED3-93B109485E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" name="Elipse 319">
          <a:extLst>
            <a:ext uri="{FF2B5EF4-FFF2-40B4-BE49-F238E27FC236}">
              <a16:creationId xmlns:a16="http://schemas.microsoft.com/office/drawing/2014/main" id="{C9150856-0456-4AEC-8F61-C8E6172DE7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" name="Elipse 320">
          <a:extLst>
            <a:ext uri="{FF2B5EF4-FFF2-40B4-BE49-F238E27FC236}">
              <a16:creationId xmlns:a16="http://schemas.microsoft.com/office/drawing/2014/main" id="{DAB942E0-5F2E-4ED4-9279-B43388157D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" name="Elipse 321">
          <a:extLst>
            <a:ext uri="{FF2B5EF4-FFF2-40B4-BE49-F238E27FC236}">
              <a16:creationId xmlns:a16="http://schemas.microsoft.com/office/drawing/2014/main" id="{1168CADB-11BC-4509-A847-D851CF8DC1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" name="Elipse 322">
          <a:extLst>
            <a:ext uri="{FF2B5EF4-FFF2-40B4-BE49-F238E27FC236}">
              <a16:creationId xmlns:a16="http://schemas.microsoft.com/office/drawing/2014/main" id="{1BF42A57-9118-40C5-A925-9351F99C20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" name="Elipse 323">
          <a:extLst>
            <a:ext uri="{FF2B5EF4-FFF2-40B4-BE49-F238E27FC236}">
              <a16:creationId xmlns:a16="http://schemas.microsoft.com/office/drawing/2014/main" id="{BA1936DC-3B60-4C72-90FE-111ABE8DFD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2AFABEA3-EA1B-4F20-9F5F-7E829CE3F5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" name="Elipse 325">
          <a:extLst>
            <a:ext uri="{FF2B5EF4-FFF2-40B4-BE49-F238E27FC236}">
              <a16:creationId xmlns:a16="http://schemas.microsoft.com/office/drawing/2014/main" id="{C622D2D1-442C-4944-B409-E6C5B72169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" name="Elipse 326">
          <a:extLst>
            <a:ext uri="{FF2B5EF4-FFF2-40B4-BE49-F238E27FC236}">
              <a16:creationId xmlns:a16="http://schemas.microsoft.com/office/drawing/2014/main" id="{EDF2A3A4-7E23-4C18-B18F-8DC2CF4B4C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" name="Elipse 327">
          <a:extLst>
            <a:ext uri="{FF2B5EF4-FFF2-40B4-BE49-F238E27FC236}">
              <a16:creationId xmlns:a16="http://schemas.microsoft.com/office/drawing/2014/main" id="{4C7E923E-07D3-44FF-A2D9-547CCBD60E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" name="Elipse 328">
          <a:extLst>
            <a:ext uri="{FF2B5EF4-FFF2-40B4-BE49-F238E27FC236}">
              <a16:creationId xmlns:a16="http://schemas.microsoft.com/office/drawing/2014/main" id="{89094783-6330-4A62-BCAD-B9318D5F5B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" name="Elipse 329">
          <a:extLst>
            <a:ext uri="{FF2B5EF4-FFF2-40B4-BE49-F238E27FC236}">
              <a16:creationId xmlns:a16="http://schemas.microsoft.com/office/drawing/2014/main" id="{355E11D1-B0F4-4AF5-B644-7458756462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" name="Elipse 330">
          <a:extLst>
            <a:ext uri="{FF2B5EF4-FFF2-40B4-BE49-F238E27FC236}">
              <a16:creationId xmlns:a16="http://schemas.microsoft.com/office/drawing/2014/main" id="{3F861530-FB05-4D2A-9CED-4EA020041F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" name="Elipse 331">
          <a:extLst>
            <a:ext uri="{FF2B5EF4-FFF2-40B4-BE49-F238E27FC236}">
              <a16:creationId xmlns:a16="http://schemas.microsoft.com/office/drawing/2014/main" id="{A7F2C501-E78B-4C60-A474-A69CD8E23A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" name="Elipse 332">
          <a:extLst>
            <a:ext uri="{FF2B5EF4-FFF2-40B4-BE49-F238E27FC236}">
              <a16:creationId xmlns:a16="http://schemas.microsoft.com/office/drawing/2014/main" id="{7410852B-6B18-401D-8BB2-CD71A14A56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" name="Elipse 333">
          <a:extLst>
            <a:ext uri="{FF2B5EF4-FFF2-40B4-BE49-F238E27FC236}">
              <a16:creationId xmlns:a16="http://schemas.microsoft.com/office/drawing/2014/main" id="{6225F6C0-B3B1-4DA3-A20B-1A94683877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" name="Elipse 334">
          <a:extLst>
            <a:ext uri="{FF2B5EF4-FFF2-40B4-BE49-F238E27FC236}">
              <a16:creationId xmlns:a16="http://schemas.microsoft.com/office/drawing/2014/main" id="{B8DE031E-13F1-4CFC-A9CC-71E4BAB726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" name="Elipse 335">
          <a:extLst>
            <a:ext uri="{FF2B5EF4-FFF2-40B4-BE49-F238E27FC236}">
              <a16:creationId xmlns:a16="http://schemas.microsoft.com/office/drawing/2014/main" id="{C590D3D0-9EC4-4D14-AAF9-0501CDE47A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" name="Elipse 336">
          <a:extLst>
            <a:ext uri="{FF2B5EF4-FFF2-40B4-BE49-F238E27FC236}">
              <a16:creationId xmlns:a16="http://schemas.microsoft.com/office/drawing/2014/main" id="{7FDB4412-39F6-4822-BB7B-F6F7A08A5B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" name="Elipse 337">
          <a:extLst>
            <a:ext uri="{FF2B5EF4-FFF2-40B4-BE49-F238E27FC236}">
              <a16:creationId xmlns:a16="http://schemas.microsoft.com/office/drawing/2014/main" id="{A7D31EF6-57B5-414B-961E-71E8401EA9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" name="Elipse 338">
          <a:extLst>
            <a:ext uri="{FF2B5EF4-FFF2-40B4-BE49-F238E27FC236}">
              <a16:creationId xmlns:a16="http://schemas.microsoft.com/office/drawing/2014/main" id="{D2DCE108-3270-4825-A08F-08F4E90A12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" name="Elipse 339">
          <a:extLst>
            <a:ext uri="{FF2B5EF4-FFF2-40B4-BE49-F238E27FC236}">
              <a16:creationId xmlns:a16="http://schemas.microsoft.com/office/drawing/2014/main" id="{0F94B6A4-CC55-4A90-922F-C60880111D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" name="Elipse 340">
          <a:extLst>
            <a:ext uri="{FF2B5EF4-FFF2-40B4-BE49-F238E27FC236}">
              <a16:creationId xmlns:a16="http://schemas.microsoft.com/office/drawing/2014/main" id="{52CD552C-AC36-41D6-9D2A-BD8DE9B652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" name="Elipse 341">
          <a:extLst>
            <a:ext uri="{FF2B5EF4-FFF2-40B4-BE49-F238E27FC236}">
              <a16:creationId xmlns:a16="http://schemas.microsoft.com/office/drawing/2014/main" id="{EA965672-8E66-4CF6-A11A-E15A4277CB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" name="Elipse 342">
          <a:extLst>
            <a:ext uri="{FF2B5EF4-FFF2-40B4-BE49-F238E27FC236}">
              <a16:creationId xmlns:a16="http://schemas.microsoft.com/office/drawing/2014/main" id="{600073EA-ED7C-480B-85C4-C4A331282E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" name="Elipse 343">
          <a:extLst>
            <a:ext uri="{FF2B5EF4-FFF2-40B4-BE49-F238E27FC236}">
              <a16:creationId xmlns:a16="http://schemas.microsoft.com/office/drawing/2014/main" id="{B0219D29-C4D4-4114-B4FA-F95FD09BC5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" name="Elipse 344">
          <a:extLst>
            <a:ext uri="{FF2B5EF4-FFF2-40B4-BE49-F238E27FC236}">
              <a16:creationId xmlns:a16="http://schemas.microsoft.com/office/drawing/2014/main" id="{F81D3C70-4797-4206-B77B-FC9DF2D920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" name="Elipse 345">
          <a:extLst>
            <a:ext uri="{FF2B5EF4-FFF2-40B4-BE49-F238E27FC236}">
              <a16:creationId xmlns:a16="http://schemas.microsoft.com/office/drawing/2014/main" id="{EB11A19C-D7F4-4F3E-BC6F-4CFE4507F7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" name="Elipse 346">
          <a:extLst>
            <a:ext uri="{FF2B5EF4-FFF2-40B4-BE49-F238E27FC236}">
              <a16:creationId xmlns:a16="http://schemas.microsoft.com/office/drawing/2014/main" id="{1BA57B50-BCB1-4C10-85BB-ECF9147288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" name="Elipse 347">
          <a:extLst>
            <a:ext uri="{FF2B5EF4-FFF2-40B4-BE49-F238E27FC236}">
              <a16:creationId xmlns:a16="http://schemas.microsoft.com/office/drawing/2014/main" id="{124DFABB-670F-4E58-8E0B-3A9477CA66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" name="Elipse 348">
          <a:extLst>
            <a:ext uri="{FF2B5EF4-FFF2-40B4-BE49-F238E27FC236}">
              <a16:creationId xmlns:a16="http://schemas.microsoft.com/office/drawing/2014/main" id="{B187BA6A-B82B-4B0A-9BF6-A62A3C117B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" name="Elipse 349">
          <a:extLst>
            <a:ext uri="{FF2B5EF4-FFF2-40B4-BE49-F238E27FC236}">
              <a16:creationId xmlns:a16="http://schemas.microsoft.com/office/drawing/2014/main" id="{ED0F88B9-2106-4426-A15D-F25D875BB4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" name="Elipse 350">
          <a:extLst>
            <a:ext uri="{FF2B5EF4-FFF2-40B4-BE49-F238E27FC236}">
              <a16:creationId xmlns:a16="http://schemas.microsoft.com/office/drawing/2014/main" id="{641AD90D-5326-4E65-9A64-EAD3D9D61E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" name="Elipse 351">
          <a:extLst>
            <a:ext uri="{FF2B5EF4-FFF2-40B4-BE49-F238E27FC236}">
              <a16:creationId xmlns:a16="http://schemas.microsoft.com/office/drawing/2014/main" id="{996981AF-A2DC-4009-9747-F6C78EBE6C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" name="Elipse 352">
          <a:extLst>
            <a:ext uri="{FF2B5EF4-FFF2-40B4-BE49-F238E27FC236}">
              <a16:creationId xmlns:a16="http://schemas.microsoft.com/office/drawing/2014/main" id="{B16143EA-0440-44CC-BAD2-31E1C3DF26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" name="Elipse 353">
          <a:extLst>
            <a:ext uri="{FF2B5EF4-FFF2-40B4-BE49-F238E27FC236}">
              <a16:creationId xmlns:a16="http://schemas.microsoft.com/office/drawing/2014/main" id="{50F0B7B7-7EBB-4F42-91E1-6487F4FC7F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" name="Elipse 354">
          <a:extLst>
            <a:ext uri="{FF2B5EF4-FFF2-40B4-BE49-F238E27FC236}">
              <a16:creationId xmlns:a16="http://schemas.microsoft.com/office/drawing/2014/main" id="{3E73D8F5-23BC-402A-8CFD-A92AC001C3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" name="Elipse 355">
          <a:extLst>
            <a:ext uri="{FF2B5EF4-FFF2-40B4-BE49-F238E27FC236}">
              <a16:creationId xmlns:a16="http://schemas.microsoft.com/office/drawing/2014/main" id="{7FDA65D7-5F3B-41C1-BFDF-57E508B4E1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" name="Elipse 356">
          <a:extLst>
            <a:ext uri="{FF2B5EF4-FFF2-40B4-BE49-F238E27FC236}">
              <a16:creationId xmlns:a16="http://schemas.microsoft.com/office/drawing/2014/main" id="{8DD23BA8-E8CA-4BD6-86E1-108B70FE45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" name="Elipse 357">
          <a:extLst>
            <a:ext uri="{FF2B5EF4-FFF2-40B4-BE49-F238E27FC236}">
              <a16:creationId xmlns:a16="http://schemas.microsoft.com/office/drawing/2014/main" id="{83945E35-10B4-42C5-B1F4-E02BB22DC8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" name="Elipse 358">
          <a:extLst>
            <a:ext uri="{FF2B5EF4-FFF2-40B4-BE49-F238E27FC236}">
              <a16:creationId xmlns:a16="http://schemas.microsoft.com/office/drawing/2014/main" id="{0FDDC2C8-72CE-4619-A49C-C001E401F1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" name="Elipse 359">
          <a:extLst>
            <a:ext uri="{FF2B5EF4-FFF2-40B4-BE49-F238E27FC236}">
              <a16:creationId xmlns:a16="http://schemas.microsoft.com/office/drawing/2014/main" id="{66FE4704-179E-47D0-B8AC-D51952DE90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" name="Elipse 360">
          <a:extLst>
            <a:ext uri="{FF2B5EF4-FFF2-40B4-BE49-F238E27FC236}">
              <a16:creationId xmlns:a16="http://schemas.microsoft.com/office/drawing/2014/main" id="{440B49A3-BDF8-487B-A4EE-038FCF34D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" name="Elipse 361">
          <a:extLst>
            <a:ext uri="{FF2B5EF4-FFF2-40B4-BE49-F238E27FC236}">
              <a16:creationId xmlns:a16="http://schemas.microsoft.com/office/drawing/2014/main" id="{8AA9D1C5-B82A-4B88-AC5F-CB32F837B6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" name="Elipse 362">
          <a:extLst>
            <a:ext uri="{FF2B5EF4-FFF2-40B4-BE49-F238E27FC236}">
              <a16:creationId xmlns:a16="http://schemas.microsoft.com/office/drawing/2014/main" id="{ECBC9DF6-C076-439E-98AE-D55E4BBB5B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" name="Elipse 363">
          <a:extLst>
            <a:ext uri="{FF2B5EF4-FFF2-40B4-BE49-F238E27FC236}">
              <a16:creationId xmlns:a16="http://schemas.microsoft.com/office/drawing/2014/main" id="{4EA75005-4C24-41F0-9CC3-8E35D27EA7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" name="Elipse 364">
          <a:extLst>
            <a:ext uri="{FF2B5EF4-FFF2-40B4-BE49-F238E27FC236}">
              <a16:creationId xmlns:a16="http://schemas.microsoft.com/office/drawing/2014/main" id="{74E1A0AF-C4AE-427A-8547-58A1463014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" name="Elipse 365">
          <a:extLst>
            <a:ext uri="{FF2B5EF4-FFF2-40B4-BE49-F238E27FC236}">
              <a16:creationId xmlns:a16="http://schemas.microsoft.com/office/drawing/2014/main" id="{CAD6FF16-9AF1-41D8-A1E1-3C430A29FB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" name="Elipse 366">
          <a:extLst>
            <a:ext uri="{FF2B5EF4-FFF2-40B4-BE49-F238E27FC236}">
              <a16:creationId xmlns:a16="http://schemas.microsoft.com/office/drawing/2014/main" id="{23E8EC4E-4A4A-496C-B38D-53221F288C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" name="Elipse 367">
          <a:extLst>
            <a:ext uri="{FF2B5EF4-FFF2-40B4-BE49-F238E27FC236}">
              <a16:creationId xmlns:a16="http://schemas.microsoft.com/office/drawing/2014/main" id="{E80D598F-C3AA-4BA7-9BE3-83F1935DF2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" name="Elipse 368">
          <a:extLst>
            <a:ext uri="{FF2B5EF4-FFF2-40B4-BE49-F238E27FC236}">
              <a16:creationId xmlns:a16="http://schemas.microsoft.com/office/drawing/2014/main" id="{C03C46BE-DAAC-448B-AF8A-20D74A2618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" name="Elipse 369">
          <a:extLst>
            <a:ext uri="{FF2B5EF4-FFF2-40B4-BE49-F238E27FC236}">
              <a16:creationId xmlns:a16="http://schemas.microsoft.com/office/drawing/2014/main" id="{527EB57F-FD5D-4CBF-A7C3-76D6741A7A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" name="Elipse 370">
          <a:extLst>
            <a:ext uri="{FF2B5EF4-FFF2-40B4-BE49-F238E27FC236}">
              <a16:creationId xmlns:a16="http://schemas.microsoft.com/office/drawing/2014/main" id="{E7439830-552C-47F0-AE0B-E645D5F012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" name="Elipse 371">
          <a:extLst>
            <a:ext uri="{FF2B5EF4-FFF2-40B4-BE49-F238E27FC236}">
              <a16:creationId xmlns:a16="http://schemas.microsoft.com/office/drawing/2014/main" id="{8EAF15C4-2CAB-4744-863F-7EE3F3E3D7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" name="Elipse 372">
          <a:extLst>
            <a:ext uri="{FF2B5EF4-FFF2-40B4-BE49-F238E27FC236}">
              <a16:creationId xmlns:a16="http://schemas.microsoft.com/office/drawing/2014/main" id="{B64668BB-91B6-4FF0-9920-7A1386E416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" name="Elipse 373">
          <a:extLst>
            <a:ext uri="{FF2B5EF4-FFF2-40B4-BE49-F238E27FC236}">
              <a16:creationId xmlns:a16="http://schemas.microsoft.com/office/drawing/2014/main" id="{46B6F65A-0E2D-4C4A-8E2B-382FF37C19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" name="Elipse 374">
          <a:extLst>
            <a:ext uri="{FF2B5EF4-FFF2-40B4-BE49-F238E27FC236}">
              <a16:creationId xmlns:a16="http://schemas.microsoft.com/office/drawing/2014/main" id="{5A3FBBD5-08AF-417B-AC97-CB9DD8F215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" name="Elipse 375">
          <a:extLst>
            <a:ext uri="{FF2B5EF4-FFF2-40B4-BE49-F238E27FC236}">
              <a16:creationId xmlns:a16="http://schemas.microsoft.com/office/drawing/2014/main" id="{C483104E-B979-4BA0-AA17-C1C4C3D180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" name="Elipse 376">
          <a:extLst>
            <a:ext uri="{FF2B5EF4-FFF2-40B4-BE49-F238E27FC236}">
              <a16:creationId xmlns:a16="http://schemas.microsoft.com/office/drawing/2014/main" id="{E68BC451-9552-4AAD-95D0-755B1C1680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" name="Elipse 377">
          <a:extLst>
            <a:ext uri="{FF2B5EF4-FFF2-40B4-BE49-F238E27FC236}">
              <a16:creationId xmlns:a16="http://schemas.microsoft.com/office/drawing/2014/main" id="{2CF81B84-A3D2-466A-BCF3-FF957683E1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" name="Elipse 378">
          <a:extLst>
            <a:ext uri="{FF2B5EF4-FFF2-40B4-BE49-F238E27FC236}">
              <a16:creationId xmlns:a16="http://schemas.microsoft.com/office/drawing/2014/main" id="{C327AB40-3E90-477F-879F-0D5D827C33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" name="Elipse 379">
          <a:extLst>
            <a:ext uri="{FF2B5EF4-FFF2-40B4-BE49-F238E27FC236}">
              <a16:creationId xmlns:a16="http://schemas.microsoft.com/office/drawing/2014/main" id="{295D2015-BA99-4677-A224-BE17E0C961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" name="Elipse 380">
          <a:extLst>
            <a:ext uri="{FF2B5EF4-FFF2-40B4-BE49-F238E27FC236}">
              <a16:creationId xmlns:a16="http://schemas.microsoft.com/office/drawing/2014/main" id="{CCEDCB15-CC67-416D-8879-13753CC3B0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" name="Elipse 381">
          <a:extLst>
            <a:ext uri="{FF2B5EF4-FFF2-40B4-BE49-F238E27FC236}">
              <a16:creationId xmlns:a16="http://schemas.microsoft.com/office/drawing/2014/main" id="{2BDCBF56-DF82-4071-A13D-464EC6B11B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" name="Elipse 382">
          <a:extLst>
            <a:ext uri="{FF2B5EF4-FFF2-40B4-BE49-F238E27FC236}">
              <a16:creationId xmlns:a16="http://schemas.microsoft.com/office/drawing/2014/main" id="{0D9E9ED2-C0F2-4AEC-B407-E53F337B68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" name="Elipse 383">
          <a:extLst>
            <a:ext uri="{FF2B5EF4-FFF2-40B4-BE49-F238E27FC236}">
              <a16:creationId xmlns:a16="http://schemas.microsoft.com/office/drawing/2014/main" id="{4D941837-3777-4262-8AF2-A4C346BEF7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" name="Elipse 384">
          <a:extLst>
            <a:ext uri="{FF2B5EF4-FFF2-40B4-BE49-F238E27FC236}">
              <a16:creationId xmlns:a16="http://schemas.microsoft.com/office/drawing/2014/main" id="{8D1C3E07-C260-4489-A16F-C7D1D3817F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" name="Elipse 385">
          <a:extLst>
            <a:ext uri="{FF2B5EF4-FFF2-40B4-BE49-F238E27FC236}">
              <a16:creationId xmlns:a16="http://schemas.microsoft.com/office/drawing/2014/main" id="{D1153967-CADF-46C2-8950-B5153B589D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" name="Elipse 386">
          <a:extLst>
            <a:ext uri="{FF2B5EF4-FFF2-40B4-BE49-F238E27FC236}">
              <a16:creationId xmlns:a16="http://schemas.microsoft.com/office/drawing/2014/main" id="{CD2C5155-2730-45BC-AC51-09306CE7C6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" name="Elipse 387">
          <a:extLst>
            <a:ext uri="{FF2B5EF4-FFF2-40B4-BE49-F238E27FC236}">
              <a16:creationId xmlns:a16="http://schemas.microsoft.com/office/drawing/2014/main" id="{721000F1-6E94-48B2-BCB4-E95800B4C1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" name="Elipse 388">
          <a:extLst>
            <a:ext uri="{FF2B5EF4-FFF2-40B4-BE49-F238E27FC236}">
              <a16:creationId xmlns:a16="http://schemas.microsoft.com/office/drawing/2014/main" id="{A5351760-DCE6-4E22-A85D-9089F92DD0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" name="Elipse 389">
          <a:extLst>
            <a:ext uri="{FF2B5EF4-FFF2-40B4-BE49-F238E27FC236}">
              <a16:creationId xmlns:a16="http://schemas.microsoft.com/office/drawing/2014/main" id="{643D24FC-07C9-4F6F-8D32-39BE13818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" name="Elipse 390">
          <a:extLst>
            <a:ext uri="{FF2B5EF4-FFF2-40B4-BE49-F238E27FC236}">
              <a16:creationId xmlns:a16="http://schemas.microsoft.com/office/drawing/2014/main" id="{EEB22004-DC17-4603-A56B-1522CD7035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" name="Elipse 391">
          <a:extLst>
            <a:ext uri="{FF2B5EF4-FFF2-40B4-BE49-F238E27FC236}">
              <a16:creationId xmlns:a16="http://schemas.microsoft.com/office/drawing/2014/main" id="{385DEE17-592A-458D-B416-5FEEA49EA1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" name="Elipse 392">
          <a:extLst>
            <a:ext uri="{FF2B5EF4-FFF2-40B4-BE49-F238E27FC236}">
              <a16:creationId xmlns:a16="http://schemas.microsoft.com/office/drawing/2014/main" id="{8EADF914-640C-4D75-8E89-8CB810EA87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" name="Elipse 393">
          <a:extLst>
            <a:ext uri="{FF2B5EF4-FFF2-40B4-BE49-F238E27FC236}">
              <a16:creationId xmlns:a16="http://schemas.microsoft.com/office/drawing/2014/main" id="{2D7A23D9-94EC-420E-BB2C-155AFC2A06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" name="Elipse 394">
          <a:extLst>
            <a:ext uri="{FF2B5EF4-FFF2-40B4-BE49-F238E27FC236}">
              <a16:creationId xmlns:a16="http://schemas.microsoft.com/office/drawing/2014/main" id="{6176639F-BD82-4D4B-9DC2-316C563E32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" name="Elipse 395">
          <a:extLst>
            <a:ext uri="{FF2B5EF4-FFF2-40B4-BE49-F238E27FC236}">
              <a16:creationId xmlns:a16="http://schemas.microsoft.com/office/drawing/2014/main" id="{287891E0-05F2-45AC-BF69-5FAEF0D0F5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" name="Elipse 396">
          <a:extLst>
            <a:ext uri="{FF2B5EF4-FFF2-40B4-BE49-F238E27FC236}">
              <a16:creationId xmlns:a16="http://schemas.microsoft.com/office/drawing/2014/main" id="{B450B5B7-7810-483C-ABD1-2F6AEB422F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" name="Elipse 397">
          <a:extLst>
            <a:ext uri="{FF2B5EF4-FFF2-40B4-BE49-F238E27FC236}">
              <a16:creationId xmlns:a16="http://schemas.microsoft.com/office/drawing/2014/main" id="{02607D75-1CCF-4C1E-B817-E71DDE7D2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" name="Elipse 398">
          <a:extLst>
            <a:ext uri="{FF2B5EF4-FFF2-40B4-BE49-F238E27FC236}">
              <a16:creationId xmlns:a16="http://schemas.microsoft.com/office/drawing/2014/main" id="{1E08DA4B-704E-4784-850F-E8F2BA206C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" name="Elipse 399">
          <a:extLst>
            <a:ext uri="{FF2B5EF4-FFF2-40B4-BE49-F238E27FC236}">
              <a16:creationId xmlns:a16="http://schemas.microsoft.com/office/drawing/2014/main" id="{49FE12C1-4942-4F23-A6D8-872548FDF5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" name="Elipse 400">
          <a:extLst>
            <a:ext uri="{FF2B5EF4-FFF2-40B4-BE49-F238E27FC236}">
              <a16:creationId xmlns:a16="http://schemas.microsoft.com/office/drawing/2014/main" id="{5D822DCA-622C-440C-AD19-3ED81D469A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" name="Elipse 401">
          <a:extLst>
            <a:ext uri="{FF2B5EF4-FFF2-40B4-BE49-F238E27FC236}">
              <a16:creationId xmlns:a16="http://schemas.microsoft.com/office/drawing/2014/main" id="{41339C69-7FC5-40BC-98C9-51929947A8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" name="Elipse 402">
          <a:extLst>
            <a:ext uri="{FF2B5EF4-FFF2-40B4-BE49-F238E27FC236}">
              <a16:creationId xmlns:a16="http://schemas.microsoft.com/office/drawing/2014/main" id="{EBD52B9B-C91B-4F7D-A4EE-E426BECA50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" name="Elipse 403">
          <a:extLst>
            <a:ext uri="{FF2B5EF4-FFF2-40B4-BE49-F238E27FC236}">
              <a16:creationId xmlns:a16="http://schemas.microsoft.com/office/drawing/2014/main" id="{1CC64484-4E4A-466C-B6D2-11ED51A48E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" name="Elipse 404">
          <a:extLst>
            <a:ext uri="{FF2B5EF4-FFF2-40B4-BE49-F238E27FC236}">
              <a16:creationId xmlns:a16="http://schemas.microsoft.com/office/drawing/2014/main" id="{5AB3986B-2AC2-4865-BC12-3EEEC09764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" name="Elipse 405">
          <a:extLst>
            <a:ext uri="{FF2B5EF4-FFF2-40B4-BE49-F238E27FC236}">
              <a16:creationId xmlns:a16="http://schemas.microsoft.com/office/drawing/2014/main" id="{412BFB46-8C0C-4F27-801F-375A7116F0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" name="Elipse 406">
          <a:extLst>
            <a:ext uri="{FF2B5EF4-FFF2-40B4-BE49-F238E27FC236}">
              <a16:creationId xmlns:a16="http://schemas.microsoft.com/office/drawing/2014/main" id="{ABB34FF2-A24D-4EC3-B23D-7DCBC1F58D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" name="Elipse 407">
          <a:extLst>
            <a:ext uri="{FF2B5EF4-FFF2-40B4-BE49-F238E27FC236}">
              <a16:creationId xmlns:a16="http://schemas.microsoft.com/office/drawing/2014/main" id="{1A54CB57-E50A-4FEF-B326-F8357F5D6F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" name="Elipse 408">
          <a:extLst>
            <a:ext uri="{FF2B5EF4-FFF2-40B4-BE49-F238E27FC236}">
              <a16:creationId xmlns:a16="http://schemas.microsoft.com/office/drawing/2014/main" id="{BF58365C-B9B6-4DD0-9DDA-9658AEFB08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" name="Elipse 409">
          <a:extLst>
            <a:ext uri="{FF2B5EF4-FFF2-40B4-BE49-F238E27FC236}">
              <a16:creationId xmlns:a16="http://schemas.microsoft.com/office/drawing/2014/main" id="{492FDC7E-8E39-4989-B02A-152B6DF2F6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" name="Elipse 410">
          <a:extLst>
            <a:ext uri="{FF2B5EF4-FFF2-40B4-BE49-F238E27FC236}">
              <a16:creationId xmlns:a16="http://schemas.microsoft.com/office/drawing/2014/main" id="{86289D52-5A6D-430B-955A-8BB29D421A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" name="Elipse 411">
          <a:extLst>
            <a:ext uri="{FF2B5EF4-FFF2-40B4-BE49-F238E27FC236}">
              <a16:creationId xmlns:a16="http://schemas.microsoft.com/office/drawing/2014/main" id="{8165060F-06BA-4BB0-8A7A-42B083BBFA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" name="Elipse 412">
          <a:extLst>
            <a:ext uri="{FF2B5EF4-FFF2-40B4-BE49-F238E27FC236}">
              <a16:creationId xmlns:a16="http://schemas.microsoft.com/office/drawing/2014/main" id="{7103FE73-92DD-4F3E-8CE0-C3745D8FB0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" name="Elipse 413">
          <a:extLst>
            <a:ext uri="{FF2B5EF4-FFF2-40B4-BE49-F238E27FC236}">
              <a16:creationId xmlns:a16="http://schemas.microsoft.com/office/drawing/2014/main" id="{CE73B352-B751-4816-8E4A-56D0A8E6E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" name="Elipse 414">
          <a:extLst>
            <a:ext uri="{FF2B5EF4-FFF2-40B4-BE49-F238E27FC236}">
              <a16:creationId xmlns:a16="http://schemas.microsoft.com/office/drawing/2014/main" id="{E5D0274E-1029-46B0-B777-6A6C9E43C2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" name="Elipse 415">
          <a:extLst>
            <a:ext uri="{FF2B5EF4-FFF2-40B4-BE49-F238E27FC236}">
              <a16:creationId xmlns:a16="http://schemas.microsoft.com/office/drawing/2014/main" id="{39CC5547-7EB9-4C01-BEBA-0073B0D6BA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" name="Elipse 416">
          <a:extLst>
            <a:ext uri="{FF2B5EF4-FFF2-40B4-BE49-F238E27FC236}">
              <a16:creationId xmlns:a16="http://schemas.microsoft.com/office/drawing/2014/main" id="{B2B582AB-4E36-4CA4-895E-E386266CCC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" name="Elipse 417">
          <a:extLst>
            <a:ext uri="{FF2B5EF4-FFF2-40B4-BE49-F238E27FC236}">
              <a16:creationId xmlns:a16="http://schemas.microsoft.com/office/drawing/2014/main" id="{77024A85-9173-4A82-A3EB-E90B81B424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" name="Elipse 418">
          <a:extLst>
            <a:ext uri="{FF2B5EF4-FFF2-40B4-BE49-F238E27FC236}">
              <a16:creationId xmlns:a16="http://schemas.microsoft.com/office/drawing/2014/main" id="{4CA68402-F2CD-4B1D-ABF2-E123664939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" name="Elipse 419">
          <a:extLst>
            <a:ext uri="{FF2B5EF4-FFF2-40B4-BE49-F238E27FC236}">
              <a16:creationId xmlns:a16="http://schemas.microsoft.com/office/drawing/2014/main" id="{517AB570-251B-417D-8358-E1EDE87F70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" name="Elipse 420">
          <a:extLst>
            <a:ext uri="{FF2B5EF4-FFF2-40B4-BE49-F238E27FC236}">
              <a16:creationId xmlns:a16="http://schemas.microsoft.com/office/drawing/2014/main" id="{7543AC4C-08E7-4451-9223-10D3943F46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" name="Elipse 421">
          <a:extLst>
            <a:ext uri="{FF2B5EF4-FFF2-40B4-BE49-F238E27FC236}">
              <a16:creationId xmlns:a16="http://schemas.microsoft.com/office/drawing/2014/main" id="{8C06894F-8D1D-427F-BCCC-E7AE91A69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" name="Elipse 422">
          <a:extLst>
            <a:ext uri="{FF2B5EF4-FFF2-40B4-BE49-F238E27FC236}">
              <a16:creationId xmlns:a16="http://schemas.microsoft.com/office/drawing/2014/main" id="{02E6B482-A969-4BE3-8FB6-37E4352A6C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" name="Elipse 423">
          <a:extLst>
            <a:ext uri="{FF2B5EF4-FFF2-40B4-BE49-F238E27FC236}">
              <a16:creationId xmlns:a16="http://schemas.microsoft.com/office/drawing/2014/main" id="{5B46CE7A-1878-401F-A698-90216CF36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" name="Elipse 424">
          <a:extLst>
            <a:ext uri="{FF2B5EF4-FFF2-40B4-BE49-F238E27FC236}">
              <a16:creationId xmlns:a16="http://schemas.microsoft.com/office/drawing/2014/main" id="{7A3F4774-8B18-4835-8CB3-C4C6193926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" name="Elipse 425">
          <a:extLst>
            <a:ext uri="{FF2B5EF4-FFF2-40B4-BE49-F238E27FC236}">
              <a16:creationId xmlns:a16="http://schemas.microsoft.com/office/drawing/2014/main" id="{E71AA7B3-8B3E-4F5D-A0BE-5ABBC1731C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" name="Elipse 426">
          <a:extLst>
            <a:ext uri="{FF2B5EF4-FFF2-40B4-BE49-F238E27FC236}">
              <a16:creationId xmlns:a16="http://schemas.microsoft.com/office/drawing/2014/main" id="{3B679D67-33C1-47CC-8956-FD0D7E9D76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" name="Elipse 427">
          <a:extLst>
            <a:ext uri="{FF2B5EF4-FFF2-40B4-BE49-F238E27FC236}">
              <a16:creationId xmlns:a16="http://schemas.microsoft.com/office/drawing/2014/main" id="{FEDDB65A-4543-44FC-9905-D71FED710D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" name="Elipse 428">
          <a:extLst>
            <a:ext uri="{FF2B5EF4-FFF2-40B4-BE49-F238E27FC236}">
              <a16:creationId xmlns:a16="http://schemas.microsoft.com/office/drawing/2014/main" id="{97B8D96D-0A14-484C-A864-BF28331323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" name="Elipse 429">
          <a:extLst>
            <a:ext uri="{FF2B5EF4-FFF2-40B4-BE49-F238E27FC236}">
              <a16:creationId xmlns:a16="http://schemas.microsoft.com/office/drawing/2014/main" id="{96DFD81F-B9D0-48BE-92FD-E85399F648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" name="Elipse 430">
          <a:extLst>
            <a:ext uri="{FF2B5EF4-FFF2-40B4-BE49-F238E27FC236}">
              <a16:creationId xmlns:a16="http://schemas.microsoft.com/office/drawing/2014/main" id="{0C3FF56A-3470-4C4F-9317-A08E900E57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" name="Elipse 431">
          <a:extLst>
            <a:ext uri="{FF2B5EF4-FFF2-40B4-BE49-F238E27FC236}">
              <a16:creationId xmlns:a16="http://schemas.microsoft.com/office/drawing/2014/main" id="{2BF07043-23CF-4536-A4E1-2DEBF7D588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" name="Elipse 432">
          <a:extLst>
            <a:ext uri="{FF2B5EF4-FFF2-40B4-BE49-F238E27FC236}">
              <a16:creationId xmlns:a16="http://schemas.microsoft.com/office/drawing/2014/main" id="{C18A50C4-91CF-4AC6-BAA8-196540C2DA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" name="Elipse 433">
          <a:extLst>
            <a:ext uri="{FF2B5EF4-FFF2-40B4-BE49-F238E27FC236}">
              <a16:creationId xmlns:a16="http://schemas.microsoft.com/office/drawing/2014/main" id="{6834B627-C75C-4FF5-8EF3-759A17348D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" name="Elipse 434">
          <a:extLst>
            <a:ext uri="{FF2B5EF4-FFF2-40B4-BE49-F238E27FC236}">
              <a16:creationId xmlns:a16="http://schemas.microsoft.com/office/drawing/2014/main" id="{CC441E07-FDFE-4857-89D4-481BBCC26C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" name="Elipse 435">
          <a:extLst>
            <a:ext uri="{FF2B5EF4-FFF2-40B4-BE49-F238E27FC236}">
              <a16:creationId xmlns:a16="http://schemas.microsoft.com/office/drawing/2014/main" id="{15AA8CFC-E91A-49AC-812E-D555BD15D2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" name="Elipse 436">
          <a:extLst>
            <a:ext uri="{FF2B5EF4-FFF2-40B4-BE49-F238E27FC236}">
              <a16:creationId xmlns:a16="http://schemas.microsoft.com/office/drawing/2014/main" id="{DB1D9008-10E3-4616-9E54-DA10AAD38C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" name="Elipse 437">
          <a:extLst>
            <a:ext uri="{FF2B5EF4-FFF2-40B4-BE49-F238E27FC236}">
              <a16:creationId xmlns:a16="http://schemas.microsoft.com/office/drawing/2014/main" id="{9656D784-E385-400D-9986-CBD223141F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" name="Elipse 438">
          <a:extLst>
            <a:ext uri="{FF2B5EF4-FFF2-40B4-BE49-F238E27FC236}">
              <a16:creationId xmlns:a16="http://schemas.microsoft.com/office/drawing/2014/main" id="{87316791-7B66-4A4A-9786-12F0E9B568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" name="Elipse 439">
          <a:extLst>
            <a:ext uri="{FF2B5EF4-FFF2-40B4-BE49-F238E27FC236}">
              <a16:creationId xmlns:a16="http://schemas.microsoft.com/office/drawing/2014/main" id="{470FDCBB-5BFA-4D3B-87B4-ADC783FEAB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" name="Elipse 440">
          <a:extLst>
            <a:ext uri="{FF2B5EF4-FFF2-40B4-BE49-F238E27FC236}">
              <a16:creationId xmlns:a16="http://schemas.microsoft.com/office/drawing/2014/main" id="{C755CFC7-82DE-4FEE-AAFE-193C9ECC8E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" name="Elipse 441">
          <a:extLst>
            <a:ext uri="{FF2B5EF4-FFF2-40B4-BE49-F238E27FC236}">
              <a16:creationId xmlns:a16="http://schemas.microsoft.com/office/drawing/2014/main" id="{03701668-9436-428A-A7A9-679AD03941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" name="Elipse 442">
          <a:extLst>
            <a:ext uri="{FF2B5EF4-FFF2-40B4-BE49-F238E27FC236}">
              <a16:creationId xmlns:a16="http://schemas.microsoft.com/office/drawing/2014/main" id="{EF197A76-404F-44C6-A23A-684AD63EBD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" name="Elipse 443">
          <a:extLst>
            <a:ext uri="{FF2B5EF4-FFF2-40B4-BE49-F238E27FC236}">
              <a16:creationId xmlns:a16="http://schemas.microsoft.com/office/drawing/2014/main" id="{02B21DD7-60C0-4FF1-A6C4-E00D5FEE97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" name="Elipse 444">
          <a:extLst>
            <a:ext uri="{FF2B5EF4-FFF2-40B4-BE49-F238E27FC236}">
              <a16:creationId xmlns:a16="http://schemas.microsoft.com/office/drawing/2014/main" id="{96F4F0A7-4C21-4CC4-AF32-B9D5F53DA3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" name="Elipse 445">
          <a:extLst>
            <a:ext uri="{FF2B5EF4-FFF2-40B4-BE49-F238E27FC236}">
              <a16:creationId xmlns:a16="http://schemas.microsoft.com/office/drawing/2014/main" id="{5DD93B80-095C-409F-B19F-F1DD0E6CD1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" name="Elipse 446">
          <a:extLst>
            <a:ext uri="{FF2B5EF4-FFF2-40B4-BE49-F238E27FC236}">
              <a16:creationId xmlns:a16="http://schemas.microsoft.com/office/drawing/2014/main" id="{A6EF1F81-C0D4-4436-9E08-60EB3DD558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" name="Elipse 447">
          <a:extLst>
            <a:ext uri="{FF2B5EF4-FFF2-40B4-BE49-F238E27FC236}">
              <a16:creationId xmlns:a16="http://schemas.microsoft.com/office/drawing/2014/main" id="{AA32FB71-4EAD-46F8-841C-5A83F5CE37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" name="Elipse 448">
          <a:extLst>
            <a:ext uri="{FF2B5EF4-FFF2-40B4-BE49-F238E27FC236}">
              <a16:creationId xmlns:a16="http://schemas.microsoft.com/office/drawing/2014/main" id="{48E3A332-C7A4-41FC-803A-7F147CE851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" name="Elipse 449">
          <a:extLst>
            <a:ext uri="{FF2B5EF4-FFF2-40B4-BE49-F238E27FC236}">
              <a16:creationId xmlns:a16="http://schemas.microsoft.com/office/drawing/2014/main" id="{57356DF3-3C36-4990-805D-B82D4EB0F7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" name="Elipse 450">
          <a:extLst>
            <a:ext uri="{FF2B5EF4-FFF2-40B4-BE49-F238E27FC236}">
              <a16:creationId xmlns:a16="http://schemas.microsoft.com/office/drawing/2014/main" id="{3E32EAE9-CE50-4BE6-B0D3-0C71EA5EF3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" name="Elipse 451">
          <a:extLst>
            <a:ext uri="{FF2B5EF4-FFF2-40B4-BE49-F238E27FC236}">
              <a16:creationId xmlns:a16="http://schemas.microsoft.com/office/drawing/2014/main" id="{ABEEF673-E6DF-445E-BA4D-2771706595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" name="Elipse 452">
          <a:extLst>
            <a:ext uri="{FF2B5EF4-FFF2-40B4-BE49-F238E27FC236}">
              <a16:creationId xmlns:a16="http://schemas.microsoft.com/office/drawing/2014/main" id="{8541A7CE-A73F-4961-B010-04CC33472D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" name="Elipse 453">
          <a:extLst>
            <a:ext uri="{FF2B5EF4-FFF2-40B4-BE49-F238E27FC236}">
              <a16:creationId xmlns:a16="http://schemas.microsoft.com/office/drawing/2014/main" id="{CA2FCE8F-685D-43AD-8E0D-63BE12E7F3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" name="Elipse 454">
          <a:extLst>
            <a:ext uri="{FF2B5EF4-FFF2-40B4-BE49-F238E27FC236}">
              <a16:creationId xmlns:a16="http://schemas.microsoft.com/office/drawing/2014/main" id="{FECE9825-25C2-431D-8C6E-E88F6CECC4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" name="Elipse 455">
          <a:extLst>
            <a:ext uri="{FF2B5EF4-FFF2-40B4-BE49-F238E27FC236}">
              <a16:creationId xmlns:a16="http://schemas.microsoft.com/office/drawing/2014/main" id="{6DA2B8EA-391C-487C-A307-71C484ADCD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" name="Elipse 456">
          <a:extLst>
            <a:ext uri="{FF2B5EF4-FFF2-40B4-BE49-F238E27FC236}">
              <a16:creationId xmlns:a16="http://schemas.microsoft.com/office/drawing/2014/main" id="{BC7FE30F-2EDE-4539-AC24-6A054DEA9A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" name="Elipse 457">
          <a:extLst>
            <a:ext uri="{FF2B5EF4-FFF2-40B4-BE49-F238E27FC236}">
              <a16:creationId xmlns:a16="http://schemas.microsoft.com/office/drawing/2014/main" id="{EC655B1D-A410-4CE6-9EAC-C4DB209EED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" name="Elipse 458">
          <a:extLst>
            <a:ext uri="{FF2B5EF4-FFF2-40B4-BE49-F238E27FC236}">
              <a16:creationId xmlns:a16="http://schemas.microsoft.com/office/drawing/2014/main" id="{2C04F6B3-F2B1-4B7E-845A-66DDC9F37D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" name="Elipse 459">
          <a:extLst>
            <a:ext uri="{FF2B5EF4-FFF2-40B4-BE49-F238E27FC236}">
              <a16:creationId xmlns:a16="http://schemas.microsoft.com/office/drawing/2014/main" id="{40F68972-70D2-42AB-ACF4-F0DDFF772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" name="Elipse 460">
          <a:extLst>
            <a:ext uri="{FF2B5EF4-FFF2-40B4-BE49-F238E27FC236}">
              <a16:creationId xmlns:a16="http://schemas.microsoft.com/office/drawing/2014/main" id="{3A5540C5-7B31-42C9-9668-DDFD3E23E9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" name="Elipse 461">
          <a:extLst>
            <a:ext uri="{FF2B5EF4-FFF2-40B4-BE49-F238E27FC236}">
              <a16:creationId xmlns:a16="http://schemas.microsoft.com/office/drawing/2014/main" id="{D4EF335A-23F7-4B06-8813-235B7064FC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" name="Elipse 462">
          <a:extLst>
            <a:ext uri="{FF2B5EF4-FFF2-40B4-BE49-F238E27FC236}">
              <a16:creationId xmlns:a16="http://schemas.microsoft.com/office/drawing/2014/main" id="{4B3F38E7-46B2-4D68-8F64-4F5760DB5E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" name="Elipse 463">
          <a:extLst>
            <a:ext uri="{FF2B5EF4-FFF2-40B4-BE49-F238E27FC236}">
              <a16:creationId xmlns:a16="http://schemas.microsoft.com/office/drawing/2014/main" id="{86F51A00-A66A-4096-BD83-CBF735EC2D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" name="Elipse 464">
          <a:extLst>
            <a:ext uri="{FF2B5EF4-FFF2-40B4-BE49-F238E27FC236}">
              <a16:creationId xmlns:a16="http://schemas.microsoft.com/office/drawing/2014/main" id="{471F4C1D-C58B-4B6F-81C0-ECB498F616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" name="Elipse 465">
          <a:extLst>
            <a:ext uri="{FF2B5EF4-FFF2-40B4-BE49-F238E27FC236}">
              <a16:creationId xmlns:a16="http://schemas.microsoft.com/office/drawing/2014/main" id="{3ECE263F-993E-401E-BDD2-80FAE00F0B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" name="Elipse 466">
          <a:extLst>
            <a:ext uri="{FF2B5EF4-FFF2-40B4-BE49-F238E27FC236}">
              <a16:creationId xmlns:a16="http://schemas.microsoft.com/office/drawing/2014/main" id="{20856358-26CF-42B9-9133-6A34226844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" name="Elipse 467">
          <a:extLst>
            <a:ext uri="{FF2B5EF4-FFF2-40B4-BE49-F238E27FC236}">
              <a16:creationId xmlns:a16="http://schemas.microsoft.com/office/drawing/2014/main" id="{9E42A86D-28FC-436E-81FD-165998E682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" name="Elipse 468">
          <a:extLst>
            <a:ext uri="{FF2B5EF4-FFF2-40B4-BE49-F238E27FC236}">
              <a16:creationId xmlns:a16="http://schemas.microsoft.com/office/drawing/2014/main" id="{7B58FEFB-9CCE-44F9-9806-A09FDC361F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" name="Elipse 469">
          <a:extLst>
            <a:ext uri="{FF2B5EF4-FFF2-40B4-BE49-F238E27FC236}">
              <a16:creationId xmlns:a16="http://schemas.microsoft.com/office/drawing/2014/main" id="{A1F62171-FC0F-41BA-93A4-74FC191037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" name="Elipse 470">
          <a:extLst>
            <a:ext uri="{FF2B5EF4-FFF2-40B4-BE49-F238E27FC236}">
              <a16:creationId xmlns:a16="http://schemas.microsoft.com/office/drawing/2014/main" id="{DBBE73D9-AB75-4A99-82D2-4399A39D1B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" name="Elipse 471">
          <a:extLst>
            <a:ext uri="{FF2B5EF4-FFF2-40B4-BE49-F238E27FC236}">
              <a16:creationId xmlns:a16="http://schemas.microsoft.com/office/drawing/2014/main" id="{D7B47CC8-D7BB-4B05-B453-D4AA29F1D6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" name="Elipse 472">
          <a:extLst>
            <a:ext uri="{FF2B5EF4-FFF2-40B4-BE49-F238E27FC236}">
              <a16:creationId xmlns:a16="http://schemas.microsoft.com/office/drawing/2014/main" id="{5D0D0DE6-FC20-4E50-A14D-06EE241C90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" name="Elipse 473">
          <a:extLst>
            <a:ext uri="{FF2B5EF4-FFF2-40B4-BE49-F238E27FC236}">
              <a16:creationId xmlns:a16="http://schemas.microsoft.com/office/drawing/2014/main" id="{9CA7F91A-49B2-4DC6-A3DC-DC7B90BBB6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" name="Elipse 474">
          <a:extLst>
            <a:ext uri="{FF2B5EF4-FFF2-40B4-BE49-F238E27FC236}">
              <a16:creationId xmlns:a16="http://schemas.microsoft.com/office/drawing/2014/main" id="{BF79D5D8-D99A-4191-9275-6ADFF14E76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" name="Elipse 475">
          <a:extLst>
            <a:ext uri="{FF2B5EF4-FFF2-40B4-BE49-F238E27FC236}">
              <a16:creationId xmlns:a16="http://schemas.microsoft.com/office/drawing/2014/main" id="{D77A34B0-CEBE-4FCA-8B06-FCA60E2906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" name="Elipse 476">
          <a:extLst>
            <a:ext uri="{FF2B5EF4-FFF2-40B4-BE49-F238E27FC236}">
              <a16:creationId xmlns:a16="http://schemas.microsoft.com/office/drawing/2014/main" id="{F0D08E7F-04AE-4EBA-836F-30A8EE7E10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" name="Elipse 477">
          <a:extLst>
            <a:ext uri="{FF2B5EF4-FFF2-40B4-BE49-F238E27FC236}">
              <a16:creationId xmlns:a16="http://schemas.microsoft.com/office/drawing/2014/main" id="{65B44CCA-D199-4227-9EAC-A3ED775D78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" name="Elipse 478">
          <a:extLst>
            <a:ext uri="{FF2B5EF4-FFF2-40B4-BE49-F238E27FC236}">
              <a16:creationId xmlns:a16="http://schemas.microsoft.com/office/drawing/2014/main" id="{C852F98C-3556-4B08-B045-4841A36B7E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" name="Elipse 479">
          <a:extLst>
            <a:ext uri="{FF2B5EF4-FFF2-40B4-BE49-F238E27FC236}">
              <a16:creationId xmlns:a16="http://schemas.microsoft.com/office/drawing/2014/main" id="{5BBDB09D-BF1A-494C-95F7-8505782102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" name="Elipse 480">
          <a:extLst>
            <a:ext uri="{FF2B5EF4-FFF2-40B4-BE49-F238E27FC236}">
              <a16:creationId xmlns:a16="http://schemas.microsoft.com/office/drawing/2014/main" id="{C5576702-EE6A-4F34-BCFD-42E738EFD7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" name="Elipse 481">
          <a:extLst>
            <a:ext uri="{FF2B5EF4-FFF2-40B4-BE49-F238E27FC236}">
              <a16:creationId xmlns:a16="http://schemas.microsoft.com/office/drawing/2014/main" id="{48AEB05C-F91A-485D-8EFB-5DF074670B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" name="Elipse 482">
          <a:extLst>
            <a:ext uri="{FF2B5EF4-FFF2-40B4-BE49-F238E27FC236}">
              <a16:creationId xmlns:a16="http://schemas.microsoft.com/office/drawing/2014/main" id="{A38B2156-B00A-4538-8BFB-1EA55E226B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" name="Elipse 483">
          <a:extLst>
            <a:ext uri="{FF2B5EF4-FFF2-40B4-BE49-F238E27FC236}">
              <a16:creationId xmlns:a16="http://schemas.microsoft.com/office/drawing/2014/main" id="{05E52E6C-370E-4FAB-B67F-6DA4F83C98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" name="Elipse 484">
          <a:extLst>
            <a:ext uri="{FF2B5EF4-FFF2-40B4-BE49-F238E27FC236}">
              <a16:creationId xmlns:a16="http://schemas.microsoft.com/office/drawing/2014/main" id="{001247ED-5079-4FFE-88F3-E8021FB213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" name="Elipse 485">
          <a:extLst>
            <a:ext uri="{FF2B5EF4-FFF2-40B4-BE49-F238E27FC236}">
              <a16:creationId xmlns:a16="http://schemas.microsoft.com/office/drawing/2014/main" id="{7658A65F-4CCB-4554-83EB-95D511DDB0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" name="Elipse 486">
          <a:extLst>
            <a:ext uri="{FF2B5EF4-FFF2-40B4-BE49-F238E27FC236}">
              <a16:creationId xmlns:a16="http://schemas.microsoft.com/office/drawing/2014/main" id="{24E88A5A-EFDC-4B4C-B5C6-2308C91F2B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" name="Elipse 487">
          <a:extLst>
            <a:ext uri="{FF2B5EF4-FFF2-40B4-BE49-F238E27FC236}">
              <a16:creationId xmlns:a16="http://schemas.microsoft.com/office/drawing/2014/main" id="{ED306388-E51F-44FA-ACBB-B287B1B3A9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" name="Elipse 488">
          <a:extLst>
            <a:ext uri="{FF2B5EF4-FFF2-40B4-BE49-F238E27FC236}">
              <a16:creationId xmlns:a16="http://schemas.microsoft.com/office/drawing/2014/main" id="{FB591F28-825B-4CB9-ABC8-33739BCA7A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" name="Elipse 489">
          <a:extLst>
            <a:ext uri="{FF2B5EF4-FFF2-40B4-BE49-F238E27FC236}">
              <a16:creationId xmlns:a16="http://schemas.microsoft.com/office/drawing/2014/main" id="{5A9C1486-BD37-46D1-8F21-16218F19D8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" name="Elipse 490">
          <a:extLst>
            <a:ext uri="{FF2B5EF4-FFF2-40B4-BE49-F238E27FC236}">
              <a16:creationId xmlns:a16="http://schemas.microsoft.com/office/drawing/2014/main" id="{AB4532EC-00FA-4740-91A0-363506C521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" name="Elipse 491">
          <a:extLst>
            <a:ext uri="{FF2B5EF4-FFF2-40B4-BE49-F238E27FC236}">
              <a16:creationId xmlns:a16="http://schemas.microsoft.com/office/drawing/2014/main" id="{B58E805A-47A9-42F8-AFAD-0446666D94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" name="Elipse 492">
          <a:extLst>
            <a:ext uri="{FF2B5EF4-FFF2-40B4-BE49-F238E27FC236}">
              <a16:creationId xmlns:a16="http://schemas.microsoft.com/office/drawing/2014/main" id="{BC4538BB-0F8B-4983-ABDB-EFEE31666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" name="Elipse 493">
          <a:extLst>
            <a:ext uri="{FF2B5EF4-FFF2-40B4-BE49-F238E27FC236}">
              <a16:creationId xmlns:a16="http://schemas.microsoft.com/office/drawing/2014/main" id="{C2EFC410-E07F-4DEA-B0A8-249D4FA124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" name="Elipse 494">
          <a:extLst>
            <a:ext uri="{FF2B5EF4-FFF2-40B4-BE49-F238E27FC236}">
              <a16:creationId xmlns:a16="http://schemas.microsoft.com/office/drawing/2014/main" id="{3F6838C0-1987-489F-95C3-8C56C2192A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" name="Elipse 495">
          <a:extLst>
            <a:ext uri="{FF2B5EF4-FFF2-40B4-BE49-F238E27FC236}">
              <a16:creationId xmlns:a16="http://schemas.microsoft.com/office/drawing/2014/main" id="{712A17AA-4ABB-49F4-AF67-0E321DD413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" name="Elipse 496">
          <a:extLst>
            <a:ext uri="{FF2B5EF4-FFF2-40B4-BE49-F238E27FC236}">
              <a16:creationId xmlns:a16="http://schemas.microsoft.com/office/drawing/2014/main" id="{E54D0A4D-5387-48CE-93F1-876224EFA1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" name="Elipse 497">
          <a:extLst>
            <a:ext uri="{FF2B5EF4-FFF2-40B4-BE49-F238E27FC236}">
              <a16:creationId xmlns:a16="http://schemas.microsoft.com/office/drawing/2014/main" id="{A09CA5D4-0AB2-4004-9894-ED02F4FB0A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" name="Elipse 498">
          <a:extLst>
            <a:ext uri="{FF2B5EF4-FFF2-40B4-BE49-F238E27FC236}">
              <a16:creationId xmlns:a16="http://schemas.microsoft.com/office/drawing/2014/main" id="{822F26A7-E668-4977-A57A-E9A8BE9AAF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" name="Elipse 499">
          <a:extLst>
            <a:ext uri="{FF2B5EF4-FFF2-40B4-BE49-F238E27FC236}">
              <a16:creationId xmlns:a16="http://schemas.microsoft.com/office/drawing/2014/main" id="{20D70C13-B230-4C05-9960-623FB8962F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" name="Elipse 500">
          <a:extLst>
            <a:ext uri="{FF2B5EF4-FFF2-40B4-BE49-F238E27FC236}">
              <a16:creationId xmlns:a16="http://schemas.microsoft.com/office/drawing/2014/main" id="{7465C52F-0998-4403-9B6B-587028ECBD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" name="Elipse 501">
          <a:extLst>
            <a:ext uri="{FF2B5EF4-FFF2-40B4-BE49-F238E27FC236}">
              <a16:creationId xmlns:a16="http://schemas.microsoft.com/office/drawing/2014/main" id="{8358013A-D924-4AA8-B005-7494ED85B8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" name="Elipse 502">
          <a:extLst>
            <a:ext uri="{FF2B5EF4-FFF2-40B4-BE49-F238E27FC236}">
              <a16:creationId xmlns:a16="http://schemas.microsoft.com/office/drawing/2014/main" id="{78E56B52-90DC-4CBB-9CEF-17DC7B06BC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" name="Elipse 503">
          <a:extLst>
            <a:ext uri="{FF2B5EF4-FFF2-40B4-BE49-F238E27FC236}">
              <a16:creationId xmlns:a16="http://schemas.microsoft.com/office/drawing/2014/main" id="{095AA576-5871-4441-9BCC-925B11FCF0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" name="Elipse 504">
          <a:extLst>
            <a:ext uri="{FF2B5EF4-FFF2-40B4-BE49-F238E27FC236}">
              <a16:creationId xmlns:a16="http://schemas.microsoft.com/office/drawing/2014/main" id="{5BF405C5-CFE0-4B82-8A3D-BEA2F6E87B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" name="Elipse 505">
          <a:extLst>
            <a:ext uri="{FF2B5EF4-FFF2-40B4-BE49-F238E27FC236}">
              <a16:creationId xmlns:a16="http://schemas.microsoft.com/office/drawing/2014/main" id="{AE667B41-F6A8-43FF-B8AE-238301A675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" name="Elipse 506">
          <a:extLst>
            <a:ext uri="{FF2B5EF4-FFF2-40B4-BE49-F238E27FC236}">
              <a16:creationId xmlns:a16="http://schemas.microsoft.com/office/drawing/2014/main" id="{EE605BB1-4FDA-47DA-9B3F-EAB6F13245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" name="Elipse 507">
          <a:extLst>
            <a:ext uri="{FF2B5EF4-FFF2-40B4-BE49-F238E27FC236}">
              <a16:creationId xmlns:a16="http://schemas.microsoft.com/office/drawing/2014/main" id="{59F92AEA-F753-4449-9D2A-08F734A008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" name="Elipse 508">
          <a:extLst>
            <a:ext uri="{FF2B5EF4-FFF2-40B4-BE49-F238E27FC236}">
              <a16:creationId xmlns:a16="http://schemas.microsoft.com/office/drawing/2014/main" id="{E894C378-5E2F-4157-9C7F-548E820950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" name="Elipse 509">
          <a:extLst>
            <a:ext uri="{FF2B5EF4-FFF2-40B4-BE49-F238E27FC236}">
              <a16:creationId xmlns:a16="http://schemas.microsoft.com/office/drawing/2014/main" id="{7E46D68C-07C1-4D73-BBC4-8EC2208137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" name="Elipse 510">
          <a:extLst>
            <a:ext uri="{FF2B5EF4-FFF2-40B4-BE49-F238E27FC236}">
              <a16:creationId xmlns:a16="http://schemas.microsoft.com/office/drawing/2014/main" id="{6BA6531E-F9F9-4A96-BFF1-AF1212EC8B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" name="Elipse 511">
          <a:extLst>
            <a:ext uri="{FF2B5EF4-FFF2-40B4-BE49-F238E27FC236}">
              <a16:creationId xmlns:a16="http://schemas.microsoft.com/office/drawing/2014/main" id="{CA1B6A06-7D6B-427B-925D-41C030D0C0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" name="Elipse 512">
          <a:extLst>
            <a:ext uri="{FF2B5EF4-FFF2-40B4-BE49-F238E27FC236}">
              <a16:creationId xmlns:a16="http://schemas.microsoft.com/office/drawing/2014/main" id="{C19C5CDC-FE8F-49BC-9223-D6B8FC05B9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" name="Elipse 513">
          <a:extLst>
            <a:ext uri="{FF2B5EF4-FFF2-40B4-BE49-F238E27FC236}">
              <a16:creationId xmlns:a16="http://schemas.microsoft.com/office/drawing/2014/main" id="{621A0E7B-10BB-407C-9E3C-DF56BBD736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" name="Elipse 514">
          <a:extLst>
            <a:ext uri="{FF2B5EF4-FFF2-40B4-BE49-F238E27FC236}">
              <a16:creationId xmlns:a16="http://schemas.microsoft.com/office/drawing/2014/main" id="{762701F8-DA14-4D0D-A42D-EBB379A923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" name="Elipse 515">
          <a:extLst>
            <a:ext uri="{FF2B5EF4-FFF2-40B4-BE49-F238E27FC236}">
              <a16:creationId xmlns:a16="http://schemas.microsoft.com/office/drawing/2014/main" id="{235C5DEA-9AC4-46D8-8138-3BABDD690F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" name="Elipse 516">
          <a:extLst>
            <a:ext uri="{FF2B5EF4-FFF2-40B4-BE49-F238E27FC236}">
              <a16:creationId xmlns:a16="http://schemas.microsoft.com/office/drawing/2014/main" id="{7587797E-9BA2-4053-AF36-1C68FC65CA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" name="Elipse 517">
          <a:extLst>
            <a:ext uri="{FF2B5EF4-FFF2-40B4-BE49-F238E27FC236}">
              <a16:creationId xmlns:a16="http://schemas.microsoft.com/office/drawing/2014/main" id="{62954719-C942-44AE-A7BE-3B602E281B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" name="Elipse 518">
          <a:extLst>
            <a:ext uri="{FF2B5EF4-FFF2-40B4-BE49-F238E27FC236}">
              <a16:creationId xmlns:a16="http://schemas.microsoft.com/office/drawing/2014/main" id="{3473FB36-88AF-464F-9E3D-B988069AE7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" name="Elipse 519">
          <a:extLst>
            <a:ext uri="{FF2B5EF4-FFF2-40B4-BE49-F238E27FC236}">
              <a16:creationId xmlns:a16="http://schemas.microsoft.com/office/drawing/2014/main" id="{E0902E37-88F8-416E-8442-6F4526B4AC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" name="Elipse 520">
          <a:extLst>
            <a:ext uri="{FF2B5EF4-FFF2-40B4-BE49-F238E27FC236}">
              <a16:creationId xmlns:a16="http://schemas.microsoft.com/office/drawing/2014/main" id="{A7B6ACFF-A983-4F66-B449-C780C74DA7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" name="Elipse 521">
          <a:extLst>
            <a:ext uri="{FF2B5EF4-FFF2-40B4-BE49-F238E27FC236}">
              <a16:creationId xmlns:a16="http://schemas.microsoft.com/office/drawing/2014/main" id="{59152A17-32A7-4926-B1E6-9CDEC663D9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" name="Elipse 522">
          <a:extLst>
            <a:ext uri="{FF2B5EF4-FFF2-40B4-BE49-F238E27FC236}">
              <a16:creationId xmlns:a16="http://schemas.microsoft.com/office/drawing/2014/main" id="{232195E3-7732-42AC-8ABD-383D201F0E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" name="Elipse 523">
          <a:extLst>
            <a:ext uri="{FF2B5EF4-FFF2-40B4-BE49-F238E27FC236}">
              <a16:creationId xmlns:a16="http://schemas.microsoft.com/office/drawing/2014/main" id="{EC85C275-8411-4E94-8828-4589B77A5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" name="Elipse 524">
          <a:extLst>
            <a:ext uri="{FF2B5EF4-FFF2-40B4-BE49-F238E27FC236}">
              <a16:creationId xmlns:a16="http://schemas.microsoft.com/office/drawing/2014/main" id="{D8CFBE7B-3D92-4FE5-B12A-795D5153E3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" name="Elipse 525">
          <a:extLst>
            <a:ext uri="{FF2B5EF4-FFF2-40B4-BE49-F238E27FC236}">
              <a16:creationId xmlns:a16="http://schemas.microsoft.com/office/drawing/2014/main" id="{EE79135D-1574-400F-BBFB-B2DAACECA3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" name="Elipse 526">
          <a:extLst>
            <a:ext uri="{FF2B5EF4-FFF2-40B4-BE49-F238E27FC236}">
              <a16:creationId xmlns:a16="http://schemas.microsoft.com/office/drawing/2014/main" id="{CF0AF793-3385-4087-B146-A4A4369DF1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" name="Elipse 527">
          <a:extLst>
            <a:ext uri="{FF2B5EF4-FFF2-40B4-BE49-F238E27FC236}">
              <a16:creationId xmlns:a16="http://schemas.microsoft.com/office/drawing/2014/main" id="{E03C3DA3-8F3C-41D9-912B-33E2477DF2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" name="Elipse 528">
          <a:extLst>
            <a:ext uri="{FF2B5EF4-FFF2-40B4-BE49-F238E27FC236}">
              <a16:creationId xmlns:a16="http://schemas.microsoft.com/office/drawing/2014/main" id="{6CA4BB20-3808-469C-B69F-57C701C03A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" name="Elipse 529">
          <a:extLst>
            <a:ext uri="{FF2B5EF4-FFF2-40B4-BE49-F238E27FC236}">
              <a16:creationId xmlns:a16="http://schemas.microsoft.com/office/drawing/2014/main" id="{2E82893D-B426-45CF-89FC-3B31C98F79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" name="Elipse 530">
          <a:extLst>
            <a:ext uri="{FF2B5EF4-FFF2-40B4-BE49-F238E27FC236}">
              <a16:creationId xmlns:a16="http://schemas.microsoft.com/office/drawing/2014/main" id="{11EB887F-A189-4A71-B0E7-E504D15287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" name="Elipse 531">
          <a:extLst>
            <a:ext uri="{FF2B5EF4-FFF2-40B4-BE49-F238E27FC236}">
              <a16:creationId xmlns:a16="http://schemas.microsoft.com/office/drawing/2014/main" id="{82489BBA-4BFA-4D92-8700-C07356EBBA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" name="Elipse 532">
          <a:extLst>
            <a:ext uri="{FF2B5EF4-FFF2-40B4-BE49-F238E27FC236}">
              <a16:creationId xmlns:a16="http://schemas.microsoft.com/office/drawing/2014/main" id="{285949D5-C85F-4A1C-8112-5FD96AC7B5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" name="Elipse 533">
          <a:extLst>
            <a:ext uri="{FF2B5EF4-FFF2-40B4-BE49-F238E27FC236}">
              <a16:creationId xmlns:a16="http://schemas.microsoft.com/office/drawing/2014/main" id="{0F19386C-2022-41B5-8387-53256937BF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" name="Elipse 534">
          <a:extLst>
            <a:ext uri="{FF2B5EF4-FFF2-40B4-BE49-F238E27FC236}">
              <a16:creationId xmlns:a16="http://schemas.microsoft.com/office/drawing/2014/main" id="{56181F99-175C-4BA8-AF56-B1585667DD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" name="Elipse 535">
          <a:extLst>
            <a:ext uri="{FF2B5EF4-FFF2-40B4-BE49-F238E27FC236}">
              <a16:creationId xmlns:a16="http://schemas.microsoft.com/office/drawing/2014/main" id="{D45BBC81-4C04-4FFA-B335-1E9D902AD3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" name="Elipse 536">
          <a:extLst>
            <a:ext uri="{FF2B5EF4-FFF2-40B4-BE49-F238E27FC236}">
              <a16:creationId xmlns:a16="http://schemas.microsoft.com/office/drawing/2014/main" id="{BE59DDE3-B6A1-4DA0-B758-11841DA6B0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" name="Elipse 537">
          <a:extLst>
            <a:ext uri="{FF2B5EF4-FFF2-40B4-BE49-F238E27FC236}">
              <a16:creationId xmlns:a16="http://schemas.microsoft.com/office/drawing/2014/main" id="{D7C3968F-31A7-4298-990A-838172E8F4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" name="Elipse 538">
          <a:extLst>
            <a:ext uri="{FF2B5EF4-FFF2-40B4-BE49-F238E27FC236}">
              <a16:creationId xmlns:a16="http://schemas.microsoft.com/office/drawing/2014/main" id="{EFF1D8B4-6115-4827-835E-B6640934C1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" name="Elipse 539">
          <a:extLst>
            <a:ext uri="{FF2B5EF4-FFF2-40B4-BE49-F238E27FC236}">
              <a16:creationId xmlns:a16="http://schemas.microsoft.com/office/drawing/2014/main" id="{97B57779-4DFA-4984-978B-20E817DF04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" name="Elipse 540">
          <a:extLst>
            <a:ext uri="{FF2B5EF4-FFF2-40B4-BE49-F238E27FC236}">
              <a16:creationId xmlns:a16="http://schemas.microsoft.com/office/drawing/2014/main" id="{DC4DD848-D6B8-44E8-8D23-7435B1C43D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" name="Elipse 541">
          <a:extLst>
            <a:ext uri="{FF2B5EF4-FFF2-40B4-BE49-F238E27FC236}">
              <a16:creationId xmlns:a16="http://schemas.microsoft.com/office/drawing/2014/main" id="{E0A71C6A-BBD5-4859-A3B7-3085FBD2D5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" name="Elipse 542">
          <a:extLst>
            <a:ext uri="{FF2B5EF4-FFF2-40B4-BE49-F238E27FC236}">
              <a16:creationId xmlns:a16="http://schemas.microsoft.com/office/drawing/2014/main" id="{674BEF27-FDB6-4911-AA2C-768D25D131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" name="Elipse 543">
          <a:extLst>
            <a:ext uri="{FF2B5EF4-FFF2-40B4-BE49-F238E27FC236}">
              <a16:creationId xmlns:a16="http://schemas.microsoft.com/office/drawing/2014/main" id="{1F2A0CE8-4E07-4C3A-94C8-D2845AC494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" name="Elipse 544">
          <a:extLst>
            <a:ext uri="{FF2B5EF4-FFF2-40B4-BE49-F238E27FC236}">
              <a16:creationId xmlns:a16="http://schemas.microsoft.com/office/drawing/2014/main" id="{5307933E-448D-42B0-BA8B-68F9EAB5BB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" name="Elipse 545">
          <a:extLst>
            <a:ext uri="{FF2B5EF4-FFF2-40B4-BE49-F238E27FC236}">
              <a16:creationId xmlns:a16="http://schemas.microsoft.com/office/drawing/2014/main" id="{3CAB793B-29F7-46B0-8CBB-708499E4AE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" name="Elipse 546">
          <a:extLst>
            <a:ext uri="{FF2B5EF4-FFF2-40B4-BE49-F238E27FC236}">
              <a16:creationId xmlns:a16="http://schemas.microsoft.com/office/drawing/2014/main" id="{DB2992B0-D894-42AE-9E3F-29C0055C60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" name="Elipse 547">
          <a:extLst>
            <a:ext uri="{FF2B5EF4-FFF2-40B4-BE49-F238E27FC236}">
              <a16:creationId xmlns:a16="http://schemas.microsoft.com/office/drawing/2014/main" id="{9EE06662-7729-41E4-A110-AEDCF6BD2B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" name="Elipse 548">
          <a:extLst>
            <a:ext uri="{FF2B5EF4-FFF2-40B4-BE49-F238E27FC236}">
              <a16:creationId xmlns:a16="http://schemas.microsoft.com/office/drawing/2014/main" id="{5981F34F-E5F4-4CD5-93FC-89104ECD66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" name="Elipse 549">
          <a:extLst>
            <a:ext uri="{FF2B5EF4-FFF2-40B4-BE49-F238E27FC236}">
              <a16:creationId xmlns:a16="http://schemas.microsoft.com/office/drawing/2014/main" id="{CA50ACDC-6935-4949-A8A8-E96214A851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" name="Elipse 550">
          <a:extLst>
            <a:ext uri="{FF2B5EF4-FFF2-40B4-BE49-F238E27FC236}">
              <a16:creationId xmlns:a16="http://schemas.microsoft.com/office/drawing/2014/main" id="{64791255-3B79-4C0B-97FF-35400BEFC4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" name="Elipse 551">
          <a:extLst>
            <a:ext uri="{FF2B5EF4-FFF2-40B4-BE49-F238E27FC236}">
              <a16:creationId xmlns:a16="http://schemas.microsoft.com/office/drawing/2014/main" id="{3F19953A-55E0-4A62-9148-DDF4FCF0F6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" name="Elipse 552">
          <a:extLst>
            <a:ext uri="{FF2B5EF4-FFF2-40B4-BE49-F238E27FC236}">
              <a16:creationId xmlns:a16="http://schemas.microsoft.com/office/drawing/2014/main" id="{E1CB7037-315E-4EC2-A16D-61553F3B50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" name="Elipse 553">
          <a:extLst>
            <a:ext uri="{FF2B5EF4-FFF2-40B4-BE49-F238E27FC236}">
              <a16:creationId xmlns:a16="http://schemas.microsoft.com/office/drawing/2014/main" id="{A1D85C42-E45E-4E08-8E15-446230BD0D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" name="Elipse 554">
          <a:extLst>
            <a:ext uri="{FF2B5EF4-FFF2-40B4-BE49-F238E27FC236}">
              <a16:creationId xmlns:a16="http://schemas.microsoft.com/office/drawing/2014/main" id="{9BB38070-29A3-4328-9590-8BCF84C706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" name="Elipse 555">
          <a:extLst>
            <a:ext uri="{FF2B5EF4-FFF2-40B4-BE49-F238E27FC236}">
              <a16:creationId xmlns:a16="http://schemas.microsoft.com/office/drawing/2014/main" id="{9DE3B0E7-34C9-4B63-B3FC-CEC3813BF5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" name="Elipse 556">
          <a:extLst>
            <a:ext uri="{FF2B5EF4-FFF2-40B4-BE49-F238E27FC236}">
              <a16:creationId xmlns:a16="http://schemas.microsoft.com/office/drawing/2014/main" id="{510AE2CA-0783-4880-95A4-7D0F5F2AF6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" name="Elipse 557">
          <a:extLst>
            <a:ext uri="{FF2B5EF4-FFF2-40B4-BE49-F238E27FC236}">
              <a16:creationId xmlns:a16="http://schemas.microsoft.com/office/drawing/2014/main" id="{06914257-E3B4-4ACB-BD5A-BBFCAD260A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" name="Elipse 558">
          <a:extLst>
            <a:ext uri="{FF2B5EF4-FFF2-40B4-BE49-F238E27FC236}">
              <a16:creationId xmlns:a16="http://schemas.microsoft.com/office/drawing/2014/main" id="{F62C7EFF-6601-4F4E-9BDF-CDA2287EC4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" name="Elipse 559">
          <a:extLst>
            <a:ext uri="{FF2B5EF4-FFF2-40B4-BE49-F238E27FC236}">
              <a16:creationId xmlns:a16="http://schemas.microsoft.com/office/drawing/2014/main" id="{C02D2161-CC0F-45F4-B46D-491F30BD77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" name="Elipse 560">
          <a:extLst>
            <a:ext uri="{FF2B5EF4-FFF2-40B4-BE49-F238E27FC236}">
              <a16:creationId xmlns:a16="http://schemas.microsoft.com/office/drawing/2014/main" id="{5D438AB3-A852-44C8-B739-E4AFF25291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" name="Elipse 561">
          <a:extLst>
            <a:ext uri="{FF2B5EF4-FFF2-40B4-BE49-F238E27FC236}">
              <a16:creationId xmlns:a16="http://schemas.microsoft.com/office/drawing/2014/main" id="{C4F2C71E-4EC6-46B4-9C5D-E7FC2530C0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" name="Elipse 562">
          <a:extLst>
            <a:ext uri="{FF2B5EF4-FFF2-40B4-BE49-F238E27FC236}">
              <a16:creationId xmlns:a16="http://schemas.microsoft.com/office/drawing/2014/main" id="{95263375-FDF2-4641-8CEB-FD80A1B83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" name="Elipse 563">
          <a:extLst>
            <a:ext uri="{FF2B5EF4-FFF2-40B4-BE49-F238E27FC236}">
              <a16:creationId xmlns:a16="http://schemas.microsoft.com/office/drawing/2014/main" id="{0E257DD0-4E4C-4191-B63F-9C2FAF7E25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" name="Elipse 564">
          <a:extLst>
            <a:ext uri="{FF2B5EF4-FFF2-40B4-BE49-F238E27FC236}">
              <a16:creationId xmlns:a16="http://schemas.microsoft.com/office/drawing/2014/main" id="{4DA5CD5C-9093-407D-AF31-3D366E36D2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" name="Elipse 565">
          <a:extLst>
            <a:ext uri="{FF2B5EF4-FFF2-40B4-BE49-F238E27FC236}">
              <a16:creationId xmlns:a16="http://schemas.microsoft.com/office/drawing/2014/main" id="{E9DCFAFB-7A91-4D17-BC74-9C475EEA63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" name="Elipse 566">
          <a:extLst>
            <a:ext uri="{FF2B5EF4-FFF2-40B4-BE49-F238E27FC236}">
              <a16:creationId xmlns:a16="http://schemas.microsoft.com/office/drawing/2014/main" id="{4957B620-A6D0-4040-902B-D8617199EB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" name="Elipse 567">
          <a:extLst>
            <a:ext uri="{FF2B5EF4-FFF2-40B4-BE49-F238E27FC236}">
              <a16:creationId xmlns:a16="http://schemas.microsoft.com/office/drawing/2014/main" id="{79B8EF47-D12A-4CF3-A267-611294FA61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" name="Elipse 568">
          <a:extLst>
            <a:ext uri="{FF2B5EF4-FFF2-40B4-BE49-F238E27FC236}">
              <a16:creationId xmlns:a16="http://schemas.microsoft.com/office/drawing/2014/main" id="{CA302F35-DA1F-4184-BC37-A34A647E1D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" name="Elipse 569">
          <a:extLst>
            <a:ext uri="{FF2B5EF4-FFF2-40B4-BE49-F238E27FC236}">
              <a16:creationId xmlns:a16="http://schemas.microsoft.com/office/drawing/2014/main" id="{E5F752B4-4CC6-40CF-B6FF-7D15566E2F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" name="Elipse 570">
          <a:extLst>
            <a:ext uri="{FF2B5EF4-FFF2-40B4-BE49-F238E27FC236}">
              <a16:creationId xmlns:a16="http://schemas.microsoft.com/office/drawing/2014/main" id="{EA8FFA89-49FC-4C7E-8557-A3B935520E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" name="Elipse 571">
          <a:extLst>
            <a:ext uri="{FF2B5EF4-FFF2-40B4-BE49-F238E27FC236}">
              <a16:creationId xmlns:a16="http://schemas.microsoft.com/office/drawing/2014/main" id="{809E920F-8B08-4D5F-88CC-FFBD044577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" name="Elipse 572">
          <a:extLst>
            <a:ext uri="{FF2B5EF4-FFF2-40B4-BE49-F238E27FC236}">
              <a16:creationId xmlns:a16="http://schemas.microsoft.com/office/drawing/2014/main" id="{C01E8573-6232-4800-9E40-16F5BBC5E9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" name="Elipse 573">
          <a:extLst>
            <a:ext uri="{FF2B5EF4-FFF2-40B4-BE49-F238E27FC236}">
              <a16:creationId xmlns:a16="http://schemas.microsoft.com/office/drawing/2014/main" id="{B2D3EC8F-0126-4572-BBD3-0C0ED103B8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" name="Elipse 574">
          <a:extLst>
            <a:ext uri="{FF2B5EF4-FFF2-40B4-BE49-F238E27FC236}">
              <a16:creationId xmlns:a16="http://schemas.microsoft.com/office/drawing/2014/main" id="{3E94890F-BE2B-44E3-B86E-DFD471D174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" name="Elipse 575">
          <a:extLst>
            <a:ext uri="{FF2B5EF4-FFF2-40B4-BE49-F238E27FC236}">
              <a16:creationId xmlns:a16="http://schemas.microsoft.com/office/drawing/2014/main" id="{7CF8ACC8-0650-4F8C-8C11-CE869D8A08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" name="Elipse 576">
          <a:extLst>
            <a:ext uri="{FF2B5EF4-FFF2-40B4-BE49-F238E27FC236}">
              <a16:creationId xmlns:a16="http://schemas.microsoft.com/office/drawing/2014/main" id="{6084C2A2-D25A-445D-AB20-648B6B1F62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" name="Elipse 577">
          <a:extLst>
            <a:ext uri="{FF2B5EF4-FFF2-40B4-BE49-F238E27FC236}">
              <a16:creationId xmlns:a16="http://schemas.microsoft.com/office/drawing/2014/main" id="{AB7D0052-06C1-4CDE-8A70-2CABC6E775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" name="Elipse 578">
          <a:extLst>
            <a:ext uri="{FF2B5EF4-FFF2-40B4-BE49-F238E27FC236}">
              <a16:creationId xmlns:a16="http://schemas.microsoft.com/office/drawing/2014/main" id="{239C5D5D-BFEA-4783-B071-5F94913559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" name="Elipse 579">
          <a:extLst>
            <a:ext uri="{FF2B5EF4-FFF2-40B4-BE49-F238E27FC236}">
              <a16:creationId xmlns:a16="http://schemas.microsoft.com/office/drawing/2014/main" id="{43B8BCD4-9D65-4E5C-BDB3-8EEDDE854F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" name="Elipse 580">
          <a:extLst>
            <a:ext uri="{FF2B5EF4-FFF2-40B4-BE49-F238E27FC236}">
              <a16:creationId xmlns:a16="http://schemas.microsoft.com/office/drawing/2014/main" id="{8F24A6D0-E15E-4AFE-97E9-0AA20B8F6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" name="Elipse 581">
          <a:extLst>
            <a:ext uri="{FF2B5EF4-FFF2-40B4-BE49-F238E27FC236}">
              <a16:creationId xmlns:a16="http://schemas.microsoft.com/office/drawing/2014/main" id="{CF4CABF7-91C0-4F93-B23B-3B4EEF8443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" name="Elipse 582">
          <a:extLst>
            <a:ext uri="{FF2B5EF4-FFF2-40B4-BE49-F238E27FC236}">
              <a16:creationId xmlns:a16="http://schemas.microsoft.com/office/drawing/2014/main" id="{5B64D5E5-F3C4-42F9-A6E1-455D0B2B62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" name="Elipse 583">
          <a:extLst>
            <a:ext uri="{FF2B5EF4-FFF2-40B4-BE49-F238E27FC236}">
              <a16:creationId xmlns:a16="http://schemas.microsoft.com/office/drawing/2014/main" id="{95685C78-E21B-42A6-8144-3A90307D56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" name="Elipse 584">
          <a:extLst>
            <a:ext uri="{FF2B5EF4-FFF2-40B4-BE49-F238E27FC236}">
              <a16:creationId xmlns:a16="http://schemas.microsoft.com/office/drawing/2014/main" id="{41AA44F2-7179-42FB-BE4A-CBD7C03BE8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" name="Elipse 585">
          <a:extLst>
            <a:ext uri="{FF2B5EF4-FFF2-40B4-BE49-F238E27FC236}">
              <a16:creationId xmlns:a16="http://schemas.microsoft.com/office/drawing/2014/main" id="{41AEFF81-E45F-41E5-84FC-F99BA5E03F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" name="Elipse 586">
          <a:extLst>
            <a:ext uri="{FF2B5EF4-FFF2-40B4-BE49-F238E27FC236}">
              <a16:creationId xmlns:a16="http://schemas.microsoft.com/office/drawing/2014/main" id="{08C984EA-EA73-49D3-941D-4BE32B06E5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" name="Elipse 587">
          <a:extLst>
            <a:ext uri="{FF2B5EF4-FFF2-40B4-BE49-F238E27FC236}">
              <a16:creationId xmlns:a16="http://schemas.microsoft.com/office/drawing/2014/main" id="{6DB4CABC-139B-4266-9E68-2A8AF7923C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" name="Elipse 588">
          <a:extLst>
            <a:ext uri="{FF2B5EF4-FFF2-40B4-BE49-F238E27FC236}">
              <a16:creationId xmlns:a16="http://schemas.microsoft.com/office/drawing/2014/main" id="{EBBF30E9-38A6-4329-A0A4-6E38863215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" name="Elipse 589">
          <a:extLst>
            <a:ext uri="{FF2B5EF4-FFF2-40B4-BE49-F238E27FC236}">
              <a16:creationId xmlns:a16="http://schemas.microsoft.com/office/drawing/2014/main" id="{DA7AEFC7-84ED-4C76-8B81-06A53CFD25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" name="Elipse 590">
          <a:extLst>
            <a:ext uri="{FF2B5EF4-FFF2-40B4-BE49-F238E27FC236}">
              <a16:creationId xmlns:a16="http://schemas.microsoft.com/office/drawing/2014/main" id="{2BEF51DC-02D2-4356-BD98-A2F7D213C0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" name="Elipse 591">
          <a:extLst>
            <a:ext uri="{FF2B5EF4-FFF2-40B4-BE49-F238E27FC236}">
              <a16:creationId xmlns:a16="http://schemas.microsoft.com/office/drawing/2014/main" id="{22D37067-2351-417A-959D-77FD1353D8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" name="Elipse 592">
          <a:extLst>
            <a:ext uri="{FF2B5EF4-FFF2-40B4-BE49-F238E27FC236}">
              <a16:creationId xmlns:a16="http://schemas.microsoft.com/office/drawing/2014/main" id="{EA4BDD1C-212E-47AD-953D-93C6493A3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" name="Elipse 593">
          <a:extLst>
            <a:ext uri="{FF2B5EF4-FFF2-40B4-BE49-F238E27FC236}">
              <a16:creationId xmlns:a16="http://schemas.microsoft.com/office/drawing/2014/main" id="{11AE4F00-511F-461D-9E9E-EC31DD85A1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" name="Elipse 594">
          <a:extLst>
            <a:ext uri="{FF2B5EF4-FFF2-40B4-BE49-F238E27FC236}">
              <a16:creationId xmlns:a16="http://schemas.microsoft.com/office/drawing/2014/main" id="{F5FC107A-7483-4045-BCFE-D21487CC6D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" name="Elipse 595">
          <a:extLst>
            <a:ext uri="{FF2B5EF4-FFF2-40B4-BE49-F238E27FC236}">
              <a16:creationId xmlns:a16="http://schemas.microsoft.com/office/drawing/2014/main" id="{2934CD79-7FBE-4182-8660-5728F022CF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" name="Elipse 596">
          <a:extLst>
            <a:ext uri="{FF2B5EF4-FFF2-40B4-BE49-F238E27FC236}">
              <a16:creationId xmlns:a16="http://schemas.microsoft.com/office/drawing/2014/main" id="{837AE7E4-4C42-4B1C-A3E3-6209B03DB5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" name="Elipse 597">
          <a:extLst>
            <a:ext uri="{FF2B5EF4-FFF2-40B4-BE49-F238E27FC236}">
              <a16:creationId xmlns:a16="http://schemas.microsoft.com/office/drawing/2014/main" id="{9EB4F1F1-188B-41B0-8276-E750746390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" name="Elipse 598">
          <a:extLst>
            <a:ext uri="{FF2B5EF4-FFF2-40B4-BE49-F238E27FC236}">
              <a16:creationId xmlns:a16="http://schemas.microsoft.com/office/drawing/2014/main" id="{AE0193F4-6E71-4853-A352-FCBF61F195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" name="Elipse 599">
          <a:extLst>
            <a:ext uri="{FF2B5EF4-FFF2-40B4-BE49-F238E27FC236}">
              <a16:creationId xmlns:a16="http://schemas.microsoft.com/office/drawing/2014/main" id="{5C98FD3D-12B3-4121-B45D-0080AE7372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" name="Elipse 600">
          <a:extLst>
            <a:ext uri="{FF2B5EF4-FFF2-40B4-BE49-F238E27FC236}">
              <a16:creationId xmlns:a16="http://schemas.microsoft.com/office/drawing/2014/main" id="{9C2746D8-2E88-404A-9D27-16B3E610BA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" name="Elipse 601">
          <a:extLst>
            <a:ext uri="{FF2B5EF4-FFF2-40B4-BE49-F238E27FC236}">
              <a16:creationId xmlns:a16="http://schemas.microsoft.com/office/drawing/2014/main" id="{7D68D2D5-2C3E-4EAC-9922-4E4D47F773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" name="Elipse 602">
          <a:extLst>
            <a:ext uri="{FF2B5EF4-FFF2-40B4-BE49-F238E27FC236}">
              <a16:creationId xmlns:a16="http://schemas.microsoft.com/office/drawing/2014/main" id="{B78ADDCB-2964-4225-94B9-E5D2AB3F32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" name="Elipse 603">
          <a:extLst>
            <a:ext uri="{FF2B5EF4-FFF2-40B4-BE49-F238E27FC236}">
              <a16:creationId xmlns:a16="http://schemas.microsoft.com/office/drawing/2014/main" id="{AA6D1DC3-117C-4E8E-8D26-5FCE512FDA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" name="Elipse 604">
          <a:extLst>
            <a:ext uri="{FF2B5EF4-FFF2-40B4-BE49-F238E27FC236}">
              <a16:creationId xmlns:a16="http://schemas.microsoft.com/office/drawing/2014/main" id="{53A677E8-2E3B-403E-979B-8600A945FB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" name="Elipse 605">
          <a:extLst>
            <a:ext uri="{FF2B5EF4-FFF2-40B4-BE49-F238E27FC236}">
              <a16:creationId xmlns:a16="http://schemas.microsoft.com/office/drawing/2014/main" id="{0A729926-751E-4055-A79D-62A8755E2A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" name="Elipse 606">
          <a:extLst>
            <a:ext uri="{FF2B5EF4-FFF2-40B4-BE49-F238E27FC236}">
              <a16:creationId xmlns:a16="http://schemas.microsoft.com/office/drawing/2014/main" id="{24944F62-9570-4374-828F-19FD6E4101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" name="Elipse 607">
          <a:extLst>
            <a:ext uri="{FF2B5EF4-FFF2-40B4-BE49-F238E27FC236}">
              <a16:creationId xmlns:a16="http://schemas.microsoft.com/office/drawing/2014/main" id="{F3847187-B200-4481-98A3-3CF358ADE0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" name="Elipse 608">
          <a:extLst>
            <a:ext uri="{FF2B5EF4-FFF2-40B4-BE49-F238E27FC236}">
              <a16:creationId xmlns:a16="http://schemas.microsoft.com/office/drawing/2014/main" id="{0A72446B-F4CE-49B8-A2FF-207B36A727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" name="Elipse 609">
          <a:extLst>
            <a:ext uri="{FF2B5EF4-FFF2-40B4-BE49-F238E27FC236}">
              <a16:creationId xmlns:a16="http://schemas.microsoft.com/office/drawing/2014/main" id="{0150BFAE-33ED-41A9-9AEC-CFBF289CCC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" name="Elipse 610">
          <a:extLst>
            <a:ext uri="{FF2B5EF4-FFF2-40B4-BE49-F238E27FC236}">
              <a16:creationId xmlns:a16="http://schemas.microsoft.com/office/drawing/2014/main" id="{93B63745-1FE0-481E-9730-A27BDB347B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" name="Elipse 611">
          <a:extLst>
            <a:ext uri="{FF2B5EF4-FFF2-40B4-BE49-F238E27FC236}">
              <a16:creationId xmlns:a16="http://schemas.microsoft.com/office/drawing/2014/main" id="{15FC9A7D-170F-41FC-9BBE-306A7A418C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" name="Elipse 612">
          <a:extLst>
            <a:ext uri="{FF2B5EF4-FFF2-40B4-BE49-F238E27FC236}">
              <a16:creationId xmlns:a16="http://schemas.microsoft.com/office/drawing/2014/main" id="{2FF795D4-11FE-4DF7-AB26-BA4F302011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" name="Elipse 613">
          <a:extLst>
            <a:ext uri="{FF2B5EF4-FFF2-40B4-BE49-F238E27FC236}">
              <a16:creationId xmlns:a16="http://schemas.microsoft.com/office/drawing/2014/main" id="{BAA536B9-D653-437E-9C6D-2601E9F2F3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" name="Elipse 614">
          <a:extLst>
            <a:ext uri="{FF2B5EF4-FFF2-40B4-BE49-F238E27FC236}">
              <a16:creationId xmlns:a16="http://schemas.microsoft.com/office/drawing/2014/main" id="{3A5FF053-E48D-4046-ABFF-827687FD10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" name="Elipse 615">
          <a:extLst>
            <a:ext uri="{FF2B5EF4-FFF2-40B4-BE49-F238E27FC236}">
              <a16:creationId xmlns:a16="http://schemas.microsoft.com/office/drawing/2014/main" id="{A905FB35-8C5C-49D3-B270-049B9A2BB6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" name="Elipse 616">
          <a:extLst>
            <a:ext uri="{FF2B5EF4-FFF2-40B4-BE49-F238E27FC236}">
              <a16:creationId xmlns:a16="http://schemas.microsoft.com/office/drawing/2014/main" id="{59545D93-F718-4A15-8321-D1F639F85E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" name="Elipse 617">
          <a:extLst>
            <a:ext uri="{FF2B5EF4-FFF2-40B4-BE49-F238E27FC236}">
              <a16:creationId xmlns:a16="http://schemas.microsoft.com/office/drawing/2014/main" id="{06C330CE-1E11-47B8-BF3D-80F6998338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" name="Elipse 618">
          <a:extLst>
            <a:ext uri="{FF2B5EF4-FFF2-40B4-BE49-F238E27FC236}">
              <a16:creationId xmlns:a16="http://schemas.microsoft.com/office/drawing/2014/main" id="{85EF1657-8A74-467D-8777-64EED9BA19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" name="Elipse 619">
          <a:extLst>
            <a:ext uri="{FF2B5EF4-FFF2-40B4-BE49-F238E27FC236}">
              <a16:creationId xmlns:a16="http://schemas.microsoft.com/office/drawing/2014/main" id="{DDD2C532-523D-4D88-965B-A9AD4CC9F4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" name="Elipse 620">
          <a:extLst>
            <a:ext uri="{FF2B5EF4-FFF2-40B4-BE49-F238E27FC236}">
              <a16:creationId xmlns:a16="http://schemas.microsoft.com/office/drawing/2014/main" id="{3CC2497D-0528-4A80-B93D-6F66390437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" name="Elipse 621">
          <a:extLst>
            <a:ext uri="{FF2B5EF4-FFF2-40B4-BE49-F238E27FC236}">
              <a16:creationId xmlns:a16="http://schemas.microsoft.com/office/drawing/2014/main" id="{7125A895-3EF3-438C-B9E5-2C31CBE53B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" name="Elipse 622">
          <a:extLst>
            <a:ext uri="{FF2B5EF4-FFF2-40B4-BE49-F238E27FC236}">
              <a16:creationId xmlns:a16="http://schemas.microsoft.com/office/drawing/2014/main" id="{AAB14111-F2A4-4DC9-837D-E6972209E2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" name="Elipse 623">
          <a:extLst>
            <a:ext uri="{FF2B5EF4-FFF2-40B4-BE49-F238E27FC236}">
              <a16:creationId xmlns:a16="http://schemas.microsoft.com/office/drawing/2014/main" id="{FFCEDC69-2B74-4414-88EC-0CF70D4210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" name="Elipse 624">
          <a:extLst>
            <a:ext uri="{FF2B5EF4-FFF2-40B4-BE49-F238E27FC236}">
              <a16:creationId xmlns:a16="http://schemas.microsoft.com/office/drawing/2014/main" id="{0C1FA2D8-7756-43CB-BF70-AE0C7CA2C1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" name="Elipse 625">
          <a:extLst>
            <a:ext uri="{FF2B5EF4-FFF2-40B4-BE49-F238E27FC236}">
              <a16:creationId xmlns:a16="http://schemas.microsoft.com/office/drawing/2014/main" id="{7E49032C-12A7-46B5-8524-17B0DF5337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" name="Elipse 626">
          <a:extLst>
            <a:ext uri="{FF2B5EF4-FFF2-40B4-BE49-F238E27FC236}">
              <a16:creationId xmlns:a16="http://schemas.microsoft.com/office/drawing/2014/main" id="{82421231-F70B-49C6-A1FF-CC972FE318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" name="Elipse 627">
          <a:extLst>
            <a:ext uri="{FF2B5EF4-FFF2-40B4-BE49-F238E27FC236}">
              <a16:creationId xmlns:a16="http://schemas.microsoft.com/office/drawing/2014/main" id="{18E99A3F-59E5-4AC9-A167-4E71FB90A7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" name="Elipse 628">
          <a:extLst>
            <a:ext uri="{FF2B5EF4-FFF2-40B4-BE49-F238E27FC236}">
              <a16:creationId xmlns:a16="http://schemas.microsoft.com/office/drawing/2014/main" id="{07607E1C-3920-47CA-B672-F67ACC1401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" name="Elipse 629">
          <a:extLst>
            <a:ext uri="{FF2B5EF4-FFF2-40B4-BE49-F238E27FC236}">
              <a16:creationId xmlns:a16="http://schemas.microsoft.com/office/drawing/2014/main" id="{E742F19A-EBC0-4AEE-B9BF-0ADA5FEC32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" name="Elipse 630">
          <a:extLst>
            <a:ext uri="{FF2B5EF4-FFF2-40B4-BE49-F238E27FC236}">
              <a16:creationId xmlns:a16="http://schemas.microsoft.com/office/drawing/2014/main" id="{E3E43100-7BE3-469A-96E8-9D48874C7A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" name="Elipse 631">
          <a:extLst>
            <a:ext uri="{FF2B5EF4-FFF2-40B4-BE49-F238E27FC236}">
              <a16:creationId xmlns:a16="http://schemas.microsoft.com/office/drawing/2014/main" id="{DD229AF1-2A33-4C15-9243-A2A51F28F2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" name="Elipse 632">
          <a:extLst>
            <a:ext uri="{FF2B5EF4-FFF2-40B4-BE49-F238E27FC236}">
              <a16:creationId xmlns:a16="http://schemas.microsoft.com/office/drawing/2014/main" id="{BC72214F-EB88-4BFC-9EFA-D65AF1E5DA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" name="Elipse 633">
          <a:extLst>
            <a:ext uri="{FF2B5EF4-FFF2-40B4-BE49-F238E27FC236}">
              <a16:creationId xmlns:a16="http://schemas.microsoft.com/office/drawing/2014/main" id="{411552CA-AAF5-4B4F-A135-86A5B840AF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" name="Elipse 634">
          <a:extLst>
            <a:ext uri="{FF2B5EF4-FFF2-40B4-BE49-F238E27FC236}">
              <a16:creationId xmlns:a16="http://schemas.microsoft.com/office/drawing/2014/main" id="{79717BF1-06C7-4FE0-B25C-3A0F2305D5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" name="Elipse 635">
          <a:extLst>
            <a:ext uri="{FF2B5EF4-FFF2-40B4-BE49-F238E27FC236}">
              <a16:creationId xmlns:a16="http://schemas.microsoft.com/office/drawing/2014/main" id="{8FFB5B4A-D3F8-4FF6-ABEB-B63B1381E0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" name="Elipse 636">
          <a:extLst>
            <a:ext uri="{FF2B5EF4-FFF2-40B4-BE49-F238E27FC236}">
              <a16:creationId xmlns:a16="http://schemas.microsoft.com/office/drawing/2014/main" id="{4CE52FBC-A27B-4A4E-B134-3EE17E8612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" name="Elipse 637">
          <a:extLst>
            <a:ext uri="{FF2B5EF4-FFF2-40B4-BE49-F238E27FC236}">
              <a16:creationId xmlns:a16="http://schemas.microsoft.com/office/drawing/2014/main" id="{43D003D0-E126-4166-BAF1-F7E03E579C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" name="Elipse 638">
          <a:extLst>
            <a:ext uri="{FF2B5EF4-FFF2-40B4-BE49-F238E27FC236}">
              <a16:creationId xmlns:a16="http://schemas.microsoft.com/office/drawing/2014/main" id="{96BC678E-B695-469B-8364-6D6F5DCB53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" name="Elipse 639">
          <a:extLst>
            <a:ext uri="{FF2B5EF4-FFF2-40B4-BE49-F238E27FC236}">
              <a16:creationId xmlns:a16="http://schemas.microsoft.com/office/drawing/2014/main" id="{CAC8D2EB-5630-4C76-81DD-8A1245C626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" name="Elipse 640">
          <a:extLst>
            <a:ext uri="{FF2B5EF4-FFF2-40B4-BE49-F238E27FC236}">
              <a16:creationId xmlns:a16="http://schemas.microsoft.com/office/drawing/2014/main" id="{1F69467D-C3F7-4293-878C-F4A3D8222C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" name="Elipse 641">
          <a:extLst>
            <a:ext uri="{FF2B5EF4-FFF2-40B4-BE49-F238E27FC236}">
              <a16:creationId xmlns:a16="http://schemas.microsoft.com/office/drawing/2014/main" id="{17812429-6F42-4317-B6CC-D2F424ED86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" name="Elipse 642">
          <a:extLst>
            <a:ext uri="{FF2B5EF4-FFF2-40B4-BE49-F238E27FC236}">
              <a16:creationId xmlns:a16="http://schemas.microsoft.com/office/drawing/2014/main" id="{F4855753-39CF-4103-9255-4869E06D59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" name="Elipse 643">
          <a:extLst>
            <a:ext uri="{FF2B5EF4-FFF2-40B4-BE49-F238E27FC236}">
              <a16:creationId xmlns:a16="http://schemas.microsoft.com/office/drawing/2014/main" id="{DD39F891-7923-443C-9C1F-894679BE4A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" name="Elipse 644">
          <a:extLst>
            <a:ext uri="{FF2B5EF4-FFF2-40B4-BE49-F238E27FC236}">
              <a16:creationId xmlns:a16="http://schemas.microsoft.com/office/drawing/2014/main" id="{3286298D-E61F-43DF-B95C-570DC88663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" name="Elipse 645">
          <a:extLst>
            <a:ext uri="{FF2B5EF4-FFF2-40B4-BE49-F238E27FC236}">
              <a16:creationId xmlns:a16="http://schemas.microsoft.com/office/drawing/2014/main" id="{DC9D9268-AE6C-4B3B-8D13-E29AB3BC5D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" name="Elipse 646">
          <a:extLst>
            <a:ext uri="{FF2B5EF4-FFF2-40B4-BE49-F238E27FC236}">
              <a16:creationId xmlns:a16="http://schemas.microsoft.com/office/drawing/2014/main" id="{49F2EC25-1F36-4F63-88BA-B76DF00BCB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" name="Elipse 647">
          <a:extLst>
            <a:ext uri="{FF2B5EF4-FFF2-40B4-BE49-F238E27FC236}">
              <a16:creationId xmlns:a16="http://schemas.microsoft.com/office/drawing/2014/main" id="{29F28FAC-9E8F-4ADF-B8EE-57AC28436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" name="Elipse 648">
          <a:extLst>
            <a:ext uri="{FF2B5EF4-FFF2-40B4-BE49-F238E27FC236}">
              <a16:creationId xmlns:a16="http://schemas.microsoft.com/office/drawing/2014/main" id="{EB532311-4984-4546-B825-B51EC85CFB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" name="Elipse 649">
          <a:extLst>
            <a:ext uri="{FF2B5EF4-FFF2-40B4-BE49-F238E27FC236}">
              <a16:creationId xmlns:a16="http://schemas.microsoft.com/office/drawing/2014/main" id="{2770EF44-F8F5-47A0-903B-2E69996C07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" name="Elipse 650">
          <a:extLst>
            <a:ext uri="{FF2B5EF4-FFF2-40B4-BE49-F238E27FC236}">
              <a16:creationId xmlns:a16="http://schemas.microsoft.com/office/drawing/2014/main" id="{40FEDD8F-B211-4969-A2E6-0071CCE04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" name="Elipse 651">
          <a:extLst>
            <a:ext uri="{FF2B5EF4-FFF2-40B4-BE49-F238E27FC236}">
              <a16:creationId xmlns:a16="http://schemas.microsoft.com/office/drawing/2014/main" id="{E3BE56AF-4CE9-4187-9032-82B2CEA856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" name="Elipse 652">
          <a:extLst>
            <a:ext uri="{FF2B5EF4-FFF2-40B4-BE49-F238E27FC236}">
              <a16:creationId xmlns:a16="http://schemas.microsoft.com/office/drawing/2014/main" id="{D10D3973-1A19-4547-81FC-C93F57A585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" name="Elipse 653">
          <a:extLst>
            <a:ext uri="{FF2B5EF4-FFF2-40B4-BE49-F238E27FC236}">
              <a16:creationId xmlns:a16="http://schemas.microsoft.com/office/drawing/2014/main" id="{655FE291-2191-4746-A6C5-0DD4BDFE87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" name="Elipse 654">
          <a:extLst>
            <a:ext uri="{FF2B5EF4-FFF2-40B4-BE49-F238E27FC236}">
              <a16:creationId xmlns:a16="http://schemas.microsoft.com/office/drawing/2014/main" id="{6985E011-31B9-4D2D-BBB4-9FD539940C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" name="Elipse 655">
          <a:extLst>
            <a:ext uri="{FF2B5EF4-FFF2-40B4-BE49-F238E27FC236}">
              <a16:creationId xmlns:a16="http://schemas.microsoft.com/office/drawing/2014/main" id="{860FD150-B642-4AA4-AF03-F22475EB99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" name="Elipse 656">
          <a:extLst>
            <a:ext uri="{FF2B5EF4-FFF2-40B4-BE49-F238E27FC236}">
              <a16:creationId xmlns:a16="http://schemas.microsoft.com/office/drawing/2014/main" id="{B936A071-70F8-4D01-B354-CE17BD0A37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" name="Elipse 657">
          <a:extLst>
            <a:ext uri="{FF2B5EF4-FFF2-40B4-BE49-F238E27FC236}">
              <a16:creationId xmlns:a16="http://schemas.microsoft.com/office/drawing/2014/main" id="{50EF23B3-C1B1-4CC6-83B5-8EC6C18CED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" name="Elipse 658">
          <a:extLst>
            <a:ext uri="{FF2B5EF4-FFF2-40B4-BE49-F238E27FC236}">
              <a16:creationId xmlns:a16="http://schemas.microsoft.com/office/drawing/2014/main" id="{61D70224-F28C-47FC-BE80-7EEB5D889E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" name="Elipse 659">
          <a:extLst>
            <a:ext uri="{FF2B5EF4-FFF2-40B4-BE49-F238E27FC236}">
              <a16:creationId xmlns:a16="http://schemas.microsoft.com/office/drawing/2014/main" id="{3202B968-EBF3-422F-A306-BD0AD74698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" name="Elipse 660">
          <a:extLst>
            <a:ext uri="{FF2B5EF4-FFF2-40B4-BE49-F238E27FC236}">
              <a16:creationId xmlns:a16="http://schemas.microsoft.com/office/drawing/2014/main" id="{F371E7D0-3C76-4F59-A23C-64B3341186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" name="Elipse 661">
          <a:extLst>
            <a:ext uri="{FF2B5EF4-FFF2-40B4-BE49-F238E27FC236}">
              <a16:creationId xmlns:a16="http://schemas.microsoft.com/office/drawing/2014/main" id="{29E65770-4AAC-455C-B39E-8E96722794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" name="Elipse 662">
          <a:extLst>
            <a:ext uri="{FF2B5EF4-FFF2-40B4-BE49-F238E27FC236}">
              <a16:creationId xmlns:a16="http://schemas.microsoft.com/office/drawing/2014/main" id="{1BF0B3B6-FA2F-4A5F-AFEB-A6B4CECE0F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" name="Elipse 663">
          <a:extLst>
            <a:ext uri="{FF2B5EF4-FFF2-40B4-BE49-F238E27FC236}">
              <a16:creationId xmlns:a16="http://schemas.microsoft.com/office/drawing/2014/main" id="{F99472B8-039F-47A2-A0A1-92AA8D47A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" name="Elipse 664">
          <a:extLst>
            <a:ext uri="{FF2B5EF4-FFF2-40B4-BE49-F238E27FC236}">
              <a16:creationId xmlns:a16="http://schemas.microsoft.com/office/drawing/2014/main" id="{0DC2A40D-4CA8-4FED-8C4F-4211096927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" name="Elipse 665">
          <a:extLst>
            <a:ext uri="{FF2B5EF4-FFF2-40B4-BE49-F238E27FC236}">
              <a16:creationId xmlns:a16="http://schemas.microsoft.com/office/drawing/2014/main" id="{09188CD0-9EBF-45D0-969A-701415D321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" name="Elipse 666">
          <a:extLst>
            <a:ext uri="{FF2B5EF4-FFF2-40B4-BE49-F238E27FC236}">
              <a16:creationId xmlns:a16="http://schemas.microsoft.com/office/drawing/2014/main" id="{13E7B769-F6C2-4019-87DA-3183826AF8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" name="Elipse 667">
          <a:extLst>
            <a:ext uri="{FF2B5EF4-FFF2-40B4-BE49-F238E27FC236}">
              <a16:creationId xmlns:a16="http://schemas.microsoft.com/office/drawing/2014/main" id="{5F3A994F-E78E-404A-A088-A5D5006745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" name="Elipse 668">
          <a:extLst>
            <a:ext uri="{FF2B5EF4-FFF2-40B4-BE49-F238E27FC236}">
              <a16:creationId xmlns:a16="http://schemas.microsoft.com/office/drawing/2014/main" id="{16604A81-7230-4631-802C-F5C528515F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" name="Elipse 669">
          <a:extLst>
            <a:ext uri="{FF2B5EF4-FFF2-40B4-BE49-F238E27FC236}">
              <a16:creationId xmlns:a16="http://schemas.microsoft.com/office/drawing/2014/main" id="{3BBBD9A7-ED78-4B4D-936F-EA76278A9D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" name="Elipse 670">
          <a:extLst>
            <a:ext uri="{FF2B5EF4-FFF2-40B4-BE49-F238E27FC236}">
              <a16:creationId xmlns:a16="http://schemas.microsoft.com/office/drawing/2014/main" id="{50545CF2-5A23-4253-8B9A-50D0E60644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" name="Elipse 671">
          <a:extLst>
            <a:ext uri="{FF2B5EF4-FFF2-40B4-BE49-F238E27FC236}">
              <a16:creationId xmlns:a16="http://schemas.microsoft.com/office/drawing/2014/main" id="{56B2D9D1-CAD3-43B2-997A-0663FF5E55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" name="Elipse 672">
          <a:extLst>
            <a:ext uri="{FF2B5EF4-FFF2-40B4-BE49-F238E27FC236}">
              <a16:creationId xmlns:a16="http://schemas.microsoft.com/office/drawing/2014/main" id="{9C71D899-AC11-4AF9-AFAF-BCD7A1047F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" name="Elipse 673">
          <a:extLst>
            <a:ext uri="{FF2B5EF4-FFF2-40B4-BE49-F238E27FC236}">
              <a16:creationId xmlns:a16="http://schemas.microsoft.com/office/drawing/2014/main" id="{FA7BF32E-3A30-4C14-B326-C0D2153744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" name="Elipse 674">
          <a:extLst>
            <a:ext uri="{FF2B5EF4-FFF2-40B4-BE49-F238E27FC236}">
              <a16:creationId xmlns:a16="http://schemas.microsoft.com/office/drawing/2014/main" id="{F1C17B0C-CE4D-4346-8DE7-2652ACB07C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" name="Elipse 675">
          <a:extLst>
            <a:ext uri="{FF2B5EF4-FFF2-40B4-BE49-F238E27FC236}">
              <a16:creationId xmlns:a16="http://schemas.microsoft.com/office/drawing/2014/main" id="{59B0E741-4FDE-425A-BBDE-B3826A3E01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" name="Elipse 676">
          <a:extLst>
            <a:ext uri="{FF2B5EF4-FFF2-40B4-BE49-F238E27FC236}">
              <a16:creationId xmlns:a16="http://schemas.microsoft.com/office/drawing/2014/main" id="{FE549B50-A927-402A-9FB4-267661EFB6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" name="Elipse 677">
          <a:extLst>
            <a:ext uri="{FF2B5EF4-FFF2-40B4-BE49-F238E27FC236}">
              <a16:creationId xmlns:a16="http://schemas.microsoft.com/office/drawing/2014/main" id="{440FD39C-D8EB-4209-9FD7-203604EC70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" name="Elipse 678">
          <a:extLst>
            <a:ext uri="{FF2B5EF4-FFF2-40B4-BE49-F238E27FC236}">
              <a16:creationId xmlns:a16="http://schemas.microsoft.com/office/drawing/2014/main" id="{7B29C397-D89F-4FF9-B64D-2F23BF7CBA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" name="Elipse 679">
          <a:extLst>
            <a:ext uri="{FF2B5EF4-FFF2-40B4-BE49-F238E27FC236}">
              <a16:creationId xmlns:a16="http://schemas.microsoft.com/office/drawing/2014/main" id="{F3F40A37-0A28-4386-84C6-D65863F1F7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" name="Elipse 680">
          <a:extLst>
            <a:ext uri="{FF2B5EF4-FFF2-40B4-BE49-F238E27FC236}">
              <a16:creationId xmlns:a16="http://schemas.microsoft.com/office/drawing/2014/main" id="{AA38510D-46F1-4F05-B559-1277BCEA4A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" name="Elipse 681">
          <a:extLst>
            <a:ext uri="{FF2B5EF4-FFF2-40B4-BE49-F238E27FC236}">
              <a16:creationId xmlns:a16="http://schemas.microsoft.com/office/drawing/2014/main" id="{ACB99EAD-0F59-41D7-85F3-382B2E3FF7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" name="Elipse 682">
          <a:extLst>
            <a:ext uri="{FF2B5EF4-FFF2-40B4-BE49-F238E27FC236}">
              <a16:creationId xmlns:a16="http://schemas.microsoft.com/office/drawing/2014/main" id="{F6657243-1ECA-4E54-8A15-0B562A7108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" name="Elipse 683">
          <a:extLst>
            <a:ext uri="{FF2B5EF4-FFF2-40B4-BE49-F238E27FC236}">
              <a16:creationId xmlns:a16="http://schemas.microsoft.com/office/drawing/2014/main" id="{888DA270-6521-466C-B380-168B4B8C57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" name="Elipse 684">
          <a:extLst>
            <a:ext uri="{FF2B5EF4-FFF2-40B4-BE49-F238E27FC236}">
              <a16:creationId xmlns:a16="http://schemas.microsoft.com/office/drawing/2014/main" id="{784C0EF9-56D8-4812-A31B-3D46A8BADF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" name="Elipse 685">
          <a:extLst>
            <a:ext uri="{FF2B5EF4-FFF2-40B4-BE49-F238E27FC236}">
              <a16:creationId xmlns:a16="http://schemas.microsoft.com/office/drawing/2014/main" id="{389FA80E-D617-42C1-AE26-500E8AB061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" name="Elipse 686">
          <a:extLst>
            <a:ext uri="{FF2B5EF4-FFF2-40B4-BE49-F238E27FC236}">
              <a16:creationId xmlns:a16="http://schemas.microsoft.com/office/drawing/2014/main" id="{76CBC622-FB5E-4E09-837D-32F26BDAD3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" name="Elipse 687">
          <a:extLst>
            <a:ext uri="{FF2B5EF4-FFF2-40B4-BE49-F238E27FC236}">
              <a16:creationId xmlns:a16="http://schemas.microsoft.com/office/drawing/2014/main" id="{5E3149C0-B383-452B-8074-8ABB46F577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" name="Elipse 688">
          <a:extLst>
            <a:ext uri="{FF2B5EF4-FFF2-40B4-BE49-F238E27FC236}">
              <a16:creationId xmlns:a16="http://schemas.microsoft.com/office/drawing/2014/main" id="{C18DBE4D-DF74-4D1E-AA7B-7FE0D6112E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" name="Elipse 689">
          <a:extLst>
            <a:ext uri="{FF2B5EF4-FFF2-40B4-BE49-F238E27FC236}">
              <a16:creationId xmlns:a16="http://schemas.microsoft.com/office/drawing/2014/main" id="{8C04C62E-67CC-42B7-80DC-BC4546B6D0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" name="Elipse 690">
          <a:extLst>
            <a:ext uri="{FF2B5EF4-FFF2-40B4-BE49-F238E27FC236}">
              <a16:creationId xmlns:a16="http://schemas.microsoft.com/office/drawing/2014/main" id="{D7EE1BAE-745E-4033-8686-5E104E49E4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" name="Elipse 691">
          <a:extLst>
            <a:ext uri="{FF2B5EF4-FFF2-40B4-BE49-F238E27FC236}">
              <a16:creationId xmlns:a16="http://schemas.microsoft.com/office/drawing/2014/main" id="{1B6F726F-0C0E-4F51-B9AD-8801B55B36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" name="Elipse 692">
          <a:extLst>
            <a:ext uri="{FF2B5EF4-FFF2-40B4-BE49-F238E27FC236}">
              <a16:creationId xmlns:a16="http://schemas.microsoft.com/office/drawing/2014/main" id="{F16C1584-5DFF-4F06-A3C5-AC81A0DD1C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" name="Elipse 693">
          <a:extLst>
            <a:ext uri="{FF2B5EF4-FFF2-40B4-BE49-F238E27FC236}">
              <a16:creationId xmlns:a16="http://schemas.microsoft.com/office/drawing/2014/main" id="{2B5B59F6-0AA6-4A40-B03B-CEC5BCD72E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" name="Elipse 694">
          <a:extLst>
            <a:ext uri="{FF2B5EF4-FFF2-40B4-BE49-F238E27FC236}">
              <a16:creationId xmlns:a16="http://schemas.microsoft.com/office/drawing/2014/main" id="{E61FA4DC-9D91-4C4F-BC54-E09B69B3D8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" name="Elipse 695">
          <a:extLst>
            <a:ext uri="{FF2B5EF4-FFF2-40B4-BE49-F238E27FC236}">
              <a16:creationId xmlns:a16="http://schemas.microsoft.com/office/drawing/2014/main" id="{D00419B7-C0A9-4613-8AED-FCC4CD521A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" name="Elipse 696">
          <a:extLst>
            <a:ext uri="{FF2B5EF4-FFF2-40B4-BE49-F238E27FC236}">
              <a16:creationId xmlns:a16="http://schemas.microsoft.com/office/drawing/2014/main" id="{940D768D-E61F-46CD-8738-EEA409E9F6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" name="Elipse 697">
          <a:extLst>
            <a:ext uri="{FF2B5EF4-FFF2-40B4-BE49-F238E27FC236}">
              <a16:creationId xmlns:a16="http://schemas.microsoft.com/office/drawing/2014/main" id="{9928B9E4-4C2A-4F3C-93AA-C0ED5F8283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" name="Elipse 698">
          <a:extLst>
            <a:ext uri="{FF2B5EF4-FFF2-40B4-BE49-F238E27FC236}">
              <a16:creationId xmlns:a16="http://schemas.microsoft.com/office/drawing/2014/main" id="{2B85C782-C4D2-4994-A541-BC7903D926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" name="Elipse 699">
          <a:extLst>
            <a:ext uri="{FF2B5EF4-FFF2-40B4-BE49-F238E27FC236}">
              <a16:creationId xmlns:a16="http://schemas.microsoft.com/office/drawing/2014/main" id="{4A55FFE5-1844-4966-9179-7F0DA2638D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" name="Elipse 700">
          <a:extLst>
            <a:ext uri="{FF2B5EF4-FFF2-40B4-BE49-F238E27FC236}">
              <a16:creationId xmlns:a16="http://schemas.microsoft.com/office/drawing/2014/main" id="{4A4D8B47-F7DC-4A94-881E-C1D7783B23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" name="Elipse 701">
          <a:extLst>
            <a:ext uri="{FF2B5EF4-FFF2-40B4-BE49-F238E27FC236}">
              <a16:creationId xmlns:a16="http://schemas.microsoft.com/office/drawing/2014/main" id="{3469B60D-9378-46FE-A104-8C21B401FA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" name="Elipse 702">
          <a:extLst>
            <a:ext uri="{FF2B5EF4-FFF2-40B4-BE49-F238E27FC236}">
              <a16:creationId xmlns:a16="http://schemas.microsoft.com/office/drawing/2014/main" id="{F8089C27-D403-47E8-8751-15B98B1880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" name="Elipse 703">
          <a:extLst>
            <a:ext uri="{FF2B5EF4-FFF2-40B4-BE49-F238E27FC236}">
              <a16:creationId xmlns:a16="http://schemas.microsoft.com/office/drawing/2014/main" id="{2E8F7706-D4EF-4984-90FB-D4FFBCBA36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" name="Elipse 704">
          <a:extLst>
            <a:ext uri="{FF2B5EF4-FFF2-40B4-BE49-F238E27FC236}">
              <a16:creationId xmlns:a16="http://schemas.microsoft.com/office/drawing/2014/main" id="{83FB82DC-1171-42D5-8EF5-73A48DA29F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" name="Elipse 705">
          <a:extLst>
            <a:ext uri="{FF2B5EF4-FFF2-40B4-BE49-F238E27FC236}">
              <a16:creationId xmlns:a16="http://schemas.microsoft.com/office/drawing/2014/main" id="{38D41B6B-0D35-41C2-8672-D507A52F73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" name="Elipse 706">
          <a:extLst>
            <a:ext uri="{FF2B5EF4-FFF2-40B4-BE49-F238E27FC236}">
              <a16:creationId xmlns:a16="http://schemas.microsoft.com/office/drawing/2014/main" id="{2FF3ECEB-493F-49A8-B575-57A73F2DD1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" name="Elipse 707">
          <a:extLst>
            <a:ext uri="{FF2B5EF4-FFF2-40B4-BE49-F238E27FC236}">
              <a16:creationId xmlns:a16="http://schemas.microsoft.com/office/drawing/2014/main" id="{25DBD56C-A837-4BEE-BC31-4C80FC6D27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" name="Elipse 708">
          <a:extLst>
            <a:ext uri="{FF2B5EF4-FFF2-40B4-BE49-F238E27FC236}">
              <a16:creationId xmlns:a16="http://schemas.microsoft.com/office/drawing/2014/main" id="{25A3F289-5439-4381-BD73-4BE3309258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" name="Elipse 709">
          <a:extLst>
            <a:ext uri="{FF2B5EF4-FFF2-40B4-BE49-F238E27FC236}">
              <a16:creationId xmlns:a16="http://schemas.microsoft.com/office/drawing/2014/main" id="{1D142EB2-33FE-4933-BF50-CB9A496948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" name="Elipse 710">
          <a:extLst>
            <a:ext uri="{FF2B5EF4-FFF2-40B4-BE49-F238E27FC236}">
              <a16:creationId xmlns:a16="http://schemas.microsoft.com/office/drawing/2014/main" id="{5DF9B7AE-8D9D-4B1E-B830-495086EFEE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" name="Elipse 711">
          <a:extLst>
            <a:ext uri="{FF2B5EF4-FFF2-40B4-BE49-F238E27FC236}">
              <a16:creationId xmlns:a16="http://schemas.microsoft.com/office/drawing/2014/main" id="{833AA620-5947-4FD5-A67C-93126934AE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" name="Elipse 712">
          <a:extLst>
            <a:ext uri="{FF2B5EF4-FFF2-40B4-BE49-F238E27FC236}">
              <a16:creationId xmlns:a16="http://schemas.microsoft.com/office/drawing/2014/main" id="{411CF679-DD82-474C-ABF2-2B7F509D9E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" name="Elipse 713">
          <a:extLst>
            <a:ext uri="{FF2B5EF4-FFF2-40B4-BE49-F238E27FC236}">
              <a16:creationId xmlns:a16="http://schemas.microsoft.com/office/drawing/2014/main" id="{C639E2F9-E654-4AF4-828B-1B53330FE8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" name="Elipse 714">
          <a:extLst>
            <a:ext uri="{FF2B5EF4-FFF2-40B4-BE49-F238E27FC236}">
              <a16:creationId xmlns:a16="http://schemas.microsoft.com/office/drawing/2014/main" id="{AB25817F-7447-460F-8DBF-DD4DB2F1FA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" name="Elipse 715">
          <a:extLst>
            <a:ext uri="{FF2B5EF4-FFF2-40B4-BE49-F238E27FC236}">
              <a16:creationId xmlns:a16="http://schemas.microsoft.com/office/drawing/2014/main" id="{2338F380-8A00-40B8-9E76-2E2BA51D8C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" name="Elipse 716">
          <a:extLst>
            <a:ext uri="{FF2B5EF4-FFF2-40B4-BE49-F238E27FC236}">
              <a16:creationId xmlns:a16="http://schemas.microsoft.com/office/drawing/2014/main" id="{5AB5A292-2435-409A-8C2A-C6576B30EE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" name="Elipse 717">
          <a:extLst>
            <a:ext uri="{FF2B5EF4-FFF2-40B4-BE49-F238E27FC236}">
              <a16:creationId xmlns:a16="http://schemas.microsoft.com/office/drawing/2014/main" id="{A16557DE-3987-4DB0-866E-018EE515D1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" name="Elipse 718">
          <a:extLst>
            <a:ext uri="{FF2B5EF4-FFF2-40B4-BE49-F238E27FC236}">
              <a16:creationId xmlns:a16="http://schemas.microsoft.com/office/drawing/2014/main" id="{61136E76-3899-4D92-9DCE-8363F5DC4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" name="Elipse 719">
          <a:extLst>
            <a:ext uri="{FF2B5EF4-FFF2-40B4-BE49-F238E27FC236}">
              <a16:creationId xmlns:a16="http://schemas.microsoft.com/office/drawing/2014/main" id="{CD35C17D-041A-4E27-9079-9A949040C8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" name="Elipse 720">
          <a:extLst>
            <a:ext uri="{FF2B5EF4-FFF2-40B4-BE49-F238E27FC236}">
              <a16:creationId xmlns:a16="http://schemas.microsoft.com/office/drawing/2014/main" id="{4791034E-5E45-4160-979A-70840029F0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" name="Elipse 721">
          <a:extLst>
            <a:ext uri="{FF2B5EF4-FFF2-40B4-BE49-F238E27FC236}">
              <a16:creationId xmlns:a16="http://schemas.microsoft.com/office/drawing/2014/main" id="{A580CD38-631F-481A-8F5C-8DE6109F8D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" name="Elipse 722">
          <a:extLst>
            <a:ext uri="{FF2B5EF4-FFF2-40B4-BE49-F238E27FC236}">
              <a16:creationId xmlns:a16="http://schemas.microsoft.com/office/drawing/2014/main" id="{E556B1B7-C739-4F3A-992D-C51C025DBD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" name="Elipse 723">
          <a:extLst>
            <a:ext uri="{FF2B5EF4-FFF2-40B4-BE49-F238E27FC236}">
              <a16:creationId xmlns:a16="http://schemas.microsoft.com/office/drawing/2014/main" id="{F9AC733E-B4C6-46E5-AD91-009DF50D12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" name="Elipse 724">
          <a:extLst>
            <a:ext uri="{FF2B5EF4-FFF2-40B4-BE49-F238E27FC236}">
              <a16:creationId xmlns:a16="http://schemas.microsoft.com/office/drawing/2014/main" id="{3D52502A-3568-4597-82F5-255320C38E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" name="Elipse 725">
          <a:extLst>
            <a:ext uri="{FF2B5EF4-FFF2-40B4-BE49-F238E27FC236}">
              <a16:creationId xmlns:a16="http://schemas.microsoft.com/office/drawing/2014/main" id="{DFF99C85-A8C9-441F-9C5C-3E86405990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" name="Elipse 726">
          <a:extLst>
            <a:ext uri="{FF2B5EF4-FFF2-40B4-BE49-F238E27FC236}">
              <a16:creationId xmlns:a16="http://schemas.microsoft.com/office/drawing/2014/main" id="{06BA0057-3F77-4CAF-AAE0-CCB37F6464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" name="Elipse 727">
          <a:extLst>
            <a:ext uri="{FF2B5EF4-FFF2-40B4-BE49-F238E27FC236}">
              <a16:creationId xmlns:a16="http://schemas.microsoft.com/office/drawing/2014/main" id="{54B2E02A-A609-4800-895A-69C85DD8DE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" name="Elipse 728">
          <a:extLst>
            <a:ext uri="{FF2B5EF4-FFF2-40B4-BE49-F238E27FC236}">
              <a16:creationId xmlns:a16="http://schemas.microsoft.com/office/drawing/2014/main" id="{12CCF2CA-40F6-480B-860C-5C0F002856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" name="Elipse 729">
          <a:extLst>
            <a:ext uri="{FF2B5EF4-FFF2-40B4-BE49-F238E27FC236}">
              <a16:creationId xmlns:a16="http://schemas.microsoft.com/office/drawing/2014/main" id="{1565310E-1D44-4117-8C3C-277DF1D7DF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" name="Elipse 730">
          <a:extLst>
            <a:ext uri="{FF2B5EF4-FFF2-40B4-BE49-F238E27FC236}">
              <a16:creationId xmlns:a16="http://schemas.microsoft.com/office/drawing/2014/main" id="{5999266A-316B-4496-B096-4D3010D723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" name="Elipse 731">
          <a:extLst>
            <a:ext uri="{FF2B5EF4-FFF2-40B4-BE49-F238E27FC236}">
              <a16:creationId xmlns:a16="http://schemas.microsoft.com/office/drawing/2014/main" id="{80856F48-9F04-45B7-8EA2-B634DF8F6F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" name="Elipse 732">
          <a:extLst>
            <a:ext uri="{FF2B5EF4-FFF2-40B4-BE49-F238E27FC236}">
              <a16:creationId xmlns:a16="http://schemas.microsoft.com/office/drawing/2014/main" id="{EBF829BC-5AAB-49BF-A1CC-74D0A1C81A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" name="Elipse 733">
          <a:extLst>
            <a:ext uri="{FF2B5EF4-FFF2-40B4-BE49-F238E27FC236}">
              <a16:creationId xmlns:a16="http://schemas.microsoft.com/office/drawing/2014/main" id="{7C5A52EA-9FE4-474F-8BAD-3C090394CA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" name="Elipse 734">
          <a:extLst>
            <a:ext uri="{FF2B5EF4-FFF2-40B4-BE49-F238E27FC236}">
              <a16:creationId xmlns:a16="http://schemas.microsoft.com/office/drawing/2014/main" id="{C3C08B95-FB04-49D4-AC86-D0107BB37E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" name="Elipse 735">
          <a:extLst>
            <a:ext uri="{FF2B5EF4-FFF2-40B4-BE49-F238E27FC236}">
              <a16:creationId xmlns:a16="http://schemas.microsoft.com/office/drawing/2014/main" id="{867545F5-C5F9-44B8-B650-B9A2ADD75C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" name="Elipse 736">
          <a:extLst>
            <a:ext uri="{FF2B5EF4-FFF2-40B4-BE49-F238E27FC236}">
              <a16:creationId xmlns:a16="http://schemas.microsoft.com/office/drawing/2014/main" id="{15E8B56F-035A-4520-9DB6-80C24C37E1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" name="Elipse 737">
          <a:extLst>
            <a:ext uri="{FF2B5EF4-FFF2-40B4-BE49-F238E27FC236}">
              <a16:creationId xmlns:a16="http://schemas.microsoft.com/office/drawing/2014/main" id="{7A4D3F10-7083-4E92-A921-F6EF6CA2B1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" name="Elipse 738">
          <a:extLst>
            <a:ext uri="{FF2B5EF4-FFF2-40B4-BE49-F238E27FC236}">
              <a16:creationId xmlns:a16="http://schemas.microsoft.com/office/drawing/2014/main" id="{68999684-AA43-4C22-A5F9-E07976402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" name="Elipse 739">
          <a:extLst>
            <a:ext uri="{FF2B5EF4-FFF2-40B4-BE49-F238E27FC236}">
              <a16:creationId xmlns:a16="http://schemas.microsoft.com/office/drawing/2014/main" id="{49988AD6-5FF0-437B-A777-1DF7BB99F6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" name="Elipse 740">
          <a:extLst>
            <a:ext uri="{FF2B5EF4-FFF2-40B4-BE49-F238E27FC236}">
              <a16:creationId xmlns:a16="http://schemas.microsoft.com/office/drawing/2014/main" id="{3308EF60-578D-47FE-B86C-8FD0DF640B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" name="Elipse 741">
          <a:extLst>
            <a:ext uri="{FF2B5EF4-FFF2-40B4-BE49-F238E27FC236}">
              <a16:creationId xmlns:a16="http://schemas.microsoft.com/office/drawing/2014/main" id="{24F3F574-257F-48E6-BE37-1E5DDDE555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" name="Elipse 742">
          <a:extLst>
            <a:ext uri="{FF2B5EF4-FFF2-40B4-BE49-F238E27FC236}">
              <a16:creationId xmlns:a16="http://schemas.microsoft.com/office/drawing/2014/main" id="{B1B5CAEB-6A44-455E-BD67-6175A52F37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" name="Elipse 743">
          <a:extLst>
            <a:ext uri="{FF2B5EF4-FFF2-40B4-BE49-F238E27FC236}">
              <a16:creationId xmlns:a16="http://schemas.microsoft.com/office/drawing/2014/main" id="{647869A6-B254-4CD1-BC27-C454167E59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" name="Elipse 744">
          <a:extLst>
            <a:ext uri="{FF2B5EF4-FFF2-40B4-BE49-F238E27FC236}">
              <a16:creationId xmlns:a16="http://schemas.microsoft.com/office/drawing/2014/main" id="{56125128-05ED-4545-94BA-9D18EDE791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" name="Elipse 745">
          <a:extLst>
            <a:ext uri="{FF2B5EF4-FFF2-40B4-BE49-F238E27FC236}">
              <a16:creationId xmlns:a16="http://schemas.microsoft.com/office/drawing/2014/main" id="{846753AC-6431-4701-B79D-5E4362CC75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" name="Elipse 746">
          <a:extLst>
            <a:ext uri="{FF2B5EF4-FFF2-40B4-BE49-F238E27FC236}">
              <a16:creationId xmlns:a16="http://schemas.microsoft.com/office/drawing/2014/main" id="{38A120A8-69B8-492E-89B2-9765C7936D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" name="Elipse 747">
          <a:extLst>
            <a:ext uri="{FF2B5EF4-FFF2-40B4-BE49-F238E27FC236}">
              <a16:creationId xmlns:a16="http://schemas.microsoft.com/office/drawing/2014/main" id="{F81984C2-D238-4CF6-80DB-5B29AF944C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" name="Elipse 748">
          <a:extLst>
            <a:ext uri="{FF2B5EF4-FFF2-40B4-BE49-F238E27FC236}">
              <a16:creationId xmlns:a16="http://schemas.microsoft.com/office/drawing/2014/main" id="{50897347-2D76-47A0-8833-637B5B2278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" name="Elipse 749">
          <a:extLst>
            <a:ext uri="{FF2B5EF4-FFF2-40B4-BE49-F238E27FC236}">
              <a16:creationId xmlns:a16="http://schemas.microsoft.com/office/drawing/2014/main" id="{3F265583-7273-41C5-AAD9-3C060601F4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" name="Elipse 750">
          <a:extLst>
            <a:ext uri="{FF2B5EF4-FFF2-40B4-BE49-F238E27FC236}">
              <a16:creationId xmlns:a16="http://schemas.microsoft.com/office/drawing/2014/main" id="{9FF732C6-FE29-498D-BCB0-A22D728BFF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" name="Elipse 751">
          <a:extLst>
            <a:ext uri="{FF2B5EF4-FFF2-40B4-BE49-F238E27FC236}">
              <a16:creationId xmlns:a16="http://schemas.microsoft.com/office/drawing/2014/main" id="{29B69480-E895-4866-868E-D2BBACA93A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" name="Elipse 752">
          <a:extLst>
            <a:ext uri="{FF2B5EF4-FFF2-40B4-BE49-F238E27FC236}">
              <a16:creationId xmlns:a16="http://schemas.microsoft.com/office/drawing/2014/main" id="{3AFD2C6B-73E6-4997-B4F2-6875C499C6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" name="Elipse 753">
          <a:extLst>
            <a:ext uri="{FF2B5EF4-FFF2-40B4-BE49-F238E27FC236}">
              <a16:creationId xmlns:a16="http://schemas.microsoft.com/office/drawing/2014/main" id="{30D16C13-B2FD-4CFB-B0A5-CA4B4C75DB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" name="Elipse 754">
          <a:extLst>
            <a:ext uri="{FF2B5EF4-FFF2-40B4-BE49-F238E27FC236}">
              <a16:creationId xmlns:a16="http://schemas.microsoft.com/office/drawing/2014/main" id="{B891A5C4-2280-4E2D-9118-694EEE24DA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" name="Elipse 755">
          <a:extLst>
            <a:ext uri="{FF2B5EF4-FFF2-40B4-BE49-F238E27FC236}">
              <a16:creationId xmlns:a16="http://schemas.microsoft.com/office/drawing/2014/main" id="{BB53FCDE-C164-4A21-841A-8D48BDD575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" name="Elipse 756">
          <a:extLst>
            <a:ext uri="{FF2B5EF4-FFF2-40B4-BE49-F238E27FC236}">
              <a16:creationId xmlns:a16="http://schemas.microsoft.com/office/drawing/2014/main" id="{C81347A6-DC27-4B3A-A474-C5829D171B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" name="Elipse 757">
          <a:extLst>
            <a:ext uri="{FF2B5EF4-FFF2-40B4-BE49-F238E27FC236}">
              <a16:creationId xmlns:a16="http://schemas.microsoft.com/office/drawing/2014/main" id="{6703818C-81A6-49FE-89BB-D341E8A345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" name="Elipse 758">
          <a:extLst>
            <a:ext uri="{FF2B5EF4-FFF2-40B4-BE49-F238E27FC236}">
              <a16:creationId xmlns:a16="http://schemas.microsoft.com/office/drawing/2014/main" id="{FFAA16BA-7B9E-461E-9417-A68E93041C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" name="Elipse 759">
          <a:extLst>
            <a:ext uri="{FF2B5EF4-FFF2-40B4-BE49-F238E27FC236}">
              <a16:creationId xmlns:a16="http://schemas.microsoft.com/office/drawing/2014/main" id="{A787D2A5-43F7-4C22-9D83-15015B1C04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" name="Elipse 760">
          <a:extLst>
            <a:ext uri="{FF2B5EF4-FFF2-40B4-BE49-F238E27FC236}">
              <a16:creationId xmlns:a16="http://schemas.microsoft.com/office/drawing/2014/main" id="{E0E49FCC-C461-424A-83B6-8B3B166E83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" name="Elipse 761">
          <a:extLst>
            <a:ext uri="{FF2B5EF4-FFF2-40B4-BE49-F238E27FC236}">
              <a16:creationId xmlns:a16="http://schemas.microsoft.com/office/drawing/2014/main" id="{2CA0D227-BCF3-4946-B803-C81A9EF4B5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" name="Elipse 762">
          <a:extLst>
            <a:ext uri="{FF2B5EF4-FFF2-40B4-BE49-F238E27FC236}">
              <a16:creationId xmlns:a16="http://schemas.microsoft.com/office/drawing/2014/main" id="{AA7AEBC0-D63C-4B07-A4EF-6F28EE3C30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" name="Elipse 763">
          <a:extLst>
            <a:ext uri="{FF2B5EF4-FFF2-40B4-BE49-F238E27FC236}">
              <a16:creationId xmlns:a16="http://schemas.microsoft.com/office/drawing/2014/main" id="{E5A6FB40-FDC4-4D6F-B7A1-0E270D7254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" name="Elipse 764">
          <a:extLst>
            <a:ext uri="{FF2B5EF4-FFF2-40B4-BE49-F238E27FC236}">
              <a16:creationId xmlns:a16="http://schemas.microsoft.com/office/drawing/2014/main" id="{6B378D78-40A5-4BE8-85C3-F8822EB7BB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" name="Elipse 765">
          <a:extLst>
            <a:ext uri="{FF2B5EF4-FFF2-40B4-BE49-F238E27FC236}">
              <a16:creationId xmlns:a16="http://schemas.microsoft.com/office/drawing/2014/main" id="{CA1AC454-5B3A-491E-AB1C-2A6B268B8F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" name="Elipse 766">
          <a:extLst>
            <a:ext uri="{FF2B5EF4-FFF2-40B4-BE49-F238E27FC236}">
              <a16:creationId xmlns:a16="http://schemas.microsoft.com/office/drawing/2014/main" id="{3CFDB79D-3AEA-4468-93E4-D7C051C9D5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" name="Elipse 767">
          <a:extLst>
            <a:ext uri="{FF2B5EF4-FFF2-40B4-BE49-F238E27FC236}">
              <a16:creationId xmlns:a16="http://schemas.microsoft.com/office/drawing/2014/main" id="{F5AB35D7-4343-4C56-99B4-AF497B9041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" name="Elipse 768">
          <a:extLst>
            <a:ext uri="{FF2B5EF4-FFF2-40B4-BE49-F238E27FC236}">
              <a16:creationId xmlns:a16="http://schemas.microsoft.com/office/drawing/2014/main" id="{E0C535ED-31E4-437D-B8B4-ED9944718B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" name="Elipse 769">
          <a:extLst>
            <a:ext uri="{FF2B5EF4-FFF2-40B4-BE49-F238E27FC236}">
              <a16:creationId xmlns:a16="http://schemas.microsoft.com/office/drawing/2014/main" id="{C5156633-3A78-485B-95EC-FA1F2D69D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" name="Elipse 770">
          <a:extLst>
            <a:ext uri="{FF2B5EF4-FFF2-40B4-BE49-F238E27FC236}">
              <a16:creationId xmlns:a16="http://schemas.microsoft.com/office/drawing/2014/main" id="{953CF9A5-4E44-4CB0-983F-C643CC9A06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" name="Elipse 771">
          <a:extLst>
            <a:ext uri="{FF2B5EF4-FFF2-40B4-BE49-F238E27FC236}">
              <a16:creationId xmlns:a16="http://schemas.microsoft.com/office/drawing/2014/main" id="{CA135F62-40D4-4EDD-96D3-9105E2C7D6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" name="Elipse 772">
          <a:extLst>
            <a:ext uri="{FF2B5EF4-FFF2-40B4-BE49-F238E27FC236}">
              <a16:creationId xmlns:a16="http://schemas.microsoft.com/office/drawing/2014/main" id="{A47AB177-2955-49D7-8368-A436CB6772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" name="Elipse 773">
          <a:extLst>
            <a:ext uri="{FF2B5EF4-FFF2-40B4-BE49-F238E27FC236}">
              <a16:creationId xmlns:a16="http://schemas.microsoft.com/office/drawing/2014/main" id="{B5828655-8B22-437D-99CD-03A9DA4763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" name="Elipse 774">
          <a:extLst>
            <a:ext uri="{FF2B5EF4-FFF2-40B4-BE49-F238E27FC236}">
              <a16:creationId xmlns:a16="http://schemas.microsoft.com/office/drawing/2014/main" id="{D6D40F06-9069-44E0-87B8-9A276064EE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" name="Elipse 775">
          <a:extLst>
            <a:ext uri="{FF2B5EF4-FFF2-40B4-BE49-F238E27FC236}">
              <a16:creationId xmlns:a16="http://schemas.microsoft.com/office/drawing/2014/main" id="{F15CF95E-F9B3-42B4-A5CE-EB8B41E380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" name="Elipse 776">
          <a:extLst>
            <a:ext uri="{FF2B5EF4-FFF2-40B4-BE49-F238E27FC236}">
              <a16:creationId xmlns:a16="http://schemas.microsoft.com/office/drawing/2014/main" id="{FF5CB3B7-8F15-4AA6-9D0B-785AF57A9D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" name="Elipse 777">
          <a:extLst>
            <a:ext uri="{FF2B5EF4-FFF2-40B4-BE49-F238E27FC236}">
              <a16:creationId xmlns:a16="http://schemas.microsoft.com/office/drawing/2014/main" id="{1BEA3866-514E-4BB3-BEFE-597B1CE60A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" name="Elipse 778">
          <a:extLst>
            <a:ext uri="{FF2B5EF4-FFF2-40B4-BE49-F238E27FC236}">
              <a16:creationId xmlns:a16="http://schemas.microsoft.com/office/drawing/2014/main" id="{DCB357FE-F6CD-4DC3-BF1E-8BC665731A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" name="Elipse 779">
          <a:extLst>
            <a:ext uri="{FF2B5EF4-FFF2-40B4-BE49-F238E27FC236}">
              <a16:creationId xmlns:a16="http://schemas.microsoft.com/office/drawing/2014/main" id="{3BD1A4E7-CC57-4DF3-886E-C8129BAEF6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" name="Elipse 780">
          <a:extLst>
            <a:ext uri="{FF2B5EF4-FFF2-40B4-BE49-F238E27FC236}">
              <a16:creationId xmlns:a16="http://schemas.microsoft.com/office/drawing/2014/main" id="{559D1113-BDA9-44D6-BDFB-A7BD7C5FCF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" name="Elipse 781">
          <a:extLst>
            <a:ext uri="{FF2B5EF4-FFF2-40B4-BE49-F238E27FC236}">
              <a16:creationId xmlns:a16="http://schemas.microsoft.com/office/drawing/2014/main" id="{E94B75EB-A25C-4432-AAA9-551142560D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" name="Elipse 782">
          <a:extLst>
            <a:ext uri="{FF2B5EF4-FFF2-40B4-BE49-F238E27FC236}">
              <a16:creationId xmlns:a16="http://schemas.microsoft.com/office/drawing/2014/main" id="{2A3F03DF-8DAD-4CA9-B956-515F285FA1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" name="Elipse 783">
          <a:extLst>
            <a:ext uri="{FF2B5EF4-FFF2-40B4-BE49-F238E27FC236}">
              <a16:creationId xmlns:a16="http://schemas.microsoft.com/office/drawing/2014/main" id="{14F44520-194E-497B-98A8-CBA2FE20FB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" name="Elipse 784">
          <a:extLst>
            <a:ext uri="{FF2B5EF4-FFF2-40B4-BE49-F238E27FC236}">
              <a16:creationId xmlns:a16="http://schemas.microsoft.com/office/drawing/2014/main" id="{03A65B3C-BCA1-448E-9DD9-C26B521C5A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" name="Elipse 785">
          <a:extLst>
            <a:ext uri="{FF2B5EF4-FFF2-40B4-BE49-F238E27FC236}">
              <a16:creationId xmlns:a16="http://schemas.microsoft.com/office/drawing/2014/main" id="{E13CC6E3-1C19-4C75-82AA-BD62CE22CD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" name="Elipse 786">
          <a:extLst>
            <a:ext uri="{FF2B5EF4-FFF2-40B4-BE49-F238E27FC236}">
              <a16:creationId xmlns:a16="http://schemas.microsoft.com/office/drawing/2014/main" id="{E17F3E83-BC38-432E-ACB7-4EC94AD7F1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" name="Elipse 787">
          <a:extLst>
            <a:ext uri="{FF2B5EF4-FFF2-40B4-BE49-F238E27FC236}">
              <a16:creationId xmlns:a16="http://schemas.microsoft.com/office/drawing/2014/main" id="{49DF393D-6F57-4375-AE71-04BEADFF1E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" name="Elipse 788">
          <a:extLst>
            <a:ext uri="{FF2B5EF4-FFF2-40B4-BE49-F238E27FC236}">
              <a16:creationId xmlns:a16="http://schemas.microsoft.com/office/drawing/2014/main" id="{5BADECBD-821D-4FC3-8056-B41308616A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" name="Elipse 789">
          <a:extLst>
            <a:ext uri="{FF2B5EF4-FFF2-40B4-BE49-F238E27FC236}">
              <a16:creationId xmlns:a16="http://schemas.microsoft.com/office/drawing/2014/main" id="{C0486E89-44FA-4FB0-BF0F-9B5A1DF032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" name="Elipse 790">
          <a:extLst>
            <a:ext uri="{FF2B5EF4-FFF2-40B4-BE49-F238E27FC236}">
              <a16:creationId xmlns:a16="http://schemas.microsoft.com/office/drawing/2014/main" id="{8AFD4B3D-D752-467C-9438-3B91A1A32A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" name="Elipse 791">
          <a:extLst>
            <a:ext uri="{FF2B5EF4-FFF2-40B4-BE49-F238E27FC236}">
              <a16:creationId xmlns:a16="http://schemas.microsoft.com/office/drawing/2014/main" id="{61CB30AE-5CD7-443B-9FC3-DA276061FE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" name="Elipse 792">
          <a:extLst>
            <a:ext uri="{FF2B5EF4-FFF2-40B4-BE49-F238E27FC236}">
              <a16:creationId xmlns:a16="http://schemas.microsoft.com/office/drawing/2014/main" id="{FEC70EDF-CDBA-4B14-A5ED-0AD6011BCE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" name="Elipse 793">
          <a:extLst>
            <a:ext uri="{FF2B5EF4-FFF2-40B4-BE49-F238E27FC236}">
              <a16:creationId xmlns:a16="http://schemas.microsoft.com/office/drawing/2014/main" id="{0A0EE1E7-67FA-40F1-9F58-FC6D53F2CE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" name="Elipse 794">
          <a:extLst>
            <a:ext uri="{FF2B5EF4-FFF2-40B4-BE49-F238E27FC236}">
              <a16:creationId xmlns:a16="http://schemas.microsoft.com/office/drawing/2014/main" id="{6942EBF0-3BB1-4AB9-B12E-D6A3B1E991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" name="Elipse 795">
          <a:extLst>
            <a:ext uri="{FF2B5EF4-FFF2-40B4-BE49-F238E27FC236}">
              <a16:creationId xmlns:a16="http://schemas.microsoft.com/office/drawing/2014/main" id="{5C7A2F1E-EE2F-4B08-A0E6-73271FE4F4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" name="Elipse 796">
          <a:extLst>
            <a:ext uri="{FF2B5EF4-FFF2-40B4-BE49-F238E27FC236}">
              <a16:creationId xmlns:a16="http://schemas.microsoft.com/office/drawing/2014/main" id="{1211F6E3-D8D7-4559-B057-E07D83A332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" name="Elipse 797">
          <a:extLst>
            <a:ext uri="{FF2B5EF4-FFF2-40B4-BE49-F238E27FC236}">
              <a16:creationId xmlns:a16="http://schemas.microsoft.com/office/drawing/2014/main" id="{3DCBC6FD-A2A7-4312-A15C-B590391156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" name="Elipse 798">
          <a:extLst>
            <a:ext uri="{FF2B5EF4-FFF2-40B4-BE49-F238E27FC236}">
              <a16:creationId xmlns:a16="http://schemas.microsoft.com/office/drawing/2014/main" id="{FC1C1A88-795D-4B74-B242-12E0B772EA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" name="Elipse 799">
          <a:extLst>
            <a:ext uri="{FF2B5EF4-FFF2-40B4-BE49-F238E27FC236}">
              <a16:creationId xmlns:a16="http://schemas.microsoft.com/office/drawing/2014/main" id="{91527E70-597B-4FC4-B03B-E6E8BF3408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" name="Elipse 800">
          <a:extLst>
            <a:ext uri="{FF2B5EF4-FFF2-40B4-BE49-F238E27FC236}">
              <a16:creationId xmlns:a16="http://schemas.microsoft.com/office/drawing/2014/main" id="{AD752D24-C53A-48C6-94BE-05DE6CD8A0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" name="Elipse 801">
          <a:extLst>
            <a:ext uri="{FF2B5EF4-FFF2-40B4-BE49-F238E27FC236}">
              <a16:creationId xmlns:a16="http://schemas.microsoft.com/office/drawing/2014/main" id="{DD599E6B-BCA7-4C43-A2CF-3EB37D286B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" name="Elipse 802">
          <a:extLst>
            <a:ext uri="{FF2B5EF4-FFF2-40B4-BE49-F238E27FC236}">
              <a16:creationId xmlns:a16="http://schemas.microsoft.com/office/drawing/2014/main" id="{B0353F24-D05E-4404-AF95-71DA57911C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" name="Elipse 803">
          <a:extLst>
            <a:ext uri="{FF2B5EF4-FFF2-40B4-BE49-F238E27FC236}">
              <a16:creationId xmlns:a16="http://schemas.microsoft.com/office/drawing/2014/main" id="{E6280053-8591-43E6-B04F-84F451C79A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" name="Elipse 804">
          <a:extLst>
            <a:ext uri="{FF2B5EF4-FFF2-40B4-BE49-F238E27FC236}">
              <a16:creationId xmlns:a16="http://schemas.microsoft.com/office/drawing/2014/main" id="{81E0AD47-ECC7-433F-9097-8E564243C2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" name="Elipse 805">
          <a:extLst>
            <a:ext uri="{FF2B5EF4-FFF2-40B4-BE49-F238E27FC236}">
              <a16:creationId xmlns:a16="http://schemas.microsoft.com/office/drawing/2014/main" id="{27E87B39-185D-4B0B-A74A-BF2EA8FFE0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" name="Elipse 806">
          <a:extLst>
            <a:ext uri="{FF2B5EF4-FFF2-40B4-BE49-F238E27FC236}">
              <a16:creationId xmlns:a16="http://schemas.microsoft.com/office/drawing/2014/main" id="{7E022E6C-DECD-4887-8D55-B55FE28002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" name="Elipse 807">
          <a:extLst>
            <a:ext uri="{FF2B5EF4-FFF2-40B4-BE49-F238E27FC236}">
              <a16:creationId xmlns:a16="http://schemas.microsoft.com/office/drawing/2014/main" id="{4545C34A-82ED-4B40-B9B7-AB5F51BCC0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" name="Elipse 808">
          <a:extLst>
            <a:ext uri="{FF2B5EF4-FFF2-40B4-BE49-F238E27FC236}">
              <a16:creationId xmlns:a16="http://schemas.microsoft.com/office/drawing/2014/main" id="{7638C5A4-5698-4AC8-A2B4-801313E1C7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" name="Elipse 809">
          <a:extLst>
            <a:ext uri="{FF2B5EF4-FFF2-40B4-BE49-F238E27FC236}">
              <a16:creationId xmlns:a16="http://schemas.microsoft.com/office/drawing/2014/main" id="{A970CC62-4043-44E1-B36F-950CD8C8BC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" name="Elipse 810">
          <a:extLst>
            <a:ext uri="{FF2B5EF4-FFF2-40B4-BE49-F238E27FC236}">
              <a16:creationId xmlns:a16="http://schemas.microsoft.com/office/drawing/2014/main" id="{2E9F4E17-1A15-4AB2-A241-26852E60D0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" name="Elipse 811">
          <a:extLst>
            <a:ext uri="{FF2B5EF4-FFF2-40B4-BE49-F238E27FC236}">
              <a16:creationId xmlns:a16="http://schemas.microsoft.com/office/drawing/2014/main" id="{C090F636-9132-4AB3-B102-7E60BAF29F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" name="Elipse 812">
          <a:extLst>
            <a:ext uri="{FF2B5EF4-FFF2-40B4-BE49-F238E27FC236}">
              <a16:creationId xmlns:a16="http://schemas.microsoft.com/office/drawing/2014/main" id="{4DC82C97-8975-411F-BFD9-617C58C376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" name="Elipse 813">
          <a:extLst>
            <a:ext uri="{FF2B5EF4-FFF2-40B4-BE49-F238E27FC236}">
              <a16:creationId xmlns:a16="http://schemas.microsoft.com/office/drawing/2014/main" id="{AA21737B-9D8E-4DED-98F8-E86031F8C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" name="Elipse 814">
          <a:extLst>
            <a:ext uri="{FF2B5EF4-FFF2-40B4-BE49-F238E27FC236}">
              <a16:creationId xmlns:a16="http://schemas.microsoft.com/office/drawing/2014/main" id="{686BC8D4-2C5D-41D2-AE10-1B35B93388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" name="Elipse 815">
          <a:extLst>
            <a:ext uri="{FF2B5EF4-FFF2-40B4-BE49-F238E27FC236}">
              <a16:creationId xmlns:a16="http://schemas.microsoft.com/office/drawing/2014/main" id="{8DF5A716-58FC-4DFE-A70C-ADFCB05D5C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" name="Elipse 816">
          <a:extLst>
            <a:ext uri="{FF2B5EF4-FFF2-40B4-BE49-F238E27FC236}">
              <a16:creationId xmlns:a16="http://schemas.microsoft.com/office/drawing/2014/main" id="{FEF73507-840C-42C0-990A-9843BA5662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" name="Elipse 817">
          <a:extLst>
            <a:ext uri="{FF2B5EF4-FFF2-40B4-BE49-F238E27FC236}">
              <a16:creationId xmlns:a16="http://schemas.microsoft.com/office/drawing/2014/main" id="{7C078E4D-BCD6-443F-8448-AB3874FFF0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" name="Elipse 818">
          <a:extLst>
            <a:ext uri="{FF2B5EF4-FFF2-40B4-BE49-F238E27FC236}">
              <a16:creationId xmlns:a16="http://schemas.microsoft.com/office/drawing/2014/main" id="{E39602A4-62DD-4F13-A099-4E51883ACB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" name="Elipse 819">
          <a:extLst>
            <a:ext uri="{FF2B5EF4-FFF2-40B4-BE49-F238E27FC236}">
              <a16:creationId xmlns:a16="http://schemas.microsoft.com/office/drawing/2014/main" id="{6534A856-5157-43DA-9774-FA8FBF0907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" name="Elipse 820">
          <a:extLst>
            <a:ext uri="{FF2B5EF4-FFF2-40B4-BE49-F238E27FC236}">
              <a16:creationId xmlns:a16="http://schemas.microsoft.com/office/drawing/2014/main" id="{8A56C9A6-EAF9-411C-A2DC-24F15D0A51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" name="Elipse 821">
          <a:extLst>
            <a:ext uri="{FF2B5EF4-FFF2-40B4-BE49-F238E27FC236}">
              <a16:creationId xmlns:a16="http://schemas.microsoft.com/office/drawing/2014/main" id="{A56984C3-082D-4090-9121-6753EC01B3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" name="Elipse 822">
          <a:extLst>
            <a:ext uri="{FF2B5EF4-FFF2-40B4-BE49-F238E27FC236}">
              <a16:creationId xmlns:a16="http://schemas.microsoft.com/office/drawing/2014/main" id="{14AFD8C1-8A53-4766-957A-8F376D16CA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" name="Elipse 823">
          <a:extLst>
            <a:ext uri="{FF2B5EF4-FFF2-40B4-BE49-F238E27FC236}">
              <a16:creationId xmlns:a16="http://schemas.microsoft.com/office/drawing/2014/main" id="{06B51479-D711-4D2A-BE4B-CB92C54077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" name="Elipse 824">
          <a:extLst>
            <a:ext uri="{FF2B5EF4-FFF2-40B4-BE49-F238E27FC236}">
              <a16:creationId xmlns:a16="http://schemas.microsoft.com/office/drawing/2014/main" id="{F6505DF6-F8E1-4217-B886-7E05921AE2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" name="Elipse 825">
          <a:extLst>
            <a:ext uri="{FF2B5EF4-FFF2-40B4-BE49-F238E27FC236}">
              <a16:creationId xmlns:a16="http://schemas.microsoft.com/office/drawing/2014/main" id="{7005902D-5B79-47FA-BC01-2932A744EC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" name="Elipse 826">
          <a:extLst>
            <a:ext uri="{FF2B5EF4-FFF2-40B4-BE49-F238E27FC236}">
              <a16:creationId xmlns:a16="http://schemas.microsoft.com/office/drawing/2014/main" id="{B2F0D6CD-F328-49D3-A593-69F1CACEC6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" name="Elipse 827">
          <a:extLst>
            <a:ext uri="{FF2B5EF4-FFF2-40B4-BE49-F238E27FC236}">
              <a16:creationId xmlns:a16="http://schemas.microsoft.com/office/drawing/2014/main" id="{E2655916-5A41-4A9F-964C-27CDC2DD2C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" name="Elipse 828">
          <a:extLst>
            <a:ext uri="{FF2B5EF4-FFF2-40B4-BE49-F238E27FC236}">
              <a16:creationId xmlns:a16="http://schemas.microsoft.com/office/drawing/2014/main" id="{A30CA70A-4C7A-461B-9244-49BBCC18C6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" name="Elipse 829">
          <a:extLst>
            <a:ext uri="{FF2B5EF4-FFF2-40B4-BE49-F238E27FC236}">
              <a16:creationId xmlns:a16="http://schemas.microsoft.com/office/drawing/2014/main" id="{2D9E7322-3283-4762-A203-CDABAFAC15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" name="Elipse 830">
          <a:extLst>
            <a:ext uri="{FF2B5EF4-FFF2-40B4-BE49-F238E27FC236}">
              <a16:creationId xmlns:a16="http://schemas.microsoft.com/office/drawing/2014/main" id="{4331B041-1128-4FE5-B731-50E3FB51ED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" name="Elipse 831">
          <a:extLst>
            <a:ext uri="{FF2B5EF4-FFF2-40B4-BE49-F238E27FC236}">
              <a16:creationId xmlns:a16="http://schemas.microsoft.com/office/drawing/2014/main" id="{B9FD5B6B-5716-4715-8C2F-437753B48D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" name="Elipse 832">
          <a:extLst>
            <a:ext uri="{FF2B5EF4-FFF2-40B4-BE49-F238E27FC236}">
              <a16:creationId xmlns:a16="http://schemas.microsoft.com/office/drawing/2014/main" id="{7867FD0B-C397-47F1-877D-487D6ACE59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" name="Elipse 833">
          <a:extLst>
            <a:ext uri="{FF2B5EF4-FFF2-40B4-BE49-F238E27FC236}">
              <a16:creationId xmlns:a16="http://schemas.microsoft.com/office/drawing/2014/main" id="{6966EBEC-DCD9-4114-81E5-907215837F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" name="Elipse 834">
          <a:extLst>
            <a:ext uri="{FF2B5EF4-FFF2-40B4-BE49-F238E27FC236}">
              <a16:creationId xmlns:a16="http://schemas.microsoft.com/office/drawing/2014/main" id="{67BEF949-3DC9-47F8-8CAA-48E7F09258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" name="Elipse 835">
          <a:extLst>
            <a:ext uri="{FF2B5EF4-FFF2-40B4-BE49-F238E27FC236}">
              <a16:creationId xmlns:a16="http://schemas.microsoft.com/office/drawing/2014/main" id="{13D75639-808B-4E18-8C60-39A62CAC16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" name="Elipse 836">
          <a:extLst>
            <a:ext uri="{FF2B5EF4-FFF2-40B4-BE49-F238E27FC236}">
              <a16:creationId xmlns:a16="http://schemas.microsoft.com/office/drawing/2014/main" id="{573641E3-603B-4B4D-A371-40E882B941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" name="Elipse 837">
          <a:extLst>
            <a:ext uri="{FF2B5EF4-FFF2-40B4-BE49-F238E27FC236}">
              <a16:creationId xmlns:a16="http://schemas.microsoft.com/office/drawing/2014/main" id="{0A1D0F78-E50F-41F9-8DEE-39D1F6A326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" name="Elipse 838">
          <a:extLst>
            <a:ext uri="{FF2B5EF4-FFF2-40B4-BE49-F238E27FC236}">
              <a16:creationId xmlns:a16="http://schemas.microsoft.com/office/drawing/2014/main" id="{6CBB3307-157E-43EC-9F51-9FDC71C79D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" name="Elipse 839">
          <a:extLst>
            <a:ext uri="{FF2B5EF4-FFF2-40B4-BE49-F238E27FC236}">
              <a16:creationId xmlns:a16="http://schemas.microsoft.com/office/drawing/2014/main" id="{974DCDF9-4E7B-4A78-ADCC-D41B51585E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" name="Elipse 840">
          <a:extLst>
            <a:ext uri="{FF2B5EF4-FFF2-40B4-BE49-F238E27FC236}">
              <a16:creationId xmlns:a16="http://schemas.microsoft.com/office/drawing/2014/main" id="{99AB6A7C-666D-4194-B2F5-7420415DDF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" name="Elipse 841">
          <a:extLst>
            <a:ext uri="{FF2B5EF4-FFF2-40B4-BE49-F238E27FC236}">
              <a16:creationId xmlns:a16="http://schemas.microsoft.com/office/drawing/2014/main" id="{3F8BCA49-944C-49B2-A8F2-BA766005E3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" name="Elipse 842">
          <a:extLst>
            <a:ext uri="{FF2B5EF4-FFF2-40B4-BE49-F238E27FC236}">
              <a16:creationId xmlns:a16="http://schemas.microsoft.com/office/drawing/2014/main" id="{7065C0A2-83A5-4B78-9283-91F35D9FFA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" name="Elipse 843">
          <a:extLst>
            <a:ext uri="{FF2B5EF4-FFF2-40B4-BE49-F238E27FC236}">
              <a16:creationId xmlns:a16="http://schemas.microsoft.com/office/drawing/2014/main" id="{5CE4B826-989E-4DC7-A52E-1D79AB35CA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" name="Elipse 844">
          <a:extLst>
            <a:ext uri="{FF2B5EF4-FFF2-40B4-BE49-F238E27FC236}">
              <a16:creationId xmlns:a16="http://schemas.microsoft.com/office/drawing/2014/main" id="{2A282812-E587-4812-A3D7-83130524C3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" name="Elipse 845">
          <a:extLst>
            <a:ext uri="{FF2B5EF4-FFF2-40B4-BE49-F238E27FC236}">
              <a16:creationId xmlns:a16="http://schemas.microsoft.com/office/drawing/2014/main" id="{F46510C7-FFDF-408A-8D0E-596B6E38EF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" name="Elipse 846">
          <a:extLst>
            <a:ext uri="{FF2B5EF4-FFF2-40B4-BE49-F238E27FC236}">
              <a16:creationId xmlns:a16="http://schemas.microsoft.com/office/drawing/2014/main" id="{B48E33F4-8957-4605-81A1-3F95E2C877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" name="Elipse 847">
          <a:extLst>
            <a:ext uri="{FF2B5EF4-FFF2-40B4-BE49-F238E27FC236}">
              <a16:creationId xmlns:a16="http://schemas.microsoft.com/office/drawing/2014/main" id="{00C513C2-BF72-46D5-BB1A-015820C327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" name="Elipse 848">
          <a:extLst>
            <a:ext uri="{FF2B5EF4-FFF2-40B4-BE49-F238E27FC236}">
              <a16:creationId xmlns:a16="http://schemas.microsoft.com/office/drawing/2014/main" id="{C5964EDC-003A-43F6-B763-56D22AB5F7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" name="Elipse 849">
          <a:extLst>
            <a:ext uri="{FF2B5EF4-FFF2-40B4-BE49-F238E27FC236}">
              <a16:creationId xmlns:a16="http://schemas.microsoft.com/office/drawing/2014/main" id="{63B6579F-FCEF-4922-8856-D69746126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" name="Elipse 850">
          <a:extLst>
            <a:ext uri="{FF2B5EF4-FFF2-40B4-BE49-F238E27FC236}">
              <a16:creationId xmlns:a16="http://schemas.microsoft.com/office/drawing/2014/main" id="{EBC57B3E-9649-45AB-B0CA-C657515DAC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" name="Elipse 851">
          <a:extLst>
            <a:ext uri="{FF2B5EF4-FFF2-40B4-BE49-F238E27FC236}">
              <a16:creationId xmlns:a16="http://schemas.microsoft.com/office/drawing/2014/main" id="{423B27D7-6D3D-4CCD-B22F-31D244CDCC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" name="Elipse 852">
          <a:extLst>
            <a:ext uri="{FF2B5EF4-FFF2-40B4-BE49-F238E27FC236}">
              <a16:creationId xmlns:a16="http://schemas.microsoft.com/office/drawing/2014/main" id="{17B88F1B-B5E5-44FE-90A4-DF6EA3421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" name="Elipse 853">
          <a:extLst>
            <a:ext uri="{FF2B5EF4-FFF2-40B4-BE49-F238E27FC236}">
              <a16:creationId xmlns:a16="http://schemas.microsoft.com/office/drawing/2014/main" id="{1E932D7B-6B0E-4860-A18A-1233585FB2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" name="Elipse 854">
          <a:extLst>
            <a:ext uri="{FF2B5EF4-FFF2-40B4-BE49-F238E27FC236}">
              <a16:creationId xmlns:a16="http://schemas.microsoft.com/office/drawing/2014/main" id="{4781C8C1-93C9-4BD8-B595-B02D97F7E0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" name="Elipse 855">
          <a:extLst>
            <a:ext uri="{FF2B5EF4-FFF2-40B4-BE49-F238E27FC236}">
              <a16:creationId xmlns:a16="http://schemas.microsoft.com/office/drawing/2014/main" id="{89D65041-75D5-428A-BC1E-7618B38B12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" name="Elipse 856">
          <a:extLst>
            <a:ext uri="{FF2B5EF4-FFF2-40B4-BE49-F238E27FC236}">
              <a16:creationId xmlns:a16="http://schemas.microsoft.com/office/drawing/2014/main" id="{3141383F-0BDD-4F8F-B347-A17C28397A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" name="Elipse 857">
          <a:extLst>
            <a:ext uri="{FF2B5EF4-FFF2-40B4-BE49-F238E27FC236}">
              <a16:creationId xmlns:a16="http://schemas.microsoft.com/office/drawing/2014/main" id="{DC8EABD2-E8B1-4096-97B5-0B53118EB7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" name="Elipse 858">
          <a:extLst>
            <a:ext uri="{FF2B5EF4-FFF2-40B4-BE49-F238E27FC236}">
              <a16:creationId xmlns:a16="http://schemas.microsoft.com/office/drawing/2014/main" id="{E523599E-A453-49C9-9C40-A4FCE4B7A0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" name="Elipse 859">
          <a:extLst>
            <a:ext uri="{FF2B5EF4-FFF2-40B4-BE49-F238E27FC236}">
              <a16:creationId xmlns:a16="http://schemas.microsoft.com/office/drawing/2014/main" id="{5492C7E7-96D3-4C63-B021-7DE6637FF5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" name="Elipse 860">
          <a:extLst>
            <a:ext uri="{FF2B5EF4-FFF2-40B4-BE49-F238E27FC236}">
              <a16:creationId xmlns:a16="http://schemas.microsoft.com/office/drawing/2014/main" id="{BCC9EFBC-01B1-43D4-AC70-DB4E4885D3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" name="Elipse 861">
          <a:extLst>
            <a:ext uri="{FF2B5EF4-FFF2-40B4-BE49-F238E27FC236}">
              <a16:creationId xmlns:a16="http://schemas.microsoft.com/office/drawing/2014/main" id="{EA4CF29B-3B8E-4F10-9F5D-5DA17842AA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" name="Elipse 862">
          <a:extLst>
            <a:ext uri="{FF2B5EF4-FFF2-40B4-BE49-F238E27FC236}">
              <a16:creationId xmlns:a16="http://schemas.microsoft.com/office/drawing/2014/main" id="{92E8F095-94FD-475E-BA03-12AC078E9C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" name="Elipse 863">
          <a:extLst>
            <a:ext uri="{FF2B5EF4-FFF2-40B4-BE49-F238E27FC236}">
              <a16:creationId xmlns:a16="http://schemas.microsoft.com/office/drawing/2014/main" id="{E516554D-4FC9-4C17-825C-6F895BC6C0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" name="Elipse 864">
          <a:extLst>
            <a:ext uri="{FF2B5EF4-FFF2-40B4-BE49-F238E27FC236}">
              <a16:creationId xmlns:a16="http://schemas.microsoft.com/office/drawing/2014/main" id="{3C3A4891-277E-40E7-9F50-07B72372E9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" name="Elipse 865">
          <a:extLst>
            <a:ext uri="{FF2B5EF4-FFF2-40B4-BE49-F238E27FC236}">
              <a16:creationId xmlns:a16="http://schemas.microsoft.com/office/drawing/2014/main" id="{F4227F0A-63E7-4F9A-B99A-A33D4DFAF3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" name="Elipse 866">
          <a:extLst>
            <a:ext uri="{FF2B5EF4-FFF2-40B4-BE49-F238E27FC236}">
              <a16:creationId xmlns:a16="http://schemas.microsoft.com/office/drawing/2014/main" id="{D9E1B8A6-DF78-40BD-A493-2DBD1D547B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" name="Elipse 867">
          <a:extLst>
            <a:ext uri="{FF2B5EF4-FFF2-40B4-BE49-F238E27FC236}">
              <a16:creationId xmlns:a16="http://schemas.microsoft.com/office/drawing/2014/main" id="{FF84B237-2FDA-44C5-A18F-24BF94F5E4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" name="Elipse 868">
          <a:extLst>
            <a:ext uri="{FF2B5EF4-FFF2-40B4-BE49-F238E27FC236}">
              <a16:creationId xmlns:a16="http://schemas.microsoft.com/office/drawing/2014/main" id="{9B320492-A9C4-49C9-8DD1-439F956277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" name="Elipse 869">
          <a:extLst>
            <a:ext uri="{FF2B5EF4-FFF2-40B4-BE49-F238E27FC236}">
              <a16:creationId xmlns:a16="http://schemas.microsoft.com/office/drawing/2014/main" id="{6BAB8C26-0C81-4795-8719-F24620E1EC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" name="Elipse 870">
          <a:extLst>
            <a:ext uri="{FF2B5EF4-FFF2-40B4-BE49-F238E27FC236}">
              <a16:creationId xmlns:a16="http://schemas.microsoft.com/office/drawing/2014/main" id="{70DD5CFF-A060-4238-ADE3-E0D22BF49F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" name="Elipse 871">
          <a:extLst>
            <a:ext uri="{FF2B5EF4-FFF2-40B4-BE49-F238E27FC236}">
              <a16:creationId xmlns:a16="http://schemas.microsoft.com/office/drawing/2014/main" id="{2BAA543A-F0F3-4B81-975A-B466F0D39E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" name="Elipse 872">
          <a:extLst>
            <a:ext uri="{FF2B5EF4-FFF2-40B4-BE49-F238E27FC236}">
              <a16:creationId xmlns:a16="http://schemas.microsoft.com/office/drawing/2014/main" id="{C3F45CDF-AD62-4F30-957F-1B530AACAE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" name="Elipse 873">
          <a:extLst>
            <a:ext uri="{FF2B5EF4-FFF2-40B4-BE49-F238E27FC236}">
              <a16:creationId xmlns:a16="http://schemas.microsoft.com/office/drawing/2014/main" id="{B3FA5EB4-E325-46A9-B166-15C87A62B3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" name="Elipse 874">
          <a:extLst>
            <a:ext uri="{FF2B5EF4-FFF2-40B4-BE49-F238E27FC236}">
              <a16:creationId xmlns:a16="http://schemas.microsoft.com/office/drawing/2014/main" id="{5723C06D-600A-4583-83DD-03FF11C5B6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" name="Elipse 875">
          <a:extLst>
            <a:ext uri="{FF2B5EF4-FFF2-40B4-BE49-F238E27FC236}">
              <a16:creationId xmlns:a16="http://schemas.microsoft.com/office/drawing/2014/main" id="{130F04FB-9259-4BB7-9201-86D343C237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" name="Elipse 876">
          <a:extLst>
            <a:ext uri="{FF2B5EF4-FFF2-40B4-BE49-F238E27FC236}">
              <a16:creationId xmlns:a16="http://schemas.microsoft.com/office/drawing/2014/main" id="{8C6AA05A-5320-489A-947F-D32A608286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" name="Elipse 877">
          <a:extLst>
            <a:ext uri="{FF2B5EF4-FFF2-40B4-BE49-F238E27FC236}">
              <a16:creationId xmlns:a16="http://schemas.microsoft.com/office/drawing/2014/main" id="{19754CF6-6B01-401F-BB5F-755906F790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" name="Elipse 878">
          <a:extLst>
            <a:ext uri="{FF2B5EF4-FFF2-40B4-BE49-F238E27FC236}">
              <a16:creationId xmlns:a16="http://schemas.microsoft.com/office/drawing/2014/main" id="{2CA3C6CB-60EF-4A01-ADC6-2F2CE97F61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" name="Elipse 879">
          <a:extLst>
            <a:ext uri="{FF2B5EF4-FFF2-40B4-BE49-F238E27FC236}">
              <a16:creationId xmlns:a16="http://schemas.microsoft.com/office/drawing/2014/main" id="{1030036F-FE0C-4CAD-895E-E51DDFF4B5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" name="Elipse 880">
          <a:extLst>
            <a:ext uri="{FF2B5EF4-FFF2-40B4-BE49-F238E27FC236}">
              <a16:creationId xmlns:a16="http://schemas.microsoft.com/office/drawing/2014/main" id="{30CC8AC0-2CD6-4D84-B673-696AE76C9F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" name="Elipse 881">
          <a:extLst>
            <a:ext uri="{FF2B5EF4-FFF2-40B4-BE49-F238E27FC236}">
              <a16:creationId xmlns:a16="http://schemas.microsoft.com/office/drawing/2014/main" id="{62D0E970-6630-44AA-AA91-D888B0AF4E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" name="Elipse 882">
          <a:extLst>
            <a:ext uri="{FF2B5EF4-FFF2-40B4-BE49-F238E27FC236}">
              <a16:creationId xmlns:a16="http://schemas.microsoft.com/office/drawing/2014/main" id="{FABD4271-5094-4250-99E3-B396642938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" name="Elipse 883">
          <a:extLst>
            <a:ext uri="{FF2B5EF4-FFF2-40B4-BE49-F238E27FC236}">
              <a16:creationId xmlns:a16="http://schemas.microsoft.com/office/drawing/2014/main" id="{FD7E428C-3A22-41F9-A76E-338363056E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" name="Elipse 884">
          <a:extLst>
            <a:ext uri="{FF2B5EF4-FFF2-40B4-BE49-F238E27FC236}">
              <a16:creationId xmlns:a16="http://schemas.microsoft.com/office/drawing/2014/main" id="{252F9486-1B3B-4901-8C91-141A33C85A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" name="Elipse 885">
          <a:extLst>
            <a:ext uri="{FF2B5EF4-FFF2-40B4-BE49-F238E27FC236}">
              <a16:creationId xmlns:a16="http://schemas.microsoft.com/office/drawing/2014/main" id="{BF49EB99-48BB-40EC-9C92-97528C9CAF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" name="Elipse 886">
          <a:extLst>
            <a:ext uri="{FF2B5EF4-FFF2-40B4-BE49-F238E27FC236}">
              <a16:creationId xmlns:a16="http://schemas.microsoft.com/office/drawing/2014/main" id="{0339AF90-9814-438B-88BE-150B59DDBA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" name="Elipse 887">
          <a:extLst>
            <a:ext uri="{FF2B5EF4-FFF2-40B4-BE49-F238E27FC236}">
              <a16:creationId xmlns:a16="http://schemas.microsoft.com/office/drawing/2014/main" id="{40CA5945-F227-4E9B-9999-AC45968A67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" name="Elipse 888">
          <a:extLst>
            <a:ext uri="{FF2B5EF4-FFF2-40B4-BE49-F238E27FC236}">
              <a16:creationId xmlns:a16="http://schemas.microsoft.com/office/drawing/2014/main" id="{7C79F034-D581-48FE-91FB-F1A79EB7BC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" name="Elipse 889">
          <a:extLst>
            <a:ext uri="{FF2B5EF4-FFF2-40B4-BE49-F238E27FC236}">
              <a16:creationId xmlns:a16="http://schemas.microsoft.com/office/drawing/2014/main" id="{19803BB3-439C-4A72-A7F9-6E7A7CE0B4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" name="Elipse 890">
          <a:extLst>
            <a:ext uri="{FF2B5EF4-FFF2-40B4-BE49-F238E27FC236}">
              <a16:creationId xmlns:a16="http://schemas.microsoft.com/office/drawing/2014/main" id="{44DCBF81-5157-48D0-A168-3BCAAD0E81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" name="Elipse 891">
          <a:extLst>
            <a:ext uri="{FF2B5EF4-FFF2-40B4-BE49-F238E27FC236}">
              <a16:creationId xmlns:a16="http://schemas.microsoft.com/office/drawing/2014/main" id="{71DF02AD-3BA0-4153-8193-2BA75A6477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" name="Elipse 892">
          <a:extLst>
            <a:ext uri="{FF2B5EF4-FFF2-40B4-BE49-F238E27FC236}">
              <a16:creationId xmlns:a16="http://schemas.microsoft.com/office/drawing/2014/main" id="{E0A5DA5A-4184-447B-B8D3-96DD36F0A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" name="Elipse 893">
          <a:extLst>
            <a:ext uri="{FF2B5EF4-FFF2-40B4-BE49-F238E27FC236}">
              <a16:creationId xmlns:a16="http://schemas.microsoft.com/office/drawing/2014/main" id="{0C911FCE-9626-49EE-9F1F-1F6BB69C57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" name="Elipse 894">
          <a:extLst>
            <a:ext uri="{FF2B5EF4-FFF2-40B4-BE49-F238E27FC236}">
              <a16:creationId xmlns:a16="http://schemas.microsoft.com/office/drawing/2014/main" id="{1ABA3F56-012F-45E5-8C52-21B0062D73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" name="Elipse 895">
          <a:extLst>
            <a:ext uri="{FF2B5EF4-FFF2-40B4-BE49-F238E27FC236}">
              <a16:creationId xmlns:a16="http://schemas.microsoft.com/office/drawing/2014/main" id="{D3426C7F-EA7F-4CA1-83E0-17D96466A9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" name="Elipse 896">
          <a:extLst>
            <a:ext uri="{FF2B5EF4-FFF2-40B4-BE49-F238E27FC236}">
              <a16:creationId xmlns:a16="http://schemas.microsoft.com/office/drawing/2014/main" id="{398422FE-F611-4C60-B4BD-BBE806BD96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" name="Elipse 897">
          <a:extLst>
            <a:ext uri="{FF2B5EF4-FFF2-40B4-BE49-F238E27FC236}">
              <a16:creationId xmlns:a16="http://schemas.microsoft.com/office/drawing/2014/main" id="{9CF0A392-562B-40FC-B5C0-598A00E36B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" name="Elipse 898">
          <a:extLst>
            <a:ext uri="{FF2B5EF4-FFF2-40B4-BE49-F238E27FC236}">
              <a16:creationId xmlns:a16="http://schemas.microsoft.com/office/drawing/2014/main" id="{0CB9E435-BB41-4239-8F1E-D657D9F52C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" name="Elipse 899">
          <a:extLst>
            <a:ext uri="{FF2B5EF4-FFF2-40B4-BE49-F238E27FC236}">
              <a16:creationId xmlns:a16="http://schemas.microsoft.com/office/drawing/2014/main" id="{5C27003F-DB41-4167-9BD3-4879F155A2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" name="Elipse 900">
          <a:extLst>
            <a:ext uri="{FF2B5EF4-FFF2-40B4-BE49-F238E27FC236}">
              <a16:creationId xmlns:a16="http://schemas.microsoft.com/office/drawing/2014/main" id="{44B4469D-DA62-4355-95A7-08FF492882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" name="Elipse 901">
          <a:extLst>
            <a:ext uri="{FF2B5EF4-FFF2-40B4-BE49-F238E27FC236}">
              <a16:creationId xmlns:a16="http://schemas.microsoft.com/office/drawing/2014/main" id="{BA01E2BF-E1C1-481A-9A1A-13E7963762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" name="Elipse 902">
          <a:extLst>
            <a:ext uri="{FF2B5EF4-FFF2-40B4-BE49-F238E27FC236}">
              <a16:creationId xmlns:a16="http://schemas.microsoft.com/office/drawing/2014/main" id="{80B3E7C6-3D37-4813-9767-85784182D1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" name="Elipse 903">
          <a:extLst>
            <a:ext uri="{FF2B5EF4-FFF2-40B4-BE49-F238E27FC236}">
              <a16:creationId xmlns:a16="http://schemas.microsoft.com/office/drawing/2014/main" id="{CE921D21-99F7-40DA-B6C4-5695C4838E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" name="Elipse 904">
          <a:extLst>
            <a:ext uri="{FF2B5EF4-FFF2-40B4-BE49-F238E27FC236}">
              <a16:creationId xmlns:a16="http://schemas.microsoft.com/office/drawing/2014/main" id="{9B7A8AAA-A4B7-414B-8C4C-8191D5405D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" name="Elipse 905">
          <a:extLst>
            <a:ext uri="{FF2B5EF4-FFF2-40B4-BE49-F238E27FC236}">
              <a16:creationId xmlns:a16="http://schemas.microsoft.com/office/drawing/2014/main" id="{92E08F09-BBDD-4E11-A444-6F4C6D58CD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" name="Elipse 906">
          <a:extLst>
            <a:ext uri="{FF2B5EF4-FFF2-40B4-BE49-F238E27FC236}">
              <a16:creationId xmlns:a16="http://schemas.microsoft.com/office/drawing/2014/main" id="{302CFAD0-C8DD-4120-9E03-C8B559507B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" name="Elipse 907">
          <a:extLst>
            <a:ext uri="{FF2B5EF4-FFF2-40B4-BE49-F238E27FC236}">
              <a16:creationId xmlns:a16="http://schemas.microsoft.com/office/drawing/2014/main" id="{C631D266-ABCA-4EE1-BEA9-94CD26417C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" name="Elipse 908">
          <a:extLst>
            <a:ext uri="{FF2B5EF4-FFF2-40B4-BE49-F238E27FC236}">
              <a16:creationId xmlns:a16="http://schemas.microsoft.com/office/drawing/2014/main" id="{F450C687-DAEA-49C0-A232-AB1C6DCEA1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" name="Elipse 909">
          <a:extLst>
            <a:ext uri="{FF2B5EF4-FFF2-40B4-BE49-F238E27FC236}">
              <a16:creationId xmlns:a16="http://schemas.microsoft.com/office/drawing/2014/main" id="{FE7E42B8-703C-42B7-AE35-F39780E553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" name="Elipse 910">
          <a:extLst>
            <a:ext uri="{FF2B5EF4-FFF2-40B4-BE49-F238E27FC236}">
              <a16:creationId xmlns:a16="http://schemas.microsoft.com/office/drawing/2014/main" id="{E8B653A0-E1D7-4FCB-B457-A59E67B353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" name="Elipse 911">
          <a:extLst>
            <a:ext uri="{FF2B5EF4-FFF2-40B4-BE49-F238E27FC236}">
              <a16:creationId xmlns:a16="http://schemas.microsoft.com/office/drawing/2014/main" id="{06C914E6-9347-41F4-89E7-7B17BE5B15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" name="Elipse 912">
          <a:extLst>
            <a:ext uri="{FF2B5EF4-FFF2-40B4-BE49-F238E27FC236}">
              <a16:creationId xmlns:a16="http://schemas.microsoft.com/office/drawing/2014/main" id="{E4C4114E-8163-4583-9C5D-AF9126740F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" name="Elipse 913">
          <a:extLst>
            <a:ext uri="{FF2B5EF4-FFF2-40B4-BE49-F238E27FC236}">
              <a16:creationId xmlns:a16="http://schemas.microsoft.com/office/drawing/2014/main" id="{AD69A560-82F9-413A-83AC-2BDE59B157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" name="Elipse 914">
          <a:extLst>
            <a:ext uri="{FF2B5EF4-FFF2-40B4-BE49-F238E27FC236}">
              <a16:creationId xmlns:a16="http://schemas.microsoft.com/office/drawing/2014/main" id="{40E8A91D-C2AB-4848-8B09-EB4FB9ECEF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" name="Elipse 915">
          <a:extLst>
            <a:ext uri="{FF2B5EF4-FFF2-40B4-BE49-F238E27FC236}">
              <a16:creationId xmlns:a16="http://schemas.microsoft.com/office/drawing/2014/main" id="{597C77B1-E455-46D6-90B6-CB9A0D9F70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" name="Elipse 916">
          <a:extLst>
            <a:ext uri="{FF2B5EF4-FFF2-40B4-BE49-F238E27FC236}">
              <a16:creationId xmlns:a16="http://schemas.microsoft.com/office/drawing/2014/main" id="{24A39F51-273B-4EC3-B3D4-7B6A52D074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" name="Elipse 917">
          <a:extLst>
            <a:ext uri="{FF2B5EF4-FFF2-40B4-BE49-F238E27FC236}">
              <a16:creationId xmlns:a16="http://schemas.microsoft.com/office/drawing/2014/main" id="{FE20CFEA-1619-4ED5-AC52-6BCFC44D85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" name="Elipse 918">
          <a:extLst>
            <a:ext uri="{FF2B5EF4-FFF2-40B4-BE49-F238E27FC236}">
              <a16:creationId xmlns:a16="http://schemas.microsoft.com/office/drawing/2014/main" id="{38DFC8A3-5A0F-4336-9953-B5B3B1E6F9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" name="Elipse 919">
          <a:extLst>
            <a:ext uri="{FF2B5EF4-FFF2-40B4-BE49-F238E27FC236}">
              <a16:creationId xmlns:a16="http://schemas.microsoft.com/office/drawing/2014/main" id="{825407CC-F230-4E6D-9B1B-B9E308DB7D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" name="Elipse 920">
          <a:extLst>
            <a:ext uri="{FF2B5EF4-FFF2-40B4-BE49-F238E27FC236}">
              <a16:creationId xmlns:a16="http://schemas.microsoft.com/office/drawing/2014/main" id="{1306D385-6842-4B91-BD90-62804962DF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" name="Elipse 921">
          <a:extLst>
            <a:ext uri="{FF2B5EF4-FFF2-40B4-BE49-F238E27FC236}">
              <a16:creationId xmlns:a16="http://schemas.microsoft.com/office/drawing/2014/main" id="{348218EE-7653-4CAF-825D-7652BD6E67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" name="Elipse 922">
          <a:extLst>
            <a:ext uri="{FF2B5EF4-FFF2-40B4-BE49-F238E27FC236}">
              <a16:creationId xmlns:a16="http://schemas.microsoft.com/office/drawing/2014/main" id="{2C00C673-18BA-4297-8FCF-62E65EC4EC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" name="Elipse 923">
          <a:extLst>
            <a:ext uri="{FF2B5EF4-FFF2-40B4-BE49-F238E27FC236}">
              <a16:creationId xmlns:a16="http://schemas.microsoft.com/office/drawing/2014/main" id="{543A8374-E348-4086-B920-2244DAF3F6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" name="Elipse 924">
          <a:extLst>
            <a:ext uri="{FF2B5EF4-FFF2-40B4-BE49-F238E27FC236}">
              <a16:creationId xmlns:a16="http://schemas.microsoft.com/office/drawing/2014/main" id="{454B2039-6F01-4AAF-BD17-4D3CF9B439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" name="Elipse 925">
          <a:extLst>
            <a:ext uri="{FF2B5EF4-FFF2-40B4-BE49-F238E27FC236}">
              <a16:creationId xmlns:a16="http://schemas.microsoft.com/office/drawing/2014/main" id="{3F9394A6-52B1-4EDC-8F58-D9DB556C0E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" name="Elipse 926">
          <a:extLst>
            <a:ext uri="{FF2B5EF4-FFF2-40B4-BE49-F238E27FC236}">
              <a16:creationId xmlns:a16="http://schemas.microsoft.com/office/drawing/2014/main" id="{B48AD276-9778-48A4-8A64-F814ED6933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" name="Elipse 927">
          <a:extLst>
            <a:ext uri="{FF2B5EF4-FFF2-40B4-BE49-F238E27FC236}">
              <a16:creationId xmlns:a16="http://schemas.microsoft.com/office/drawing/2014/main" id="{5B116896-98CD-436D-A243-D11444420B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" name="Elipse 928">
          <a:extLst>
            <a:ext uri="{FF2B5EF4-FFF2-40B4-BE49-F238E27FC236}">
              <a16:creationId xmlns:a16="http://schemas.microsoft.com/office/drawing/2014/main" id="{E27EF76C-65C5-4A37-BD50-7A43F4EFF1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" name="Elipse 929">
          <a:extLst>
            <a:ext uri="{FF2B5EF4-FFF2-40B4-BE49-F238E27FC236}">
              <a16:creationId xmlns:a16="http://schemas.microsoft.com/office/drawing/2014/main" id="{E078EFC1-009B-4490-853A-0EBCA4D4BB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" name="Elipse 930">
          <a:extLst>
            <a:ext uri="{FF2B5EF4-FFF2-40B4-BE49-F238E27FC236}">
              <a16:creationId xmlns:a16="http://schemas.microsoft.com/office/drawing/2014/main" id="{616048E2-B8C0-4354-B132-E9204DE2B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" name="Elipse 931">
          <a:extLst>
            <a:ext uri="{FF2B5EF4-FFF2-40B4-BE49-F238E27FC236}">
              <a16:creationId xmlns:a16="http://schemas.microsoft.com/office/drawing/2014/main" id="{F1BA1101-DB40-4A0F-9C93-F1BCBA9C67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" name="Elipse 932">
          <a:extLst>
            <a:ext uri="{FF2B5EF4-FFF2-40B4-BE49-F238E27FC236}">
              <a16:creationId xmlns:a16="http://schemas.microsoft.com/office/drawing/2014/main" id="{A591E20E-5FBE-4E3A-872B-7C422ED26D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" name="Elipse 933">
          <a:extLst>
            <a:ext uri="{FF2B5EF4-FFF2-40B4-BE49-F238E27FC236}">
              <a16:creationId xmlns:a16="http://schemas.microsoft.com/office/drawing/2014/main" id="{10D5474E-BFB7-4D33-A6D5-C80C6FB360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" name="Elipse 934">
          <a:extLst>
            <a:ext uri="{FF2B5EF4-FFF2-40B4-BE49-F238E27FC236}">
              <a16:creationId xmlns:a16="http://schemas.microsoft.com/office/drawing/2014/main" id="{15986EC8-0DAE-448A-85E2-88E50E6756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" name="Elipse 935">
          <a:extLst>
            <a:ext uri="{FF2B5EF4-FFF2-40B4-BE49-F238E27FC236}">
              <a16:creationId xmlns:a16="http://schemas.microsoft.com/office/drawing/2014/main" id="{2CA5FF70-D09C-4BAA-A106-115AFBF2BE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" name="Elipse 936">
          <a:extLst>
            <a:ext uri="{FF2B5EF4-FFF2-40B4-BE49-F238E27FC236}">
              <a16:creationId xmlns:a16="http://schemas.microsoft.com/office/drawing/2014/main" id="{91A99062-A735-411A-AA16-66564B8A1C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" name="Elipse 937">
          <a:extLst>
            <a:ext uri="{FF2B5EF4-FFF2-40B4-BE49-F238E27FC236}">
              <a16:creationId xmlns:a16="http://schemas.microsoft.com/office/drawing/2014/main" id="{825222E2-D042-4298-84E3-A81FBAD9DF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" name="Elipse 938">
          <a:extLst>
            <a:ext uri="{FF2B5EF4-FFF2-40B4-BE49-F238E27FC236}">
              <a16:creationId xmlns:a16="http://schemas.microsoft.com/office/drawing/2014/main" id="{32EA0E6C-72AC-4626-AEEA-B7E9DBCA9C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" name="Elipse 939">
          <a:extLst>
            <a:ext uri="{FF2B5EF4-FFF2-40B4-BE49-F238E27FC236}">
              <a16:creationId xmlns:a16="http://schemas.microsoft.com/office/drawing/2014/main" id="{68C0019B-5CA8-402D-9C42-42C1C53003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" name="Elipse 940">
          <a:extLst>
            <a:ext uri="{FF2B5EF4-FFF2-40B4-BE49-F238E27FC236}">
              <a16:creationId xmlns:a16="http://schemas.microsoft.com/office/drawing/2014/main" id="{ED28AAB5-1BB1-487E-8DEC-AAFF20F4EC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" name="Elipse 941">
          <a:extLst>
            <a:ext uri="{FF2B5EF4-FFF2-40B4-BE49-F238E27FC236}">
              <a16:creationId xmlns:a16="http://schemas.microsoft.com/office/drawing/2014/main" id="{8B9E7C7F-7C87-45F3-84DF-AE914F24C1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" name="Elipse 942">
          <a:extLst>
            <a:ext uri="{FF2B5EF4-FFF2-40B4-BE49-F238E27FC236}">
              <a16:creationId xmlns:a16="http://schemas.microsoft.com/office/drawing/2014/main" id="{181786D4-82BB-4DE4-982C-2D14C39490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" name="Elipse 943">
          <a:extLst>
            <a:ext uri="{FF2B5EF4-FFF2-40B4-BE49-F238E27FC236}">
              <a16:creationId xmlns:a16="http://schemas.microsoft.com/office/drawing/2014/main" id="{50E30377-CF34-47AB-B657-A7533F5793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" name="Elipse 944">
          <a:extLst>
            <a:ext uri="{FF2B5EF4-FFF2-40B4-BE49-F238E27FC236}">
              <a16:creationId xmlns:a16="http://schemas.microsoft.com/office/drawing/2014/main" id="{78D68C1F-AB92-4302-A76B-222991CA6D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" name="Elipse 945">
          <a:extLst>
            <a:ext uri="{FF2B5EF4-FFF2-40B4-BE49-F238E27FC236}">
              <a16:creationId xmlns:a16="http://schemas.microsoft.com/office/drawing/2014/main" id="{DB795137-E069-4408-B172-B641061EF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" name="Elipse 946">
          <a:extLst>
            <a:ext uri="{FF2B5EF4-FFF2-40B4-BE49-F238E27FC236}">
              <a16:creationId xmlns:a16="http://schemas.microsoft.com/office/drawing/2014/main" id="{49AE8C98-9BA4-4652-910A-ABB5E79E72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" name="Elipse 947">
          <a:extLst>
            <a:ext uri="{FF2B5EF4-FFF2-40B4-BE49-F238E27FC236}">
              <a16:creationId xmlns:a16="http://schemas.microsoft.com/office/drawing/2014/main" id="{A36ED446-71BC-455E-9660-16A199622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" name="Elipse 948">
          <a:extLst>
            <a:ext uri="{FF2B5EF4-FFF2-40B4-BE49-F238E27FC236}">
              <a16:creationId xmlns:a16="http://schemas.microsoft.com/office/drawing/2014/main" id="{A216EF11-690B-4B00-92CD-DA0AED7288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" name="Elipse 949">
          <a:extLst>
            <a:ext uri="{FF2B5EF4-FFF2-40B4-BE49-F238E27FC236}">
              <a16:creationId xmlns:a16="http://schemas.microsoft.com/office/drawing/2014/main" id="{16B9E0AC-89A3-4C8C-84DE-2945DB0F30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" name="Elipse 950">
          <a:extLst>
            <a:ext uri="{FF2B5EF4-FFF2-40B4-BE49-F238E27FC236}">
              <a16:creationId xmlns:a16="http://schemas.microsoft.com/office/drawing/2014/main" id="{745C6C04-1CDA-4153-8A54-F8F816A8D1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" name="Elipse 951">
          <a:extLst>
            <a:ext uri="{FF2B5EF4-FFF2-40B4-BE49-F238E27FC236}">
              <a16:creationId xmlns:a16="http://schemas.microsoft.com/office/drawing/2014/main" id="{C4DBA318-6ADA-4FFD-B80D-FF3797013A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" name="Elipse 952">
          <a:extLst>
            <a:ext uri="{FF2B5EF4-FFF2-40B4-BE49-F238E27FC236}">
              <a16:creationId xmlns:a16="http://schemas.microsoft.com/office/drawing/2014/main" id="{3C8D3DC9-FE43-48B3-9EA8-EF1B88B20C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" name="Elipse 953">
          <a:extLst>
            <a:ext uri="{FF2B5EF4-FFF2-40B4-BE49-F238E27FC236}">
              <a16:creationId xmlns:a16="http://schemas.microsoft.com/office/drawing/2014/main" id="{1CF260CF-BF6E-4D97-BD37-2DFCE1785E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" name="Elipse 954">
          <a:extLst>
            <a:ext uri="{FF2B5EF4-FFF2-40B4-BE49-F238E27FC236}">
              <a16:creationId xmlns:a16="http://schemas.microsoft.com/office/drawing/2014/main" id="{EDB52732-C82B-436C-A5F2-48B5251A6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" name="Elipse 955">
          <a:extLst>
            <a:ext uri="{FF2B5EF4-FFF2-40B4-BE49-F238E27FC236}">
              <a16:creationId xmlns:a16="http://schemas.microsoft.com/office/drawing/2014/main" id="{9F1C742A-3824-421D-BFB6-C67EC128DC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" name="Elipse 956">
          <a:extLst>
            <a:ext uri="{FF2B5EF4-FFF2-40B4-BE49-F238E27FC236}">
              <a16:creationId xmlns:a16="http://schemas.microsoft.com/office/drawing/2014/main" id="{9B9FB61D-958A-4D61-91AF-4AE6B5298F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" name="Elipse 957">
          <a:extLst>
            <a:ext uri="{FF2B5EF4-FFF2-40B4-BE49-F238E27FC236}">
              <a16:creationId xmlns:a16="http://schemas.microsoft.com/office/drawing/2014/main" id="{B658150E-B4C3-495B-AA48-7FA95F4392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" name="Elipse 958">
          <a:extLst>
            <a:ext uri="{FF2B5EF4-FFF2-40B4-BE49-F238E27FC236}">
              <a16:creationId xmlns:a16="http://schemas.microsoft.com/office/drawing/2014/main" id="{62BF2B62-399B-4206-A22B-919F69CE98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" name="Elipse 959">
          <a:extLst>
            <a:ext uri="{FF2B5EF4-FFF2-40B4-BE49-F238E27FC236}">
              <a16:creationId xmlns:a16="http://schemas.microsoft.com/office/drawing/2014/main" id="{5BBEB2B7-6D73-4E38-A8C1-B67C845594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" name="Elipse 960">
          <a:extLst>
            <a:ext uri="{FF2B5EF4-FFF2-40B4-BE49-F238E27FC236}">
              <a16:creationId xmlns:a16="http://schemas.microsoft.com/office/drawing/2014/main" id="{B5EECE7A-1624-4967-AA92-F8CBBA5F59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" name="Elipse 961">
          <a:extLst>
            <a:ext uri="{FF2B5EF4-FFF2-40B4-BE49-F238E27FC236}">
              <a16:creationId xmlns:a16="http://schemas.microsoft.com/office/drawing/2014/main" id="{ED5B7780-E1A4-4D21-ACC0-5E88FA3DF7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" name="Elipse 962">
          <a:extLst>
            <a:ext uri="{FF2B5EF4-FFF2-40B4-BE49-F238E27FC236}">
              <a16:creationId xmlns:a16="http://schemas.microsoft.com/office/drawing/2014/main" id="{7E37F653-C35F-49C4-9DE7-5003A05D00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" name="Elipse 963">
          <a:extLst>
            <a:ext uri="{FF2B5EF4-FFF2-40B4-BE49-F238E27FC236}">
              <a16:creationId xmlns:a16="http://schemas.microsoft.com/office/drawing/2014/main" id="{9652F47C-DB92-46BC-B429-D4F9F95A21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" name="Elipse 964">
          <a:extLst>
            <a:ext uri="{FF2B5EF4-FFF2-40B4-BE49-F238E27FC236}">
              <a16:creationId xmlns:a16="http://schemas.microsoft.com/office/drawing/2014/main" id="{13BD8519-0A50-4EBB-9FB5-B9AC6C4C3A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" name="Elipse 965">
          <a:extLst>
            <a:ext uri="{FF2B5EF4-FFF2-40B4-BE49-F238E27FC236}">
              <a16:creationId xmlns:a16="http://schemas.microsoft.com/office/drawing/2014/main" id="{C044CA38-6DA3-4689-923D-17C4923858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" name="Elipse 966">
          <a:extLst>
            <a:ext uri="{FF2B5EF4-FFF2-40B4-BE49-F238E27FC236}">
              <a16:creationId xmlns:a16="http://schemas.microsoft.com/office/drawing/2014/main" id="{417D0574-C31E-4A46-9D27-17B05F4326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" name="Elipse 967">
          <a:extLst>
            <a:ext uri="{FF2B5EF4-FFF2-40B4-BE49-F238E27FC236}">
              <a16:creationId xmlns:a16="http://schemas.microsoft.com/office/drawing/2014/main" id="{64D2647B-D470-4856-BB5E-BD92ECD387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" name="Elipse 968">
          <a:extLst>
            <a:ext uri="{FF2B5EF4-FFF2-40B4-BE49-F238E27FC236}">
              <a16:creationId xmlns:a16="http://schemas.microsoft.com/office/drawing/2014/main" id="{EA49DCEA-066D-46D4-90DA-1B5A1C2613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" name="Elipse 969">
          <a:extLst>
            <a:ext uri="{FF2B5EF4-FFF2-40B4-BE49-F238E27FC236}">
              <a16:creationId xmlns:a16="http://schemas.microsoft.com/office/drawing/2014/main" id="{69521E11-7528-4125-BAD4-F65BB3DB82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" name="Elipse 970">
          <a:extLst>
            <a:ext uri="{FF2B5EF4-FFF2-40B4-BE49-F238E27FC236}">
              <a16:creationId xmlns:a16="http://schemas.microsoft.com/office/drawing/2014/main" id="{65D78321-F570-4DAA-9CD4-A290E1582C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" name="Elipse 971">
          <a:extLst>
            <a:ext uri="{FF2B5EF4-FFF2-40B4-BE49-F238E27FC236}">
              <a16:creationId xmlns:a16="http://schemas.microsoft.com/office/drawing/2014/main" id="{5F3C1577-8216-4D3F-9764-CA1BA45A36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" name="Elipse 972">
          <a:extLst>
            <a:ext uri="{FF2B5EF4-FFF2-40B4-BE49-F238E27FC236}">
              <a16:creationId xmlns:a16="http://schemas.microsoft.com/office/drawing/2014/main" id="{32A430D1-B5E4-4578-A8BE-97E4EED364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" name="Elipse 973">
          <a:extLst>
            <a:ext uri="{FF2B5EF4-FFF2-40B4-BE49-F238E27FC236}">
              <a16:creationId xmlns:a16="http://schemas.microsoft.com/office/drawing/2014/main" id="{B030CB27-4842-4575-9160-1DF40BD683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" name="Elipse 974">
          <a:extLst>
            <a:ext uri="{FF2B5EF4-FFF2-40B4-BE49-F238E27FC236}">
              <a16:creationId xmlns:a16="http://schemas.microsoft.com/office/drawing/2014/main" id="{CC183B3A-A2F9-4A10-9332-97FA2A861A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" name="Elipse 975">
          <a:extLst>
            <a:ext uri="{FF2B5EF4-FFF2-40B4-BE49-F238E27FC236}">
              <a16:creationId xmlns:a16="http://schemas.microsoft.com/office/drawing/2014/main" id="{D3F8935D-0713-4993-A085-21CED953B4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" name="Elipse 976">
          <a:extLst>
            <a:ext uri="{FF2B5EF4-FFF2-40B4-BE49-F238E27FC236}">
              <a16:creationId xmlns:a16="http://schemas.microsoft.com/office/drawing/2014/main" id="{29E35C4A-C8BE-42F2-84FA-B222193C84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" name="Elipse 977">
          <a:extLst>
            <a:ext uri="{FF2B5EF4-FFF2-40B4-BE49-F238E27FC236}">
              <a16:creationId xmlns:a16="http://schemas.microsoft.com/office/drawing/2014/main" id="{4FAD30D6-D096-41A5-AAC0-BDA7DF763A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" name="Elipse 978">
          <a:extLst>
            <a:ext uri="{FF2B5EF4-FFF2-40B4-BE49-F238E27FC236}">
              <a16:creationId xmlns:a16="http://schemas.microsoft.com/office/drawing/2014/main" id="{6565F6B9-492D-4757-84A7-002B57364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" name="Elipse 979">
          <a:extLst>
            <a:ext uri="{FF2B5EF4-FFF2-40B4-BE49-F238E27FC236}">
              <a16:creationId xmlns:a16="http://schemas.microsoft.com/office/drawing/2014/main" id="{6B45D166-5EDA-44B9-841C-BBE189F55F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" name="Elipse 980">
          <a:extLst>
            <a:ext uri="{FF2B5EF4-FFF2-40B4-BE49-F238E27FC236}">
              <a16:creationId xmlns:a16="http://schemas.microsoft.com/office/drawing/2014/main" id="{4093C49D-833E-461E-83EA-A36ACE157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" name="Elipse 981">
          <a:extLst>
            <a:ext uri="{FF2B5EF4-FFF2-40B4-BE49-F238E27FC236}">
              <a16:creationId xmlns:a16="http://schemas.microsoft.com/office/drawing/2014/main" id="{F1386F74-CC88-4688-8E2D-67FCB52584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" name="Elipse 982">
          <a:extLst>
            <a:ext uri="{FF2B5EF4-FFF2-40B4-BE49-F238E27FC236}">
              <a16:creationId xmlns:a16="http://schemas.microsoft.com/office/drawing/2014/main" id="{A6D6E382-8F8B-41D3-8D23-DA1724E05B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" name="Elipse 983">
          <a:extLst>
            <a:ext uri="{FF2B5EF4-FFF2-40B4-BE49-F238E27FC236}">
              <a16:creationId xmlns:a16="http://schemas.microsoft.com/office/drawing/2014/main" id="{59F7E997-68CE-4387-9F50-5A1BDFCE02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" name="Elipse 984">
          <a:extLst>
            <a:ext uri="{FF2B5EF4-FFF2-40B4-BE49-F238E27FC236}">
              <a16:creationId xmlns:a16="http://schemas.microsoft.com/office/drawing/2014/main" id="{DB6FD267-F4D6-43F2-9154-629C469F7B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" name="Elipse 985">
          <a:extLst>
            <a:ext uri="{FF2B5EF4-FFF2-40B4-BE49-F238E27FC236}">
              <a16:creationId xmlns:a16="http://schemas.microsoft.com/office/drawing/2014/main" id="{2B583DDD-FAAA-4FF7-B1B3-2899879E37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" name="Elipse 986">
          <a:extLst>
            <a:ext uri="{FF2B5EF4-FFF2-40B4-BE49-F238E27FC236}">
              <a16:creationId xmlns:a16="http://schemas.microsoft.com/office/drawing/2014/main" id="{BAF9C059-18C7-4FDD-9ED7-CE2F81B625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" name="Elipse 987">
          <a:extLst>
            <a:ext uri="{FF2B5EF4-FFF2-40B4-BE49-F238E27FC236}">
              <a16:creationId xmlns:a16="http://schemas.microsoft.com/office/drawing/2014/main" id="{9156C899-2A14-4AA8-A3A7-954A2DA9AD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" name="Elipse 988">
          <a:extLst>
            <a:ext uri="{FF2B5EF4-FFF2-40B4-BE49-F238E27FC236}">
              <a16:creationId xmlns:a16="http://schemas.microsoft.com/office/drawing/2014/main" id="{7FEE1A91-8B71-44AC-BA6F-03B64E6173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" name="Elipse 989">
          <a:extLst>
            <a:ext uri="{FF2B5EF4-FFF2-40B4-BE49-F238E27FC236}">
              <a16:creationId xmlns:a16="http://schemas.microsoft.com/office/drawing/2014/main" id="{F4D6AB65-E817-4A42-B705-183B4A9458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" name="Elipse 990">
          <a:extLst>
            <a:ext uri="{FF2B5EF4-FFF2-40B4-BE49-F238E27FC236}">
              <a16:creationId xmlns:a16="http://schemas.microsoft.com/office/drawing/2014/main" id="{CD00F725-B614-4EDC-B3C9-4BC42256A3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" name="Elipse 991">
          <a:extLst>
            <a:ext uri="{FF2B5EF4-FFF2-40B4-BE49-F238E27FC236}">
              <a16:creationId xmlns:a16="http://schemas.microsoft.com/office/drawing/2014/main" id="{48C3D24D-391C-43AF-A3EA-9E3ABD44BC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" name="Elipse 992">
          <a:extLst>
            <a:ext uri="{FF2B5EF4-FFF2-40B4-BE49-F238E27FC236}">
              <a16:creationId xmlns:a16="http://schemas.microsoft.com/office/drawing/2014/main" id="{D126BF0D-D328-4D6B-AB7D-7933F91E84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" name="Elipse 993">
          <a:extLst>
            <a:ext uri="{FF2B5EF4-FFF2-40B4-BE49-F238E27FC236}">
              <a16:creationId xmlns:a16="http://schemas.microsoft.com/office/drawing/2014/main" id="{5F67E1EE-5C57-4F7F-97F1-EA468355A0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" name="Elipse 994">
          <a:extLst>
            <a:ext uri="{FF2B5EF4-FFF2-40B4-BE49-F238E27FC236}">
              <a16:creationId xmlns:a16="http://schemas.microsoft.com/office/drawing/2014/main" id="{61DCC6E7-2065-4B38-AAB3-C3599DCBBC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" name="Elipse 995">
          <a:extLst>
            <a:ext uri="{FF2B5EF4-FFF2-40B4-BE49-F238E27FC236}">
              <a16:creationId xmlns:a16="http://schemas.microsoft.com/office/drawing/2014/main" id="{8E1A5162-8549-450E-B195-6889FDD840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" name="Elipse 996">
          <a:extLst>
            <a:ext uri="{FF2B5EF4-FFF2-40B4-BE49-F238E27FC236}">
              <a16:creationId xmlns:a16="http://schemas.microsoft.com/office/drawing/2014/main" id="{9DE833B3-5629-4C3E-83A1-C4084390C9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" name="Elipse 997">
          <a:extLst>
            <a:ext uri="{FF2B5EF4-FFF2-40B4-BE49-F238E27FC236}">
              <a16:creationId xmlns:a16="http://schemas.microsoft.com/office/drawing/2014/main" id="{8782D3E9-1BBB-4E64-A028-EBDC37BB9E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" name="Elipse 998">
          <a:extLst>
            <a:ext uri="{FF2B5EF4-FFF2-40B4-BE49-F238E27FC236}">
              <a16:creationId xmlns:a16="http://schemas.microsoft.com/office/drawing/2014/main" id="{806C3D97-BD6B-4B65-A467-F15A59D7AE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" name="Elipse 999">
          <a:extLst>
            <a:ext uri="{FF2B5EF4-FFF2-40B4-BE49-F238E27FC236}">
              <a16:creationId xmlns:a16="http://schemas.microsoft.com/office/drawing/2014/main" id="{725C4374-5A45-4775-B961-9A72569636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" name="Elipse 1000">
          <a:extLst>
            <a:ext uri="{FF2B5EF4-FFF2-40B4-BE49-F238E27FC236}">
              <a16:creationId xmlns:a16="http://schemas.microsoft.com/office/drawing/2014/main" id="{603332C5-684B-46CF-AD15-29C7CDD00F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" name="Elipse 1001">
          <a:extLst>
            <a:ext uri="{FF2B5EF4-FFF2-40B4-BE49-F238E27FC236}">
              <a16:creationId xmlns:a16="http://schemas.microsoft.com/office/drawing/2014/main" id="{C2D7D026-0A88-453B-BE86-0848398F99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" name="Elipse 1002">
          <a:extLst>
            <a:ext uri="{FF2B5EF4-FFF2-40B4-BE49-F238E27FC236}">
              <a16:creationId xmlns:a16="http://schemas.microsoft.com/office/drawing/2014/main" id="{37F0E5BF-4A12-4D8C-B356-3348AFDCBF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" name="Elipse 1003">
          <a:extLst>
            <a:ext uri="{FF2B5EF4-FFF2-40B4-BE49-F238E27FC236}">
              <a16:creationId xmlns:a16="http://schemas.microsoft.com/office/drawing/2014/main" id="{976691C7-1EA8-49BD-BC4D-B7C0E5F030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" name="Elipse 1004">
          <a:extLst>
            <a:ext uri="{FF2B5EF4-FFF2-40B4-BE49-F238E27FC236}">
              <a16:creationId xmlns:a16="http://schemas.microsoft.com/office/drawing/2014/main" id="{CC5A2BCE-AF05-4A13-BED1-85D4774875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" name="Elipse 1005">
          <a:extLst>
            <a:ext uri="{FF2B5EF4-FFF2-40B4-BE49-F238E27FC236}">
              <a16:creationId xmlns:a16="http://schemas.microsoft.com/office/drawing/2014/main" id="{95F25914-3F8F-47D0-98EE-2F4BE09983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" name="Elipse 1006">
          <a:extLst>
            <a:ext uri="{FF2B5EF4-FFF2-40B4-BE49-F238E27FC236}">
              <a16:creationId xmlns:a16="http://schemas.microsoft.com/office/drawing/2014/main" id="{C3E426BB-6179-442D-BC22-FA19713A7C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" name="Elipse 1007">
          <a:extLst>
            <a:ext uri="{FF2B5EF4-FFF2-40B4-BE49-F238E27FC236}">
              <a16:creationId xmlns:a16="http://schemas.microsoft.com/office/drawing/2014/main" id="{27449BD9-661E-40AD-BBC2-C040F8DF16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" name="Elipse 1008">
          <a:extLst>
            <a:ext uri="{FF2B5EF4-FFF2-40B4-BE49-F238E27FC236}">
              <a16:creationId xmlns:a16="http://schemas.microsoft.com/office/drawing/2014/main" id="{C792DFCF-BAA6-4FBE-AFF3-C5A598D830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" name="Elipse 1009">
          <a:extLst>
            <a:ext uri="{FF2B5EF4-FFF2-40B4-BE49-F238E27FC236}">
              <a16:creationId xmlns:a16="http://schemas.microsoft.com/office/drawing/2014/main" id="{58B56942-1283-4099-8038-1922647A26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" name="Elipse 1010">
          <a:extLst>
            <a:ext uri="{FF2B5EF4-FFF2-40B4-BE49-F238E27FC236}">
              <a16:creationId xmlns:a16="http://schemas.microsoft.com/office/drawing/2014/main" id="{69057B05-D181-42DA-AAE4-95CD425EAE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" name="Elipse 1011">
          <a:extLst>
            <a:ext uri="{FF2B5EF4-FFF2-40B4-BE49-F238E27FC236}">
              <a16:creationId xmlns:a16="http://schemas.microsoft.com/office/drawing/2014/main" id="{2283975B-0DD2-4E39-8D67-5361AFF24B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" name="Elipse 1012">
          <a:extLst>
            <a:ext uri="{FF2B5EF4-FFF2-40B4-BE49-F238E27FC236}">
              <a16:creationId xmlns:a16="http://schemas.microsoft.com/office/drawing/2014/main" id="{5433202A-7E54-4B82-BAAD-4A313C46C3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" name="Elipse 1013">
          <a:extLst>
            <a:ext uri="{FF2B5EF4-FFF2-40B4-BE49-F238E27FC236}">
              <a16:creationId xmlns:a16="http://schemas.microsoft.com/office/drawing/2014/main" id="{DC0C5861-534E-416E-8D59-4D97E499A7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" name="Elipse 1014">
          <a:extLst>
            <a:ext uri="{FF2B5EF4-FFF2-40B4-BE49-F238E27FC236}">
              <a16:creationId xmlns:a16="http://schemas.microsoft.com/office/drawing/2014/main" id="{7F9BC19F-A769-4421-BE37-DBC10C5D98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" name="Elipse 1015">
          <a:extLst>
            <a:ext uri="{FF2B5EF4-FFF2-40B4-BE49-F238E27FC236}">
              <a16:creationId xmlns:a16="http://schemas.microsoft.com/office/drawing/2014/main" id="{3C691AA3-40F2-495F-A6FD-47BEEE02F6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" name="Elipse 1016">
          <a:extLst>
            <a:ext uri="{FF2B5EF4-FFF2-40B4-BE49-F238E27FC236}">
              <a16:creationId xmlns:a16="http://schemas.microsoft.com/office/drawing/2014/main" id="{FBB0F277-3A5C-42A7-9771-A7D498A30C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" name="Elipse 1017">
          <a:extLst>
            <a:ext uri="{FF2B5EF4-FFF2-40B4-BE49-F238E27FC236}">
              <a16:creationId xmlns:a16="http://schemas.microsoft.com/office/drawing/2014/main" id="{E23A5CDC-BD66-4635-89CE-9684330AAB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" name="Elipse 1018">
          <a:extLst>
            <a:ext uri="{FF2B5EF4-FFF2-40B4-BE49-F238E27FC236}">
              <a16:creationId xmlns:a16="http://schemas.microsoft.com/office/drawing/2014/main" id="{607A3F36-B561-4F4A-A945-BA247B04F3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" name="Elipse 1019">
          <a:extLst>
            <a:ext uri="{FF2B5EF4-FFF2-40B4-BE49-F238E27FC236}">
              <a16:creationId xmlns:a16="http://schemas.microsoft.com/office/drawing/2014/main" id="{95DB4EBE-764C-4833-9558-8E3A18B638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" name="Elipse 1020">
          <a:extLst>
            <a:ext uri="{FF2B5EF4-FFF2-40B4-BE49-F238E27FC236}">
              <a16:creationId xmlns:a16="http://schemas.microsoft.com/office/drawing/2014/main" id="{B821B04A-D020-4959-9934-7FF241C47D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" name="Elipse 1021">
          <a:extLst>
            <a:ext uri="{FF2B5EF4-FFF2-40B4-BE49-F238E27FC236}">
              <a16:creationId xmlns:a16="http://schemas.microsoft.com/office/drawing/2014/main" id="{140BF5FA-1E5F-44F1-9E0C-C23705A0FB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" name="Elipse 1022">
          <a:extLst>
            <a:ext uri="{FF2B5EF4-FFF2-40B4-BE49-F238E27FC236}">
              <a16:creationId xmlns:a16="http://schemas.microsoft.com/office/drawing/2014/main" id="{53714E65-9272-40DC-9E8D-02B7DB33EA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" name="Elipse 1023">
          <a:extLst>
            <a:ext uri="{FF2B5EF4-FFF2-40B4-BE49-F238E27FC236}">
              <a16:creationId xmlns:a16="http://schemas.microsoft.com/office/drawing/2014/main" id="{DAEE6C05-BAD8-4B24-A3D8-C6CC721539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" name="Elipse 1024">
          <a:extLst>
            <a:ext uri="{FF2B5EF4-FFF2-40B4-BE49-F238E27FC236}">
              <a16:creationId xmlns:a16="http://schemas.microsoft.com/office/drawing/2014/main" id="{A908BF4B-4D61-4701-97AD-9F5CE923DF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" name="Elipse 1025">
          <a:extLst>
            <a:ext uri="{FF2B5EF4-FFF2-40B4-BE49-F238E27FC236}">
              <a16:creationId xmlns:a16="http://schemas.microsoft.com/office/drawing/2014/main" id="{A4A06877-D28D-4075-B729-AF26BB9D7A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" name="Elipse 1026">
          <a:extLst>
            <a:ext uri="{FF2B5EF4-FFF2-40B4-BE49-F238E27FC236}">
              <a16:creationId xmlns:a16="http://schemas.microsoft.com/office/drawing/2014/main" id="{8ACEA641-F43E-4EAB-A825-AE4DE35751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" name="Elipse 1027">
          <a:extLst>
            <a:ext uri="{FF2B5EF4-FFF2-40B4-BE49-F238E27FC236}">
              <a16:creationId xmlns:a16="http://schemas.microsoft.com/office/drawing/2014/main" id="{D9E6D027-7BF2-407F-91C5-64D36CB156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" name="Elipse 1028">
          <a:extLst>
            <a:ext uri="{FF2B5EF4-FFF2-40B4-BE49-F238E27FC236}">
              <a16:creationId xmlns:a16="http://schemas.microsoft.com/office/drawing/2014/main" id="{8CA8A14B-417E-416D-BF02-60531B1AF8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" name="Elipse 1029">
          <a:extLst>
            <a:ext uri="{FF2B5EF4-FFF2-40B4-BE49-F238E27FC236}">
              <a16:creationId xmlns:a16="http://schemas.microsoft.com/office/drawing/2014/main" id="{67A3F9D0-E245-4369-AB9E-3E43F9407F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" name="Elipse 1030">
          <a:extLst>
            <a:ext uri="{FF2B5EF4-FFF2-40B4-BE49-F238E27FC236}">
              <a16:creationId xmlns:a16="http://schemas.microsoft.com/office/drawing/2014/main" id="{40142358-840F-4B8B-887A-939249EC55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" name="Elipse 1031">
          <a:extLst>
            <a:ext uri="{FF2B5EF4-FFF2-40B4-BE49-F238E27FC236}">
              <a16:creationId xmlns:a16="http://schemas.microsoft.com/office/drawing/2014/main" id="{D847C6EE-BEB8-488C-9797-81D13A2625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" name="Elipse 1032">
          <a:extLst>
            <a:ext uri="{FF2B5EF4-FFF2-40B4-BE49-F238E27FC236}">
              <a16:creationId xmlns:a16="http://schemas.microsoft.com/office/drawing/2014/main" id="{5502B7DB-616E-4E3B-8A4C-0A011F31B5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" name="Elipse 1033">
          <a:extLst>
            <a:ext uri="{FF2B5EF4-FFF2-40B4-BE49-F238E27FC236}">
              <a16:creationId xmlns:a16="http://schemas.microsoft.com/office/drawing/2014/main" id="{F2E43448-20F7-41EB-8349-DA71FEFCBD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" name="Elipse 1034">
          <a:extLst>
            <a:ext uri="{FF2B5EF4-FFF2-40B4-BE49-F238E27FC236}">
              <a16:creationId xmlns:a16="http://schemas.microsoft.com/office/drawing/2014/main" id="{AA641951-440E-4A1A-AEA8-B1320DC05A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" name="Elipse 1035">
          <a:extLst>
            <a:ext uri="{FF2B5EF4-FFF2-40B4-BE49-F238E27FC236}">
              <a16:creationId xmlns:a16="http://schemas.microsoft.com/office/drawing/2014/main" id="{C9770F90-AC66-48E1-A77A-32C2BA053A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" name="Elipse 1036">
          <a:extLst>
            <a:ext uri="{FF2B5EF4-FFF2-40B4-BE49-F238E27FC236}">
              <a16:creationId xmlns:a16="http://schemas.microsoft.com/office/drawing/2014/main" id="{3B390302-3EE0-48CA-89AB-7CC85147FD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" name="Elipse 1037">
          <a:extLst>
            <a:ext uri="{FF2B5EF4-FFF2-40B4-BE49-F238E27FC236}">
              <a16:creationId xmlns:a16="http://schemas.microsoft.com/office/drawing/2014/main" id="{05F96C4D-9A9D-4305-B3BB-2A7886A079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" name="Elipse 1038">
          <a:extLst>
            <a:ext uri="{FF2B5EF4-FFF2-40B4-BE49-F238E27FC236}">
              <a16:creationId xmlns:a16="http://schemas.microsoft.com/office/drawing/2014/main" id="{EA7A7624-F424-4715-A09F-40BD7EABE4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" name="Elipse 1039">
          <a:extLst>
            <a:ext uri="{FF2B5EF4-FFF2-40B4-BE49-F238E27FC236}">
              <a16:creationId xmlns:a16="http://schemas.microsoft.com/office/drawing/2014/main" id="{81001B4B-6605-45EA-8BCB-1D47B97837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" name="Elipse 1040">
          <a:extLst>
            <a:ext uri="{FF2B5EF4-FFF2-40B4-BE49-F238E27FC236}">
              <a16:creationId xmlns:a16="http://schemas.microsoft.com/office/drawing/2014/main" id="{7A6E1E0E-06D3-4784-A659-590DCD5ABB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" name="Elipse 1041">
          <a:extLst>
            <a:ext uri="{FF2B5EF4-FFF2-40B4-BE49-F238E27FC236}">
              <a16:creationId xmlns:a16="http://schemas.microsoft.com/office/drawing/2014/main" id="{F73595FF-1C85-402E-81BA-EA96544350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" name="Elipse 1042">
          <a:extLst>
            <a:ext uri="{FF2B5EF4-FFF2-40B4-BE49-F238E27FC236}">
              <a16:creationId xmlns:a16="http://schemas.microsoft.com/office/drawing/2014/main" id="{7E9D02C6-90A9-461F-8DAC-F18A2BC33B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" name="Elipse 1043">
          <a:extLst>
            <a:ext uri="{FF2B5EF4-FFF2-40B4-BE49-F238E27FC236}">
              <a16:creationId xmlns:a16="http://schemas.microsoft.com/office/drawing/2014/main" id="{E590508E-52F0-4B22-B3D7-89E7340799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" name="Elipse 1044">
          <a:extLst>
            <a:ext uri="{FF2B5EF4-FFF2-40B4-BE49-F238E27FC236}">
              <a16:creationId xmlns:a16="http://schemas.microsoft.com/office/drawing/2014/main" id="{DCFC21DC-4713-4E6A-A45F-EE278B6B91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" name="Elipse 1045">
          <a:extLst>
            <a:ext uri="{FF2B5EF4-FFF2-40B4-BE49-F238E27FC236}">
              <a16:creationId xmlns:a16="http://schemas.microsoft.com/office/drawing/2014/main" id="{1356D479-B2EC-4E16-A9AE-FA3717B110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" name="Elipse 1046">
          <a:extLst>
            <a:ext uri="{FF2B5EF4-FFF2-40B4-BE49-F238E27FC236}">
              <a16:creationId xmlns:a16="http://schemas.microsoft.com/office/drawing/2014/main" id="{A4E457E1-48D6-4E0B-BD0A-6BBDFAAB2D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" name="Elipse 1047">
          <a:extLst>
            <a:ext uri="{FF2B5EF4-FFF2-40B4-BE49-F238E27FC236}">
              <a16:creationId xmlns:a16="http://schemas.microsoft.com/office/drawing/2014/main" id="{C0AD6214-1E92-41A2-96B2-EC1CE61AF7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" name="Elipse 1048">
          <a:extLst>
            <a:ext uri="{FF2B5EF4-FFF2-40B4-BE49-F238E27FC236}">
              <a16:creationId xmlns:a16="http://schemas.microsoft.com/office/drawing/2014/main" id="{9B7CF4CC-4F9D-4257-99A0-61BC73F331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" name="Elipse 1049">
          <a:extLst>
            <a:ext uri="{FF2B5EF4-FFF2-40B4-BE49-F238E27FC236}">
              <a16:creationId xmlns:a16="http://schemas.microsoft.com/office/drawing/2014/main" id="{9B691C15-CF8B-4916-B04A-95E6177F8C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" name="Elipse 1050">
          <a:extLst>
            <a:ext uri="{FF2B5EF4-FFF2-40B4-BE49-F238E27FC236}">
              <a16:creationId xmlns:a16="http://schemas.microsoft.com/office/drawing/2014/main" id="{3155A533-ED3A-4779-8857-2CB49E2236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" name="Elipse 1051">
          <a:extLst>
            <a:ext uri="{FF2B5EF4-FFF2-40B4-BE49-F238E27FC236}">
              <a16:creationId xmlns:a16="http://schemas.microsoft.com/office/drawing/2014/main" id="{46FD4F34-D76C-42C7-AF22-38BFDBDC39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" name="Elipse 1052">
          <a:extLst>
            <a:ext uri="{FF2B5EF4-FFF2-40B4-BE49-F238E27FC236}">
              <a16:creationId xmlns:a16="http://schemas.microsoft.com/office/drawing/2014/main" id="{28D14D30-E11D-45EF-AE51-2515139DFF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" name="Elipse 1053">
          <a:extLst>
            <a:ext uri="{FF2B5EF4-FFF2-40B4-BE49-F238E27FC236}">
              <a16:creationId xmlns:a16="http://schemas.microsoft.com/office/drawing/2014/main" id="{671EF52E-AFFE-442F-8954-2A6F360238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" name="Elipse 1054">
          <a:extLst>
            <a:ext uri="{FF2B5EF4-FFF2-40B4-BE49-F238E27FC236}">
              <a16:creationId xmlns:a16="http://schemas.microsoft.com/office/drawing/2014/main" id="{E1549254-30AE-4BA6-8948-81B3643658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" name="Elipse 1055">
          <a:extLst>
            <a:ext uri="{FF2B5EF4-FFF2-40B4-BE49-F238E27FC236}">
              <a16:creationId xmlns:a16="http://schemas.microsoft.com/office/drawing/2014/main" id="{A06E70B5-FD10-4CBD-90B2-94B8E91A8C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" name="Elipse 1056">
          <a:extLst>
            <a:ext uri="{FF2B5EF4-FFF2-40B4-BE49-F238E27FC236}">
              <a16:creationId xmlns:a16="http://schemas.microsoft.com/office/drawing/2014/main" id="{3EAB3045-7CC4-495A-9DE5-71ABFB6C67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" name="Elipse 1057">
          <a:extLst>
            <a:ext uri="{FF2B5EF4-FFF2-40B4-BE49-F238E27FC236}">
              <a16:creationId xmlns:a16="http://schemas.microsoft.com/office/drawing/2014/main" id="{2FA7F8D0-4930-41FA-A400-AAF2CBECA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" name="Elipse 1058">
          <a:extLst>
            <a:ext uri="{FF2B5EF4-FFF2-40B4-BE49-F238E27FC236}">
              <a16:creationId xmlns:a16="http://schemas.microsoft.com/office/drawing/2014/main" id="{703EFAE2-61BF-4088-B2E8-FFA2E2685A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" name="Elipse 1059">
          <a:extLst>
            <a:ext uri="{FF2B5EF4-FFF2-40B4-BE49-F238E27FC236}">
              <a16:creationId xmlns:a16="http://schemas.microsoft.com/office/drawing/2014/main" id="{9AD57054-8D8A-46AD-AFFF-7FE88DD7D1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" name="Elipse 1060">
          <a:extLst>
            <a:ext uri="{FF2B5EF4-FFF2-40B4-BE49-F238E27FC236}">
              <a16:creationId xmlns:a16="http://schemas.microsoft.com/office/drawing/2014/main" id="{C701D0E0-4F35-4612-B25E-8297B87520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" name="Elipse 1061">
          <a:extLst>
            <a:ext uri="{FF2B5EF4-FFF2-40B4-BE49-F238E27FC236}">
              <a16:creationId xmlns:a16="http://schemas.microsoft.com/office/drawing/2014/main" id="{B0A27FE7-DFF3-4A50-B8A3-EE6D4FEB48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" name="Elipse 1062">
          <a:extLst>
            <a:ext uri="{FF2B5EF4-FFF2-40B4-BE49-F238E27FC236}">
              <a16:creationId xmlns:a16="http://schemas.microsoft.com/office/drawing/2014/main" id="{9A571BF7-744F-4F33-834C-35DAA57D4B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" name="Elipse 1063">
          <a:extLst>
            <a:ext uri="{FF2B5EF4-FFF2-40B4-BE49-F238E27FC236}">
              <a16:creationId xmlns:a16="http://schemas.microsoft.com/office/drawing/2014/main" id="{CC955380-15CE-478D-AA27-CCFC4B9275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" name="Elipse 1064">
          <a:extLst>
            <a:ext uri="{FF2B5EF4-FFF2-40B4-BE49-F238E27FC236}">
              <a16:creationId xmlns:a16="http://schemas.microsoft.com/office/drawing/2014/main" id="{1906ACCB-A4CB-41D5-ABDD-B86C904031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" name="Elipse 1065">
          <a:extLst>
            <a:ext uri="{FF2B5EF4-FFF2-40B4-BE49-F238E27FC236}">
              <a16:creationId xmlns:a16="http://schemas.microsoft.com/office/drawing/2014/main" id="{E0E33DFA-2F57-42F6-898C-465D391BCE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" name="Elipse 1066">
          <a:extLst>
            <a:ext uri="{FF2B5EF4-FFF2-40B4-BE49-F238E27FC236}">
              <a16:creationId xmlns:a16="http://schemas.microsoft.com/office/drawing/2014/main" id="{31E21F13-74EB-4129-A299-BB97BCCEFE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" name="Elipse 1067">
          <a:extLst>
            <a:ext uri="{FF2B5EF4-FFF2-40B4-BE49-F238E27FC236}">
              <a16:creationId xmlns:a16="http://schemas.microsoft.com/office/drawing/2014/main" id="{6D6C2F5A-C181-4A28-9504-28D157BA54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" name="Elipse 1068">
          <a:extLst>
            <a:ext uri="{FF2B5EF4-FFF2-40B4-BE49-F238E27FC236}">
              <a16:creationId xmlns:a16="http://schemas.microsoft.com/office/drawing/2014/main" id="{D6B8F26D-0F72-4374-8756-F2520B1D1F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" name="Elipse 1069">
          <a:extLst>
            <a:ext uri="{FF2B5EF4-FFF2-40B4-BE49-F238E27FC236}">
              <a16:creationId xmlns:a16="http://schemas.microsoft.com/office/drawing/2014/main" id="{96A4E17F-2DF5-4C00-8D5D-CADE7EEA65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" name="Elipse 1070">
          <a:extLst>
            <a:ext uri="{FF2B5EF4-FFF2-40B4-BE49-F238E27FC236}">
              <a16:creationId xmlns:a16="http://schemas.microsoft.com/office/drawing/2014/main" id="{F9B90E0E-83EA-4CA7-AD21-D03CBEFB37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" name="Elipse 1071">
          <a:extLst>
            <a:ext uri="{FF2B5EF4-FFF2-40B4-BE49-F238E27FC236}">
              <a16:creationId xmlns:a16="http://schemas.microsoft.com/office/drawing/2014/main" id="{C8216952-5E51-4B51-8542-8199068512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" name="Elipse 1072">
          <a:extLst>
            <a:ext uri="{FF2B5EF4-FFF2-40B4-BE49-F238E27FC236}">
              <a16:creationId xmlns:a16="http://schemas.microsoft.com/office/drawing/2014/main" id="{4D78AFCA-210E-42AE-ADFC-71F833B237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" name="Elipse 1073">
          <a:extLst>
            <a:ext uri="{FF2B5EF4-FFF2-40B4-BE49-F238E27FC236}">
              <a16:creationId xmlns:a16="http://schemas.microsoft.com/office/drawing/2014/main" id="{6EE1016C-635A-4C30-91C4-970A029D29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" name="Elipse 1074">
          <a:extLst>
            <a:ext uri="{FF2B5EF4-FFF2-40B4-BE49-F238E27FC236}">
              <a16:creationId xmlns:a16="http://schemas.microsoft.com/office/drawing/2014/main" id="{A69BBB06-B44C-45C3-A7EC-788B85BA9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" name="Elipse 1075">
          <a:extLst>
            <a:ext uri="{FF2B5EF4-FFF2-40B4-BE49-F238E27FC236}">
              <a16:creationId xmlns:a16="http://schemas.microsoft.com/office/drawing/2014/main" id="{EB9E01A6-40AD-48D0-9EE4-83332A9E03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" name="Elipse 1076">
          <a:extLst>
            <a:ext uri="{FF2B5EF4-FFF2-40B4-BE49-F238E27FC236}">
              <a16:creationId xmlns:a16="http://schemas.microsoft.com/office/drawing/2014/main" id="{BB4DA0FE-E769-45B8-8F43-9673C1E2BE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" name="Elipse 1077">
          <a:extLst>
            <a:ext uri="{FF2B5EF4-FFF2-40B4-BE49-F238E27FC236}">
              <a16:creationId xmlns:a16="http://schemas.microsoft.com/office/drawing/2014/main" id="{08E3C137-3047-49A6-A0B2-70B95F1415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" name="Elipse 1078">
          <a:extLst>
            <a:ext uri="{FF2B5EF4-FFF2-40B4-BE49-F238E27FC236}">
              <a16:creationId xmlns:a16="http://schemas.microsoft.com/office/drawing/2014/main" id="{0D37AB4C-34C7-45C8-ACC5-E92FFE1F44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" name="Elipse 1079">
          <a:extLst>
            <a:ext uri="{FF2B5EF4-FFF2-40B4-BE49-F238E27FC236}">
              <a16:creationId xmlns:a16="http://schemas.microsoft.com/office/drawing/2014/main" id="{2234222B-8A2B-4A8B-8C2C-04E70BC6B8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" name="Elipse 1080">
          <a:extLst>
            <a:ext uri="{FF2B5EF4-FFF2-40B4-BE49-F238E27FC236}">
              <a16:creationId xmlns:a16="http://schemas.microsoft.com/office/drawing/2014/main" id="{8B7D1D0D-56AD-45C7-98A7-5FD6CF884A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" name="Elipse 1081">
          <a:extLst>
            <a:ext uri="{FF2B5EF4-FFF2-40B4-BE49-F238E27FC236}">
              <a16:creationId xmlns:a16="http://schemas.microsoft.com/office/drawing/2014/main" id="{5F9247E0-95C4-4EBF-A24E-1942EDD7FF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" name="Elipse 1082">
          <a:extLst>
            <a:ext uri="{FF2B5EF4-FFF2-40B4-BE49-F238E27FC236}">
              <a16:creationId xmlns:a16="http://schemas.microsoft.com/office/drawing/2014/main" id="{9DF3482B-0A51-467F-83ED-918375D953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" name="Elipse 1083">
          <a:extLst>
            <a:ext uri="{FF2B5EF4-FFF2-40B4-BE49-F238E27FC236}">
              <a16:creationId xmlns:a16="http://schemas.microsoft.com/office/drawing/2014/main" id="{3661301C-DD99-4E7C-8367-59E3C66BFB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" name="Elipse 1084">
          <a:extLst>
            <a:ext uri="{FF2B5EF4-FFF2-40B4-BE49-F238E27FC236}">
              <a16:creationId xmlns:a16="http://schemas.microsoft.com/office/drawing/2014/main" id="{70C82305-E04D-4F3F-ADEC-962CF091F3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" name="Elipse 1085">
          <a:extLst>
            <a:ext uri="{FF2B5EF4-FFF2-40B4-BE49-F238E27FC236}">
              <a16:creationId xmlns:a16="http://schemas.microsoft.com/office/drawing/2014/main" id="{CD0FD47C-B6AB-47B6-A443-FA500607A5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" name="Elipse 1086">
          <a:extLst>
            <a:ext uri="{FF2B5EF4-FFF2-40B4-BE49-F238E27FC236}">
              <a16:creationId xmlns:a16="http://schemas.microsoft.com/office/drawing/2014/main" id="{52015248-0741-4F36-9ACF-51484095E3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" name="Elipse 1087">
          <a:extLst>
            <a:ext uri="{FF2B5EF4-FFF2-40B4-BE49-F238E27FC236}">
              <a16:creationId xmlns:a16="http://schemas.microsoft.com/office/drawing/2014/main" id="{05A9637A-17AC-4FE9-9A81-DF1E1247FA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" name="Elipse 1088">
          <a:extLst>
            <a:ext uri="{FF2B5EF4-FFF2-40B4-BE49-F238E27FC236}">
              <a16:creationId xmlns:a16="http://schemas.microsoft.com/office/drawing/2014/main" id="{13EF6FEB-622F-41F6-B135-925DE91274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" name="Elipse 1089">
          <a:extLst>
            <a:ext uri="{FF2B5EF4-FFF2-40B4-BE49-F238E27FC236}">
              <a16:creationId xmlns:a16="http://schemas.microsoft.com/office/drawing/2014/main" id="{CDA60D14-D9A6-43BC-BB89-2708F36DB6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" name="Elipse 1090">
          <a:extLst>
            <a:ext uri="{FF2B5EF4-FFF2-40B4-BE49-F238E27FC236}">
              <a16:creationId xmlns:a16="http://schemas.microsoft.com/office/drawing/2014/main" id="{096AA408-5A6C-43D7-94ED-BB0A276407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" name="Elipse 1091">
          <a:extLst>
            <a:ext uri="{FF2B5EF4-FFF2-40B4-BE49-F238E27FC236}">
              <a16:creationId xmlns:a16="http://schemas.microsoft.com/office/drawing/2014/main" id="{32F468E5-8F53-4D1F-AF08-FCA5ADFA82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" name="Elipse 1092">
          <a:extLst>
            <a:ext uri="{FF2B5EF4-FFF2-40B4-BE49-F238E27FC236}">
              <a16:creationId xmlns:a16="http://schemas.microsoft.com/office/drawing/2014/main" id="{93870B1D-A86F-4E0B-B8D7-D5D0EDB721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" name="Elipse 1093">
          <a:extLst>
            <a:ext uri="{FF2B5EF4-FFF2-40B4-BE49-F238E27FC236}">
              <a16:creationId xmlns:a16="http://schemas.microsoft.com/office/drawing/2014/main" id="{744C01E6-1035-41FA-BC01-EBEC28E088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" name="Elipse 1094">
          <a:extLst>
            <a:ext uri="{FF2B5EF4-FFF2-40B4-BE49-F238E27FC236}">
              <a16:creationId xmlns:a16="http://schemas.microsoft.com/office/drawing/2014/main" id="{030994CD-0E60-47A1-9E0B-2551734792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" name="Elipse 1095">
          <a:extLst>
            <a:ext uri="{FF2B5EF4-FFF2-40B4-BE49-F238E27FC236}">
              <a16:creationId xmlns:a16="http://schemas.microsoft.com/office/drawing/2014/main" id="{4D19BA62-DFDA-40F6-8DEA-A91C2F1193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" name="Elipse 1096">
          <a:extLst>
            <a:ext uri="{FF2B5EF4-FFF2-40B4-BE49-F238E27FC236}">
              <a16:creationId xmlns:a16="http://schemas.microsoft.com/office/drawing/2014/main" id="{56E3236E-9DFE-4AC9-91D2-1A3C1F7E3E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" name="Elipse 1097">
          <a:extLst>
            <a:ext uri="{FF2B5EF4-FFF2-40B4-BE49-F238E27FC236}">
              <a16:creationId xmlns:a16="http://schemas.microsoft.com/office/drawing/2014/main" id="{A6123EB1-2D25-4BAD-9EE0-6A4284DA66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" name="Elipse 1098">
          <a:extLst>
            <a:ext uri="{FF2B5EF4-FFF2-40B4-BE49-F238E27FC236}">
              <a16:creationId xmlns:a16="http://schemas.microsoft.com/office/drawing/2014/main" id="{3F7A2015-76AE-45F7-9F29-8C95997589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" name="Elipse 1099">
          <a:extLst>
            <a:ext uri="{FF2B5EF4-FFF2-40B4-BE49-F238E27FC236}">
              <a16:creationId xmlns:a16="http://schemas.microsoft.com/office/drawing/2014/main" id="{176DF4E5-0BAC-4FE8-B12D-FB931A6544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" name="Elipse 1100">
          <a:extLst>
            <a:ext uri="{FF2B5EF4-FFF2-40B4-BE49-F238E27FC236}">
              <a16:creationId xmlns:a16="http://schemas.microsoft.com/office/drawing/2014/main" id="{1F86BC99-10F0-4ABE-98F4-DE529FF09B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" name="Elipse 1101">
          <a:extLst>
            <a:ext uri="{FF2B5EF4-FFF2-40B4-BE49-F238E27FC236}">
              <a16:creationId xmlns:a16="http://schemas.microsoft.com/office/drawing/2014/main" id="{2CD8E845-AC80-4C1E-BB34-50C2851165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" name="Elipse 1102">
          <a:extLst>
            <a:ext uri="{FF2B5EF4-FFF2-40B4-BE49-F238E27FC236}">
              <a16:creationId xmlns:a16="http://schemas.microsoft.com/office/drawing/2014/main" id="{C1D4DFB0-8711-49FA-A411-FC62FD32B3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" name="Elipse 1103">
          <a:extLst>
            <a:ext uri="{FF2B5EF4-FFF2-40B4-BE49-F238E27FC236}">
              <a16:creationId xmlns:a16="http://schemas.microsoft.com/office/drawing/2014/main" id="{6EA5E62B-973D-4D24-8C8C-50EE9951C0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" name="Elipse 1104">
          <a:extLst>
            <a:ext uri="{FF2B5EF4-FFF2-40B4-BE49-F238E27FC236}">
              <a16:creationId xmlns:a16="http://schemas.microsoft.com/office/drawing/2014/main" id="{506F3DBF-5D76-47D2-9FA6-2BE6738708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" name="Elipse 1105">
          <a:extLst>
            <a:ext uri="{FF2B5EF4-FFF2-40B4-BE49-F238E27FC236}">
              <a16:creationId xmlns:a16="http://schemas.microsoft.com/office/drawing/2014/main" id="{92C4B37D-D76D-4C69-A96A-CD16632BF9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" name="Elipse 1106">
          <a:extLst>
            <a:ext uri="{FF2B5EF4-FFF2-40B4-BE49-F238E27FC236}">
              <a16:creationId xmlns:a16="http://schemas.microsoft.com/office/drawing/2014/main" id="{3D507EFF-AA97-4525-828F-CF2B346EE8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" name="Elipse 1107">
          <a:extLst>
            <a:ext uri="{FF2B5EF4-FFF2-40B4-BE49-F238E27FC236}">
              <a16:creationId xmlns:a16="http://schemas.microsoft.com/office/drawing/2014/main" id="{B6372E7D-687D-49E5-B09B-213F1101B8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" name="Elipse 1108">
          <a:extLst>
            <a:ext uri="{FF2B5EF4-FFF2-40B4-BE49-F238E27FC236}">
              <a16:creationId xmlns:a16="http://schemas.microsoft.com/office/drawing/2014/main" id="{6CCE01E1-5791-4E48-9D89-35E6733844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" name="Elipse 1109">
          <a:extLst>
            <a:ext uri="{FF2B5EF4-FFF2-40B4-BE49-F238E27FC236}">
              <a16:creationId xmlns:a16="http://schemas.microsoft.com/office/drawing/2014/main" id="{BECC56A2-3C35-4B7B-9492-F98BE6FB5F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" name="Elipse 1110">
          <a:extLst>
            <a:ext uri="{FF2B5EF4-FFF2-40B4-BE49-F238E27FC236}">
              <a16:creationId xmlns:a16="http://schemas.microsoft.com/office/drawing/2014/main" id="{0BAA74C0-2F34-4BAA-944A-20C148BD1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" name="Elipse 1111">
          <a:extLst>
            <a:ext uri="{FF2B5EF4-FFF2-40B4-BE49-F238E27FC236}">
              <a16:creationId xmlns:a16="http://schemas.microsoft.com/office/drawing/2014/main" id="{0689ADE6-8F21-4E22-BE5A-6544C12CC5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" name="Elipse 1112">
          <a:extLst>
            <a:ext uri="{FF2B5EF4-FFF2-40B4-BE49-F238E27FC236}">
              <a16:creationId xmlns:a16="http://schemas.microsoft.com/office/drawing/2014/main" id="{1B695DC9-00E2-413C-96BB-A80F2C0A14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" name="Elipse 1113">
          <a:extLst>
            <a:ext uri="{FF2B5EF4-FFF2-40B4-BE49-F238E27FC236}">
              <a16:creationId xmlns:a16="http://schemas.microsoft.com/office/drawing/2014/main" id="{8D794179-C5F4-4A32-92EF-806473961D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" name="Elipse 1114">
          <a:extLst>
            <a:ext uri="{FF2B5EF4-FFF2-40B4-BE49-F238E27FC236}">
              <a16:creationId xmlns:a16="http://schemas.microsoft.com/office/drawing/2014/main" id="{CC4402B3-F74A-4CFA-922B-4224D84B2B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" name="Elipse 1115">
          <a:extLst>
            <a:ext uri="{FF2B5EF4-FFF2-40B4-BE49-F238E27FC236}">
              <a16:creationId xmlns:a16="http://schemas.microsoft.com/office/drawing/2014/main" id="{DEC60165-4399-4FFC-83EF-82C52791C0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" name="Elipse 1116">
          <a:extLst>
            <a:ext uri="{FF2B5EF4-FFF2-40B4-BE49-F238E27FC236}">
              <a16:creationId xmlns:a16="http://schemas.microsoft.com/office/drawing/2014/main" id="{FC3C36DF-997C-435F-B56B-6937DEF9A3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" name="Elipse 1117">
          <a:extLst>
            <a:ext uri="{FF2B5EF4-FFF2-40B4-BE49-F238E27FC236}">
              <a16:creationId xmlns:a16="http://schemas.microsoft.com/office/drawing/2014/main" id="{4F66DD1B-29C9-4B45-9C39-5C3911FD42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" name="Elipse 1118">
          <a:extLst>
            <a:ext uri="{FF2B5EF4-FFF2-40B4-BE49-F238E27FC236}">
              <a16:creationId xmlns:a16="http://schemas.microsoft.com/office/drawing/2014/main" id="{549FDC40-E382-4D9D-9596-C7C830CF28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" name="Elipse 1119">
          <a:extLst>
            <a:ext uri="{FF2B5EF4-FFF2-40B4-BE49-F238E27FC236}">
              <a16:creationId xmlns:a16="http://schemas.microsoft.com/office/drawing/2014/main" id="{279ECBD5-5399-454A-A2E7-518E8586FC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" name="Elipse 1120">
          <a:extLst>
            <a:ext uri="{FF2B5EF4-FFF2-40B4-BE49-F238E27FC236}">
              <a16:creationId xmlns:a16="http://schemas.microsoft.com/office/drawing/2014/main" id="{58896672-C7BF-4C93-8040-B5F0EE4B14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" name="Elipse 1121">
          <a:extLst>
            <a:ext uri="{FF2B5EF4-FFF2-40B4-BE49-F238E27FC236}">
              <a16:creationId xmlns:a16="http://schemas.microsoft.com/office/drawing/2014/main" id="{BF4B5A84-2A2E-451B-9769-8D22C1ACB9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" name="Elipse 1122">
          <a:extLst>
            <a:ext uri="{FF2B5EF4-FFF2-40B4-BE49-F238E27FC236}">
              <a16:creationId xmlns:a16="http://schemas.microsoft.com/office/drawing/2014/main" id="{DD678390-DEA1-48D5-B978-322851C2E9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" name="Elipse 1123">
          <a:extLst>
            <a:ext uri="{FF2B5EF4-FFF2-40B4-BE49-F238E27FC236}">
              <a16:creationId xmlns:a16="http://schemas.microsoft.com/office/drawing/2014/main" id="{7A31C81A-2F68-4E47-ABC3-C19E22F782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" name="Elipse 1124">
          <a:extLst>
            <a:ext uri="{FF2B5EF4-FFF2-40B4-BE49-F238E27FC236}">
              <a16:creationId xmlns:a16="http://schemas.microsoft.com/office/drawing/2014/main" id="{40E1BEDF-F01C-4B42-B61D-C03002B0DB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" name="Elipse 1125">
          <a:extLst>
            <a:ext uri="{FF2B5EF4-FFF2-40B4-BE49-F238E27FC236}">
              <a16:creationId xmlns:a16="http://schemas.microsoft.com/office/drawing/2014/main" id="{862D032F-3A16-4AB0-BF0B-45E0BCC4AE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" name="Elipse 1126">
          <a:extLst>
            <a:ext uri="{FF2B5EF4-FFF2-40B4-BE49-F238E27FC236}">
              <a16:creationId xmlns:a16="http://schemas.microsoft.com/office/drawing/2014/main" id="{575B6E81-28EC-41D8-AA7D-0D9B1E97EC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" name="Elipse 1127">
          <a:extLst>
            <a:ext uri="{FF2B5EF4-FFF2-40B4-BE49-F238E27FC236}">
              <a16:creationId xmlns:a16="http://schemas.microsoft.com/office/drawing/2014/main" id="{2E1ED628-0D45-421B-B0E7-5659469038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" name="Elipse 1128">
          <a:extLst>
            <a:ext uri="{FF2B5EF4-FFF2-40B4-BE49-F238E27FC236}">
              <a16:creationId xmlns:a16="http://schemas.microsoft.com/office/drawing/2014/main" id="{536F51CD-3CB8-4FD8-AA6E-C52D9383C7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" name="Elipse 1129">
          <a:extLst>
            <a:ext uri="{FF2B5EF4-FFF2-40B4-BE49-F238E27FC236}">
              <a16:creationId xmlns:a16="http://schemas.microsoft.com/office/drawing/2014/main" id="{90FB96C5-F75D-4175-853B-0AC21D82A8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" name="Elipse 1130">
          <a:extLst>
            <a:ext uri="{FF2B5EF4-FFF2-40B4-BE49-F238E27FC236}">
              <a16:creationId xmlns:a16="http://schemas.microsoft.com/office/drawing/2014/main" id="{32246A1F-6A8E-4329-AD9E-30A319CC80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" name="Elipse 1131">
          <a:extLst>
            <a:ext uri="{FF2B5EF4-FFF2-40B4-BE49-F238E27FC236}">
              <a16:creationId xmlns:a16="http://schemas.microsoft.com/office/drawing/2014/main" id="{2FD16CEF-9D06-40B4-B2BF-5885FDC1C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" name="Elipse 1132">
          <a:extLst>
            <a:ext uri="{FF2B5EF4-FFF2-40B4-BE49-F238E27FC236}">
              <a16:creationId xmlns:a16="http://schemas.microsoft.com/office/drawing/2014/main" id="{CBC98F50-727B-4ACF-80A1-562B2E8E7F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" name="Elipse 1133">
          <a:extLst>
            <a:ext uri="{FF2B5EF4-FFF2-40B4-BE49-F238E27FC236}">
              <a16:creationId xmlns:a16="http://schemas.microsoft.com/office/drawing/2014/main" id="{0C9ABD0F-AAD8-48C8-A4AC-80E272679E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" name="Elipse 1134">
          <a:extLst>
            <a:ext uri="{FF2B5EF4-FFF2-40B4-BE49-F238E27FC236}">
              <a16:creationId xmlns:a16="http://schemas.microsoft.com/office/drawing/2014/main" id="{FB8E1CF5-BA2D-4EF5-BD4C-BB0936B44F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" name="Elipse 1135">
          <a:extLst>
            <a:ext uri="{FF2B5EF4-FFF2-40B4-BE49-F238E27FC236}">
              <a16:creationId xmlns:a16="http://schemas.microsoft.com/office/drawing/2014/main" id="{CC298565-1E86-4AC3-A7D3-3F82F1CC06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" name="Elipse 1136">
          <a:extLst>
            <a:ext uri="{FF2B5EF4-FFF2-40B4-BE49-F238E27FC236}">
              <a16:creationId xmlns:a16="http://schemas.microsoft.com/office/drawing/2014/main" id="{D762A4E6-B514-4C78-91AB-4CBC91E359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" name="Elipse 1137">
          <a:extLst>
            <a:ext uri="{FF2B5EF4-FFF2-40B4-BE49-F238E27FC236}">
              <a16:creationId xmlns:a16="http://schemas.microsoft.com/office/drawing/2014/main" id="{2145A180-9393-4E42-A0C5-4DEF545C4D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" name="Elipse 1138">
          <a:extLst>
            <a:ext uri="{FF2B5EF4-FFF2-40B4-BE49-F238E27FC236}">
              <a16:creationId xmlns:a16="http://schemas.microsoft.com/office/drawing/2014/main" id="{0471806A-75A3-487D-9915-1C9B468B51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" name="Elipse 1139">
          <a:extLst>
            <a:ext uri="{FF2B5EF4-FFF2-40B4-BE49-F238E27FC236}">
              <a16:creationId xmlns:a16="http://schemas.microsoft.com/office/drawing/2014/main" id="{856C60A7-1795-4551-8DE3-5F00DE7454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" name="Elipse 1140">
          <a:extLst>
            <a:ext uri="{FF2B5EF4-FFF2-40B4-BE49-F238E27FC236}">
              <a16:creationId xmlns:a16="http://schemas.microsoft.com/office/drawing/2014/main" id="{45CE2BAF-AF48-40F2-B4B8-FC873278B8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" name="Elipse 1141">
          <a:extLst>
            <a:ext uri="{FF2B5EF4-FFF2-40B4-BE49-F238E27FC236}">
              <a16:creationId xmlns:a16="http://schemas.microsoft.com/office/drawing/2014/main" id="{A408BC0E-0D5D-4565-A5E8-6DD7EB4D1B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" name="Elipse 1142">
          <a:extLst>
            <a:ext uri="{FF2B5EF4-FFF2-40B4-BE49-F238E27FC236}">
              <a16:creationId xmlns:a16="http://schemas.microsoft.com/office/drawing/2014/main" id="{4D83C350-85A9-4E51-A3FC-6A039E1131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" name="Elipse 1143">
          <a:extLst>
            <a:ext uri="{FF2B5EF4-FFF2-40B4-BE49-F238E27FC236}">
              <a16:creationId xmlns:a16="http://schemas.microsoft.com/office/drawing/2014/main" id="{856897F6-4906-4B83-9FB9-9A959DAE78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" name="Elipse 1144">
          <a:extLst>
            <a:ext uri="{FF2B5EF4-FFF2-40B4-BE49-F238E27FC236}">
              <a16:creationId xmlns:a16="http://schemas.microsoft.com/office/drawing/2014/main" id="{F514BAB8-AFF5-4CE7-98B6-5D4B08C9C5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" name="Elipse 1145">
          <a:extLst>
            <a:ext uri="{FF2B5EF4-FFF2-40B4-BE49-F238E27FC236}">
              <a16:creationId xmlns:a16="http://schemas.microsoft.com/office/drawing/2014/main" id="{5F180F10-C67B-460D-B8FC-C44D930CAA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" name="Elipse 1146">
          <a:extLst>
            <a:ext uri="{FF2B5EF4-FFF2-40B4-BE49-F238E27FC236}">
              <a16:creationId xmlns:a16="http://schemas.microsoft.com/office/drawing/2014/main" id="{496D2C30-BACD-42DC-97D7-D11F0C2A4C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" name="Elipse 1147">
          <a:extLst>
            <a:ext uri="{FF2B5EF4-FFF2-40B4-BE49-F238E27FC236}">
              <a16:creationId xmlns:a16="http://schemas.microsoft.com/office/drawing/2014/main" id="{5FF61293-5A0D-43AB-A6CE-9956564978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" name="Elipse 1148">
          <a:extLst>
            <a:ext uri="{FF2B5EF4-FFF2-40B4-BE49-F238E27FC236}">
              <a16:creationId xmlns:a16="http://schemas.microsoft.com/office/drawing/2014/main" id="{B2C6D44E-3E6F-4A2D-BA31-423373251B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" name="Elipse 1149">
          <a:extLst>
            <a:ext uri="{FF2B5EF4-FFF2-40B4-BE49-F238E27FC236}">
              <a16:creationId xmlns:a16="http://schemas.microsoft.com/office/drawing/2014/main" id="{688B461C-D2F5-4E5C-AD99-0F140E9090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" name="Elipse 1150">
          <a:extLst>
            <a:ext uri="{FF2B5EF4-FFF2-40B4-BE49-F238E27FC236}">
              <a16:creationId xmlns:a16="http://schemas.microsoft.com/office/drawing/2014/main" id="{B0232EFA-DE7E-48F9-BD58-27EC77A706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" name="Elipse 1151">
          <a:extLst>
            <a:ext uri="{FF2B5EF4-FFF2-40B4-BE49-F238E27FC236}">
              <a16:creationId xmlns:a16="http://schemas.microsoft.com/office/drawing/2014/main" id="{DEB01569-A9FE-48D2-A81F-E5580C552D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" name="Elipse 1152">
          <a:extLst>
            <a:ext uri="{FF2B5EF4-FFF2-40B4-BE49-F238E27FC236}">
              <a16:creationId xmlns:a16="http://schemas.microsoft.com/office/drawing/2014/main" id="{89296E7D-51C3-4A6E-A08A-19BC2F4DDF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" name="Elipse 1153">
          <a:extLst>
            <a:ext uri="{FF2B5EF4-FFF2-40B4-BE49-F238E27FC236}">
              <a16:creationId xmlns:a16="http://schemas.microsoft.com/office/drawing/2014/main" id="{1846AFFB-73E0-4042-A170-3A0536871D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" name="Elipse 1154">
          <a:extLst>
            <a:ext uri="{FF2B5EF4-FFF2-40B4-BE49-F238E27FC236}">
              <a16:creationId xmlns:a16="http://schemas.microsoft.com/office/drawing/2014/main" id="{F7AFD8CC-DB11-42F0-B3EC-E456FC8FBC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" name="Elipse 1155">
          <a:extLst>
            <a:ext uri="{FF2B5EF4-FFF2-40B4-BE49-F238E27FC236}">
              <a16:creationId xmlns:a16="http://schemas.microsoft.com/office/drawing/2014/main" id="{7486FE60-5FB3-477D-9F9D-7A8585CBB7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" name="Elipse 1156">
          <a:extLst>
            <a:ext uri="{FF2B5EF4-FFF2-40B4-BE49-F238E27FC236}">
              <a16:creationId xmlns:a16="http://schemas.microsoft.com/office/drawing/2014/main" id="{FCF7A4F2-A86C-4BCD-96BF-2C71540747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" name="Elipse 1157">
          <a:extLst>
            <a:ext uri="{FF2B5EF4-FFF2-40B4-BE49-F238E27FC236}">
              <a16:creationId xmlns:a16="http://schemas.microsoft.com/office/drawing/2014/main" id="{0A2CBAAF-F1FF-496B-820D-B588CA1DF3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" name="Elipse 1158">
          <a:extLst>
            <a:ext uri="{FF2B5EF4-FFF2-40B4-BE49-F238E27FC236}">
              <a16:creationId xmlns:a16="http://schemas.microsoft.com/office/drawing/2014/main" id="{C968F326-90AE-4DCD-9519-5954F08832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" name="Elipse 1159">
          <a:extLst>
            <a:ext uri="{FF2B5EF4-FFF2-40B4-BE49-F238E27FC236}">
              <a16:creationId xmlns:a16="http://schemas.microsoft.com/office/drawing/2014/main" id="{B260A7C0-CA34-41B3-9713-EB511B8398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" name="Elipse 1160">
          <a:extLst>
            <a:ext uri="{FF2B5EF4-FFF2-40B4-BE49-F238E27FC236}">
              <a16:creationId xmlns:a16="http://schemas.microsoft.com/office/drawing/2014/main" id="{A3EB2EC6-06AF-4DF0-888D-C47C6558E0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" name="Elipse 1161">
          <a:extLst>
            <a:ext uri="{FF2B5EF4-FFF2-40B4-BE49-F238E27FC236}">
              <a16:creationId xmlns:a16="http://schemas.microsoft.com/office/drawing/2014/main" id="{DF00CE17-30DC-494A-9925-56C96F5327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" name="Elipse 1162">
          <a:extLst>
            <a:ext uri="{FF2B5EF4-FFF2-40B4-BE49-F238E27FC236}">
              <a16:creationId xmlns:a16="http://schemas.microsoft.com/office/drawing/2014/main" id="{F1E075D4-4BAB-4C70-90EC-BF53C59DD3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" name="Elipse 1163">
          <a:extLst>
            <a:ext uri="{FF2B5EF4-FFF2-40B4-BE49-F238E27FC236}">
              <a16:creationId xmlns:a16="http://schemas.microsoft.com/office/drawing/2014/main" id="{F605A02A-4947-4CB5-9E69-E66E0318C7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" name="Elipse 1164">
          <a:extLst>
            <a:ext uri="{FF2B5EF4-FFF2-40B4-BE49-F238E27FC236}">
              <a16:creationId xmlns:a16="http://schemas.microsoft.com/office/drawing/2014/main" id="{B2FECDC7-F645-45F0-A3E8-6BED78055C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" name="Elipse 1165">
          <a:extLst>
            <a:ext uri="{FF2B5EF4-FFF2-40B4-BE49-F238E27FC236}">
              <a16:creationId xmlns:a16="http://schemas.microsoft.com/office/drawing/2014/main" id="{975A6B4C-5D80-452F-8272-38788B9990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" name="Elipse 1166">
          <a:extLst>
            <a:ext uri="{FF2B5EF4-FFF2-40B4-BE49-F238E27FC236}">
              <a16:creationId xmlns:a16="http://schemas.microsoft.com/office/drawing/2014/main" id="{325D1156-C8D0-47BF-9877-9C8A28107F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" name="Elipse 1167">
          <a:extLst>
            <a:ext uri="{FF2B5EF4-FFF2-40B4-BE49-F238E27FC236}">
              <a16:creationId xmlns:a16="http://schemas.microsoft.com/office/drawing/2014/main" id="{E678DF82-F384-466D-A167-C0DD6393CD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" name="Elipse 1168">
          <a:extLst>
            <a:ext uri="{FF2B5EF4-FFF2-40B4-BE49-F238E27FC236}">
              <a16:creationId xmlns:a16="http://schemas.microsoft.com/office/drawing/2014/main" id="{7389B5E1-CEE6-4209-B4D2-9EA21EE449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" name="Elipse 1169">
          <a:extLst>
            <a:ext uri="{FF2B5EF4-FFF2-40B4-BE49-F238E27FC236}">
              <a16:creationId xmlns:a16="http://schemas.microsoft.com/office/drawing/2014/main" id="{D9A6D75E-FC1A-42E2-91E7-8E213E315C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" name="Elipse 1170">
          <a:extLst>
            <a:ext uri="{FF2B5EF4-FFF2-40B4-BE49-F238E27FC236}">
              <a16:creationId xmlns:a16="http://schemas.microsoft.com/office/drawing/2014/main" id="{B162A013-55D1-41B3-B945-A8D8672F85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" name="Elipse 1171">
          <a:extLst>
            <a:ext uri="{FF2B5EF4-FFF2-40B4-BE49-F238E27FC236}">
              <a16:creationId xmlns:a16="http://schemas.microsoft.com/office/drawing/2014/main" id="{09BCF187-D54E-4C6A-B05A-F49224C496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" name="Elipse 1172">
          <a:extLst>
            <a:ext uri="{FF2B5EF4-FFF2-40B4-BE49-F238E27FC236}">
              <a16:creationId xmlns:a16="http://schemas.microsoft.com/office/drawing/2014/main" id="{7A8D1B28-B9FE-4787-8D8A-11E61C5CE1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" name="Elipse 1173">
          <a:extLst>
            <a:ext uri="{FF2B5EF4-FFF2-40B4-BE49-F238E27FC236}">
              <a16:creationId xmlns:a16="http://schemas.microsoft.com/office/drawing/2014/main" id="{61BC9941-8F16-4484-BD84-0BCD0BB99D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" name="Elipse 1174">
          <a:extLst>
            <a:ext uri="{FF2B5EF4-FFF2-40B4-BE49-F238E27FC236}">
              <a16:creationId xmlns:a16="http://schemas.microsoft.com/office/drawing/2014/main" id="{A1C37D42-67DD-49FA-AD62-7A02740D3A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" name="Elipse 1175">
          <a:extLst>
            <a:ext uri="{FF2B5EF4-FFF2-40B4-BE49-F238E27FC236}">
              <a16:creationId xmlns:a16="http://schemas.microsoft.com/office/drawing/2014/main" id="{3218F666-8876-4FB2-A80B-2A7717FD7D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" name="Elipse 1176">
          <a:extLst>
            <a:ext uri="{FF2B5EF4-FFF2-40B4-BE49-F238E27FC236}">
              <a16:creationId xmlns:a16="http://schemas.microsoft.com/office/drawing/2014/main" id="{86DF5FAB-B531-45EA-AA11-11ED667501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" name="Elipse 1177">
          <a:extLst>
            <a:ext uri="{FF2B5EF4-FFF2-40B4-BE49-F238E27FC236}">
              <a16:creationId xmlns:a16="http://schemas.microsoft.com/office/drawing/2014/main" id="{7F08AAE8-5CAC-410A-94E3-0F35759BE0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" name="Elipse 1178">
          <a:extLst>
            <a:ext uri="{FF2B5EF4-FFF2-40B4-BE49-F238E27FC236}">
              <a16:creationId xmlns:a16="http://schemas.microsoft.com/office/drawing/2014/main" id="{B71559DC-FAC4-494D-BEC7-C87BCFE266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" name="Elipse 1179">
          <a:extLst>
            <a:ext uri="{FF2B5EF4-FFF2-40B4-BE49-F238E27FC236}">
              <a16:creationId xmlns:a16="http://schemas.microsoft.com/office/drawing/2014/main" id="{4A0D4650-F638-427F-ACB0-C5FF39168C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" name="Elipse 1180">
          <a:extLst>
            <a:ext uri="{FF2B5EF4-FFF2-40B4-BE49-F238E27FC236}">
              <a16:creationId xmlns:a16="http://schemas.microsoft.com/office/drawing/2014/main" id="{CF1E8554-2383-4600-9707-544DCAB9D1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" name="Elipse 1181">
          <a:extLst>
            <a:ext uri="{FF2B5EF4-FFF2-40B4-BE49-F238E27FC236}">
              <a16:creationId xmlns:a16="http://schemas.microsoft.com/office/drawing/2014/main" id="{57C78E79-3B7D-43AC-94FE-3ABE026030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" name="Elipse 1182">
          <a:extLst>
            <a:ext uri="{FF2B5EF4-FFF2-40B4-BE49-F238E27FC236}">
              <a16:creationId xmlns:a16="http://schemas.microsoft.com/office/drawing/2014/main" id="{CAE22728-AF11-4263-8C2B-124ED4D92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" name="Elipse 1183">
          <a:extLst>
            <a:ext uri="{FF2B5EF4-FFF2-40B4-BE49-F238E27FC236}">
              <a16:creationId xmlns:a16="http://schemas.microsoft.com/office/drawing/2014/main" id="{A40256F6-4179-4F21-91D3-52BEC00FA0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" name="Elipse 1184">
          <a:extLst>
            <a:ext uri="{FF2B5EF4-FFF2-40B4-BE49-F238E27FC236}">
              <a16:creationId xmlns:a16="http://schemas.microsoft.com/office/drawing/2014/main" id="{B42F8FFC-3F67-4677-A0D9-4A50736E09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" name="Elipse 1185">
          <a:extLst>
            <a:ext uri="{FF2B5EF4-FFF2-40B4-BE49-F238E27FC236}">
              <a16:creationId xmlns:a16="http://schemas.microsoft.com/office/drawing/2014/main" id="{3540E691-5036-47BB-B91E-843D6549E4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" name="Elipse 1186">
          <a:extLst>
            <a:ext uri="{FF2B5EF4-FFF2-40B4-BE49-F238E27FC236}">
              <a16:creationId xmlns:a16="http://schemas.microsoft.com/office/drawing/2014/main" id="{E4AC7CBE-0174-4AE2-A360-20B6E5654B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" name="Elipse 1187">
          <a:extLst>
            <a:ext uri="{FF2B5EF4-FFF2-40B4-BE49-F238E27FC236}">
              <a16:creationId xmlns:a16="http://schemas.microsoft.com/office/drawing/2014/main" id="{3068543F-14C2-4494-9058-F7D7980547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" name="Elipse 1188">
          <a:extLst>
            <a:ext uri="{FF2B5EF4-FFF2-40B4-BE49-F238E27FC236}">
              <a16:creationId xmlns:a16="http://schemas.microsoft.com/office/drawing/2014/main" id="{AAB18F50-43C8-488D-BE8D-DA386677AA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" name="Elipse 1189">
          <a:extLst>
            <a:ext uri="{FF2B5EF4-FFF2-40B4-BE49-F238E27FC236}">
              <a16:creationId xmlns:a16="http://schemas.microsoft.com/office/drawing/2014/main" id="{C4DC62B5-CDB8-4BE9-A862-3974BFEB5C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" name="Elipse 1190">
          <a:extLst>
            <a:ext uri="{FF2B5EF4-FFF2-40B4-BE49-F238E27FC236}">
              <a16:creationId xmlns:a16="http://schemas.microsoft.com/office/drawing/2014/main" id="{3220BB9E-5D6F-40B1-8DF2-226F942A16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" name="Elipse 1191">
          <a:extLst>
            <a:ext uri="{FF2B5EF4-FFF2-40B4-BE49-F238E27FC236}">
              <a16:creationId xmlns:a16="http://schemas.microsoft.com/office/drawing/2014/main" id="{1B25C653-3A6A-4265-88B9-867D74AD85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" name="Elipse 1192">
          <a:extLst>
            <a:ext uri="{FF2B5EF4-FFF2-40B4-BE49-F238E27FC236}">
              <a16:creationId xmlns:a16="http://schemas.microsoft.com/office/drawing/2014/main" id="{E34BCF48-DC7F-44C0-9952-6CB261D353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" name="Elipse 1193">
          <a:extLst>
            <a:ext uri="{FF2B5EF4-FFF2-40B4-BE49-F238E27FC236}">
              <a16:creationId xmlns:a16="http://schemas.microsoft.com/office/drawing/2014/main" id="{6EB10A3C-A8E1-4E20-9FAF-66F5DE8E40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" name="Elipse 1194">
          <a:extLst>
            <a:ext uri="{FF2B5EF4-FFF2-40B4-BE49-F238E27FC236}">
              <a16:creationId xmlns:a16="http://schemas.microsoft.com/office/drawing/2014/main" id="{1E3C3A3E-CAD3-4E07-BE99-FE29F3BE0A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" name="Elipse 1195">
          <a:extLst>
            <a:ext uri="{FF2B5EF4-FFF2-40B4-BE49-F238E27FC236}">
              <a16:creationId xmlns:a16="http://schemas.microsoft.com/office/drawing/2014/main" id="{B15DCEF4-4782-4FE7-8DA2-E7537C9E46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" name="Elipse 1196">
          <a:extLst>
            <a:ext uri="{FF2B5EF4-FFF2-40B4-BE49-F238E27FC236}">
              <a16:creationId xmlns:a16="http://schemas.microsoft.com/office/drawing/2014/main" id="{30B39CA0-2B8B-48CF-820C-59F8BEDC04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" name="Elipse 1197">
          <a:extLst>
            <a:ext uri="{FF2B5EF4-FFF2-40B4-BE49-F238E27FC236}">
              <a16:creationId xmlns:a16="http://schemas.microsoft.com/office/drawing/2014/main" id="{211709C5-CDDA-4D1F-BF6E-A71E526E34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" name="Elipse 1198">
          <a:extLst>
            <a:ext uri="{FF2B5EF4-FFF2-40B4-BE49-F238E27FC236}">
              <a16:creationId xmlns:a16="http://schemas.microsoft.com/office/drawing/2014/main" id="{0B734B79-0EDE-431A-AC82-D963858A07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" name="Elipse 1199">
          <a:extLst>
            <a:ext uri="{FF2B5EF4-FFF2-40B4-BE49-F238E27FC236}">
              <a16:creationId xmlns:a16="http://schemas.microsoft.com/office/drawing/2014/main" id="{D6F84F86-4981-46E1-A47A-BA0578EECB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" name="Elipse 1200">
          <a:extLst>
            <a:ext uri="{FF2B5EF4-FFF2-40B4-BE49-F238E27FC236}">
              <a16:creationId xmlns:a16="http://schemas.microsoft.com/office/drawing/2014/main" id="{3A00F147-485C-4004-9538-F14DA6A548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" name="Elipse 1201">
          <a:extLst>
            <a:ext uri="{FF2B5EF4-FFF2-40B4-BE49-F238E27FC236}">
              <a16:creationId xmlns:a16="http://schemas.microsoft.com/office/drawing/2014/main" id="{73502DBF-C388-4323-93C9-D449359AB4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" name="Elipse 1202">
          <a:extLst>
            <a:ext uri="{FF2B5EF4-FFF2-40B4-BE49-F238E27FC236}">
              <a16:creationId xmlns:a16="http://schemas.microsoft.com/office/drawing/2014/main" id="{CBB91B07-5AEF-4A19-95C2-E3CA9DA56A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" name="Elipse 1203">
          <a:extLst>
            <a:ext uri="{FF2B5EF4-FFF2-40B4-BE49-F238E27FC236}">
              <a16:creationId xmlns:a16="http://schemas.microsoft.com/office/drawing/2014/main" id="{3F3D71EC-C891-4639-B682-CFBE5CCA80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" name="Elipse 1204">
          <a:extLst>
            <a:ext uri="{FF2B5EF4-FFF2-40B4-BE49-F238E27FC236}">
              <a16:creationId xmlns:a16="http://schemas.microsoft.com/office/drawing/2014/main" id="{CEACB2D0-A66D-438A-9AFE-0EDDA0CBFD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" name="Elipse 1205">
          <a:extLst>
            <a:ext uri="{FF2B5EF4-FFF2-40B4-BE49-F238E27FC236}">
              <a16:creationId xmlns:a16="http://schemas.microsoft.com/office/drawing/2014/main" id="{C19F12A3-31D1-4A93-92A6-E175FCAD00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" name="Elipse 1206">
          <a:extLst>
            <a:ext uri="{FF2B5EF4-FFF2-40B4-BE49-F238E27FC236}">
              <a16:creationId xmlns:a16="http://schemas.microsoft.com/office/drawing/2014/main" id="{9DCD2071-0FBB-4112-B5C2-FD92702487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" name="Elipse 1207">
          <a:extLst>
            <a:ext uri="{FF2B5EF4-FFF2-40B4-BE49-F238E27FC236}">
              <a16:creationId xmlns:a16="http://schemas.microsoft.com/office/drawing/2014/main" id="{8E680E59-AC7E-41D9-AB4B-10F8FD4A28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" name="Elipse 1208">
          <a:extLst>
            <a:ext uri="{FF2B5EF4-FFF2-40B4-BE49-F238E27FC236}">
              <a16:creationId xmlns:a16="http://schemas.microsoft.com/office/drawing/2014/main" id="{BDEA8BBA-5E47-4EB5-A142-7543BAAC59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" name="Elipse 1209">
          <a:extLst>
            <a:ext uri="{FF2B5EF4-FFF2-40B4-BE49-F238E27FC236}">
              <a16:creationId xmlns:a16="http://schemas.microsoft.com/office/drawing/2014/main" id="{36236A42-9AC2-4B7E-A202-DBD0BAC9E5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" name="Elipse 1210">
          <a:extLst>
            <a:ext uri="{FF2B5EF4-FFF2-40B4-BE49-F238E27FC236}">
              <a16:creationId xmlns:a16="http://schemas.microsoft.com/office/drawing/2014/main" id="{D94A505F-8231-4212-8410-16089921E5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" name="Elipse 1211">
          <a:extLst>
            <a:ext uri="{FF2B5EF4-FFF2-40B4-BE49-F238E27FC236}">
              <a16:creationId xmlns:a16="http://schemas.microsoft.com/office/drawing/2014/main" id="{308DC0F7-BB8B-4CD1-95C5-BA15C20543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" name="Elipse 1212">
          <a:extLst>
            <a:ext uri="{FF2B5EF4-FFF2-40B4-BE49-F238E27FC236}">
              <a16:creationId xmlns:a16="http://schemas.microsoft.com/office/drawing/2014/main" id="{9C73342F-DFB0-4719-BD61-613DBE9B06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" name="Elipse 1213">
          <a:extLst>
            <a:ext uri="{FF2B5EF4-FFF2-40B4-BE49-F238E27FC236}">
              <a16:creationId xmlns:a16="http://schemas.microsoft.com/office/drawing/2014/main" id="{88853CAA-B730-48DB-A2D0-C88E8F6186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" name="Elipse 1214">
          <a:extLst>
            <a:ext uri="{FF2B5EF4-FFF2-40B4-BE49-F238E27FC236}">
              <a16:creationId xmlns:a16="http://schemas.microsoft.com/office/drawing/2014/main" id="{5DA7D6F2-A3BB-4626-A2BF-AC4F079D65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" name="Elipse 1215">
          <a:extLst>
            <a:ext uri="{FF2B5EF4-FFF2-40B4-BE49-F238E27FC236}">
              <a16:creationId xmlns:a16="http://schemas.microsoft.com/office/drawing/2014/main" id="{05BE178B-C6BE-4DE1-AB22-056008BC5F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" name="Elipse 1216">
          <a:extLst>
            <a:ext uri="{FF2B5EF4-FFF2-40B4-BE49-F238E27FC236}">
              <a16:creationId xmlns:a16="http://schemas.microsoft.com/office/drawing/2014/main" id="{C58F4C4B-F5A0-4ABE-878A-09C2B9E62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" name="Elipse 1217">
          <a:extLst>
            <a:ext uri="{FF2B5EF4-FFF2-40B4-BE49-F238E27FC236}">
              <a16:creationId xmlns:a16="http://schemas.microsoft.com/office/drawing/2014/main" id="{4D5B3309-5470-47EF-AE76-14C8E306E5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" name="Elipse 1218">
          <a:extLst>
            <a:ext uri="{FF2B5EF4-FFF2-40B4-BE49-F238E27FC236}">
              <a16:creationId xmlns:a16="http://schemas.microsoft.com/office/drawing/2014/main" id="{A7B56013-51D0-464A-9918-8B82E5FF3F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" name="Elipse 1219">
          <a:extLst>
            <a:ext uri="{FF2B5EF4-FFF2-40B4-BE49-F238E27FC236}">
              <a16:creationId xmlns:a16="http://schemas.microsoft.com/office/drawing/2014/main" id="{017AEF00-9314-42DE-ABA9-87DB3BF264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" name="Elipse 1220">
          <a:extLst>
            <a:ext uri="{FF2B5EF4-FFF2-40B4-BE49-F238E27FC236}">
              <a16:creationId xmlns:a16="http://schemas.microsoft.com/office/drawing/2014/main" id="{6860BEDA-F853-4A95-8CD1-8C94F06074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" name="Elipse 1221">
          <a:extLst>
            <a:ext uri="{FF2B5EF4-FFF2-40B4-BE49-F238E27FC236}">
              <a16:creationId xmlns:a16="http://schemas.microsoft.com/office/drawing/2014/main" id="{1C3631F9-C3D2-4B45-8169-DEC14BCD2A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" name="Elipse 1222">
          <a:extLst>
            <a:ext uri="{FF2B5EF4-FFF2-40B4-BE49-F238E27FC236}">
              <a16:creationId xmlns:a16="http://schemas.microsoft.com/office/drawing/2014/main" id="{4AE8736A-79B0-4F2B-83AB-E9DB5CDA6E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" name="Elipse 1223">
          <a:extLst>
            <a:ext uri="{FF2B5EF4-FFF2-40B4-BE49-F238E27FC236}">
              <a16:creationId xmlns:a16="http://schemas.microsoft.com/office/drawing/2014/main" id="{92367BF8-EE68-4A20-A8AF-922782F216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" name="Elipse 1224">
          <a:extLst>
            <a:ext uri="{FF2B5EF4-FFF2-40B4-BE49-F238E27FC236}">
              <a16:creationId xmlns:a16="http://schemas.microsoft.com/office/drawing/2014/main" id="{3802C45B-65F0-47DB-B16A-83BEAB3D03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" name="Elipse 1225">
          <a:extLst>
            <a:ext uri="{FF2B5EF4-FFF2-40B4-BE49-F238E27FC236}">
              <a16:creationId xmlns:a16="http://schemas.microsoft.com/office/drawing/2014/main" id="{C0126DA6-9B86-467D-AC0B-141D6684CC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" name="Elipse 1226">
          <a:extLst>
            <a:ext uri="{FF2B5EF4-FFF2-40B4-BE49-F238E27FC236}">
              <a16:creationId xmlns:a16="http://schemas.microsoft.com/office/drawing/2014/main" id="{9D43D294-5EFF-481A-B16F-EA18C90DE8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" name="Elipse 1227">
          <a:extLst>
            <a:ext uri="{FF2B5EF4-FFF2-40B4-BE49-F238E27FC236}">
              <a16:creationId xmlns:a16="http://schemas.microsoft.com/office/drawing/2014/main" id="{58D90558-7BBD-4371-AC4A-8EB97F98DC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" name="Elipse 1228">
          <a:extLst>
            <a:ext uri="{FF2B5EF4-FFF2-40B4-BE49-F238E27FC236}">
              <a16:creationId xmlns:a16="http://schemas.microsoft.com/office/drawing/2014/main" id="{16D5194A-8B92-4456-B62B-EBBE1D6A06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0" name="Elipse 1229">
          <a:extLst>
            <a:ext uri="{FF2B5EF4-FFF2-40B4-BE49-F238E27FC236}">
              <a16:creationId xmlns:a16="http://schemas.microsoft.com/office/drawing/2014/main" id="{7D6F5DB8-4475-4CB9-BA48-DF85A129A7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1" name="Elipse 1230">
          <a:extLst>
            <a:ext uri="{FF2B5EF4-FFF2-40B4-BE49-F238E27FC236}">
              <a16:creationId xmlns:a16="http://schemas.microsoft.com/office/drawing/2014/main" id="{B7127474-2355-4230-B0F2-45487F7908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2" name="Elipse 1231">
          <a:extLst>
            <a:ext uri="{FF2B5EF4-FFF2-40B4-BE49-F238E27FC236}">
              <a16:creationId xmlns:a16="http://schemas.microsoft.com/office/drawing/2014/main" id="{A53032F6-36CE-47EF-B8E1-E6A25BE0F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3" name="Elipse 1232">
          <a:extLst>
            <a:ext uri="{FF2B5EF4-FFF2-40B4-BE49-F238E27FC236}">
              <a16:creationId xmlns:a16="http://schemas.microsoft.com/office/drawing/2014/main" id="{7A87EEA7-7E1B-48E5-838D-56025869E3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4" name="Elipse 1233">
          <a:extLst>
            <a:ext uri="{FF2B5EF4-FFF2-40B4-BE49-F238E27FC236}">
              <a16:creationId xmlns:a16="http://schemas.microsoft.com/office/drawing/2014/main" id="{D677DB44-1E7D-40D6-8A65-560B2D7CE5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5" name="Elipse 1234">
          <a:extLst>
            <a:ext uri="{FF2B5EF4-FFF2-40B4-BE49-F238E27FC236}">
              <a16:creationId xmlns:a16="http://schemas.microsoft.com/office/drawing/2014/main" id="{6F395A01-9DFF-460A-B32A-35769696A5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6" name="Elipse 1235">
          <a:extLst>
            <a:ext uri="{FF2B5EF4-FFF2-40B4-BE49-F238E27FC236}">
              <a16:creationId xmlns:a16="http://schemas.microsoft.com/office/drawing/2014/main" id="{A65D7706-0210-4184-A6C7-74F52A8B9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7" name="Elipse 1236">
          <a:extLst>
            <a:ext uri="{FF2B5EF4-FFF2-40B4-BE49-F238E27FC236}">
              <a16:creationId xmlns:a16="http://schemas.microsoft.com/office/drawing/2014/main" id="{1CD90BA3-81E8-4A22-B7C2-FF2AB8A53F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8" name="Elipse 1237">
          <a:extLst>
            <a:ext uri="{FF2B5EF4-FFF2-40B4-BE49-F238E27FC236}">
              <a16:creationId xmlns:a16="http://schemas.microsoft.com/office/drawing/2014/main" id="{4BF31C00-FA00-4179-8EC0-32A9AEBBD7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39" name="Elipse 1238">
          <a:extLst>
            <a:ext uri="{FF2B5EF4-FFF2-40B4-BE49-F238E27FC236}">
              <a16:creationId xmlns:a16="http://schemas.microsoft.com/office/drawing/2014/main" id="{DB8CAD21-F4E7-44B5-BCE2-ACEED4722F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0" name="Elipse 1239">
          <a:extLst>
            <a:ext uri="{FF2B5EF4-FFF2-40B4-BE49-F238E27FC236}">
              <a16:creationId xmlns:a16="http://schemas.microsoft.com/office/drawing/2014/main" id="{EA53B192-C346-4DC2-B375-EAD65AFECB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1" name="Elipse 1240">
          <a:extLst>
            <a:ext uri="{FF2B5EF4-FFF2-40B4-BE49-F238E27FC236}">
              <a16:creationId xmlns:a16="http://schemas.microsoft.com/office/drawing/2014/main" id="{51466B9C-7AC1-471D-8D88-FBF77AC3AE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2" name="Elipse 1241">
          <a:extLst>
            <a:ext uri="{FF2B5EF4-FFF2-40B4-BE49-F238E27FC236}">
              <a16:creationId xmlns:a16="http://schemas.microsoft.com/office/drawing/2014/main" id="{6455213C-BCC5-4FB1-81DB-2EFEE671B7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3" name="Elipse 1242">
          <a:extLst>
            <a:ext uri="{FF2B5EF4-FFF2-40B4-BE49-F238E27FC236}">
              <a16:creationId xmlns:a16="http://schemas.microsoft.com/office/drawing/2014/main" id="{FD11B7B8-B110-4B11-98F7-AEB3EC55B7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4" name="Elipse 1243">
          <a:extLst>
            <a:ext uri="{FF2B5EF4-FFF2-40B4-BE49-F238E27FC236}">
              <a16:creationId xmlns:a16="http://schemas.microsoft.com/office/drawing/2014/main" id="{CCF0C193-B46B-4359-84B7-1EACE57696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5" name="Elipse 1244">
          <a:extLst>
            <a:ext uri="{FF2B5EF4-FFF2-40B4-BE49-F238E27FC236}">
              <a16:creationId xmlns:a16="http://schemas.microsoft.com/office/drawing/2014/main" id="{C8325527-22D6-490D-8EC5-9789FC1E84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6" name="Elipse 1245">
          <a:extLst>
            <a:ext uri="{FF2B5EF4-FFF2-40B4-BE49-F238E27FC236}">
              <a16:creationId xmlns:a16="http://schemas.microsoft.com/office/drawing/2014/main" id="{3DEF973F-3DEB-440A-864B-4A93190063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7" name="Elipse 1246">
          <a:extLst>
            <a:ext uri="{FF2B5EF4-FFF2-40B4-BE49-F238E27FC236}">
              <a16:creationId xmlns:a16="http://schemas.microsoft.com/office/drawing/2014/main" id="{19A50D36-5CD5-4C67-ADFE-F458FDE78E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8" name="Elipse 1247">
          <a:extLst>
            <a:ext uri="{FF2B5EF4-FFF2-40B4-BE49-F238E27FC236}">
              <a16:creationId xmlns:a16="http://schemas.microsoft.com/office/drawing/2014/main" id="{8FEFB955-6C06-4EAF-9E27-F10E9F7E37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49" name="Elipse 1248">
          <a:extLst>
            <a:ext uri="{FF2B5EF4-FFF2-40B4-BE49-F238E27FC236}">
              <a16:creationId xmlns:a16="http://schemas.microsoft.com/office/drawing/2014/main" id="{2557BC8E-68DA-441E-9B6D-8EE28770C2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0" name="Elipse 1249">
          <a:extLst>
            <a:ext uri="{FF2B5EF4-FFF2-40B4-BE49-F238E27FC236}">
              <a16:creationId xmlns:a16="http://schemas.microsoft.com/office/drawing/2014/main" id="{977EEC96-BA9D-47B1-AAF7-E3EDA1D8C3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1" name="Elipse 1250">
          <a:extLst>
            <a:ext uri="{FF2B5EF4-FFF2-40B4-BE49-F238E27FC236}">
              <a16:creationId xmlns:a16="http://schemas.microsoft.com/office/drawing/2014/main" id="{6F287F5B-79EF-486E-A0D8-47FE777020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2" name="Elipse 1251">
          <a:extLst>
            <a:ext uri="{FF2B5EF4-FFF2-40B4-BE49-F238E27FC236}">
              <a16:creationId xmlns:a16="http://schemas.microsoft.com/office/drawing/2014/main" id="{2793513C-E22B-4A2F-B5CB-3DB4BE5300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3" name="Elipse 1252">
          <a:extLst>
            <a:ext uri="{FF2B5EF4-FFF2-40B4-BE49-F238E27FC236}">
              <a16:creationId xmlns:a16="http://schemas.microsoft.com/office/drawing/2014/main" id="{5CA59117-AE47-4840-8923-15C975F102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4" name="Elipse 1253">
          <a:extLst>
            <a:ext uri="{FF2B5EF4-FFF2-40B4-BE49-F238E27FC236}">
              <a16:creationId xmlns:a16="http://schemas.microsoft.com/office/drawing/2014/main" id="{18F284F4-6530-4B98-879C-4CBF865E50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5" name="Elipse 1254">
          <a:extLst>
            <a:ext uri="{FF2B5EF4-FFF2-40B4-BE49-F238E27FC236}">
              <a16:creationId xmlns:a16="http://schemas.microsoft.com/office/drawing/2014/main" id="{69575FBE-BAFB-4B35-B7E0-8BCCF8251D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6" name="Elipse 1255">
          <a:extLst>
            <a:ext uri="{FF2B5EF4-FFF2-40B4-BE49-F238E27FC236}">
              <a16:creationId xmlns:a16="http://schemas.microsoft.com/office/drawing/2014/main" id="{CBBB5979-5256-43CA-930A-2ED922B2F1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7" name="Elipse 1256">
          <a:extLst>
            <a:ext uri="{FF2B5EF4-FFF2-40B4-BE49-F238E27FC236}">
              <a16:creationId xmlns:a16="http://schemas.microsoft.com/office/drawing/2014/main" id="{D19DEB55-B3BB-4A20-86F0-798D66D46B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8" name="Elipse 1257">
          <a:extLst>
            <a:ext uri="{FF2B5EF4-FFF2-40B4-BE49-F238E27FC236}">
              <a16:creationId xmlns:a16="http://schemas.microsoft.com/office/drawing/2014/main" id="{8DB65D7C-29D1-4602-85B6-0B58239721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59" name="Elipse 1258">
          <a:extLst>
            <a:ext uri="{FF2B5EF4-FFF2-40B4-BE49-F238E27FC236}">
              <a16:creationId xmlns:a16="http://schemas.microsoft.com/office/drawing/2014/main" id="{FE97F9F3-C94B-44C8-B14D-CBD8DAFCA6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0" name="Elipse 1259">
          <a:extLst>
            <a:ext uri="{FF2B5EF4-FFF2-40B4-BE49-F238E27FC236}">
              <a16:creationId xmlns:a16="http://schemas.microsoft.com/office/drawing/2014/main" id="{94A68B3D-AF5D-4315-9710-6484E96ABC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1" name="Elipse 1260">
          <a:extLst>
            <a:ext uri="{FF2B5EF4-FFF2-40B4-BE49-F238E27FC236}">
              <a16:creationId xmlns:a16="http://schemas.microsoft.com/office/drawing/2014/main" id="{071DC60E-AF9C-4709-9D82-E8F2F6CEB5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2" name="Elipse 1261">
          <a:extLst>
            <a:ext uri="{FF2B5EF4-FFF2-40B4-BE49-F238E27FC236}">
              <a16:creationId xmlns:a16="http://schemas.microsoft.com/office/drawing/2014/main" id="{B8F0242A-34CB-4872-8C7B-3DB5355FD2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3" name="Elipse 1262">
          <a:extLst>
            <a:ext uri="{FF2B5EF4-FFF2-40B4-BE49-F238E27FC236}">
              <a16:creationId xmlns:a16="http://schemas.microsoft.com/office/drawing/2014/main" id="{35BA1D3D-A26D-4564-B22A-1E3C8C2C30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4" name="Elipse 1263">
          <a:extLst>
            <a:ext uri="{FF2B5EF4-FFF2-40B4-BE49-F238E27FC236}">
              <a16:creationId xmlns:a16="http://schemas.microsoft.com/office/drawing/2014/main" id="{B5206BCC-DF5D-4C66-B301-5594BEB126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5" name="Elipse 1264">
          <a:extLst>
            <a:ext uri="{FF2B5EF4-FFF2-40B4-BE49-F238E27FC236}">
              <a16:creationId xmlns:a16="http://schemas.microsoft.com/office/drawing/2014/main" id="{8B37B01C-C84C-43E1-9238-0E462CAD5B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6" name="Elipse 1265">
          <a:extLst>
            <a:ext uri="{FF2B5EF4-FFF2-40B4-BE49-F238E27FC236}">
              <a16:creationId xmlns:a16="http://schemas.microsoft.com/office/drawing/2014/main" id="{AD80F3D6-321A-42EB-A369-0CCB7E7BEE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7" name="Elipse 1266">
          <a:extLst>
            <a:ext uri="{FF2B5EF4-FFF2-40B4-BE49-F238E27FC236}">
              <a16:creationId xmlns:a16="http://schemas.microsoft.com/office/drawing/2014/main" id="{1C0716E7-F39D-4313-9A39-8EA3A27285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8" name="Elipse 1267">
          <a:extLst>
            <a:ext uri="{FF2B5EF4-FFF2-40B4-BE49-F238E27FC236}">
              <a16:creationId xmlns:a16="http://schemas.microsoft.com/office/drawing/2014/main" id="{0449E6A3-9992-4894-99A0-28FAE831CA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69" name="Elipse 1268">
          <a:extLst>
            <a:ext uri="{FF2B5EF4-FFF2-40B4-BE49-F238E27FC236}">
              <a16:creationId xmlns:a16="http://schemas.microsoft.com/office/drawing/2014/main" id="{B5D7C60B-060B-4A8F-BCE4-0BB3F00678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0" name="Elipse 1269">
          <a:extLst>
            <a:ext uri="{FF2B5EF4-FFF2-40B4-BE49-F238E27FC236}">
              <a16:creationId xmlns:a16="http://schemas.microsoft.com/office/drawing/2014/main" id="{A3CFF451-F888-4C94-A537-C7C79F1662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1" name="Elipse 1270">
          <a:extLst>
            <a:ext uri="{FF2B5EF4-FFF2-40B4-BE49-F238E27FC236}">
              <a16:creationId xmlns:a16="http://schemas.microsoft.com/office/drawing/2014/main" id="{A8E12C17-D06B-4647-AED7-BACBB158DB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2" name="Elipse 1271">
          <a:extLst>
            <a:ext uri="{FF2B5EF4-FFF2-40B4-BE49-F238E27FC236}">
              <a16:creationId xmlns:a16="http://schemas.microsoft.com/office/drawing/2014/main" id="{EAD92EDC-F646-4532-B546-388235A330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3" name="Elipse 1272">
          <a:extLst>
            <a:ext uri="{FF2B5EF4-FFF2-40B4-BE49-F238E27FC236}">
              <a16:creationId xmlns:a16="http://schemas.microsoft.com/office/drawing/2014/main" id="{5F25CABD-D77A-43F9-9333-2CCE47DD1C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4" name="Elipse 1273">
          <a:extLst>
            <a:ext uri="{FF2B5EF4-FFF2-40B4-BE49-F238E27FC236}">
              <a16:creationId xmlns:a16="http://schemas.microsoft.com/office/drawing/2014/main" id="{65ADF67A-AE94-4D89-A7C0-A7E413C9D2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5" name="Elipse 1274">
          <a:extLst>
            <a:ext uri="{FF2B5EF4-FFF2-40B4-BE49-F238E27FC236}">
              <a16:creationId xmlns:a16="http://schemas.microsoft.com/office/drawing/2014/main" id="{B96FAD5E-7C7A-4F56-9387-4F6DF82DFC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6" name="Elipse 1275">
          <a:extLst>
            <a:ext uri="{FF2B5EF4-FFF2-40B4-BE49-F238E27FC236}">
              <a16:creationId xmlns:a16="http://schemas.microsoft.com/office/drawing/2014/main" id="{63D3ADF3-3C94-4A75-850F-41C7DD0807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7" name="Elipse 1276">
          <a:extLst>
            <a:ext uri="{FF2B5EF4-FFF2-40B4-BE49-F238E27FC236}">
              <a16:creationId xmlns:a16="http://schemas.microsoft.com/office/drawing/2014/main" id="{1AA3A014-3D16-4BD8-BD9A-404DF569D0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8" name="Elipse 1277">
          <a:extLst>
            <a:ext uri="{FF2B5EF4-FFF2-40B4-BE49-F238E27FC236}">
              <a16:creationId xmlns:a16="http://schemas.microsoft.com/office/drawing/2014/main" id="{2FAC09C9-0B1D-4C42-8936-C80C77626C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79" name="Elipse 1278">
          <a:extLst>
            <a:ext uri="{FF2B5EF4-FFF2-40B4-BE49-F238E27FC236}">
              <a16:creationId xmlns:a16="http://schemas.microsoft.com/office/drawing/2014/main" id="{BAC1671A-AF6D-4F13-B740-1C85311B42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0" name="Elipse 1279">
          <a:extLst>
            <a:ext uri="{FF2B5EF4-FFF2-40B4-BE49-F238E27FC236}">
              <a16:creationId xmlns:a16="http://schemas.microsoft.com/office/drawing/2014/main" id="{462E9DC8-293A-45B6-A6EC-0AFC71D0DB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1" name="Elipse 1280">
          <a:extLst>
            <a:ext uri="{FF2B5EF4-FFF2-40B4-BE49-F238E27FC236}">
              <a16:creationId xmlns:a16="http://schemas.microsoft.com/office/drawing/2014/main" id="{3B9A965E-22DC-410F-A63F-C9F878EADD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2" name="Elipse 1281">
          <a:extLst>
            <a:ext uri="{FF2B5EF4-FFF2-40B4-BE49-F238E27FC236}">
              <a16:creationId xmlns:a16="http://schemas.microsoft.com/office/drawing/2014/main" id="{B7E8B3BC-D304-4FC1-B46C-AE69C13870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3" name="Elipse 1282">
          <a:extLst>
            <a:ext uri="{FF2B5EF4-FFF2-40B4-BE49-F238E27FC236}">
              <a16:creationId xmlns:a16="http://schemas.microsoft.com/office/drawing/2014/main" id="{5D7C7B5A-8DB6-4339-9758-F6066819F2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4" name="Elipse 1283">
          <a:extLst>
            <a:ext uri="{FF2B5EF4-FFF2-40B4-BE49-F238E27FC236}">
              <a16:creationId xmlns:a16="http://schemas.microsoft.com/office/drawing/2014/main" id="{92C164EB-D673-4513-8423-05122FED39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5" name="Elipse 1284">
          <a:extLst>
            <a:ext uri="{FF2B5EF4-FFF2-40B4-BE49-F238E27FC236}">
              <a16:creationId xmlns:a16="http://schemas.microsoft.com/office/drawing/2014/main" id="{DD394798-229D-4E22-BF0F-6D587B0BB6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6" name="Elipse 1285">
          <a:extLst>
            <a:ext uri="{FF2B5EF4-FFF2-40B4-BE49-F238E27FC236}">
              <a16:creationId xmlns:a16="http://schemas.microsoft.com/office/drawing/2014/main" id="{C5F48A1F-3DAD-45D9-A546-6DC7BB6E10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7" name="Elipse 1286">
          <a:extLst>
            <a:ext uri="{FF2B5EF4-FFF2-40B4-BE49-F238E27FC236}">
              <a16:creationId xmlns:a16="http://schemas.microsoft.com/office/drawing/2014/main" id="{6B5498F8-100B-405E-B20E-8AD8F040B5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8" name="Elipse 1287">
          <a:extLst>
            <a:ext uri="{FF2B5EF4-FFF2-40B4-BE49-F238E27FC236}">
              <a16:creationId xmlns:a16="http://schemas.microsoft.com/office/drawing/2014/main" id="{B0EB019A-71D7-482F-82CC-B4288DB102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89" name="Elipse 1288">
          <a:extLst>
            <a:ext uri="{FF2B5EF4-FFF2-40B4-BE49-F238E27FC236}">
              <a16:creationId xmlns:a16="http://schemas.microsoft.com/office/drawing/2014/main" id="{0BA8528F-DF03-495E-9DA2-DA3847ED99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0" name="Elipse 1289">
          <a:extLst>
            <a:ext uri="{FF2B5EF4-FFF2-40B4-BE49-F238E27FC236}">
              <a16:creationId xmlns:a16="http://schemas.microsoft.com/office/drawing/2014/main" id="{3D580FA3-9A10-42CC-B084-4C4E573EF4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1" name="Elipse 1290">
          <a:extLst>
            <a:ext uri="{FF2B5EF4-FFF2-40B4-BE49-F238E27FC236}">
              <a16:creationId xmlns:a16="http://schemas.microsoft.com/office/drawing/2014/main" id="{1E9E496C-18B6-474C-BA65-586F28EC71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2" name="Elipse 1291">
          <a:extLst>
            <a:ext uri="{FF2B5EF4-FFF2-40B4-BE49-F238E27FC236}">
              <a16:creationId xmlns:a16="http://schemas.microsoft.com/office/drawing/2014/main" id="{E0BD012F-96A3-405F-98FB-FA64BFA94F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3" name="Elipse 1292">
          <a:extLst>
            <a:ext uri="{FF2B5EF4-FFF2-40B4-BE49-F238E27FC236}">
              <a16:creationId xmlns:a16="http://schemas.microsoft.com/office/drawing/2014/main" id="{74545815-0FFE-4D97-920E-252520A653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4" name="Elipse 1293">
          <a:extLst>
            <a:ext uri="{FF2B5EF4-FFF2-40B4-BE49-F238E27FC236}">
              <a16:creationId xmlns:a16="http://schemas.microsoft.com/office/drawing/2014/main" id="{4C645890-49FE-4BB8-8616-2C521C7689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5" name="Elipse 1294">
          <a:extLst>
            <a:ext uri="{FF2B5EF4-FFF2-40B4-BE49-F238E27FC236}">
              <a16:creationId xmlns:a16="http://schemas.microsoft.com/office/drawing/2014/main" id="{053CA008-6AAF-4EA0-85A2-E0517A455A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6" name="Elipse 1295">
          <a:extLst>
            <a:ext uri="{FF2B5EF4-FFF2-40B4-BE49-F238E27FC236}">
              <a16:creationId xmlns:a16="http://schemas.microsoft.com/office/drawing/2014/main" id="{BA817EDE-1B4B-4C3E-A820-A2F3605ABB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7" name="Elipse 1296">
          <a:extLst>
            <a:ext uri="{FF2B5EF4-FFF2-40B4-BE49-F238E27FC236}">
              <a16:creationId xmlns:a16="http://schemas.microsoft.com/office/drawing/2014/main" id="{2BD4AAD0-B321-4099-BE09-9FEAB0C5B1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8" name="Elipse 1297">
          <a:extLst>
            <a:ext uri="{FF2B5EF4-FFF2-40B4-BE49-F238E27FC236}">
              <a16:creationId xmlns:a16="http://schemas.microsoft.com/office/drawing/2014/main" id="{F6FDF448-189D-418B-B2AE-CACC1D8C6F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99" name="Elipse 1298">
          <a:extLst>
            <a:ext uri="{FF2B5EF4-FFF2-40B4-BE49-F238E27FC236}">
              <a16:creationId xmlns:a16="http://schemas.microsoft.com/office/drawing/2014/main" id="{A9042C4C-CDB6-4F5A-874F-FCF8DABAB2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0" name="Elipse 1299">
          <a:extLst>
            <a:ext uri="{FF2B5EF4-FFF2-40B4-BE49-F238E27FC236}">
              <a16:creationId xmlns:a16="http://schemas.microsoft.com/office/drawing/2014/main" id="{EAEE7BC3-C93E-4F4A-810D-E6728E2ACE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1" name="Elipse 1300">
          <a:extLst>
            <a:ext uri="{FF2B5EF4-FFF2-40B4-BE49-F238E27FC236}">
              <a16:creationId xmlns:a16="http://schemas.microsoft.com/office/drawing/2014/main" id="{97DD6ADF-996C-4570-869A-A5F8495638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2" name="Elipse 1301">
          <a:extLst>
            <a:ext uri="{FF2B5EF4-FFF2-40B4-BE49-F238E27FC236}">
              <a16:creationId xmlns:a16="http://schemas.microsoft.com/office/drawing/2014/main" id="{8149CD0B-35EF-4894-B11A-701A349007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3" name="Elipse 1302">
          <a:extLst>
            <a:ext uri="{FF2B5EF4-FFF2-40B4-BE49-F238E27FC236}">
              <a16:creationId xmlns:a16="http://schemas.microsoft.com/office/drawing/2014/main" id="{1877B321-F9D4-4E97-B4F4-3C1059D998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4" name="Elipse 1303">
          <a:extLst>
            <a:ext uri="{FF2B5EF4-FFF2-40B4-BE49-F238E27FC236}">
              <a16:creationId xmlns:a16="http://schemas.microsoft.com/office/drawing/2014/main" id="{FD53DA0B-99BE-4E0B-95DE-063BD19219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5" name="Elipse 1304">
          <a:extLst>
            <a:ext uri="{FF2B5EF4-FFF2-40B4-BE49-F238E27FC236}">
              <a16:creationId xmlns:a16="http://schemas.microsoft.com/office/drawing/2014/main" id="{FE90917B-0F79-43CB-91E5-B932C9F342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6" name="Elipse 1305">
          <a:extLst>
            <a:ext uri="{FF2B5EF4-FFF2-40B4-BE49-F238E27FC236}">
              <a16:creationId xmlns:a16="http://schemas.microsoft.com/office/drawing/2014/main" id="{ED3A659C-AF60-4D7D-BC7D-403D8F9938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7" name="Elipse 1306">
          <a:extLst>
            <a:ext uri="{FF2B5EF4-FFF2-40B4-BE49-F238E27FC236}">
              <a16:creationId xmlns:a16="http://schemas.microsoft.com/office/drawing/2014/main" id="{1EEE5100-7187-43D9-8118-845123093A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8" name="Elipse 1307">
          <a:extLst>
            <a:ext uri="{FF2B5EF4-FFF2-40B4-BE49-F238E27FC236}">
              <a16:creationId xmlns:a16="http://schemas.microsoft.com/office/drawing/2014/main" id="{C6A9CCE6-561D-408A-8C7C-7D26961A71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09" name="Elipse 1308">
          <a:extLst>
            <a:ext uri="{FF2B5EF4-FFF2-40B4-BE49-F238E27FC236}">
              <a16:creationId xmlns:a16="http://schemas.microsoft.com/office/drawing/2014/main" id="{85A60AD3-9D31-4860-8296-AC7C36BF7C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0" name="Elipse 1309">
          <a:extLst>
            <a:ext uri="{FF2B5EF4-FFF2-40B4-BE49-F238E27FC236}">
              <a16:creationId xmlns:a16="http://schemas.microsoft.com/office/drawing/2014/main" id="{F8CFA9C9-A160-47FB-9774-FDB370C271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1" name="Elipse 1310">
          <a:extLst>
            <a:ext uri="{FF2B5EF4-FFF2-40B4-BE49-F238E27FC236}">
              <a16:creationId xmlns:a16="http://schemas.microsoft.com/office/drawing/2014/main" id="{9856CF14-CA79-43BE-9F43-6D88C2C598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2" name="Elipse 1311">
          <a:extLst>
            <a:ext uri="{FF2B5EF4-FFF2-40B4-BE49-F238E27FC236}">
              <a16:creationId xmlns:a16="http://schemas.microsoft.com/office/drawing/2014/main" id="{EC9ED805-2789-409B-8556-2C86241FAB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3" name="Elipse 1312">
          <a:extLst>
            <a:ext uri="{FF2B5EF4-FFF2-40B4-BE49-F238E27FC236}">
              <a16:creationId xmlns:a16="http://schemas.microsoft.com/office/drawing/2014/main" id="{50C54690-39CD-4187-913B-FA27B49C96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4" name="Elipse 1313">
          <a:extLst>
            <a:ext uri="{FF2B5EF4-FFF2-40B4-BE49-F238E27FC236}">
              <a16:creationId xmlns:a16="http://schemas.microsoft.com/office/drawing/2014/main" id="{CD1CB180-C07F-4C6F-9103-4C6418ADAC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5" name="Elipse 1314">
          <a:extLst>
            <a:ext uri="{FF2B5EF4-FFF2-40B4-BE49-F238E27FC236}">
              <a16:creationId xmlns:a16="http://schemas.microsoft.com/office/drawing/2014/main" id="{5067ECC5-7C9C-48C8-BDD5-ABEF17525A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6" name="Elipse 1315">
          <a:extLst>
            <a:ext uri="{FF2B5EF4-FFF2-40B4-BE49-F238E27FC236}">
              <a16:creationId xmlns:a16="http://schemas.microsoft.com/office/drawing/2014/main" id="{5084B0F0-B49E-47B3-AE7A-4C77602519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7" name="Elipse 1316">
          <a:extLst>
            <a:ext uri="{FF2B5EF4-FFF2-40B4-BE49-F238E27FC236}">
              <a16:creationId xmlns:a16="http://schemas.microsoft.com/office/drawing/2014/main" id="{5B7EA32E-4114-4067-93E6-D3B7E5BC11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8" name="Elipse 1317">
          <a:extLst>
            <a:ext uri="{FF2B5EF4-FFF2-40B4-BE49-F238E27FC236}">
              <a16:creationId xmlns:a16="http://schemas.microsoft.com/office/drawing/2014/main" id="{E31EA78D-8E36-4DDB-8A5C-F4D5530657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19" name="Elipse 1318">
          <a:extLst>
            <a:ext uri="{FF2B5EF4-FFF2-40B4-BE49-F238E27FC236}">
              <a16:creationId xmlns:a16="http://schemas.microsoft.com/office/drawing/2014/main" id="{B0DE18C1-337F-415E-8443-F36AD466D7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0" name="Elipse 1319">
          <a:extLst>
            <a:ext uri="{FF2B5EF4-FFF2-40B4-BE49-F238E27FC236}">
              <a16:creationId xmlns:a16="http://schemas.microsoft.com/office/drawing/2014/main" id="{EB695714-A9C4-41F5-96B6-6728AD149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1" name="Elipse 1320">
          <a:extLst>
            <a:ext uri="{FF2B5EF4-FFF2-40B4-BE49-F238E27FC236}">
              <a16:creationId xmlns:a16="http://schemas.microsoft.com/office/drawing/2014/main" id="{DC3B6074-8D92-4EDC-BF82-9C0A5674EE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2" name="Elipse 1321">
          <a:extLst>
            <a:ext uri="{FF2B5EF4-FFF2-40B4-BE49-F238E27FC236}">
              <a16:creationId xmlns:a16="http://schemas.microsoft.com/office/drawing/2014/main" id="{D5BC7B8B-EA65-4C4F-8F39-D69D44E104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3" name="Elipse 1322">
          <a:extLst>
            <a:ext uri="{FF2B5EF4-FFF2-40B4-BE49-F238E27FC236}">
              <a16:creationId xmlns:a16="http://schemas.microsoft.com/office/drawing/2014/main" id="{26195624-43F7-4F00-A027-210732E91F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4" name="Elipse 1323">
          <a:extLst>
            <a:ext uri="{FF2B5EF4-FFF2-40B4-BE49-F238E27FC236}">
              <a16:creationId xmlns:a16="http://schemas.microsoft.com/office/drawing/2014/main" id="{9FB2AE69-5823-4D79-B08C-2549C2D93D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5" name="Elipse 1324">
          <a:extLst>
            <a:ext uri="{FF2B5EF4-FFF2-40B4-BE49-F238E27FC236}">
              <a16:creationId xmlns:a16="http://schemas.microsoft.com/office/drawing/2014/main" id="{A55CD08C-C309-4C33-BB31-243CED0C89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6" name="Elipse 1325">
          <a:extLst>
            <a:ext uri="{FF2B5EF4-FFF2-40B4-BE49-F238E27FC236}">
              <a16:creationId xmlns:a16="http://schemas.microsoft.com/office/drawing/2014/main" id="{E03CC02E-B230-4CB1-8C38-97B33CBE1E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7" name="Elipse 1326">
          <a:extLst>
            <a:ext uri="{FF2B5EF4-FFF2-40B4-BE49-F238E27FC236}">
              <a16:creationId xmlns:a16="http://schemas.microsoft.com/office/drawing/2014/main" id="{F5C7EA1D-A352-436B-BF5A-4CB27DABDF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8" name="Elipse 1327">
          <a:extLst>
            <a:ext uri="{FF2B5EF4-FFF2-40B4-BE49-F238E27FC236}">
              <a16:creationId xmlns:a16="http://schemas.microsoft.com/office/drawing/2014/main" id="{D470A21B-8502-438F-931B-87FBBD7A81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29" name="Elipse 1328">
          <a:extLst>
            <a:ext uri="{FF2B5EF4-FFF2-40B4-BE49-F238E27FC236}">
              <a16:creationId xmlns:a16="http://schemas.microsoft.com/office/drawing/2014/main" id="{3E27E9CB-2071-4DAC-A88A-CB25832FE1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0" name="Elipse 1329">
          <a:extLst>
            <a:ext uri="{FF2B5EF4-FFF2-40B4-BE49-F238E27FC236}">
              <a16:creationId xmlns:a16="http://schemas.microsoft.com/office/drawing/2014/main" id="{FD29F9D3-4C61-46F1-BBE1-E135506C1C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1" name="Elipse 1330">
          <a:extLst>
            <a:ext uri="{FF2B5EF4-FFF2-40B4-BE49-F238E27FC236}">
              <a16:creationId xmlns:a16="http://schemas.microsoft.com/office/drawing/2014/main" id="{E047ED48-1FCD-4313-9BFB-BDF50BF8E2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2" name="Elipse 1331">
          <a:extLst>
            <a:ext uri="{FF2B5EF4-FFF2-40B4-BE49-F238E27FC236}">
              <a16:creationId xmlns:a16="http://schemas.microsoft.com/office/drawing/2014/main" id="{44768672-D9B9-4C63-8CE9-C138430364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3" name="Elipse 1332">
          <a:extLst>
            <a:ext uri="{FF2B5EF4-FFF2-40B4-BE49-F238E27FC236}">
              <a16:creationId xmlns:a16="http://schemas.microsoft.com/office/drawing/2014/main" id="{2A0D0ABF-25E9-4B31-AB4E-1C86EDF2B0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4" name="Elipse 1333">
          <a:extLst>
            <a:ext uri="{FF2B5EF4-FFF2-40B4-BE49-F238E27FC236}">
              <a16:creationId xmlns:a16="http://schemas.microsoft.com/office/drawing/2014/main" id="{AE98B6C8-D476-4300-8B40-DE1EF48401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5" name="Elipse 1334">
          <a:extLst>
            <a:ext uri="{FF2B5EF4-FFF2-40B4-BE49-F238E27FC236}">
              <a16:creationId xmlns:a16="http://schemas.microsoft.com/office/drawing/2014/main" id="{2310204E-975E-4E24-AB52-9D25AFFBFA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6" name="Elipse 1335">
          <a:extLst>
            <a:ext uri="{FF2B5EF4-FFF2-40B4-BE49-F238E27FC236}">
              <a16:creationId xmlns:a16="http://schemas.microsoft.com/office/drawing/2014/main" id="{7B79FB68-C44B-49CC-8678-45CC148C86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7" name="Elipse 1336">
          <a:extLst>
            <a:ext uri="{FF2B5EF4-FFF2-40B4-BE49-F238E27FC236}">
              <a16:creationId xmlns:a16="http://schemas.microsoft.com/office/drawing/2014/main" id="{898D27AA-C6C3-4481-88DE-52AAB46500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8" name="Elipse 1337">
          <a:extLst>
            <a:ext uri="{FF2B5EF4-FFF2-40B4-BE49-F238E27FC236}">
              <a16:creationId xmlns:a16="http://schemas.microsoft.com/office/drawing/2014/main" id="{51D61885-C4BC-4EEF-8E87-0BB99C153A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39" name="Elipse 1338">
          <a:extLst>
            <a:ext uri="{FF2B5EF4-FFF2-40B4-BE49-F238E27FC236}">
              <a16:creationId xmlns:a16="http://schemas.microsoft.com/office/drawing/2014/main" id="{58328D11-6153-4187-A0A0-E7CC76C1D8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0" name="Elipse 1339">
          <a:extLst>
            <a:ext uri="{FF2B5EF4-FFF2-40B4-BE49-F238E27FC236}">
              <a16:creationId xmlns:a16="http://schemas.microsoft.com/office/drawing/2014/main" id="{C8859185-34B3-49B5-A772-18EA759CCE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1" name="Elipse 1340">
          <a:extLst>
            <a:ext uri="{FF2B5EF4-FFF2-40B4-BE49-F238E27FC236}">
              <a16:creationId xmlns:a16="http://schemas.microsoft.com/office/drawing/2014/main" id="{1273E483-3D0E-4ED9-856E-187C07B9F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2" name="Elipse 1341">
          <a:extLst>
            <a:ext uri="{FF2B5EF4-FFF2-40B4-BE49-F238E27FC236}">
              <a16:creationId xmlns:a16="http://schemas.microsoft.com/office/drawing/2014/main" id="{9D3CD0D1-D9EA-44EA-961E-50870EEC60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3" name="Elipse 1342">
          <a:extLst>
            <a:ext uri="{FF2B5EF4-FFF2-40B4-BE49-F238E27FC236}">
              <a16:creationId xmlns:a16="http://schemas.microsoft.com/office/drawing/2014/main" id="{7BEAA58B-9DF6-4358-8F8D-E9A6890929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4" name="Elipse 1343">
          <a:extLst>
            <a:ext uri="{FF2B5EF4-FFF2-40B4-BE49-F238E27FC236}">
              <a16:creationId xmlns:a16="http://schemas.microsoft.com/office/drawing/2014/main" id="{B368566D-2042-405F-9670-BCBB400F8B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5" name="Elipse 1344">
          <a:extLst>
            <a:ext uri="{FF2B5EF4-FFF2-40B4-BE49-F238E27FC236}">
              <a16:creationId xmlns:a16="http://schemas.microsoft.com/office/drawing/2014/main" id="{F6022533-262E-414D-9911-AA57F563DC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6" name="Elipse 1345">
          <a:extLst>
            <a:ext uri="{FF2B5EF4-FFF2-40B4-BE49-F238E27FC236}">
              <a16:creationId xmlns:a16="http://schemas.microsoft.com/office/drawing/2014/main" id="{8DFFE501-C87B-47F2-92A1-1D7881E91A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7" name="Elipse 1346">
          <a:extLst>
            <a:ext uri="{FF2B5EF4-FFF2-40B4-BE49-F238E27FC236}">
              <a16:creationId xmlns:a16="http://schemas.microsoft.com/office/drawing/2014/main" id="{52FE4B46-B1BD-4DA4-BD72-9AE4A930CC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8" name="Elipse 1347">
          <a:extLst>
            <a:ext uri="{FF2B5EF4-FFF2-40B4-BE49-F238E27FC236}">
              <a16:creationId xmlns:a16="http://schemas.microsoft.com/office/drawing/2014/main" id="{B9D0A09B-B92B-4138-B820-799E57C365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49" name="Elipse 1348">
          <a:extLst>
            <a:ext uri="{FF2B5EF4-FFF2-40B4-BE49-F238E27FC236}">
              <a16:creationId xmlns:a16="http://schemas.microsoft.com/office/drawing/2014/main" id="{C0D9675B-2129-4556-9A81-45311A1667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0" name="Elipse 1349">
          <a:extLst>
            <a:ext uri="{FF2B5EF4-FFF2-40B4-BE49-F238E27FC236}">
              <a16:creationId xmlns:a16="http://schemas.microsoft.com/office/drawing/2014/main" id="{98BFF69E-4150-4A04-A0EC-1A7AC799A0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1" name="Elipse 1350">
          <a:extLst>
            <a:ext uri="{FF2B5EF4-FFF2-40B4-BE49-F238E27FC236}">
              <a16:creationId xmlns:a16="http://schemas.microsoft.com/office/drawing/2014/main" id="{AB2C67BA-EAD2-4EE5-A749-CEDBE96112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2" name="Elipse 1351">
          <a:extLst>
            <a:ext uri="{FF2B5EF4-FFF2-40B4-BE49-F238E27FC236}">
              <a16:creationId xmlns:a16="http://schemas.microsoft.com/office/drawing/2014/main" id="{20710F71-F1BA-4666-8660-4D32C969E0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3" name="Elipse 1352">
          <a:extLst>
            <a:ext uri="{FF2B5EF4-FFF2-40B4-BE49-F238E27FC236}">
              <a16:creationId xmlns:a16="http://schemas.microsoft.com/office/drawing/2014/main" id="{2DD47FF2-01D5-455E-8B07-1C361E9BFD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4" name="Elipse 1353">
          <a:extLst>
            <a:ext uri="{FF2B5EF4-FFF2-40B4-BE49-F238E27FC236}">
              <a16:creationId xmlns:a16="http://schemas.microsoft.com/office/drawing/2014/main" id="{06CE73CA-6BA7-4E93-B942-4C60DD1A6B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5" name="Elipse 1354">
          <a:extLst>
            <a:ext uri="{FF2B5EF4-FFF2-40B4-BE49-F238E27FC236}">
              <a16:creationId xmlns:a16="http://schemas.microsoft.com/office/drawing/2014/main" id="{E72573F9-1EAE-4830-87BB-F3CB5091B1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6" name="Elipse 1355">
          <a:extLst>
            <a:ext uri="{FF2B5EF4-FFF2-40B4-BE49-F238E27FC236}">
              <a16:creationId xmlns:a16="http://schemas.microsoft.com/office/drawing/2014/main" id="{63B99B78-7381-4E5B-A682-9760D35EB6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7" name="Elipse 1356">
          <a:extLst>
            <a:ext uri="{FF2B5EF4-FFF2-40B4-BE49-F238E27FC236}">
              <a16:creationId xmlns:a16="http://schemas.microsoft.com/office/drawing/2014/main" id="{7E742093-A862-446F-B53F-47649B975C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8" name="Elipse 1357">
          <a:extLst>
            <a:ext uri="{FF2B5EF4-FFF2-40B4-BE49-F238E27FC236}">
              <a16:creationId xmlns:a16="http://schemas.microsoft.com/office/drawing/2014/main" id="{62EF3B06-CBC3-4E41-B96A-3B6D7A3784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59" name="Elipse 1358">
          <a:extLst>
            <a:ext uri="{FF2B5EF4-FFF2-40B4-BE49-F238E27FC236}">
              <a16:creationId xmlns:a16="http://schemas.microsoft.com/office/drawing/2014/main" id="{73A966DA-55FF-432B-A103-ACD656D8B4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0" name="Elipse 1359">
          <a:extLst>
            <a:ext uri="{FF2B5EF4-FFF2-40B4-BE49-F238E27FC236}">
              <a16:creationId xmlns:a16="http://schemas.microsoft.com/office/drawing/2014/main" id="{98A30476-093A-44C3-B744-C332CFB75D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1" name="Elipse 1360">
          <a:extLst>
            <a:ext uri="{FF2B5EF4-FFF2-40B4-BE49-F238E27FC236}">
              <a16:creationId xmlns:a16="http://schemas.microsoft.com/office/drawing/2014/main" id="{287180BE-91EC-4384-BDBA-77F443150F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2" name="Elipse 1361">
          <a:extLst>
            <a:ext uri="{FF2B5EF4-FFF2-40B4-BE49-F238E27FC236}">
              <a16:creationId xmlns:a16="http://schemas.microsoft.com/office/drawing/2014/main" id="{36F4B21A-28E7-45FE-B818-E3B07A075D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3" name="Elipse 1362">
          <a:extLst>
            <a:ext uri="{FF2B5EF4-FFF2-40B4-BE49-F238E27FC236}">
              <a16:creationId xmlns:a16="http://schemas.microsoft.com/office/drawing/2014/main" id="{C86B4DCE-B36A-4E0D-B80C-286EC5BF17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4" name="Elipse 1363">
          <a:extLst>
            <a:ext uri="{FF2B5EF4-FFF2-40B4-BE49-F238E27FC236}">
              <a16:creationId xmlns:a16="http://schemas.microsoft.com/office/drawing/2014/main" id="{1CFEBEF1-9C13-4279-A180-3FCDD10DF7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5" name="Elipse 1364">
          <a:extLst>
            <a:ext uri="{FF2B5EF4-FFF2-40B4-BE49-F238E27FC236}">
              <a16:creationId xmlns:a16="http://schemas.microsoft.com/office/drawing/2014/main" id="{6117D3A2-FBF0-401C-89F1-2818079AC7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6" name="Elipse 1365">
          <a:extLst>
            <a:ext uri="{FF2B5EF4-FFF2-40B4-BE49-F238E27FC236}">
              <a16:creationId xmlns:a16="http://schemas.microsoft.com/office/drawing/2014/main" id="{590A4BC6-54A6-461E-953B-F9BEB2B244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7" name="Elipse 1366">
          <a:extLst>
            <a:ext uri="{FF2B5EF4-FFF2-40B4-BE49-F238E27FC236}">
              <a16:creationId xmlns:a16="http://schemas.microsoft.com/office/drawing/2014/main" id="{E6ED0763-1EDD-4665-8C85-A7FCF982B0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8" name="Elipse 1367">
          <a:extLst>
            <a:ext uri="{FF2B5EF4-FFF2-40B4-BE49-F238E27FC236}">
              <a16:creationId xmlns:a16="http://schemas.microsoft.com/office/drawing/2014/main" id="{A15B3DA5-8635-4FFD-BB39-48986D5905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69" name="Elipse 1368">
          <a:extLst>
            <a:ext uri="{FF2B5EF4-FFF2-40B4-BE49-F238E27FC236}">
              <a16:creationId xmlns:a16="http://schemas.microsoft.com/office/drawing/2014/main" id="{8418DA95-7351-494E-9D68-E9F567A957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0" name="Elipse 1369">
          <a:extLst>
            <a:ext uri="{FF2B5EF4-FFF2-40B4-BE49-F238E27FC236}">
              <a16:creationId xmlns:a16="http://schemas.microsoft.com/office/drawing/2014/main" id="{E715F630-0B59-48E3-91A5-4571EA8F9A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1" name="Elipse 1370">
          <a:extLst>
            <a:ext uri="{FF2B5EF4-FFF2-40B4-BE49-F238E27FC236}">
              <a16:creationId xmlns:a16="http://schemas.microsoft.com/office/drawing/2014/main" id="{DECC7394-BCEA-4A1E-9AD7-0E63A0F041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2" name="Elipse 1371">
          <a:extLst>
            <a:ext uri="{FF2B5EF4-FFF2-40B4-BE49-F238E27FC236}">
              <a16:creationId xmlns:a16="http://schemas.microsoft.com/office/drawing/2014/main" id="{C5CF4E3F-421B-458D-8B55-480CD1DD0C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3" name="Elipse 1372">
          <a:extLst>
            <a:ext uri="{FF2B5EF4-FFF2-40B4-BE49-F238E27FC236}">
              <a16:creationId xmlns:a16="http://schemas.microsoft.com/office/drawing/2014/main" id="{634FF168-6830-4CFB-BD6D-E46EF33F30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4" name="Elipse 1373">
          <a:extLst>
            <a:ext uri="{FF2B5EF4-FFF2-40B4-BE49-F238E27FC236}">
              <a16:creationId xmlns:a16="http://schemas.microsoft.com/office/drawing/2014/main" id="{A3F6EA27-4D7A-4519-8404-2A718A35D9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5" name="Elipse 1374">
          <a:extLst>
            <a:ext uri="{FF2B5EF4-FFF2-40B4-BE49-F238E27FC236}">
              <a16:creationId xmlns:a16="http://schemas.microsoft.com/office/drawing/2014/main" id="{E915F23A-3CDE-4366-B4C6-94963BAEB2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6" name="Elipse 1375">
          <a:extLst>
            <a:ext uri="{FF2B5EF4-FFF2-40B4-BE49-F238E27FC236}">
              <a16:creationId xmlns:a16="http://schemas.microsoft.com/office/drawing/2014/main" id="{FF4B132E-95BE-49D4-8247-40F268B951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7" name="Elipse 1376">
          <a:extLst>
            <a:ext uri="{FF2B5EF4-FFF2-40B4-BE49-F238E27FC236}">
              <a16:creationId xmlns:a16="http://schemas.microsoft.com/office/drawing/2014/main" id="{8575BB3F-1E34-493A-90D1-5DFBA919E3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8" name="Elipse 1377">
          <a:extLst>
            <a:ext uri="{FF2B5EF4-FFF2-40B4-BE49-F238E27FC236}">
              <a16:creationId xmlns:a16="http://schemas.microsoft.com/office/drawing/2014/main" id="{540D59D6-F452-4375-AE15-3468B1C766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79" name="Elipse 1378">
          <a:extLst>
            <a:ext uri="{FF2B5EF4-FFF2-40B4-BE49-F238E27FC236}">
              <a16:creationId xmlns:a16="http://schemas.microsoft.com/office/drawing/2014/main" id="{0D51C2A2-68B8-49A2-9958-AB2A5CB0F5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0" name="Elipse 1379">
          <a:extLst>
            <a:ext uri="{FF2B5EF4-FFF2-40B4-BE49-F238E27FC236}">
              <a16:creationId xmlns:a16="http://schemas.microsoft.com/office/drawing/2014/main" id="{69ED9FEB-09AD-4802-921A-A8D3B7A052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1" name="Elipse 1380">
          <a:extLst>
            <a:ext uri="{FF2B5EF4-FFF2-40B4-BE49-F238E27FC236}">
              <a16:creationId xmlns:a16="http://schemas.microsoft.com/office/drawing/2014/main" id="{1ED094B2-3FBB-47B7-BF21-E456B4605A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2" name="Elipse 1381">
          <a:extLst>
            <a:ext uri="{FF2B5EF4-FFF2-40B4-BE49-F238E27FC236}">
              <a16:creationId xmlns:a16="http://schemas.microsoft.com/office/drawing/2014/main" id="{547056C5-FD1E-48A1-A75C-55164DB846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3" name="Elipse 1382">
          <a:extLst>
            <a:ext uri="{FF2B5EF4-FFF2-40B4-BE49-F238E27FC236}">
              <a16:creationId xmlns:a16="http://schemas.microsoft.com/office/drawing/2014/main" id="{2B0BB249-2502-4476-BDA3-476C878B62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4" name="Elipse 1383">
          <a:extLst>
            <a:ext uri="{FF2B5EF4-FFF2-40B4-BE49-F238E27FC236}">
              <a16:creationId xmlns:a16="http://schemas.microsoft.com/office/drawing/2014/main" id="{03E79B22-766D-4243-B108-E3ACBCFEE2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5" name="Elipse 1384">
          <a:extLst>
            <a:ext uri="{FF2B5EF4-FFF2-40B4-BE49-F238E27FC236}">
              <a16:creationId xmlns:a16="http://schemas.microsoft.com/office/drawing/2014/main" id="{5EAB0BE5-5D5F-451A-865E-1C1ADE7D32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6" name="Elipse 1385">
          <a:extLst>
            <a:ext uri="{FF2B5EF4-FFF2-40B4-BE49-F238E27FC236}">
              <a16:creationId xmlns:a16="http://schemas.microsoft.com/office/drawing/2014/main" id="{C456EFD2-6E21-452B-9AC9-866F4CAC79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7" name="Elipse 1386">
          <a:extLst>
            <a:ext uri="{FF2B5EF4-FFF2-40B4-BE49-F238E27FC236}">
              <a16:creationId xmlns:a16="http://schemas.microsoft.com/office/drawing/2014/main" id="{6ED05377-1145-4528-A07C-C5AEA93674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8" name="Elipse 1387">
          <a:extLst>
            <a:ext uri="{FF2B5EF4-FFF2-40B4-BE49-F238E27FC236}">
              <a16:creationId xmlns:a16="http://schemas.microsoft.com/office/drawing/2014/main" id="{089D6670-778F-4461-BDD5-2FA3F98AD2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89" name="Elipse 1388">
          <a:extLst>
            <a:ext uri="{FF2B5EF4-FFF2-40B4-BE49-F238E27FC236}">
              <a16:creationId xmlns:a16="http://schemas.microsoft.com/office/drawing/2014/main" id="{B621E2F2-BC33-40C9-A6E7-0F1A56220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0" name="Elipse 1389">
          <a:extLst>
            <a:ext uri="{FF2B5EF4-FFF2-40B4-BE49-F238E27FC236}">
              <a16:creationId xmlns:a16="http://schemas.microsoft.com/office/drawing/2014/main" id="{E96B3C12-9AF2-4111-B218-7B0322EF6B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1" name="Elipse 1390">
          <a:extLst>
            <a:ext uri="{FF2B5EF4-FFF2-40B4-BE49-F238E27FC236}">
              <a16:creationId xmlns:a16="http://schemas.microsoft.com/office/drawing/2014/main" id="{7341F4A2-AFC2-40A4-AC88-D4B6FC9D1C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2" name="Elipse 1391">
          <a:extLst>
            <a:ext uri="{FF2B5EF4-FFF2-40B4-BE49-F238E27FC236}">
              <a16:creationId xmlns:a16="http://schemas.microsoft.com/office/drawing/2014/main" id="{16C4308D-7679-4BB6-965A-CFDFC1D0BF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3" name="Elipse 1392">
          <a:extLst>
            <a:ext uri="{FF2B5EF4-FFF2-40B4-BE49-F238E27FC236}">
              <a16:creationId xmlns:a16="http://schemas.microsoft.com/office/drawing/2014/main" id="{760CD098-24FC-4DA0-8010-E58502D119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4" name="Elipse 1393">
          <a:extLst>
            <a:ext uri="{FF2B5EF4-FFF2-40B4-BE49-F238E27FC236}">
              <a16:creationId xmlns:a16="http://schemas.microsoft.com/office/drawing/2014/main" id="{CB265F84-EBB7-4DBA-9A5B-05B5BCBAFE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5" name="Elipse 1394">
          <a:extLst>
            <a:ext uri="{FF2B5EF4-FFF2-40B4-BE49-F238E27FC236}">
              <a16:creationId xmlns:a16="http://schemas.microsoft.com/office/drawing/2014/main" id="{E9FC13A4-142B-4A14-9B93-1544CCD3A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6" name="Elipse 1395">
          <a:extLst>
            <a:ext uri="{FF2B5EF4-FFF2-40B4-BE49-F238E27FC236}">
              <a16:creationId xmlns:a16="http://schemas.microsoft.com/office/drawing/2014/main" id="{F5318CED-13F2-409B-8A99-9735053717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7" name="Elipse 1396">
          <a:extLst>
            <a:ext uri="{FF2B5EF4-FFF2-40B4-BE49-F238E27FC236}">
              <a16:creationId xmlns:a16="http://schemas.microsoft.com/office/drawing/2014/main" id="{A7382AC8-4CA6-4207-AB80-BBDB1D92FA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8" name="Elipse 1397">
          <a:extLst>
            <a:ext uri="{FF2B5EF4-FFF2-40B4-BE49-F238E27FC236}">
              <a16:creationId xmlns:a16="http://schemas.microsoft.com/office/drawing/2014/main" id="{5149365A-AA4E-4EB7-9E84-9505B9DF23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99" name="Elipse 1398">
          <a:extLst>
            <a:ext uri="{FF2B5EF4-FFF2-40B4-BE49-F238E27FC236}">
              <a16:creationId xmlns:a16="http://schemas.microsoft.com/office/drawing/2014/main" id="{62E3895F-E1FB-429B-BCDD-E16689EF9F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0" name="Elipse 1399">
          <a:extLst>
            <a:ext uri="{FF2B5EF4-FFF2-40B4-BE49-F238E27FC236}">
              <a16:creationId xmlns:a16="http://schemas.microsoft.com/office/drawing/2014/main" id="{1305A8D9-9148-4537-A8B9-76EC003A56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1" name="Elipse 1400">
          <a:extLst>
            <a:ext uri="{FF2B5EF4-FFF2-40B4-BE49-F238E27FC236}">
              <a16:creationId xmlns:a16="http://schemas.microsoft.com/office/drawing/2014/main" id="{D2653370-4FB5-4477-AA1C-916686A9D0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2" name="Elipse 1401">
          <a:extLst>
            <a:ext uri="{FF2B5EF4-FFF2-40B4-BE49-F238E27FC236}">
              <a16:creationId xmlns:a16="http://schemas.microsoft.com/office/drawing/2014/main" id="{F0F0F99B-063B-45B1-9263-C763AA2CB3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3" name="Elipse 1402">
          <a:extLst>
            <a:ext uri="{FF2B5EF4-FFF2-40B4-BE49-F238E27FC236}">
              <a16:creationId xmlns:a16="http://schemas.microsoft.com/office/drawing/2014/main" id="{174BAF2F-1D9F-4412-93E4-006CF77CF7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4" name="Elipse 1403">
          <a:extLst>
            <a:ext uri="{FF2B5EF4-FFF2-40B4-BE49-F238E27FC236}">
              <a16:creationId xmlns:a16="http://schemas.microsoft.com/office/drawing/2014/main" id="{FD77B132-2511-442A-9F6D-58F8AE91DB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5" name="Elipse 1404">
          <a:extLst>
            <a:ext uri="{FF2B5EF4-FFF2-40B4-BE49-F238E27FC236}">
              <a16:creationId xmlns:a16="http://schemas.microsoft.com/office/drawing/2014/main" id="{A07EDEF6-EDF8-437C-9568-C873DAC32E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6" name="Elipse 1405">
          <a:extLst>
            <a:ext uri="{FF2B5EF4-FFF2-40B4-BE49-F238E27FC236}">
              <a16:creationId xmlns:a16="http://schemas.microsoft.com/office/drawing/2014/main" id="{76C40E4C-2059-464B-8F60-D2B7233A6C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7" name="Elipse 1406">
          <a:extLst>
            <a:ext uri="{FF2B5EF4-FFF2-40B4-BE49-F238E27FC236}">
              <a16:creationId xmlns:a16="http://schemas.microsoft.com/office/drawing/2014/main" id="{0BBB2A6C-A4DA-44F9-AAFF-5598BDE700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8" name="Elipse 1407">
          <a:extLst>
            <a:ext uri="{FF2B5EF4-FFF2-40B4-BE49-F238E27FC236}">
              <a16:creationId xmlns:a16="http://schemas.microsoft.com/office/drawing/2014/main" id="{8D4BF96F-2F47-4C07-B319-7B1181D3E6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09" name="Elipse 1408">
          <a:extLst>
            <a:ext uri="{FF2B5EF4-FFF2-40B4-BE49-F238E27FC236}">
              <a16:creationId xmlns:a16="http://schemas.microsoft.com/office/drawing/2014/main" id="{551E3D33-E8A0-4A11-80A5-7030417F02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0" name="Elipse 1409">
          <a:extLst>
            <a:ext uri="{FF2B5EF4-FFF2-40B4-BE49-F238E27FC236}">
              <a16:creationId xmlns:a16="http://schemas.microsoft.com/office/drawing/2014/main" id="{4CDE15E9-7563-48A2-95E5-01034CD19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1" name="Elipse 1410">
          <a:extLst>
            <a:ext uri="{FF2B5EF4-FFF2-40B4-BE49-F238E27FC236}">
              <a16:creationId xmlns:a16="http://schemas.microsoft.com/office/drawing/2014/main" id="{978FB692-4F4D-4914-BC20-02F3C21434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2" name="Elipse 1411">
          <a:extLst>
            <a:ext uri="{FF2B5EF4-FFF2-40B4-BE49-F238E27FC236}">
              <a16:creationId xmlns:a16="http://schemas.microsoft.com/office/drawing/2014/main" id="{1ACAA99D-A309-4327-96BF-9E655E1C3D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3" name="Elipse 1412">
          <a:extLst>
            <a:ext uri="{FF2B5EF4-FFF2-40B4-BE49-F238E27FC236}">
              <a16:creationId xmlns:a16="http://schemas.microsoft.com/office/drawing/2014/main" id="{E98EC55D-1AFC-4237-AFAE-785BA5BABB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4" name="Elipse 1413">
          <a:extLst>
            <a:ext uri="{FF2B5EF4-FFF2-40B4-BE49-F238E27FC236}">
              <a16:creationId xmlns:a16="http://schemas.microsoft.com/office/drawing/2014/main" id="{16466CEB-FC11-4FD1-8289-AC50F95000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5" name="Elipse 1414">
          <a:extLst>
            <a:ext uri="{FF2B5EF4-FFF2-40B4-BE49-F238E27FC236}">
              <a16:creationId xmlns:a16="http://schemas.microsoft.com/office/drawing/2014/main" id="{360167B5-AB37-42F0-BD81-A77D993A8F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6" name="Elipse 1415">
          <a:extLst>
            <a:ext uri="{FF2B5EF4-FFF2-40B4-BE49-F238E27FC236}">
              <a16:creationId xmlns:a16="http://schemas.microsoft.com/office/drawing/2014/main" id="{7CB89D38-12C7-4A73-8845-4084560BAF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7" name="Elipse 1416">
          <a:extLst>
            <a:ext uri="{FF2B5EF4-FFF2-40B4-BE49-F238E27FC236}">
              <a16:creationId xmlns:a16="http://schemas.microsoft.com/office/drawing/2014/main" id="{895A05FC-289E-4323-A74D-C410F8360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8" name="Elipse 1417">
          <a:extLst>
            <a:ext uri="{FF2B5EF4-FFF2-40B4-BE49-F238E27FC236}">
              <a16:creationId xmlns:a16="http://schemas.microsoft.com/office/drawing/2014/main" id="{B3CFD769-BBEF-4724-BAB5-7F1DAD2D68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19" name="Elipse 1418">
          <a:extLst>
            <a:ext uri="{FF2B5EF4-FFF2-40B4-BE49-F238E27FC236}">
              <a16:creationId xmlns:a16="http://schemas.microsoft.com/office/drawing/2014/main" id="{DC689CBF-CEFC-4883-83FE-9812F4D239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0" name="Elipse 1419">
          <a:extLst>
            <a:ext uri="{FF2B5EF4-FFF2-40B4-BE49-F238E27FC236}">
              <a16:creationId xmlns:a16="http://schemas.microsoft.com/office/drawing/2014/main" id="{B6092415-79C6-4379-B462-5E9CEBC721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1" name="Elipse 1420">
          <a:extLst>
            <a:ext uri="{FF2B5EF4-FFF2-40B4-BE49-F238E27FC236}">
              <a16:creationId xmlns:a16="http://schemas.microsoft.com/office/drawing/2014/main" id="{55792490-CFDE-4E7B-835C-1F8FC408BE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2" name="Elipse 1421">
          <a:extLst>
            <a:ext uri="{FF2B5EF4-FFF2-40B4-BE49-F238E27FC236}">
              <a16:creationId xmlns:a16="http://schemas.microsoft.com/office/drawing/2014/main" id="{11385EA3-799D-4094-8B00-FDBD9A9FCD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3" name="Elipse 1422">
          <a:extLst>
            <a:ext uri="{FF2B5EF4-FFF2-40B4-BE49-F238E27FC236}">
              <a16:creationId xmlns:a16="http://schemas.microsoft.com/office/drawing/2014/main" id="{1DDAED49-5E55-44A0-90BA-57EAE7675A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4" name="Elipse 1423">
          <a:extLst>
            <a:ext uri="{FF2B5EF4-FFF2-40B4-BE49-F238E27FC236}">
              <a16:creationId xmlns:a16="http://schemas.microsoft.com/office/drawing/2014/main" id="{443E33F3-EB8A-4856-B407-D5AB8FB986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5" name="Elipse 1424">
          <a:extLst>
            <a:ext uri="{FF2B5EF4-FFF2-40B4-BE49-F238E27FC236}">
              <a16:creationId xmlns:a16="http://schemas.microsoft.com/office/drawing/2014/main" id="{34BB73B1-2F40-432F-AF09-A466C919A6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6" name="Elipse 1425">
          <a:extLst>
            <a:ext uri="{FF2B5EF4-FFF2-40B4-BE49-F238E27FC236}">
              <a16:creationId xmlns:a16="http://schemas.microsoft.com/office/drawing/2014/main" id="{E59CD1F4-B3B3-4613-B0F2-C2A06E72D8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7" name="Elipse 1426">
          <a:extLst>
            <a:ext uri="{FF2B5EF4-FFF2-40B4-BE49-F238E27FC236}">
              <a16:creationId xmlns:a16="http://schemas.microsoft.com/office/drawing/2014/main" id="{ED5F4A03-248A-4496-B674-1FF71E68AC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8" name="Elipse 1427">
          <a:extLst>
            <a:ext uri="{FF2B5EF4-FFF2-40B4-BE49-F238E27FC236}">
              <a16:creationId xmlns:a16="http://schemas.microsoft.com/office/drawing/2014/main" id="{05B0EDB9-7AEE-494E-8DD6-0F2A2E95A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29" name="Elipse 1428">
          <a:extLst>
            <a:ext uri="{FF2B5EF4-FFF2-40B4-BE49-F238E27FC236}">
              <a16:creationId xmlns:a16="http://schemas.microsoft.com/office/drawing/2014/main" id="{4483B621-C565-4D02-9304-5055904132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0" name="Elipse 1429">
          <a:extLst>
            <a:ext uri="{FF2B5EF4-FFF2-40B4-BE49-F238E27FC236}">
              <a16:creationId xmlns:a16="http://schemas.microsoft.com/office/drawing/2014/main" id="{D05EEF9C-2017-4ACA-BD6D-BD58670EEE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1" name="Elipse 1430">
          <a:extLst>
            <a:ext uri="{FF2B5EF4-FFF2-40B4-BE49-F238E27FC236}">
              <a16:creationId xmlns:a16="http://schemas.microsoft.com/office/drawing/2014/main" id="{5174D022-6980-44A7-B626-D7A9035B07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2" name="Elipse 1431">
          <a:extLst>
            <a:ext uri="{FF2B5EF4-FFF2-40B4-BE49-F238E27FC236}">
              <a16:creationId xmlns:a16="http://schemas.microsoft.com/office/drawing/2014/main" id="{D143D00B-9FF6-4EED-A9FA-78E1F37D85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3" name="Elipse 1432">
          <a:extLst>
            <a:ext uri="{FF2B5EF4-FFF2-40B4-BE49-F238E27FC236}">
              <a16:creationId xmlns:a16="http://schemas.microsoft.com/office/drawing/2014/main" id="{14D1BF2C-EB78-4049-9C18-F683F4CD12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4" name="Elipse 1433">
          <a:extLst>
            <a:ext uri="{FF2B5EF4-FFF2-40B4-BE49-F238E27FC236}">
              <a16:creationId xmlns:a16="http://schemas.microsoft.com/office/drawing/2014/main" id="{871A1B1D-2385-42D6-AA17-DB2F063A0F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5" name="Elipse 1434">
          <a:extLst>
            <a:ext uri="{FF2B5EF4-FFF2-40B4-BE49-F238E27FC236}">
              <a16:creationId xmlns:a16="http://schemas.microsoft.com/office/drawing/2014/main" id="{00861407-C013-44DD-904C-7F34AC73C9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6" name="Elipse 1435">
          <a:extLst>
            <a:ext uri="{FF2B5EF4-FFF2-40B4-BE49-F238E27FC236}">
              <a16:creationId xmlns:a16="http://schemas.microsoft.com/office/drawing/2014/main" id="{DB5CC3A6-05E9-4877-B01A-ABBBFF4651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7" name="Elipse 1436">
          <a:extLst>
            <a:ext uri="{FF2B5EF4-FFF2-40B4-BE49-F238E27FC236}">
              <a16:creationId xmlns:a16="http://schemas.microsoft.com/office/drawing/2014/main" id="{CCCFC421-74B5-4A2B-B98F-997A9B212B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8" name="Elipse 1437">
          <a:extLst>
            <a:ext uri="{FF2B5EF4-FFF2-40B4-BE49-F238E27FC236}">
              <a16:creationId xmlns:a16="http://schemas.microsoft.com/office/drawing/2014/main" id="{5ED3080C-70AB-4D6A-9B41-0F4E04B19F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39" name="Elipse 1438">
          <a:extLst>
            <a:ext uri="{FF2B5EF4-FFF2-40B4-BE49-F238E27FC236}">
              <a16:creationId xmlns:a16="http://schemas.microsoft.com/office/drawing/2014/main" id="{373E42B4-B0CE-472E-BC4D-CA7940660C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0" name="Elipse 1439">
          <a:extLst>
            <a:ext uri="{FF2B5EF4-FFF2-40B4-BE49-F238E27FC236}">
              <a16:creationId xmlns:a16="http://schemas.microsoft.com/office/drawing/2014/main" id="{BDAF2E19-E163-439D-99E3-CBFEEB2D04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1" name="Elipse 1440">
          <a:extLst>
            <a:ext uri="{FF2B5EF4-FFF2-40B4-BE49-F238E27FC236}">
              <a16:creationId xmlns:a16="http://schemas.microsoft.com/office/drawing/2014/main" id="{9C9E4678-C64C-49AE-9720-52750F784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2" name="Elipse 1441">
          <a:extLst>
            <a:ext uri="{FF2B5EF4-FFF2-40B4-BE49-F238E27FC236}">
              <a16:creationId xmlns:a16="http://schemas.microsoft.com/office/drawing/2014/main" id="{C7E72D5D-0305-468B-ACD3-DABBFE1EAB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3" name="Elipse 1442">
          <a:extLst>
            <a:ext uri="{FF2B5EF4-FFF2-40B4-BE49-F238E27FC236}">
              <a16:creationId xmlns:a16="http://schemas.microsoft.com/office/drawing/2014/main" id="{3D78FB37-B729-46FE-A7D1-750CFC3081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4" name="Elipse 1443">
          <a:extLst>
            <a:ext uri="{FF2B5EF4-FFF2-40B4-BE49-F238E27FC236}">
              <a16:creationId xmlns:a16="http://schemas.microsoft.com/office/drawing/2014/main" id="{68414926-3215-41D4-BB01-5BB048F73D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5" name="Elipse 1444">
          <a:extLst>
            <a:ext uri="{FF2B5EF4-FFF2-40B4-BE49-F238E27FC236}">
              <a16:creationId xmlns:a16="http://schemas.microsoft.com/office/drawing/2014/main" id="{24B2AFC1-0EFF-475E-8F3D-2280231A7F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6" name="Elipse 1445">
          <a:extLst>
            <a:ext uri="{FF2B5EF4-FFF2-40B4-BE49-F238E27FC236}">
              <a16:creationId xmlns:a16="http://schemas.microsoft.com/office/drawing/2014/main" id="{0E0E0F41-6E53-4CE8-A544-7D91316E4A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7" name="Elipse 1446">
          <a:extLst>
            <a:ext uri="{FF2B5EF4-FFF2-40B4-BE49-F238E27FC236}">
              <a16:creationId xmlns:a16="http://schemas.microsoft.com/office/drawing/2014/main" id="{6AC5602A-487C-4BF1-A05F-BA0E517AEC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8" name="Elipse 1447">
          <a:extLst>
            <a:ext uri="{FF2B5EF4-FFF2-40B4-BE49-F238E27FC236}">
              <a16:creationId xmlns:a16="http://schemas.microsoft.com/office/drawing/2014/main" id="{F5A28E96-84DB-42FD-941A-3B79DB3EBC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49" name="Elipse 1448">
          <a:extLst>
            <a:ext uri="{FF2B5EF4-FFF2-40B4-BE49-F238E27FC236}">
              <a16:creationId xmlns:a16="http://schemas.microsoft.com/office/drawing/2014/main" id="{286EABCA-4360-4A24-89EB-66EB16FC0B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0" name="Elipse 1449">
          <a:extLst>
            <a:ext uri="{FF2B5EF4-FFF2-40B4-BE49-F238E27FC236}">
              <a16:creationId xmlns:a16="http://schemas.microsoft.com/office/drawing/2014/main" id="{3ED0AF6D-BC91-4877-A844-37123F947D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1" name="Elipse 1450">
          <a:extLst>
            <a:ext uri="{FF2B5EF4-FFF2-40B4-BE49-F238E27FC236}">
              <a16:creationId xmlns:a16="http://schemas.microsoft.com/office/drawing/2014/main" id="{4774F895-6E86-4841-BF4E-73B7395EC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2" name="Elipse 1451">
          <a:extLst>
            <a:ext uri="{FF2B5EF4-FFF2-40B4-BE49-F238E27FC236}">
              <a16:creationId xmlns:a16="http://schemas.microsoft.com/office/drawing/2014/main" id="{9D56E0F2-6375-4D2D-A550-C9E75E7A23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3" name="Elipse 1452">
          <a:extLst>
            <a:ext uri="{FF2B5EF4-FFF2-40B4-BE49-F238E27FC236}">
              <a16:creationId xmlns:a16="http://schemas.microsoft.com/office/drawing/2014/main" id="{72D7D2E3-D8A3-4F22-8809-E0CA146754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4" name="Elipse 1453">
          <a:extLst>
            <a:ext uri="{FF2B5EF4-FFF2-40B4-BE49-F238E27FC236}">
              <a16:creationId xmlns:a16="http://schemas.microsoft.com/office/drawing/2014/main" id="{6D880CA9-BAB0-4933-A84B-BD14B1EEA4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5" name="Elipse 1454">
          <a:extLst>
            <a:ext uri="{FF2B5EF4-FFF2-40B4-BE49-F238E27FC236}">
              <a16:creationId xmlns:a16="http://schemas.microsoft.com/office/drawing/2014/main" id="{EB493183-F70F-4469-8A3C-00E4234F59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6" name="Elipse 1455">
          <a:extLst>
            <a:ext uri="{FF2B5EF4-FFF2-40B4-BE49-F238E27FC236}">
              <a16:creationId xmlns:a16="http://schemas.microsoft.com/office/drawing/2014/main" id="{87E8DDDA-1767-4C84-8716-8D5B66AA19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7" name="Elipse 1456">
          <a:extLst>
            <a:ext uri="{FF2B5EF4-FFF2-40B4-BE49-F238E27FC236}">
              <a16:creationId xmlns:a16="http://schemas.microsoft.com/office/drawing/2014/main" id="{D1C74420-6A9B-4F9F-8DB0-CCFAF57E6D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8" name="Elipse 1457">
          <a:extLst>
            <a:ext uri="{FF2B5EF4-FFF2-40B4-BE49-F238E27FC236}">
              <a16:creationId xmlns:a16="http://schemas.microsoft.com/office/drawing/2014/main" id="{C1263BCC-B1B5-417E-B5AC-B1F5BD0926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59" name="Elipse 1458">
          <a:extLst>
            <a:ext uri="{FF2B5EF4-FFF2-40B4-BE49-F238E27FC236}">
              <a16:creationId xmlns:a16="http://schemas.microsoft.com/office/drawing/2014/main" id="{9BE56563-5E96-4AD2-AFB6-2494A16E20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0" name="Elipse 1459">
          <a:extLst>
            <a:ext uri="{FF2B5EF4-FFF2-40B4-BE49-F238E27FC236}">
              <a16:creationId xmlns:a16="http://schemas.microsoft.com/office/drawing/2014/main" id="{0153CA80-1554-4E2E-9406-FCE0407E67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1" name="Elipse 1460">
          <a:extLst>
            <a:ext uri="{FF2B5EF4-FFF2-40B4-BE49-F238E27FC236}">
              <a16:creationId xmlns:a16="http://schemas.microsoft.com/office/drawing/2014/main" id="{DC26F8B7-7331-4188-ACAE-9046872F2F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2" name="Elipse 1461">
          <a:extLst>
            <a:ext uri="{FF2B5EF4-FFF2-40B4-BE49-F238E27FC236}">
              <a16:creationId xmlns:a16="http://schemas.microsoft.com/office/drawing/2014/main" id="{1153CD06-F485-43F3-9EA0-92DC0A183D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3" name="Elipse 1462">
          <a:extLst>
            <a:ext uri="{FF2B5EF4-FFF2-40B4-BE49-F238E27FC236}">
              <a16:creationId xmlns:a16="http://schemas.microsoft.com/office/drawing/2014/main" id="{E2FDCAAD-0B61-47FB-9D96-915E27FAD6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4" name="Elipse 1463">
          <a:extLst>
            <a:ext uri="{FF2B5EF4-FFF2-40B4-BE49-F238E27FC236}">
              <a16:creationId xmlns:a16="http://schemas.microsoft.com/office/drawing/2014/main" id="{300F4610-E6AF-4F4E-83DE-3D726FD79A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5" name="Elipse 1464">
          <a:extLst>
            <a:ext uri="{FF2B5EF4-FFF2-40B4-BE49-F238E27FC236}">
              <a16:creationId xmlns:a16="http://schemas.microsoft.com/office/drawing/2014/main" id="{F8026F33-904D-49D9-97AF-7E99E5BA77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6" name="Elipse 1465">
          <a:extLst>
            <a:ext uri="{FF2B5EF4-FFF2-40B4-BE49-F238E27FC236}">
              <a16:creationId xmlns:a16="http://schemas.microsoft.com/office/drawing/2014/main" id="{3C373452-EC79-4574-A0E9-655F140D34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7" name="Elipse 1466">
          <a:extLst>
            <a:ext uri="{FF2B5EF4-FFF2-40B4-BE49-F238E27FC236}">
              <a16:creationId xmlns:a16="http://schemas.microsoft.com/office/drawing/2014/main" id="{89EF6123-BBCA-4DB9-A457-9AF67453F4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8" name="Elipse 1467">
          <a:extLst>
            <a:ext uri="{FF2B5EF4-FFF2-40B4-BE49-F238E27FC236}">
              <a16:creationId xmlns:a16="http://schemas.microsoft.com/office/drawing/2014/main" id="{FBB06CBA-B2D8-4079-9D24-491F211063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69" name="Elipse 1468">
          <a:extLst>
            <a:ext uri="{FF2B5EF4-FFF2-40B4-BE49-F238E27FC236}">
              <a16:creationId xmlns:a16="http://schemas.microsoft.com/office/drawing/2014/main" id="{F4E1F154-BAB3-4FD9-8D75-E41A30C4C0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0" name="Elipse 1469">
          <a:extLst>
            <a:ext uri="{FF2B5EF4-FFF2-40B4-BE49-F238E27FC236}">
              <a16:creationId xmlns:a16="http://schemas.microsoft.com/office/drawing/2014/main" id="{DFA08497-61EE-4C45-B872-199B1BD66C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1" name="Elipse 1470">
          <a:extLst>
            <a:ext uri="{FF2B5EF4-FFF2-40B4-BE49-F238E27FC236}">
              <a16:creationId xmlns:a16="http://schemas.microsoft.com/office/drawing/2014/main" id="{8243AF1F-14E1-4D57-A81F-BAE8DEB64A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2" name="Elipse 1471">
          <a:extLst>
            <a:ext uri="{FF2B5EF4-FFF2-40B4-BE49-F238E27FC236}">
              <a16:creationId xmlns:a16="http://schemas.microsoft.com/office/drawing/2014/main" id="{E22D61A8-36AC-4FC0-AD92-0A9FD22C0B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3" name="Elipse 1472">
          <a:extLst>
            <a:ext uri="{FF2B5EF4-FFF2-40B4-BE49-F238E27FC236}">
              <a16:creationId xmlns:a16="http://schemas.microsoft.com/office/drawing/2014/main" id="{DEB680A3-2EC8-4645-9034-D2F31C6820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4" name="Elipse 1473">
          <a:extLst>
            <a:ext uri="{FF2B5EF4-FFF2-40B4-BE49-F238E27FC236}">
              <a16:creationId xmlns:a16="http://schemas.microsoft.com/office/drawing/2014/main" id="{3C749BB1-3FC4-4E60-BF6E-8DC8846F2A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5" name="Elipse 1474">
          <a:extLst>
            <a:ext uri="{FF2B5EF4-FFF2-40B4-BE49-F238E27FC236}">
              <a16:creationId xmlns:a16="http://schemas.microsoft.com/office/drawing/2014/main" id="{A0BF7550-3090-408D-B0DA-B70037698F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6" name="Elipse 1475">
          <a:extLst>
            <a:ext uri="{FF2B5EF4-FFF2-40B4-BE49-F238E27FC236}">
              <a16:creationId xmlns:a16="http://schemas.microsoft.com/office/drawing/2014/main" id="{6C934B28-4FDD-4F93-9B95-0BAF310E2F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7" name="Elipse 1476">
          <a:extLst>
            <a:ext uri="{FF2B5EF4-FFF2-40B4-BE49-F238E27FC236}">
              <a16:creationId xmlns:a16="http://schemas.microsoft.com/office/drawing/2014/main" id="{EF4A872F-4844-484D-B0C7-77B59C6105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8" name="Elipse 1477">
          <a:extLst>
            <a:ext uri="{FF2B5EF4-FFF2-40B4-BE49-F238E27FC236}">
              <a16:creationId xmlns:a16="http://schemas.microsoft.com/office/drawing/2014/main" id="{FFBA4877-8492-432D-8D38-AE99B6CA91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79" name="Elipse 1478">
          <a:extLst>
            <a:ext uri="{FF2B5EF4-FFF2-40B4-BE49-F238E27FC236}">
              <a16:creationId xmlns:a16="http://schemas.microsoft.com/office/drawing/2014/main" id="{45B5351B-470D-47C0-9ED1-A24D3640D2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0" name="Elipse 1479">
          <a:extLst>
            <a:ext uri="{FF2B5EF4-FFF2-40B4-BE49-F238E27FC236}">
              <a16:creationId xmlns:a16="http://schemas.microsoft.com/office/drawing/2014/main" id="{6BA1DF77-82EA-4C25-BE56-F9E613DED5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1" name="Elipse 1480">
          <a:extLst>
            <a:ext uri="{FF2B5EF4-FFF2-40B4-BE49-F238E27FC236}">
              <a16:creationId xmlns:a16="http://schemas.microsoft.com/office/drawing/2014/main" id="{CE20BEA5-1864-4F98-A0C6-5CB57A2D41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2" name="Elipse 1481">
          <a:extLst>
            <a:ext uri="{FF2B5EF4-FFF2-40B4-BE49-F238E27FC236}">
              <a16:creationId xmlns:a16="http://schemas.microsoft.com/office/drawing/2014/main" id="{9827F168-D8DE-447B-B5B3-37C98C1BF5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3" name="Elipse 1482">
          <a:extLst>
            <a:ext uri="{FF2B5EF4-FFF2-40B4-BE49-F238E27FC236}">
              <a16:creationId xmlns:a16="http://schemas.microsoft.com/office/drawing/2014/main" id="{C0B159B6-90B2-4D27-B3CC-47665C27FC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4" name="Elipse 1483">
          <a:extLst>
            <a:ext uri="{FF2B5EF4-FFF2-40B4-BE49-F238E27FC236}">
              <a16:creationId xmlns:a16="http://schemas.microsoft.com/office/drawing/2014/main" id="{E481B6CE-3485-45AE-B9A2-B47284C1BA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5" name="Elipse 1484">
          <a:extLst>
            <a:ext uri="{FF2B5EF4-FFF2-40B4-BE49-F238E27FC236}">
              <a16:creationId xmlns:a16="http://schemas.microsoft.com/office/drawing/2014/main" id="{246CA82E-A5F1-4D8B-B103-0934CD9D75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6" name="Elipse 1485">
          <a:extLst>
            <a:ext uri="{FF2B5EF4-FFF2-40B4-BE49-F238E27FC236}">
              <a16:creationId xmlns:a16="http://schemas.microsoft.com/office/drawing/2014/main" id="{DEA3C2EA-9568-45B8-88DA-47EF8388EC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7" name="Elipse 1486">
          <a:extLst>
            <a:ext uri="{FF2B5EF4-FFF2-40B4-BE49-F238E27FC236}">
              <a16:creationId xmlns:a16="http://schemas.microsoft.com/office/drawing/2014/main" id="{672DEC6B-8C07-48FA-95B5-DAE6FEC00A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8" name="Elipse 1487">
          <a:extLst>
            <a:ext uri="{FF2B5EF4-FFF2-40B4-BE49-F238E27FC236}">
              <a16:creationId xmlns:a16="http://schemas.microsoft.com/office/drawing/2014/main" id="{BD855544-497C-44B6-A574-325EB3E9AA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89" name="Elipse 1488">
          <a:extLst>
            <a:ext uri="{FF2B5EF4-FFF2-40B4-BE49-F238E27FC236}">
              <a16:creationId xmlns:a16="http://schemas.microsoft.com/office/drawing/2014/main" id="{4066ACC1-2F3B-4AA0-A791-39163D6801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0" name="Elipse 1489">
          <a:extLst>
            <a:ext uri="{FF2B5EF4-FFF2-40B4-BE49-F238E27FC236}">
              <a16:creationId xmlns:a16="http://schemas.microsoft.com/office/drawing/2014/main" id="{373ABFB4-21B7-4252-98B2-9C6BCA2959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1" name="Elipse 1490">
          <a:extLst>
            <a:ext uri="{FF2B5EF4-FFF2-40B4-BE49-F238E27FC236}">
              <a16:creationId xmlns:a16="http://schemas.microsoft.com/office/drawing/2014/main" id="{755E8E97-4C49-44FD-A512-FDB2FD71C4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2" name="Elipse 1491">
          <a:extLst>
            <a:ext uri="{FF2B5EF4-FFF2-40B4-BE49-F238E27FC236}">
              <a16:creationId xmlns:a16="http://schemas.microsoft.com/office/drawing/2014/main" id="{F84D743E-BAA0-4EA0-9F9E-EC03200BF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3" name="Elipse 1492">
          <a:extLst>
            <a:ext uri="{FF2B5EF4-FFF2-40B4-BE49-F238E27FC236}">
              <a16:creationId xmlns:a16="http://schemas.microsoft.com/office/drawing/2014/main" id="{802FFEEA-7E05-46BE-87FB-BE9D09CA67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4" name="Elipse 1493">
          <a:extLst>
            <a:ext uri="{FF2B5EF4-FFF2-40B4-BE49-F238E27FC236}">
              <a16:creationId xmlns:a16="http://schemas.microsoft.com/office/drawing/2014/main" id="{B17892F5-AE36-45DA-921F-EF43059908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5" name="Elipse 1494">
          <a:extLst>
            <a:ext uri="{FF2B5EF4-FFF2-40B4-BE49-F238E27FC236}">
              <a16:creationId xmlns:a16="http://schemas.microsoft.com/office/drawing/2014/main" id="{6112F71F-1A2F-4A6D-B41C-B04C58A037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6" name="Elipse 1495">
          <a:extLst>
            <a:ext uri="{FF2B5EF4-FFF2-40B4-BE49-F238E27FC236}">
              <a16:creationId xmlns:a16="http://schemas.microsoft.com/office/drawing/2014/main" id="{AFA23363-791C-4101-BB59-B43A40FB55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7" name="Elipse 1496">
          <a:extLst>
            <a:ext uri="{FF2B5EF4-FFF2-40B4-BE49-F238E27FC236}">
              <a16:creationId xmlns:a16="http://schemas.microsoft.com/office/drawing/2014/main" id="{5279CF72-51C9-4476-A43E-8784B799C3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8" name="Elipse 1497">
          <a:extLst>
            <a:ext uri="{FF2B5EF4-FFF2-40B4-BE49-F238E27FC236}">
              <a16:creationId xmlns:a16="http://schemas.microsoft.com/office/drawing/2014/main" id="{8CE9B618-3F09-4D3D-8860-647F482D28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499" name="Elipse 1498">
          <a:extLst>
            <a:ext uri="{FF2B5EF4-FFF2-40B4-BE49-F238E27FC236}">
              <a16:creationId xmlns:a16="http://schemas.microsoft.com/office/drawing/2014/main" id="{7E645656-E166-4A25-BF0D-F1B713F631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0" name="Elipse 1499">
          <a:extLst>
            <a:ext uri="{FF2B5EF4-FFF2-40B4-BE49-F238E27FC236}">
              <a16:creationId xmlns:a16="http://schemas.microsoft.com/office/drawing/2014/main" id="{55953958-CC1F-4D93-B2E7-6339607B7C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1" name="Elipse 1500">
          <a:extLst>
            <a:ext uri="{FF2B5EF4-FFF2-40B4-BE49-F238E27FC236}">
              <a16:creationId xmlns:a16="http://schemas.microsoft.com/office/drawing/2014/main" id="{0AC61ED6-65C8-4DE1-B7B3-F337D61209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2" name="Elipse 1501">
          <a:extLst>
            <a:ext uri="{FF2B5EF4-FFF2-40B4-BE49-F238E27FC236}">
              <a16:creationId xmlns:a16="http://schemas.microsoft.com/office/drawing/2014/main" id="{E771E8EB-2B64-444A-9986-35CCE10D0E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3" name="Elipse 1502">
          <a:extLst>
            <a:ext uri="{FF2B5EF4-FFF2-40B4-BE49-F238E27FC236}">
              <a16:creationId xmlns:a16="http://schemas.microsoft.com/office/drawing/2014/main" id="{2A49CB64-941B-4C57-AEBC-AA3A295ECC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4" name="Elipse 1503">
          <a:extLst>
            <a:ext uri="{FF2B5EF4-FFF2-40B4-BE49-F238E27FC236}">
              <a16:creationId xmlns:a16="http://schemas.microsoft.com/office/drawing/2014/main" id="{F0AC87DC-EB6C-4CB3-8440-55B0F38C9C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5" name="Elipse 1504">
          <a:extLst>
            <a:ext uri="{FF2B5EF4-FFF2-40B4-BE49-F238E27FC236}">
              <a16:creationId xmlns:a16="http://schemas.microsoft.com/office/drawing/2014/main" id="{05453596-7B25-4A7A-8416-63B85F5BE3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6" name="Elipse 1505">
          <a:extLst>
            <a:ext uri="{FF2B5EF4-FFF2-40B4-BE49-F238E27FC236}">
              <a16:creationId xmlns:a16="http://schemas.microsoft.com/office/drawing/2014/main" id="{B4E23AEA-9729-4618-B3D7-BCCE2CFA88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7" name="Elipse 1506">
          <a:extLst>
            <a:ext uri="{FF2B5EF4-FFF2-40B4-BE49-F238E27FC236}">
              <a16:creationId xmlns:a16="http://schemas.microsoft.com/office/drawing/2014/main" id="{EFF2CC34-F2ED-45E6-A95D-20317A90AA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8" name="Elipse 1507">
          <a:extLst>
            <a:ext uri="{FF2B5EF4-FFF2-40B4-BE49-F238E27FC236}">
              <a16:creationId xmlns:a16="http://schemas.microsoft.com/office/drawing/2014/main" id="{1638DD24-58AD-45B2-8DF0-D804F80458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09" name="Elipse 1508">
          <a:extLst>
            <a:ext uri="{FF2B5EF4-FFF2-40B4-BE49-F238E27FC236}">
              <a16:creationId xmlns:a16="http://schemas.microsoft.com/office/drawing/2014/main" id="{429CBF3C-26B9-4199-805B-C99D80DF8F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0" name="Elipse 1509">
          <a:extLst>
            <a:ext uri="{FF2B5EF4-FFF2-40B4-BE49-F238E27FC236}">
              <a16:creationId xmlns:a16="http://schemas.microsoft.com/office/drawing/2014/main" id="{78A08361-7CD8-4172-BF46-55931D4038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1" name="Elipse 1510">
          <a:extLst>
            <a:ext uri="{FF2B5EF4-FFF2-40B4-BE49-F238E27FC236}">
              <a16:creationId xmlns:a16="http://schemas.microsoft.com/office/drawing/2014/main" id="{1F83630C-A1FD-4273-A3E6-F053DBAC85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2" name="Elipse 1511">
          <a:extLst>
            <a:ext uri="{FF2B5EF4-FFF2-40B4-BE49-F238E27FC236}">
              <a16:creationId xmlns:a16="http://schemas.microsoft.com/office/drawing/2014/main" id="{7C272694-687D-4D47-9E83-5A6B8DD214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3" name="Elipse 1512">
          <a:extLst>
            <a:ext uri="{FF2B5EF4-FFF2-40B4-BE49-F238E27FC236}">
              <a16:creationId xmlns:a16="http://schemas.microsoft.com/office/drawing/2014/main" id="{3E808814-4888-4FAF-AD3B-7F612CAB22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4" name="Elipse 1513">
          <a:extLst>
            <a:ext uri="{FF2B5EF4-FFF2-40B4-BE49-F238E27FC236}">
              <a16:creationId xmlns:a16="http://schemas.microsoft.com/office/drawing/2014/main" id="{BA96FE6C-11A3-4999-83A2-8736247F28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5" name="Elipse 1514">
          <a:extLst>
            <a:ext uri="{FF2B5EF4-FFF2-40B4-BE49-F238E27FC236}">
              <a16:creationId xmlns:a16="http://schemas.microsoft.com/office/drawing/2014/main" id="{2A440C6F-393F-47AA-9AC0-FEBA562E53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6" name="Elipse 1515">
          <a:extLst>
            <a:ext uri="{FF2B5EF4-FFF2-40B4-BE49-F238E27FC236}">
              <a16:creationId xmlns:a16="http://schemas.microsoft.com/office/drawing/2014/main" id="{3317C7C3-3D04-4C97-9EAF-0DFCF5F7CD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7" name="Elipse 1516">
          <a:extLst>
            <a:ext uri="{FF2B5EF4-FFF2-40B4-BE49-F238E27FC236}">
              <a16:creationId xmlns:a16="http://schemas.microsoft.com/office/drawing/2014/main" id="{75861A5B-0430-4D7C-8D71-FA2A90E501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8" name="Elipse 1517">
          <a:extLst>
            <a:ext uri="{FF2B5EF4-FFF2-40B4-BE49-F238E27FC236}">
              <a16:creationId xmlns:a16="http://schemas.microsoft.com/office/drawing/2014/main" id="{BC97F649-314D-47E1-9907-DDAF61CAC9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19" name="Elipse 1518">
          <a:extLst>
            <a:ext uri="{FF2B5EF4-FFF2-40B4-BE49-F238E27FC236}">
              <a16:creationId xmlns:a16="http://schemas.microsoft.com/office/drawing/2014/main" id="{4B159215-8F38-4A7F-B86B-F3E8AE0B8A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0" name="Elipse 1519">
          <a:extLst>
            <a:ext uri="{FF2B5EF4-FFF2-40B4-BE49-F238E27FC236}">
              <a16:creationId xmlns:a16="http://schemas.microsoft.com/office/drawing/2014/main" id="{6EA238FC-EEC6-4892-BAE2-1B84E7FD0C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1" name="Elipse 1520">
          <a:extLst>
            <a:ext uri="{FF2B5EF4-FFF2-40B4-BE49-F238E27FC236}">
              <a16:creationId xmlns:a16="http://schemas.microsoft.com/office/drawing/2014/main" id="{602E25F6-D12F-4B17-AE7F-1E51366B6D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2" name="Elipse 1521">
          <a:extLst>
            <a:ext uri="{FF2B5EF4-FFF2-40B4-BE49-F238E27FC236}">
              <a16:creationId xmlns:a16="http://schemas.microsoft.com/office/drawing/2014/main" id="{3D162F66-AA62-4C48-B8C4-7BB45F656C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3" name="Elipse 1522">
          <a:extLst>
            <a:ext uri="{FF2B5EF4-FFF2-40B4-BE49-F238E27FC236}">
              <a16:creationId xmlns:a16="http://schemas.microsoft.com/office/drawing/2014/main" id="{B97E5FA3-EB13-4C85-BD8B-429C1285CB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4" name="Elipse 1523">
          <a:extLst>
            <a:ext uri="{FF2B5EF4-FFF2-40B4-BE49-F238E27FC236}">
              <a16:creationId xmlns:a16="http://schemas.microsoft.com/office/drawing/2014/main" id="{A68E4E4F-8694-40E1-AD14-6BDB599BC8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5" name="Elipse 1524">
          <a:extLst>
            <a:ext uri="{FF2B5EF4-FFF2-40B4-BE49-F238E27FC236}">
              <a16:creationId xmlns:a16="http://schemas.microsoft.com/office/drawing/2014/main" id="{F414A763-06EB-4446-B758-0E502BA21F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6" name="Elipse 1525">
          <a:extLst>
            <a:ext uri="{FF2B5EF4-FFF2-40B4-BE49-F238E27FC236}">
              <a16:creationId xmlns:a16="http://schemas.microsoft.com/office/drawing/2014/main" id="{5EF3E1F0-8D0D-435D-B228-EAA9DEBDF4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7" name="Elipse 1526">
          <a:extLst>
            <a:ext uri="{FF2B5EF4-FFF2-40B4-BE49-F238E27FC236}">
              <a16:creationId xmlns:a16="http://schemas.microsoft.com/office/drawing/2014/main" id="{23253F5A-552A-4C01-815F-1F72778EFE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8" name="Elipse 1527">
          <a:extLst>
            <a:ext uri="{FF2B5EF4-FFF2-40B4-BE49-F238E27FC236}">
              <a16:creationId xmlns:a16="http://schemas.microsoft.com/office/drawing/2014/main" id="{0903EE93-FC87-443B-AF8B-33C56DE5F9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29" name="Elipse 1528">
          <a:extLst>
            <a:ext uri="{FF2B5EF4-FFF2-40B4-BE49-F238E27FC236}">
              <a16:creationId xmlns:a16="http://schemas.microsoft.com/office/drawing/2014/main" id="{B0286F71-DB1F-4385-AD6C-D6053BD340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0" name="Elipse 1529">
          <a:extLst>
            <a:ext uri="{FF2B5EF4-FFF2-40B4-BE49-F238E27FC236}">
              <a16:creationId xmlns:a16="http://schemas.microsoft.com/office/drawing/2014/main" id="{2D9B5C67-0EAD-4650-9B07-111B8789A5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1" name="Elipse 1530">
          <a:extLst>
            <a:ext uri="{FF2B5EF4-FFF2-40B4-BE49-F238E27FC236}">
              <a16:creationId xmlns:a16="http://schemas.microsoft.com/office/drawing/2014/main" id="{02953BD1-F341-48D7-9AE7-CFBF604447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2" name="Elipse 1531">
          <a:extLst>
            <a:ext uri="{FF2B5EF4-FFF2-40B4-BE49-F238E27FC236}">
              <a16:creationId xmlns:a16="http://schemas.microsoft.com/office/drawing/2014/main" id="{4B7D3CBA-C9FA-408C-B87E-2B84E7FA36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3" name="Elipse 1532">
          <a:extLst>
            <a:ext uri="{FF2B5EF4-FFF2-40B4-BE49-F238E27FC236}">
              <a16:creationId xmlns:a16="http://schemas.microsoft.com/office/drawing/2014/main" id="{9E959554-6D39-420D-88F1-5E854CF966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4" name="Elipse 1533">
          <a:extLst>
            <a:ext uri="{FF2B5EF4-FFF2-40B4-BE49-F238E27FC236}">
              <a16:creationId xmlns:a16="http://schemas.microsoft.com/office/drawing/2014/main" id="{45E8F779-40A0-43DD-A39C-0FC3A34F29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5" name="Elipse 1534">
          <a:extLst>
            <a:ext uri="{FF2B5EF4-FFF2-40B4-BE49-F238E27FC236}">
              <a16:creationId xmlns:a16="http://schemas.microsoft.com/office/drawing/2014/main" id="{3A5BCBB0-52DC-45F5-A096-4CB23333A1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6" name="Elipse 1535">
          <a:extLst>
            <a:ext uri="{FF2B5EF4-FFF2-40B4-BE49-F238E27FC236}">
              <a16:creationId xmlns:a16="http://schemas.microsoft.com/office/drawing/2014/main" id="{1E9FFD68-89F5-4B43-8ADC-E328137666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7" name="Elipse 1536">
          <a:extLst>
            <a:ext uri="{FF2B5EF4-FFF2-40B4-BE49-F238E27FC236}">
              <a16:creationId xmlns:a16="http://schemas.microsoft.com/office/drawing/2014/main" id="{FF9455BA-B481-4450-B1C5-64F6310240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8" name="Elipse 1537">
          <a:extLst>
            <a:ext uri="{FF2B5EF4-FFF2-40B4-BE49-F238E27FC236}">
              <a16:creationId xmlns:a16="http://schemas.microsoft.com/office/drawing/2014/main" id="{CC2FBC36-478E-4099-94E2-35A33E13F2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39" name="Elipse 1538">
          <a:extLst>
            <a:ext uri="{FF2B5EF4-FFF2-40B4-BE49-F238E27FC236}">
              <a16:creationId xmlns:a16="http://schemas.microsoft.com/office/drawing/2014/main" id="{9CC50CBE-470F-44C5-BE97-49799C9A37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0" name="Elipse 1539">
          <a:extLst>
            <a:ext uri="{FF2B5EF4-FFF2-40B4-BE49-F238E27FC236}">
              <a16:creationId xmlns:a16="http://schemas.microsoft.com/office/drawing/2014/main" id="{48C841D4-2824-44AD-A14F-4AE594C707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1" name="Elipse 1540">
          <a:extLst>
            <a:ext uri="{FF2B5EF4-FFF2-40B4-BE49-F238E27FC236}">
              <a16:creationId xmlns:a16="http://schemas.microsoft.com/office/drawing/2014/main" id="{47D5DFF7-7A24-4D3E-BA2B-6801258CB4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2" name="Elipse 1541">
          <a:extLst>
            <a:ext uri="{FF2B5EF4-FFF2-40B4-BE49-F238E27FC236}">
              <a16:creationId xmlns:a16="http://schemas.microsoft.com/office/drawing/2014/main" id="{6254A0FF-1099-4A5A-8FA1-1FE425CB8E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3" name="Elipse 1542">
          <a:extLst>
            <a:ext uri="{FF2B5EF4-FFF2-40B4-BE49-F238E27FC236}">
              <a16:creationId xmlns:a16="http://schemas.microsoft.com/office/drawing/2014/main" id="{200F18F4-20EB-4652-9956-E3DE3DCEBD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4" name="Elipse 1543">
          <a:extLst>
            <a:ext uri="{FF2B5EF4-FFF2-40B4-BE49-F238E27FC236}">
              <a16:creationId xmlns:a16="http://schemas.microsoft.com/office/drawing/2014/main" id="{0B7F1011-D7D6-4889-A496-83E108E985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5" name="Elipse 1544">
          <a:extLst>
            <a:ext uri="{FF2B5EF4-FFF2-40B4-BE49-F238E27FC236}">
              <a16:creationId xmlns:a16="http://schemas.microsoft.com/office/drawing/2014/main" id="{CEFD7ECE-8B18-4433-B9F6-F636061C76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6" name="Elipse 1545">
          <a:extLst>
            <a:ext uri="{FF2B5EF4-FFF2-40B4-BE49-F238E27FC236}">
              <a16:creationId xmlns:a16="http://schemas.microsoft.com/office/drawing/2014/main" id="{555BC9F9-A2C6-427A-933D-C108DE2955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7" name="Elipse 1546">
          <a:extLst>
            <a:ext uri="{FF2B5EF4-FFF2-40B4-BE49-F238E27FC236}">
              <a16:creationId xmlns:a16="http://schemas.microsoft.com/office/drawing/2014/main" id="{F757855B-F281-4648-BBF6-7A52F80C39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8" name="Elipse 1547">
          <a:extLst>
            <a:ext uri="{FF2B5EF4-FFF2-40B4-BE49-F238E27FC236}">
              <a16:creationId xmlns:a16="http://schemas.microsoft.com/office/drawing/2014/main" id="{010C4B16-B775-40C1-8BCC-0A4FAC51D2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49" name="Elipse 1548">
          <a:extLst>
            <a:ext uri="{FF2B5EF4-FFF2-40B4-BE49-F238E27FC236}">
              <a16:creationId xmlns:a16="http://schemas.microsoft.com/office/drawing/2014/main" id="{C04CA426-1EE2-4291-B2C4-5A6F714723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0" name="Elipse 1549">
          <a:extLst>
            <a:ext uri="{FF2B5EF4-FFF2-40B4-BE49-F238E27FC236}">
              <a16:creationId xmlns:a16="http://schemas.microsoft.com/office/drawing/2014/main" id="{C9E409DC-95AB-4FE4-895C-AE551B5B1C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1" name="Elipse 1550">
          <a:extLst>
            <a:ext uri="{FF2B5EF4-FFF2-40B4-BE49-F238E27FC236}">
              <a16:creationId xmlns:a16="http://schemas.microsoft.com/office/drawing/2014/main" id="{00C58B73-DB6B-458D-845E-AF9E24189A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2" name="Elipse 1551">
          <a:extLst>
            <a:ext uri="{FF2B5EF4-FFF2-40B4-BE49-F238E27FC236}">
              <a16:creationId xmlns:a16="http://schemas.microsoft.com/office/drawing/2014/main" id="{036936A8-74CB-4BFC-AA97-CD5CBDEC57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3" name="Elipse 1552">
          <a:extLst>
            <a:ext uri="{FF2B5EF4-FFF2-40B4-BE49-F238E27FC236}">
              <a16:creationId xmlns:a16="http://schemas.microsoft.com/office/drawing/2014/main" id="{146E3821-4C25-404A-90D5-85AA81A913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4" name="Elipse 1553">
          <a:extLst>
            <a:ext uri="{FF2B5EF4-FFF2-40B4-BE49-F238E27FC236}">
              <a16:creationId xmlns:a16="http://schemas.microsoft.com/office/drawing/2014/main" id="{BD071EA5-F43E-40BA-9B99-D2ACF012C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5" name="Elipse 1554">
          <a:extLst>
            <a:ext uri="{FF2B5EF4-FFF2-40B4-BE49-F238E27FC236}">
              <a16:creationId xmlns:a16="http://schemas.microsoft.com/office/drawing/2014/main" id="{160B4DE1-3F95-4628-9A6C-7354537C38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6" name="Elipse 1555">
          <a:extLst>
            <a:ext uri="{FF2B5EF4-FFF2-40B4-BE49-F238E27FC236}">
              <a16:creationId xmlns:a16="http://schemas.microsoft.com/office/drawing/2014/main" id="{DBF9C5D2-7DDC-485D-A928-B7F9E7F6FE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7" name="Elipse 1556">
          <a:extLst>
            <a:ext uri="{FF2B5EF4-FFF2-40B4-BE49-F238E27FC236}">
              <a16:creationId xmlns:a16="http://schemas.microsoft.com/office/drawing/2014/main" id="{05C31B13-033B-4FDF-A3F5-3A1DD9DF81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8" name="Elipse 1557">
          <a:extLst>
            <a:ext uri="{FF2B5EF4-FFF2-40B4-BE49-F238E27FC236}">
              <a16:creationId xmlns:a16="http://schemas.microsoft.com/office/drawing/2014/main" id="{BAD583A3-C468-47CE-8E29-F5E70C3D5F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59" name="Elipse 1558">
          <a:extLst>
            <a:ext uri="{FF2B5EF4-FFF2-40B4-BE49-F238E27FC236}">
              <a16:creationId xmlns:a16="http://schemas.microsoft.com/office/drawing/2014/main" id="{4800190A-0E5E-4D08-9F54-4B0EB9FC78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0" name="Elipse 1559">
          <a:extLst>
            <a:ext uri="{FF2B5EF4-FFF2-40B4-BE49-F238E27FC236}">
              <a16:creationId xmlns:a16="http://schemas.microsoft.com/office/drawing/2014/main" id="{7D5A8AA7-9F3D-4BDD-AFD7-98B3E5143B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1" name="Elipse 1560">
          <a:extLst>
            <a:ext uri="{FF2B5EF4-FFF2-40B4-BE49-F238E27FC236}">
              <a16:creationId xmlns:a16="http://schemas.microsoft.com/office/drawing/2014/main" id="{2A051EBD-DE5B-4E10-A409-EFB868F439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2" name="Elipse 1561">
          <a:extLst>
            <a:ext uri="{FF2B5EF4-FFF2-40B4-BE49-F238E27FC236}">
              <a16:creationId xmlns:a16="http://schemas.microsoft.com/office/drawing/2014/main" id="{6F18C616-FF5A-4769-BBF9-105F2177A2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3" name="Elipse 1562">
          <a:extLst>
            <a:ext uri="{FF2B5EF4-FFF2-40B4-BE49-F238E27FC236}">
              <a16:creationId xmlns:a16="http://schemas.microsoft.com/office/drawing/2014/main" id="{C68684CF-5DE8-46F1-89FD-FAC2D3A45D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4" name="Elipse 1563">
          <a:extLst>
            <a:ext uri="{FF2B5EF4-FFF2-40B4-BE49-F238E27FC236}">
              <a16:creationId xmlns:a16="http://schemas.microsoft.com/office/drawing/2014/main" id="{87A90872-ECFF-4032-B153-B84A6E8D7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5" name="Elipse 1564">
          <a:extLst>
            <a:ext uri="{FF2B5EF4-FFF2-40B4-BE49-F238E27FC236}">
              <a16:creationId xmlns:a16="http://schemas.microsoft.com/office/drawing/2014/main" id="{FCB7383C-FFD5-45B2-B85C-B826C402F6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6" name="Elipse 1565">
          <a:extLst>
            <a:ext uri="{FF2B5EF4-FFF2-40B4-BE49-F238E27FC236}">
              <a16:creationId xmlns:a16="http://schemas.microsoft.com/office/drawing/2014/main" id="{275A1932-CFB5-40E8-A32A-19B65DF102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7" name="Elipse 1566">
          <a:extLst>
            <a:ext uri="{FF2B5EF4-FFF2-40B4-BE49-F238E27FC236}">
              <a16:creationId xmlns:a16="http://schemas.microsoft.com/office/drawing/2014/main" id="{0710D0C0-0507-451E-9587-C6E27592A4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8" name="Elipse 1567">
          <a:extLst>
            <a:ext uri="{FF2B5EF4-FFF2-40B4-BE49-F238E27FC236}">
              <a16:creationId xmlns:a16="http://schemas.microsoft.com/office/drawing/2014/main" id="{2426D4F8-1E2F-4873-90DA-298AC043E6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69" name="Elipse 1568">
          <a:extLst>
            <a:ext uri="{FF2B5EF4-FFF2-40B4-BE49-F238E27FC236}">
              <a16:creationId xmlns:a16="http://schemas.microsoft.com/office/drawing/2014/main" id="{EB025443-2265-42C2-8914-00B73A7C40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0" name="Elipse 1569">
          <a:extLst>
            <a:ext uri="{FF2B5EF4-FFF2-40B4-BE49-F238E27FC236}">
              <a16:creationId xmlns:a16="http://schemas.microsoft.com/office/drawing/2014/main" id="{3DC85BE2-BF93-464C-A179-0EA4BFD762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1" name="Elipse 1570">
          <a:extLst>
            <a:ext uri="{FF2B5EF4-FFF2-40B4-BE49-F238E27FC236}">
              <a16:creationId xmlns:a16="http://schemas.microsoft.com/office/drawing/2014/main" id="{4E27B555-9DB1-4EAB-8755-4506CD1003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2" name="Elipse 1571">
          <a:extLst>
            <a:ext uri="{FF2B5EF4-FFF2-40B4-BE49-F238E27FC236}">
              <a16:creationId xmlns:a16="http://schemas.microsoft.com/office/drawing/2014/main" id="{5A728E73-204A-40AE-8DF1-374422CB85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3" name="Elipse 1572">
          <a:extLst>
            <a:ext uri="{FF2B5EF4-FFF2-40B4-BE49-F238E27FC236}">
              <a16:creationId xmlns:a16="http://schemas.microsoft.com/office/drawing/2014/main" id="{4D0B9FDB-9DEA-4CF0-AC47-155D9FFE4E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4" name="Elipse 1573">
          <a:extLst>
            <a:ext uri="{FF2B5EF4-FFF2-40B4-BE49-F238E27FC236}">
              <a16:creationId xmlns:a16="http://schemas.microsoft.com/office/drawing/2014/main" id="{2865C2EF-38C0-4BC3-974E-B581D9CF44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5" name="Elipse 1574">
          <a:extLst>
            <a:ext uri="{FF2B5EF4-FFF2-40B4-BE49-F238E27FC236}">
              <a16:creationId xmlns:a16="http://schemas.microsoft.com/office/drawing/2014/main" id="{FF8CE286-0A42-43EE-8B2A-F049E734D1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6" name="Elipse 1575">
          <a:extLst>
            <a:ext uri="{FF2B5EF4-FFF2-40B4-BE49-F238E27FC236}">
              <a16:creationId xmlns:a16="http://schemas.microsoft.com/office/drawing/2014/main" id="{11504D2E-05B6-4498-B90E-554CD2F261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7" name="Elipse 1576">
          <a:extLst>
            <a:ext uri="{FF2B5EF4-FFF2-40B4-BE49-F238E27FC236}">
              <a16:creationId xmlns:a16="http://schemas.microsoft.com/office/drawing/2014/main" id="{824139AA-467A-40EA-B584-85A4FA8518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8" name="Elipse 1577">
          <a:extLst>
            <a:ext uri="{FF2B5EF4-FFF2-40B4-BE49-F238E27FC236}">
              <a16:creationId xmlns:a16="http://schemas.microsoft.com/office/drawing/2014/main" id="{175141D6-B958-499C-9E35-AC0FFB8031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79" name="Elipse 1578">
          <a:extLst>
            <a:ext uri="{FF2B5EF4-FFF2-40B4-BE49-F238E27FC236}">
              <a16:creationId xmlns:a16="http://schemas.microsoft.com/office/drawing/2014/main" id="{738E605D-AC47-4677-95D3-5126255BDE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0" name="Elipse 1579">
          <a:extLst>
            <a:ext uri="{FF2B5EF4-FFF2-40B4-BE49-F238E27FC236}">
              <a16:creationId xmlns:a16="http://schemas.microsoft.com/office/drawing/2014/main" id="{5E43E4E5-8C38-4872-930B-684879BC38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1" name="Elipse 1580">
          <a:extLst>
            <a:ext uri="{FF2B5EF4-FFF2-40B4-BE49-F238E27FC236}">
              <a16:creationId xmlns:a16="http://schemas.microsoft.com/office/drawing/2014/main" id="{B00BEFEA-7F6C-4693-BECF-6F11F919D7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2" name="Elipse 1581">
          <a:extLst>
            <a:ext uri="{FF2B5EF4-FFF2-40B4-BE49-F238E27FC236}">
              <a16:creationId xmlns:a16="http://schemas.microsoft.com/office/drawing/2014/main" id="{17E3E9EE-1A2D-4BA8-9069-8CCCBC40CE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3" name="Elipse 1582">
          <a:extLst>
            <a:ext uri="{FF2B5EF4-FFF2-40B4-BE49-F238E27FC236}">
              <a16:creationId xmlns:a16="http://schemas.microsoft.com/office/drawing/2014/main" id="{BF0B8E4B-D97F-4A0E-A557-B971821D6A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4" name="Elipse 1583">
          <a:extLst>
            <a:ext uri="{FF2B5EF4-FFF2-40B4-BE49-F238E27FC236}">
              <a16:creationId xmlns:a16="http://schemas.microsoft.com/office/drawing/2014/main" id="{5028A0E5-A4AA-4582-A28C-A1B42F5488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5" name="Elipse 1584">
          <a:extLst>
            <a:ext uri="{FF2B5EF4-FFF2-40B4-BE49-F238E27FC236}">
              <a16:creationId xmlns:a16="http://schemas.microsoft.com/office/drawing/2014/main" id="{02305EE8-26B8-42F6-857F-FC36C21C1D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6" name="Elipse 1585">
          <a:extLst>
            <a:ext uri="{FF2B5EF4-FFF2-40B4-BE49-F238E27FC236}">
              <a16:creationId xmlns:a16="http://schemas.microsoft.com/office/drawing/2014/main" id="{910388AD-CD21-4434-916D-41160666EC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7" name="Elipse 1586">
          <a:extLst>
            <a:ext uri="{FF2B5EF4-FFF2-40B4-BE49-F238E27FC236}">
              <a16:creationId xmlns:a16="http://schemas.microsoft.com/office/drawing/2014/main" id="{C6C488C0-C59D-400D-95EE-F3C7BB0F33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8" name="Elipse 1587">
          <a:extLst>
            <a:ext uri="{FF2B5EF4-FFF2-40B4-BE49-F238E27FC236}">
              <a16:creationId xmlns:a16="http://schemas.microsoft.com/office/drawing/2014/main" id="{CE468ABA-F960-4166-9EE6-A76A90D516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89" name="Elipse 1588">
          <a:extLst>
            <a:ext uri="{FF2B5EF4-FFF2-40B4-BE49-F238E27FC236}">
              <a16:creationId xmlns:a16="http://schemas.microsoft.com/office/drawing/2014/main" id="{E6AE121D-4F74-4880-9A9B-DB8E7E0ACC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0" name="Elipse 1589">
          <a:extLst>
            <a:ext uri="{FF2B5EF4-FFF2-40B4-BE49-F238E27FC236}">
              <a16:creationId xmlns:a16="http://schemas.microsoft.com/office/drawing/2014/main" id="{D22CFD0A-EEC0-46FE-A96E-8723FD5784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1" name="Elipse 1590">
          <a:extLst>
            <a:ext uri="{FF2B5EF4-FFF2-40B4-BE49-F238E27FC236}">
              <a16:creationId xmlns:a16="http://schemas.microsoft.com/office/drawing/2014/main" id="{3EDD299B-A2EE-437B-BA22-C06D82085A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2" name="Elipse 1591">
          <a:extLst>
            <a:ext uri="{FF2B5EF4-FFF2-40B4-BE49-F238E27FC236}">
              <a16:creationId xmlns:a16="http://schemas.microsoft.com/office/drawing/2014/main" id="{8903D4B4-C025-4DA5-9E88-DE86B8CD82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3" name="Elipse 1592">
          <a:extLst>
            <a:ext uri="{FF2B5EF4-FFF2-40B4-BE49-F238E27FC236}">
              <a16:creationId xmlns:a16="http://schemas.microsoft.com/office/drawing/2014/main" id="{5BDCDD37-E558-4A3F-AB5E-3910AC6D07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4" name="Elipse 1593">
          <a:extLst>
            <a:ext uri="{FF2B5EF4-FFF2-40B4-BE49-F238E27FC236}">
              <a16:creationId xmlns:a16="http://schemas.microsoft.com/office/drawing/2014/main" id="{41737920-D5B9-41C8-927A-D53B1BA9EA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5" name="Elipse 1594">
          <a:extLst>
            <a:ext uri="{FF2B5EF4-FFF2-40B4-BE49-F238E27FC236}">
              <a16:creationId xmlns:a16="http://schemas.microsoft.com/office/drawing/2014/main" id="{0F9AED9E-5246-4734-A4CB-64402FD596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6" name="Elipse 1595">
          <a:extLst>
            <a:ext uri="{FF2B5EF4-FFF2-40B4-BE49-F238E27FC236}">
              <a16:creationId xmlns:a16="http://schemas.microsoft.com/office/drawing/2014/main" id="{7E1D5931-059F-4F7E-B7DD-DF13F1CA94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7" name="Elipse 1596">
          <a:extLst>
            <a:ext uri="{FF2B5EF4-FFF2-40B4-BE49-F238E27FC236}">
              <a16:creationId xmlns:a16="http://schemas.microsoft.com/office/drawing/2014/main" id="{FD5CF566-1519-48F2-AFB4-8273397092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8" name="Elipse 1597">
          <a:extLst>
            <a:ext uri="{FF2B5EF4-FFF2-40B4-BE49-F238E27FC236}">
              <a16:creationId xmlns:a16="http://schemas.microsoft.com/office/drawing/2014/main" id="{84FD7876-A653-48FD-81C1-4E5FD1A607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599" name="Elipse 1598">
          <a:extLst>
            <a:ext uri="{FF2B5EF4-FFF2-40B4-BE49-F238E27FC236}">
              <a16:creationId xmlns:a16="http://schemas.microsoft.com/office/drawing/2014/main" id="{2D0BDB3F-1836-426D-9564-3AF7D9837E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0" name="Elipse 1599">
          <a:extLst>
            <a:ext uri="{FF2B5EF4-FFF2-40B4-BE49-F238E27FC236}">
              <a16:creationId xmlns:a16="http://schemas.microsoft.com/office/drawing/2014/main" id="{BAA29453-1ECA-4967-AD15-CD3098D99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1" name="Elipse 1600">
          <a:extLst>
            <a:ext uri="{FF2B5EF4-FFF2-40B4-BE49-F238E27FC236}">
              <a16:creationId xmlns:a16="http://schemas.microsoft.com/office/drawing/2014/main" id="{2A60E4C1-E6E0-4437-8BF2-65F3354B2B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2" name="Elipse 1601">
          <a:extLst>
            <a:ext uri="{FF2B5EF4-FFF2-40B4-BE49-F238E27FC236}">
              <a16:creationId xmlns:a16="http://schemas.microsoft.com/office/drawing/2014/main" id="{A998D9C2-75C2-410E-85D8-D0D094C6F1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3" name="Elipse 1602">
          <a:extLst>
            <a:ext uri="{FF2B5EF4-FFF2-40B4-BE49-F238E27FC236}">
              <a16:creationId xmlns:a16="http://schemas.microsoft.com/office/drawing/2014/main" id="{005E928B-7F34-49B9-A1DB-95569D464E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4" name="Elipse 1603">
          <a:extLst>
            <a:ext uri="{FF2B5EF4-FFF2-40B4-BE49-F238E27FC236}">
              <a16:creationId xmlns:a16="http://schemas.microsoft.com/office/drawing/2014/main" id="{80AA42DE-41EE-47FB-B80C-B77C1AEFC2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5" name="Elipse 1604">
          <a:extLst>
            <a:ext uri="{FF2B5EF4-FFF2-40B4-BE49-F238E27FC236}">
              <a16:creationId xmlns:a16="http://schemas.microsoft.com/office/drawing/2014/main" id="{5E465932-8F40-4EEB-87C2-ED74B657DA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6" name="Elipse 1605">
          <a:extLst>
            <a:ext uri="{FF2B5EF4-FFF2-40B4-BE49-F238E27FC236}">
              <a16:creationId xmlns:a16="http://schemas.microsoft.com/office/drawing/2014/main" id="{443AC3DF-7AE4-4934-9E33-1434006031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7" name="Elipse 1606">
          <a:extLst>
            <a:ext uri="{FF2B5EF4-FFF2-40B4-BE49-F238E27FC236}">
              <a16:creationId xmlns:a16="http://schemas.microsoft.com/office/drawing/2014/main" id="{8D0EE7A4-4CC1-4A76-9769-B12CB413C0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8" name="Elipse 1607">
          <a:extLst>
            <a:ext uri="{FF2B5EF4-FFF2-40B4-BE49-F238E27FC236}">
              <a16:creationId xmlns:a16="http://schemas.microsoft.com/office/drawing/2014/main" id="{74390421-B1FA-494B-9EC5-D3BD2781F0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09" name="Elipse 1608">
          <a:extLst>
            <a:ext uri="{FF2B5EF4-FFF2-40B4-BE49-F238E27FC236}">
              <a16:creationId xmlns:a16="http://schemas.microsoft.com/office/drawing/2014/main" id="{A1FDC546-B390-48EC-A287-8F4FA69596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0" name="Elipse 1609">
          <a:extLst>
            <a:ext uri="{FF2B5EF4-FFF2-40B4-BE49-F238E27FC236}">
              <a16:creationId xmlns:a16="http://schemas.microsoft.com/office/drawing/2014/main" id="{B33D2A6E-36C1-4587-B216-135B3708A4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1" name="Elipse 1610">
          <a:extLst>
            <a:ext uri="{FF2B5EF4-FFF2-40B4-BE49-F238E27FC236}">
              <a16:creationId xmlns:a16="http://schemas.microsoft.com/office/drawing/2014/main" id="{811C2F4C-149B-4EAD-BB7D-44925EE0FE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2" name="Elipse 1611">
          <a:extLst>
            <a:ext uri="{FF2B5EF4-FFF2-40B4-BE49-F238E27FC236}">
              <a16:creationId xmlns:a16="http://schemas.microsoft.com/office/drawing/2014/main" id="{4679426E-926C-4C32-B146-4789B5F331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3" name="Elipse 1612">
          <a:extLst>
            <a:ext uri="{FF2B5EF4-FFF2-40B4-BE49-F238E27FC236}">
              <a16:creationId xmlns:a16="http://schemas.microsoft.com/office/drawing/2014/main" id="{FDD5F54A-5311-4990-A938-F3D0430CFD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4" name="Elipse 1613">
          <a:extLst>
            <a:ext uri="{FF2B5EF4-FFF2-40B4-BE49-F238E27FC236}">
              <a16:creationId xmlns:a16="http://schemas.microsoft.com/office/drawing/2014/main" id="{18339FC9-7762-454E-A023-1294A860F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5" name="Elipse 1614">
          <a:extLst>
            <a:ext uri="{FF2B5EF4-FFF2-40B4-BE49-F238E27FC236}">
              <a16:creationId xmlns:a16="http://schemas.microsoft.com/office/drawing/2014/main" id="{54AA25C0-224F-4C90-8818-8E1E835D9A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6" name="Elipse 1615">
          <a:extLst>
            <a:ext uri="{FF2B5EF4-FFF2-40B4-BE49-F238E27FC236}">
              <a16:creationId xmlns:a16="http://schemas.microsoft.com/office/drawing/2014/main" id="{D9D275BB-B9F9-46BC-9B42-E28E93684B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7" name="Elipse 1616">
          <a:extLst>
            <a:ext uri="{FF2B5EF4-FFF2-40B4-BE49-F238E27FC236}">
              <a16:creationId xmlns:a16="http://schemas.microsoft.com/office/drawing/2014/main" id="{D3B5BC96-EF01-47A6-BE80-1E62D55CAB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8" name="Elipse 1617">
          <a:extLst>
            <a:ext uri="{FF2B5EF4-FFF2-40B4-BE49-F238E27FC236}">
              <a16:creationId xmlns:a16="http://schemas.microsoft.com/office/drawing/2014/main" id="{67339B4E-6395-427F-B79A-E014E4D1B6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19" name="Elipse 1618">
          <a:extLst>
            <a:ext uri="{FF2B5EF4-FFF2-40B4-BE49-F238E27FC236}">
              <a16:creationId xmlns:a16="http://schemas.microsoft.com/office/drawing/2014/main" id="{0AB12381-03FC-47AB-B7A5-455019E681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0" name="Elipse 1619">
          <a:extLst>
            <a:ext uri="{FF2B5EF4-FFF2-40B4-BE49-F238E27FC236}">
              <a16:creationId xmlns:a16="http://schemas.microsoft.com/office/drawing/2014/main" id="{7F6D1937-6817-44F3-8BC8-035465124C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1" name="Elipse 1620">
          <a:extLst>
            <a:ext uri="{FF2B5EF4-FFF2-40B4-BE49-F238E27FC236}">
              <a16:creationId xmlns:a16="http://schemas.microsoft.com/office/drawing/2014/main" id="{A2B75279-35B8-4255-AF12-47E85D7E41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2" name="Elipse 1621">
          <a:extLst>
            <a:ext uri="{FF2B5EF4-FFF2-40B4-BE49-F238E27FC236}">
              <a16:creationId xmlns:a16="http://schemas.microsoft.com/office/drawing/2014/main" id="{A6BF96F6-F12B-49A7-8C66-550EC318E9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3" name="Elipse 1622">
          <a:extLst>
            <a:ext uri="{FF2B5EF4-FFF2-40B4-BE49-F238E27FC236}">
              <a16:creationId xmlns:a16="http://schemas.microsoft.com/office/drawing/2014/main" id="{965CF31C-241F-48B2-994D-B45A5FDDD0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4" name="Elipse 1623">
          <a:extLst>
            <a:ext uri="{FF2B5EF4-FFF2-40B4-BE49-F238E27FC236}">
              <a16:creationId xmlns:a16="http://schemas.microsoft.com/office/drawing/2014/main" id="{2B98747B-EB66-406F-884B-F905A2CCC3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5" name="Elipse 1624">
          <a:extLst>
            <a:ext uri="{FF2B5EF4-FFF2-40B4-BE49-F238E27FC236}">
              <a16:creationId xmlns:a16="http://schemas.microsoft.com/office/drawing/2014/main" id="{EEAD26D7-9214-4C9F-8946-0E2E1EFCD2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6" name="Elipse 1625">
          <a:extLst>
            <a:ext uri="{FF2B5EF4-FFF2-40B4-BE49-F238E27FC236}">
              <a16:creationId xmlns:a16="http://schemas.microsoft.com/office/drawing/2014/main" id="{6E8C10D4-5CFE-48F9-A241-6490D90243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7" name="Elipse 1626">
          <a:extLst>
            <a:ext uri="{FF2B5EF4-FFF2-40B4-BE49-F238E27FC236}">
              <a16:creationId xmlns:a16="http://schemas.microsoft.com/office/drawing/2014/main" id="{9B6328D4-7423-40EE-BA05-9319F688C8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8" name="Elipse 1627">
          <a:extLst>
            <a:ext uri="{FF2B5EF4-FFF2-40B4-BE49-F238E27FC236}">
              <a16:creationId xmlns:a16="http://schemas.microsoft.com/office/drawing/2014/main" id="{3F7DC7D5-95F6-45CD-AEB8-E5D26C5240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29" name="Elipse 1628">
          <a:extLst>
            <a:ext uri="{FF2B5EF4-FFF2-40B4-BE49-F238E27FC236}">
              <a16:creationId xmlns:a16="http://schemas.microsoft.com/office/drawing/2014/main" id="{D79D41BD-2C81-4515-9938-961B096A42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0" name="Elipse 1629">
          <a:extLst>
            <a:ext uri="{FF2B5EF4-FFF2-40B4-BE49-F238E27FC236}">
              <a16:creationId xmlns:a16="http://schemas.microsoft.com/office/drawing/2014/main" id="{4C0CC782-2363-444D-BE61-7559BD524B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1" name="Elipse 1630">
          <a:extLst>
            <a:ext uri="{FF2B5EF4-FFF2-40B4-BE49-F238E27FC236}">
              <a16:creationId xmlns:a16="http://schemas.microsoft.com/office/drawing/2014/main" id="{103337F6-C5BA-4E0D-8E0A-3A2BCCA792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2" name="Elipse 1631">
          <a:extLst>
            <a:ext uri="{FF2B5EF4-FFF2-40B4-BE49-F238E27FC236}">
              <a16:creationId xmlns:a16="http://schemas.microsoft.com/office/drawing/2014/main" id="{2E6888AD-43B9-46C8-9033-42C87AA3FF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3" name="Elipse 1632">
          <a:extLst>
            <a:ext uri="{FF2B5EF4-FFF2-40B4-BE49-F238E27FC236}">
              <a16:creationId xmlns:a16="http://schemas.microsoft.com/office/drawing/2014/main" id="{1F4498CF-7CA5-48D4-AE31-8CF771BFC4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4" name="Elipse 1633">
          <a:extLst>
            <a:ext uri="{FF2B5EF4-FFF2-40B4-BE49-F238E27FC236}">
              <a16:creationId xmlns:a16="http://schemas.microsoft.com/office/drawing/2014/main" id="{B7C0080D-40F5-4D2D-AC6C-B57247E6E0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5" name="Elipse 1634">
          <a:extLst>
            <a:ext uri="{FF2B5EF4-FFF2-40B4-BE49-F238E27FC236}">
              <a16:creationId xmlns:a16="http://schemas.microsoft.com/office/drawing/2014/main" id="{4331FD49-C09D-41BF-B772-12549DA9E8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6" name="Elipse 1635">
          <a:extLst>
            <a:ext uri="{FF2B5EF4-FFF2-40B4-BE49-F238E27FC236}">
              <a16:creationId xmlns:a16="http://schemas.microsoft.com/office/drawing/2014/main" id="{85493AAA-3BEB-4058-AFC8-981F897601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7" name="Elipse 1636">
          <a:extLst>
            <a:ext uri="{FF2B5EF4-FFF2-40B4-BE49-F238E27FC236}">
              <a16:creationId xmlns:a16="http://schemas.microsoft.com/office/drawing/2014/main" id="{2CDA5A63-29C7-4413-8483-C2E776DF63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8" name="Elipse 1637">
          <a:extLst>
            <a:ext uri="{FF2B5EF4-FFF2-40B4-BE49-F238E27FC236}">
              <a16:creationId xmlns:a16="http://schemas.microsoft.com/office/drawing/2014/main" id="{1C60FCF9-EF98-4737-B817-CE31D2E733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39" name="Elipse 1638">
          <a:extLst>
            <a:ext uri="{FF2B5EF4-FFF2-40B4-BE49-F238E27FC236}">
              <a16:creationId xmlns:a16="http://schemas.microsoft.com/office/drawing/2014/main" id="{61FBECCE-D683-4F10-9AF6-8457D696FA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0" name="Elipse 1639">
          <a:extLst>
            <a:ext uri="{FF2B5EF4-FFF2-40B4-BE49-F238E27FC236}">
              <a16:creationId xmlns:a16="http://schemas.microsoft.com/office/drawing/2014/main" id="{63B30FD6-779F-484B-8699-CA1709B803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1" name="Elipse 1640">
          <a:extLst>
            <a:ext uri="{FF2B5EF4-FFF2-40B4-BE49-F238E27FC236}">
              <a16:creationId xmlns:a16="http://schemas.microsoft.com/office/drawing/2014/main" id="{CAAFD81D-3381-4661-8DA4-DE57320F10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2" name="Elipse 1641">
          <a:extLst>
            <a:ext uri="{FF2B5EF4-FFF2-40B4-BE49-F238E27FC236}">
              <a16:creationId xmlns:a16="http://schemas.microsoft.com/office/drawing/2014/main" id="{945A80B1-D08D-4331-AFB9-2D959D6D64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3" name="Elipse 1642">
          <a:extLst>
            <a:ext uri="{FF2B5EF4-FFF2-40B4-BE49-F238E27FC236}">
              <a16:creationId xmlns:a16="http://schemas.microsoft.com/office/drawing/2014/main" id="{124018FB-F2E8-4254-AD98-6D13F9591C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4" name="Elipse 1643">
          <a:extLst>
            <a:ext uri="{FF2B5EF4-FFF2-40B4-BE49-F238E27FC236}">
              <a16:creationId xmlns:a16="http://schemas.microsoft.com/office/drawing/2014/main" id="{B4A3B520-D4C4-4C90-9FF3-087F59BDCD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5" name="Elipse 1644">
          <a:extLst>
            <a:ext uri="{FF2B5EF4-FFF2-40B4-BE49-F238E27FC236}">
              <a16:creationId xmlns:a16="http://schemas.microsoft.com/office/drawing/2014/main" id="{CFD848C3-AEF0-4CB8-B732-C4D8FFEF9B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6" name="Elipse 1645">
          <a:extLst>
            <a:ext uri="{FF2B5EF4-FFF2-40B4-BE49-F238E27FC236}">
              <a16:creationId xmlns:a16="http://schemas.microsoft.com/office/drawing/2014/main" id="{19DCBCF1-9D24-4099-8E64-B120341855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7" name="Elipse 1646">
          <a:extLst>
            <a:ext uri="{FF2B5EF4-FFF2-40B4-BE49-F238E27FC236}">
              <a16:creationId xmlns:a16="http://schemas.microsoft.com/office/drawing/2014/main" id="{12BC6B77-BE5B-4632-9A88-430426644A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8" name="Elipse 1647">
          <a:extLst>
            <a:ext uri="{FF2B5EF4-FFF2-40B4-BE49-F238E27FC236}">
              <a16:creationId xmlns:a16="http://schemas.microsoft.com/office/drawing/2014/main" id="{061D8160-4D61-4377-BA9C-1A205AB0CC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49" name="Elipse 1648">
          <a:extLst>
            <a:ext uri="{FF2B5EF4-FFF2-40B4-BE49-F238E27FC236}">
              <a16:creationId xmlns:a16="http://schemas.microsoft.com/office/drawing/2014/main" id="{AE4ABA75-FBC6-4EA6-BAA6-F5FAFC5D02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0" name="Elipse 1649">
          <a:extLst>
            <a:ext uri="{FF2B5EF4-FFF2-40B4-BE49-F238E27FC236}">
              <a16:creationId xmlns:a16="http://schemas.microsoft.com/office/drawing/2014/main" id="{0386188F-8D8E-4DA8-B0C4-4853988E3A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1" name="Elipse 1650">
          <a:extLst>
            <a:ext uri="{FF2B5EF4-FFF2-40B4-BE49-F238E27FC236}">
              <a16:creationId xmlns:a16="http://schemas.microsoft.com/office/drawing/2014/main" id="{D88288D9-1661-497D-BF1B-5A38911E19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2" name="Elipse 1651">
          <a:extLst>
            <a:ext uri="{FF2B5EF4-FFF2-40B4-BE49-F238E27FC236}">
              <a16:creationId xmlns:a16="http://schemas.microsoft.com/office/drawing/2014/main" id="{E1EA895F-13E4-43AF-AA57-F5588D5EAC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3" name="Elipse 1652">
          <a:extLst>
            <a:ext uri="{FF2B5EF4-FFF2-40B4-BE49-F238E27FC236}">
              <a16:creationId xmlns:a16="http://schemas.microsoft.com/office/drawing/2014/main" id="{B291F0B7-199C-4EB7-BCA6-1D1C23D767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4" name="Elipse 1653">
          <a:extLst>
            <a:ext uri="{FF2B5EF4-FFF2-40B4-BE49-F238E27FC236}">
              <a16:creationId xmlns:a16="http://schemas.microsoft.com/office/drawing/2014/main" id="{7631B123-68AD-43CF-9047-9253CD0320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5" name="Elipse 1654">
          <a:extLst>
            <a:ext uri="{FF2B5EF4-FFF2-40B4-BE49-F238E27FC236}">
              <a16:creationId xmlns:a16="http://schemas.microsoft.com/office/drawing/2014/main" id="{C3081901-1E38-43E4-A48C-54DD4B8F3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6" name="Elipse 1655">
          <a:extLst>
            <a:ext uri="{FF2B5EF4-FFF2-40B4-BE49-F238E27FC236}">
              <a16:creationId xmlns:a16="http://schemas.microsoft.com/office/drawing/2014/main" id="{462AA18B-0F6F-4661-A329-EF588F2D67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7" name="Elipse 1656">
          <a:extLst>
            <a:ext uri="{FF2B5EF4-FFF2-40B4-BE49-F238E27FC236}">
              <a16:creationId xmlns:a16="http://schemas.microsoft.com/office/drawing/2014/main" id="{7CFC8894-B168-4449-A580-7183A9C48F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8" name="Elipse 1657">
          <a:extLst>
            <a:ext uri="{FF2B5EF4-FFF2-40B4-BE49-F238E27FC236}">
              <a16:creationId xmlns:a16="http://schemas.microsoft.com/office/drawing/2014/main" id="{680A4087-30C5-4ED7-926A-721C132CD4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59" name="Elipse 1658">
          <a:extLst>
            <a:ext uri="{FF2B5EF4-FFF2-40B4-BE49-F238E27FC236}">
              <a16:creationId xmlns:a16="http://schemas.microsoft.com/office/drawing/2014/main" id="{0811064E-AF03-4102-BEAC-C35E11833A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0" name="Elipse 1659">
          <a:extLst>
            <a:ext uri="{FF2B5EF4-FFF2-40B4-BE49-F238E27FC236}">
              <a16:creationId xmlns:a16="http://schemas.microsoft.com/office/drawing/2014/main" id="{F776A92E-B36C-41C3-BC8C-E8385DA4EA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1" name="Elipse 1660">
          <a:extLst>
            <a:ext uri="{FF2B5EF4-FFF2-40B4-BE49-F238E27FC236}">
              <a16:creationId xmlns:a16="http://schemas.microsoft.com/office/drawing/2014/main" id="{E662CAFC-E82F-4329-BA58-FB4C500BEE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2" name="Elipse 1661">
          <a:extLst>
            <a:ext uri="{FF2B5EF4-FFF2-40B4-BE49-F238E27FC236}">
              <a16:creationId xmlns:a16="http://schemas.microsoft.com/office/drawing/2014/main" id="{484DEE04-A8AE-4A91-AA2F-F0CCFF2C9B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3" name="Elipse 1662">
          <a:extLst>
            <a:ext uri="{FF2B5EF4-FFF2-40B4-BE49-F238E27FC236}">
              <a16:creationId xmlns:a16="http://schemas.microsoft.com/office/drawing/2014/main" id="{B02B9A59-5202-4880-A91B-6F5E7E1FF5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4" name="Elipse 1663">
          <a:extLst>
            <a:ext uri="{FF2B5EF4-FFF2-40B4-BE49-F238E27FC236}">
              <a16:creationId xmlns:a16="http://schemas.microsoft.com/office/drawing/2014/main" id="{A2585FAF-3498-421F-B5C4-DE20B01DB8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5" name="Elipse 1664">
          <a:extLst>
            <a:ext uri="{FF2B5EF4-FFF2-40B4-BE49-F238E27FC236}">
              <a16:creationId xmlns:a16="http://schemas.microsoft.com/office/drawing/2014/main" id="{AE532D3C-6181-481C-BC61-BDC638B5F4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6" name="Elipse 1665">
          <a:extLst>
            <a:ext uri="{FF2B5EF4-FFF2-40B4-BE49-F238E27FC236}">
              <a16:creationId xmlns:a16="http://schemas.microsoft.com/office/drawing/2014/main" id="{241E7413-96E3-4974-9C21-587BE6B387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7" name="Elipse 1666">
          <a:extLst>
            <a:ext uri="{FF2B5EF4-FFF2-40B4-BE49-F238E27FC236}">
              <a16:creationId xmlns:a16="http://schemas.microsoft.com/office/drawing/2014/main" id="{C87AD38A-4599-45F6-B2CD-D136BA01D2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8" name="Elipse 1667">
          <a:extLst>
            <a:ext uri="{FF2B5EF4-FFF2-40B4-BE49-F238E27FC236}">
              <a16:creationId xmlns:a16="http://schemas.microsoft.com/office/drawing/2014/main" id="{2ECE50A2-3295-4AFD-B2EE-373B532237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69" name="Elipse 1668">
          <a:extLst>
            <a:ext uri="{FF2B5EF4-FFF2-40B4-BE49-F238E27FC236}">
              <a16:creationId xmlns:a16="http://schemas.microsoft.com/office/drawing/2014/main" id="{8BC5DE23-B173-4DAB-B87B-5A60029D69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0" name="Elipse 1669">
          <a:extLst>
            <a:ext uri="{FF2B5EF4-FFF2-40B4-BE49-F238E27FC236}">
              <a16:creationId xmlns:a16="http://schemas.microsoft.com/office/drawing/2014/main" id="{B9114D34-7B6D-4CD3-9B17-5662A1DA6C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1" name="Elipse 1670">
          <a:extLst>
            <a:ext uri="{FF2B5EF4-FFF2-40B4-BE49-F238E27FC236}">
              <a16:creationId xmlns:a16="http://schemas.microsoft.com/office/drawing/2014/main" id="{54492444-3627-4AC1-8A23-35E6B714B0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2" name="Elipse 1671">
          <a:extLst>
            <a:ext uri="{FF2B5EF4-FFF2-40B4-BE49-F238E27FC236}">
              <a16:creationId xmlns:a16="http://schemas.microsoft.com/office/drawing/2014/main" id="{1146EEEB-EEC3-434F-BDE5-14731F2604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3" name="Elipse 1672">
          <a:extLst>
            <a:ext uri="{FF2B5EF4-FFF2-40B4-BE49-F238E27FC236}">
              <a16:creationId xmlns:a16="http://schemas.microsoft.com/office/drawing/2014/main" id="{C6FB4858-5B92-439A-B35D-D2C8D6BD90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4" name="Elipse 1673">
          <a:extLst>
            <a:ext uri="{FF2B5EF4-FFF2-40B4-BE49-F238E27FC236}">
              <a16:creationId xmlns:a16="http://schemas.microsoft.com/office/drawing/2014/main" id="{A69D9487-128B-415E-A7EB-5918AD8CCB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5" name="Elipse 1674">
          <a:extLst>
            <a:ext uri="{FF2B5EF4-FFF2-40B4-BE49-F238E27FC236}">
              <a16:creationId xmlns:a16="http://schemas.microsoft.com/office/drawing/2014/main" id="{B3667C68-95A0-40E0-8596-E23A1037A4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6" name="Elipse 1675">
          <a:extLst>
            <a:ext uri="{FF2B5EF4-FFF2-40B4-BE49-F238E27FC236}">
              <a16:creationId xmlns:a16="http://schemas.microsoft.com/office/drawing/2014/main" id="{199DD358-BA3A-4B66-B489-EC508D2A5F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7" name="Elipse 1676">
          <a:extLst>
            <a:ext uri="{FF2B5EF4-FFF2-40B4-BE49-F238E27FC236}">
              <a16:creationId xmlns:a16="http://schemas.microsoft.com/office/drawing/2014/main" id="{89A74B9D-6F1D-4EC7-94FD-4A4CDECC4C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8" name="Elipse 1677">
          <a:extLst>
            <a:ext uri="{FF2B5EF4-FFF2-40B4-BE49-F238E27FC236}">
              <a16:creationId xmlns:a16="http://schemas.microsoft.com/office/drawing/2014/main" id="{86F3B5D1-3B65-4865-B8F6-A930F85BBC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79" name="Elipse 1678">
          <a:extLst>
            <a:ext uri="{FF2B5EF4-FFF2-40B4-BE49-F238E27FC236}">
              <a16:creationId xmlns:a16="http://schemas.microsoft.com/office/drawing/2014/main" id="{B0B628E5-A7D2-474D-88EB-4B59BBAA45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0" name="Elipse 1679">
          <a:extLst>
            <a:ext uri="{FF2B5EF4-FFF2-40B4-BE49-F238E27FC236}">
              <a16:creationId xmlns:a16="http://schemas.microsoft.com/office/drawing/2014/main" id="{C3711061-A1A5-45B0-B6E4-C4E3E104EC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1" name="Elipse 1680">
          <a:extLst>
            <a:ext uri="{FF2B5EF4-FFF2-40B4-BE49-F238E27FC236}">
              <a16:creationId xmlns:a16="http://schemas.microsoft.com/office/drawing/2014/main" id="{70786CFE-7E9A-4156-9FF2-FEA8F074FC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2" name="Elipse 1681">
          <a:extLst>
            <a:ext uri="{FF2B5EF4-FFF2-40B4-BE49-F238E27FC236}">
              <a16:creationId xmlns:a16="http://schemas.microsoft.com/office/drawing/2014/main" id="{0FC95A0C-74E9-473A-8AED-9CC699EAB1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3" name="Elipse 1682">
          <a:extLst>
            <a:ext uri="{FF2B5EF4-FFF2-40B4-BE49-F238E27FC236}">
              <a16:creationId xmlns:a16="http://schemas.microsoft.com/office/drawing/2014/main" id="{92929C44-16F6-4F94-AD94-D358FFCB50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4" name="Elipse 1683">
          <a:extLst>
            <a:ext uri="{FF2B5EF4-FFF2-40B4-BE49-F238E27FC236}">
              <a16:creationId xmlns:a16="http://schemas.microsoft.com/office/drawing/2014/main" id="{35676205-5F5F-4E35-BDC3-EFF553664B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5" name="Elipse 1684">
          <a:extLst>
            <a:ext uri="{FF2B5EF4-FFF2-40B4-BE49-F238E27FC236}">
              <a16:creationId xmlns:a16="http://schemas.microsoft.com/office/drawing/2014/main" id="{760888F5-9644-46BD-AAD5-AAD714BD2B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6" name="Elipse 1685">
          <a:extLst>
            <a:ext uri="{FF2B5EF4-FFF2-40B4-BE49-F238E27FC236}">
              <a16:creationId xmlns:a16="http://schemas.microsoft.com/office/drawing/2014/main" id="{1A22C9AE-B4DD-45A7-B281-FE691D5312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7" name="Elipse 1686">
          <a:extLst>
            <a:ext uri="{FF2B5EF4-FFF2-40B4-BE49-F238E27FC236}">
              <a16:creationId xmlns:a16="http://schemas.microsoft.com/office/drawing/2014/main" id="{22C347B3-2067-4C77-B1DB-9E4EB8BF88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8" name="Elipse 1687">
          <a:extLst>
            <a:ext uri="{FF2B5EF4-FFF2-40B4-BE49-F238E27FC236}">
              <a16:creationId xmlns:a16="http://schemas.microsoft.com/office/drawing/2014/main" id="{0472D172-FDE2-4F2C-A7EA-ABB09C6A21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89" name="Elipse 1688">
          <a:extLst>
            <a:ext uri="{FF2B5EF4-FFF2-40B4-BE49-F238E27FC236}">
              <a16:creationId xmlns:a16="http://schemas.microsoft.com/office/drawing/2014/main" id="{F626A785-6C7C-4DFD-8968-0BAF725E2C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0" name="Elipse 1689">
          <a:extLst>
            <a:ext uri="{FF2B5EF4-FFF2-40B4-BE49-F238E27FC236}">
              <a16:creationId xmlns:a16="http://schemas.microsoft.com/office/drawing/2014/main" id="{4A46017E-DC20-43B0-9A38-3D2F3EA86B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1" name="Elipse 1690">
          <a:extLst>
            <a:ext uri="{FF2B5EF4-FFF2-40B4-BE49-F238E27FC236}">
              <a16:creationId xmlns:a16="http://schemas.microsoft.com/office/drawing/2014/main" id="{C11345F5-C16A-40D5-B2CF-14C798EAA2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2" name="Elipse 1691">
          <a:extLst>
            <a:ext uri="{FF2B5EF4-FFF2-40B4-BE49-F238E27FC236}">
              <a16:creationId xmlns:a16="http://schemas.microsoft.com/office/drawing/2014/main" id="{5F07AE2C-532E-4D76-9816-C08CEFAC8E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3" name="Elipse 1692">
          <a:extLst>
            <a:ext uri="{FF2B5EF4-FFF2-40B4-BE49-F238E27FC236}">
              <a16:creationId xmlns:a16="http://schemas.microsoft.com/office/drawing/2014/main" id="{192E07DE-65CA-43BF-8E36-B748C6607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4" name="Elipse 1693">
          <a:extLst>
            <a:ext uri="{FF2B5EF4-FFF2-40B4-BE49-F238E27FC236}">
              <a16:creationId xmlns:a16="http://schemas.microsoft.com/office/drawing/2014/main" id="{8DE5952F-074A-4D12-980D-8EBF0FD8E7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5" name="Elipse 1694">
          <a:extLst>
            <a:ext uri="{FF2B5EF4-FFF2-40B4-BE49-F238E27FC236}">
              <a16:creationId xmlns:a16="http://schemas.microsoft.com/office/drawing/2014/main" id="{4F27CC2A-A69A-49C5-9684-91D5C8B6BB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6" name="Elipse 1695">
          <a:extLst>
            <a:ext uri="{FF2B5EF4-FFF2-40B4-BE49-F238E27FC236}">
              <a16:creationId xmlns:a16="http://schemas.microsoft.com/office/drawing/2014/main" id="{6C166F4A-01B3-48D1-9707-6F7116258D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7" name="Elipse 1696">
          <a:extLst>
            <a:ext uri="{FF2B5EF4-FFF2-40B4-BE49-F238E27FC236}">
              <a16:creationId xmlns:a16="http://schemas.microsoft.com/office/drawing/2014/main" id="{57CDCDC8-C371-493E-B1A3-B124B99849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8" name="Elipse 1697">
          <a:extLst>
            <a:ext uri="{FF2B5EF4-FFF2-40B4-BE49-F238E27FC236}">
              <a16:creationId xmlns:a16="http://schemas.microsoft.com/office/drawing/2014/main" id="{9F599F34-C1DA-40D2-BA4F-98F599EC7A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699" name="Elipse 1698">
          <a:extLst>
            <a:ext uri="{FF2B5EF4-FFF2-40B4-BE49-F238E27FC236}">
              <a16:creationId xmlns:a16="http://schemas.microsoft.com/office/drawing/2014/main" id="{5F6E34A7-0A19-4ACD-A663-4FB4BF94FB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0" name="Elipse 1699">
          <a:extLst>
            <a:ext uri="{FF2B5EF4-FFF2-40B4-BE49-F238E27FC236}">
              <a16:creationId xmlns:a16="http://schemas.microsoft.com/office/drawing/2014/main" id="{4509955C-91C1-4847-9716-0408F76715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1" name="Elipse 1700">
          <a:extLst>
            <a:ext uri="{FF2B5EF4-FFF2-40B4-BE49-F238E27FC236}">
              <a16:creationId xmlns:a16="http://schemas.microsoft.com/office/drawing/2014/main" id="{8EDF22EA-34E1-4EF1-84CB-5B631C3A28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2" name="Elipse 1701">
          <a:extLst>
            <a:ext uri="{FF2B5EF4-FFF2-40B4-BE49-F238E27FC236}">
              <a16:creationId xmlns:a16="http://schemas.microsoft.com/office/drawing/2014/main" id="{6D1FB19F-98E7-44CF-A385-5EB6816A38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3" name="Elipse 1702">
          <a:extLst>
            <a:ext uri="{FF2B5EF4-FFF2-40B4-BE49-F238E27FC236}">
              <a16:creationId xmlns:a16="http://schemas.microsoft.com/office/drawing/2014/main" id="{194A3A3E-4C5A-488E-9B32-DA020ED224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4" name="Elipse 1703">
          <a:extLst>
            <a:ext uri="{FF2B5EF4-FFF2-40B4-BE49-F238E27FC236}">
              <a16:creationId xmlns:a16="http://schemas.microsoft.com/office/drawing/2014/main" id="{B68B6982-F87C-4EF9-8807-6B71BBF56E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5" name="Elipse 1704">
          <a:extLst>
            <a:ext uri="{FF2B5EF4-FFF2-40B4-BE49-F238E27FC236}">
              <a16:creationId xmlns:a16="http://schemas.microsoft.com/office/drawing/2014/main" id="{0D9AE08D-C1A4-4159-A1BB-9F0FF76DC6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6" name="Elipse 1705">
          <a:extLst>
            <a:ext uri="{FF2B5EF4-FFF2-40B4-BE49-F238E27FC236}">
              <a16:creationId xmlns:a16="http://schemas.microsoft.com/office/drawing/2014/main" id="{23073ADD-5F5A-43AF-958C-D773D0A86D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7" name="Elipse 1706">
          <a:extLst>
            <a:ext uri="{FF2B5EF4-FFF2-40B4-BE49-F238E27FC236}">
              <a16:creationId xmlns:a16="http://schemas.microsoft.com/office/drawing/2014/main" id="{E86B2879-9FCD-442A-AAE7-84007AC588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8" name="Elipse 1707">
          <a:extLst>
            <a:ext uri="{FF2B5EF4-FFF2-40B4-BE49-F238E27FC236}">
              <a16:creationId xmlns:a16="http://schemas.microsoft.com/office/drawing/2014/main" id="{716C08B7-28FF-4AFC-AAB0-1DA88D8173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09" name="Elipse 1708">
          <a:extLst>
            <a:ext uri="{FF2B5EF4-FFF2-40B4-BE49-F238E27FC236}">
              <a16:creationId xmlns:a16="http://schemas.microsoft.com/office/drawing/2014/main" id="{1230A85F-6940-419E-8A2C-C1EDADCB3F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0" name="Elipse 1709">
          <a:extLst>
            <a:ext uri="{FF2B5EF4-FFF2-40B4-BE49-F238E27FC236}">
              <a16:creationId xmlns:a16="http://schemas.microsoft.com/office/drawing/2014/main" id="{51C35EA5-9717-4717-A220-5B8BADA89C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1" name="Elipse 1710">
          <a:extLst>
            <a:ext uri="{FF2B5EF4-FFF2-40B4-BE49-F238E27FC236}">
              <a16:creationId xmlns:a16="http://schemas.microsoft.com/office/drawing/2014/main" id="{2593164C-B35A-42F6-A454-71B760F7C0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2" name="Elipse 1711">
          <a:extLst>
            <a:ext uri="{FF2B5EF4-FFF2-40B4-BE49-F238E27FC236}">
              <a16:creationId xmlns:a16="http://schemas.microsoft.com/office/drawing/2014/main" id="{39DBC604-49CD-4A34-931C-56679104BD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3" name="Elipse 1712">
          <a:extLst>
            <a:ext uri="{FF2B5EF4-FFF2-40B4-BE49-F238E27FC236}">
              <a16:creationId xmlns:a16="http://schemas.microsoft.com/office/drawing/2014/main" id="{7583DB3E-7B05-4C18-9BE6-C472B435A5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4" name="Elipse 1713">
          <a:extLst>
            <a:ext uri="{FF2B5EF4-FFF2-40B4-BE49-F238E27FC236}">
              <a16:creationId xmlns:a16="http://schemas.microsoft.com/office/drawing/2014/main" id="{B5E28983-9F91-4515-B507-68342F09B6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5" name="Elipse 1714">
          <a:extLst>
            <a:ext uri="{FF2B5EF4-FFF2-40B4-BE49-F238E27FC236}">
              <a16:creationId xmlns:a16="http://schemas.microsoft.com/office/drawing/2014/main" id="{2A454DCB-077C-4DE3-8A39-314278EAEE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6" name="Elipse 1715">
          <a:extLst>
            <a:ext uri="{FF2B5EF4-FFF2-40B4-BE49-F238E27FC236}">
              <a16:creationId xmlns:a16="http://schemas.microsoft.com/office/drawing/2014/main" id="{CAB36762-401B-4D34-8C53-F254D0EBDD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7" name="Elipse 1716">
          <a:extLst>
            <a:ext uri="{FF2B5EF4-FFF2-40B4-BE49-F238E27FC236}">
              <a16:creationId xmlns:a16="http://schemas.microsoft.com/office/drawing/2014/main" id="{6990D606-98B0-4ECA-AF2F-70CB9E8C72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8" name="Elipse 1717">
          <a:extLst>
            <a:ext uri="{FF2B5EF4-FFF2-40B4-BE49-F238E27FC236}">
              <a16:creationId xmlns:a16="http://schemas.microsoft.com/office/drawing/2014/main" id="{BA3801FF-1C2F-4E2D-8558-DF87D1B776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19" name="Elipse 1718">
          <a:extLst>
            <a:ext uri="{FF2B5EF4-FFF2-40B4-BE49-F238E27FC236}">
              <a16:creationId xmlns:a16="http://schemas.microsoft.com/office/drawing/2014/main" id="{88468814-82D2-4D59-AA86-31951FBBE6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0" name="Elipse 1719">
          <a:extLst>
            <a:ext uri="{FF2B5EF4-FFF2-40B4-BE49-F238E27FC236}">
              <a16:creationId xmlns:a16="http://schemas.microsoft.com/office/drawing/2014/main" id="{01CC037D-8893-4926-89A1-F4D86490A8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1" name="Elipse 1720">
          <a:extLst>
            <a:ext uri="{FF2B5EF4-FFF2-40B4-BE49-F238E27FC236}">
              <a16:creationId xmlns:a16="http://schemas.microsoft.com/office/drawing/2014/main" id="{1B43DCCD-1CBA-4115-A8A8-DA13EBDF02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2" name="Elipse 1721">
          <a:extLst>
            <a:ext uri="{FF2B5EF4-FFF2-40B4-BE49-F238E27FC236}">
              <a16:creationId xmlns:a16="http://schemas.microsoft.com/office/drawing/2014/main" id="{ADF28E3D-9D2D-4693-97CF-1A4EEE156B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3" name="Elipse 1722">
          <a:extLst>
            <a:ext uri="{FF2B5EF4-FFF2-40B4-BE49-F238E27FC236}">
              <a16:creationId xmlns:a16="http://schemas.microsoft.com/office/drawing/2014/main" id="{6FD71AC6-BC40-457B-8B4B-9583189446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4" name="Elipse 1723">
          <a:extLst>
            <a:ext uri="{FF2B5EF4-FFF2-40B4-BE49-F238E27FC236}">
              <a16:creationId xmlns:a16="http://schemas.microsoft.com/office/drawing/2014/main" id="{800E55AC-9339-4F13-85E5-F40701D161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5" name="Elipse 1724">
          <a:extLst>
            <a:ext uri="{FF2B5EF4-FFF2-40B4-BE49-F238E27FC236}">
              <a16:creationId xmlns:a16="http://schemas.microsoft.com/office/drawing/2014/main" id="{04ED1DEA-16B0-4385-8FD7-9D9CB98A3B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6" name="Elipse 1725">
          <a:extLst>
            <a:ext uri="{FF2B5EF4-FFF2-40B4-BE49-F238E27FC236}">
              <a16:creationId xmlns:a16="http://schemas.microsoft.com/office/drawing/2014/main" id="{15A36626-8B9F-48CA-8691-67DBC23EDF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7" name="Elipse 1726">
          <a:extLst>
            <a:ext uri="{FF2B5EF4-FFF2-40B4-BE49-F238E27FC236}">
              <a16:creationId xmlns:a16="http://schemas.microsoft.com/office/drawing/2014/main" id="{03D3283C-1C0D-462E-93FD-5DBD4C17C6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8" name="Elipse 1727">
          <a:extLst>
            <a:ext uri="{FF2B5EF4-FFF2-40B4-BE49-F238E27FC236}">
              <a16:creationId xmlns:a16="http://schemas.microsoft.com/office/drawing/2014/main" id="{692D879B-C541-45D4-A408-D68B9D4B2F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29" name="Elipse 1728">
          <a:extLst>
            <a:ext uri="{FF2B5EF4-FFF2-40B4-BE49-F238E27FC236}">
              <a16:creationId xmlns:a16="http://schemas.microsoft.com/office/drawing/2014/main" id="{E1937F27-0EFB-486F-99D3-188650C41F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0" name="Elipse 1729">
          <a:extLst>
            <a:ext uri="{FF2B5EF4-FFF2-40B4-BE49-F238E27FC236}">
              <a16:creationId xmlns:a16="http://schemas.microsoft.com/office/drawing/2014/main" id="{A6E75F09-9C03-48AD-873C-E8ED6A39B3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1" name="Elipse 1730">
          <a:extLst>
            <a:ext uri="{FF2B5EF4-FFF2-40B4-BE49-F238E27FC236}">
              <a16:creationId xmlns:a16="http://schemas.microsoft.com/office/drawing/2014/main" id="{18120A21-0445-4362-85E7-590E2EA385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2" name="Elipse 1731">
          <a:extLst>
            <a:ext uri="{FF2B5EF4-FFF2-40B4-BE49-F238E27FC236}">
              <a16:creationId xmlns:a16="http://schemas.microsoft.com/office/drawing/2014/main" id="{9B4C676F-3A57-49A3-AB84-11164C7396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3" name="Elipse 1732">
          <a:extLst>
            <a:ext uri="{FF2B5EF4-FFF2-40B4-BE49-F238E27FC236}">
              <a16:creationId xmlns:a16="http://schemas.microsoft.com/office/drawing/2014/main" id="{58D0D15C-2771-43F5-A239-58FC987C4A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4" name="Elipse 1733">
          <a:extLst>
            <a:ext uri="{FF2B5EF4-FFF2-40B4-BE49-F238E27FC236}">
              <a16:creationId xmlns:a16="http://schemas.microsoft.com/office/drawing/2014/main" id="{BB8FE3BC-5FAA-4D82-B418-AA517F8526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5" name="Elipse 1734">
          <a:extLst>
            <a:ext uri="{FF2B5EF4-FFF2-40B4-BE49-F238E27FC236}">
              <a16:creationId xmlns:a16="http://schemas.microsoft.com/office/drawing/2014/main" id="{C3A8A22B-6F2B-4BE2-9485-FC7B95B8F4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6" name="Elipse 1735">
          <a:extLst>
            <a:ext uri="{FF2B5EF4-FFF2-40B4-BE49-F238E27FC236}">
              <a16:creationId xmlns:a16="http://schemas.microsoft.com/office/drawing/2014/main" id="{30FA1BE4-EC54-4273-B7FD-B16FBDE1CE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7" name="Elipse 1736">
          <a:extLst>
            <a:ext uri="{FF2B5EF4-FFF2-40B4-BE49-F238E27FC236}">
              <a16:creationId xmlns:a16="http://schemas.microsoft.com/office/drawing/2014/main" id="{59B377E1-4152-4CA7-9D5B-875FC34AE5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8" name="Elipse 1737">
          <a:extLst>
            <a:ext uri="{FF2B5EF4-FFF2-40B4-BE49-F238E27FC236}">
              <a16:creationId xmlns:a16="http://schemas.microsoft.com/office/drawing/2014/main" id="{3E0117D0-1947-4DD2-BA0D-83D42CEDC4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39" name="Elipse 1738">
          <a:extLst>
            <a:ext uri="{FF2B5EF4-FFF2-40B4-BE49-F238E27FC236}">
              <a16:creationId xmlns:a16="http://schemas.microsoft.com/office/drawing/2014/main" id="{FBA6C40D-304B-4679-A51D-5A09DD172E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0" name="Elipse 1739">
          <a:extLst>
            <a:ext uri="{FF2B5EF4-FFF2-40B4-BE49-F238E27FC236}">
              <a16:creationId xmlns:a16="http://schemas.microsoft.com/office/drawing/2014/main" id="{3E4CE2C6-314B-4492-A467-4308B94D3D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1" name="Elipse 1740">
          <a:extLst>
            <a:ext uri="{FF2B5EF4-FFF2-40B4-BE49-F238E27FC236}">
              <a16:creationId xmlns:a16="http://schemas.microsoft.com/office/drawing/2014/main" id="{9B89A825-2212-42DC-849D-CCECC6A7C2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2" name="Elipse 1741">
          <a:extLst>
            <a:ext uri="{FF2B5EF4-FFF2-40B4-BE49-F238E27FC236}">
              <a16:creationId xmlns:a16="http://schemas.microsoft.com/office/drawing/2014/main" id="{DACBB683-0149-463C-9C4B-E7B93CA393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3" name="Elipse 1742">
          <a:extLst>
            <a:ext uri="{FF2B5EF4-FFF2-40B4-BE49-F238E27FC236}">
              <a16:creationId xmlns:a16="http://schemas.microsoft.com/office/drawing/2014/main" id="{0C7825FA-A9C0-476A-86AA-F7F8951C34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4" name="Elipse 1743">
          <a:extLst>
            <a:ext uri="{FF2B5EF4-FFF2-40B4-BE49-F238E27FC236}">
              <a16:creationId xmlns:a16="http://schemas.microsoft.com/office/drawing/2014/main" id="{1ABD9205-E388-463B-A496-9F63EFAF5A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5" name="Elipse 1744">
          <a:extLst>
            <a:ext uri="{FF2B5EF4-FFF2-40B4-BE49-F238E27FC236}">
              <a16:creationId xmlns:a16="http://schemas.microsoft.com/office/drawing/2014/main" id="{14132EC9-DB7D-486E-8FAF-E2661CAAE4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6" name="Elipse 1745">
          <a:extLst>
            <a:ext uri="{FF2B5EF4-FFF2-40B4-BE49-F238E27FC236}">
              <a16:creationId xmlns:a16="http://schemas.microsoft.com/office/drawing/2014/main" id="{3A04FD78-4096-43E8-A8BB-7CA3EF58BB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7" name="Elipse 1746">
          <a:extLst>
            <a:ext uri="{FF2B5EF4-FFF2-40B4-BE49-F238E27FC236}">
              <a16:creationId xmlns:a16="http://schemas.microsoft.com/office/drawing/2014/main" id="{6C939BC3-3E3F-4AFB-9FB1-10BE8A5D44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8" name="Elipse 1747">
          <a:extLst>
            <a:ext uri="{FF2B5EF4-FFF2-40B4-BE49-F238E27FC236}">
              <a16:creationId xmlns:a16="http://schemas.microsoft.com/office/drawing/2014/main" id="{67D6ABFF-AAFE-4755-86CC-DF8D4A1633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49" name="Elipse 1748">
          <a:extLst>
            <a:ext uri="{FF2B5EF4-FFF2-40B4-BE49-F238E27FC236}">
              <a16:creationId xmlns:a16="http://schemas.microsoft.com/office/drawing/2014/main" id="{A354957D-7B4C-446B-BB4E-174773E368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0" name="Elipse 1749">
          <a:extLst>
            <a:ext uri="{FF2B5EF4-FFF2-40B4-BE49-F238E27FC236}">
              <a16:creationId xmlns:a16="http://schemas.microsoft.com/office/drawing/2014/main" id="{5D9A7859-CDDF-4684-B953-14CEC4DF52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1" name="Elipse 1750">
          <a:extLst>
            <a:ext uri="{FF2B5EF4-FFF2-40B4-BE49-F238E27FC236}">
              <a16:creationId xmlns:a16="http://schemas.microsoft.com/office/drawing/2014/main" id="{288F53E9-761E-49DA-8D10-317CEA887A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2" name="Elipse 1751">
          <a:extLst>
            <a:ext uri="{FF2B5EF4-FFF2-40B4-BE49-F238E27FC236}">
              <a16:creationId xmlns:a16="http://schemas.microsoft.com/office/drawing/2014/main" id="{179560D9-820A-46F9-98B5-2562B0CE44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3" name="Elipse 1752">
          <a:extLst>
            <a:ext uri="{FF2B5EF4-FFF2-40B4-BE49-F238E27FC236}">
              <a16:creationId xmlns:a16="http://schemas.microsoft.com/office/drawing/2014/main" id="{D1A03082-9CAF-4E78-99E3-4DEEEEC48D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4" name="Elipse 1753">
          <a:extLst>
            <a:ext uri="{FF2B5EF4-FFF2-40B4-BE49-F238E27FC236}">
              <a16:creationId xmlns:a16="http://schemas.microsoft.com/office/drawing/2014/main" id="{0FA1B8CB-6013-4A63-9625-19C62F8AEC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5" name="Elipse 1754">
          <a:extLst>
            <a:ext uri="{FF2B5EF4-FFF2-40B4-BE49-F238E27FC236}">
              <a16:creationId xmlns:a16="http://schemas.microsoft.com/office/drawing/2014/main" id="{C2FB655C-1496-4BDD-9EB4-6E6C9337B5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6" name="Elipse 1755">
          <a:extLst>
            <a:ext uri="{FF2B5EF4-FFF2-40B4-BE49-F238E27FC236}">
              <a16:creationId xmlns:a16="http://schemas.microsoft.com/office/drawing/2014/main" id="{247530B9-2F21-406B-BDA7-96E7AC87A9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7" name="Elipse 1756">
          <a:extLst>
            <a:ext uri="{FF2B5EF4-FFF2-40B4-BE49-F238E27FC236}">
              <a16:creationId xmlns:a16="http://schemas.microsoft.com/office/drawing/2014/main" id="{70909CAB-7082-4250-83D6-E8503472E0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8" name="Elipse 1757">
          <a:extLst>
            <a:ext uri="{FF2B5EF4-FFF2-40B4-BE49-F238E27FC236}">
              <a16:creationId xmlns:a16="http://schemas.microsoft.com/office/drawing/2014/main" id="{F1BE1671-B550-40B4-9A6C-5F4758F66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59" name="Elipse 1758">
          <a:extLst>
            <a:ext uri="{FF2B5EF4-FFF2-40B4-BE49-F238E27FC236}">
              <a16:creationId xmlns:a16="http://schemas.microsoft.com/office/drawing/2014/main" id="{940E236D-2154-49BB-ADB1-56FCBF63F6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0" name="Elipse 1759">
          <a:extLst>
            <a:ext uri="{FF2B5EF4-FFF2-40B4-BE49-F238E27FC236}">
              <a16:creationId xmlns:a16="http://schemas.microsoft.com/office/drawing/2014/main" id="{BE83F8DA-3391-4769-A977-A05CF99668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1" name="Elipse 1760">
          <a:extLst>
            <a:ext uri="{FF2B5EF4-FFF2-40B4-BE49-F238E27FC236}">
              <a16:creationId xmlns:a16="http://schemas.microsoft.com/office/drawing/2014/main" id="{AF120FDC-D8B2-4132-9C83-CEE59B23F1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2" name="Elipse 1761">
          <a:extLst>
            <a:ext uri="{FF2B5EF4-FFF2-40B4-BE49-F238E27FC236}">
              <a16:creationId xmlns:a16="http://schemas.microsoft.com/office/drawing/2014/main" id="{D42216E4-B20A-4AEA-A1FE-BD5659DCCF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3" name="Elipse 1762">
          <a:extLst>
            <a:ext uri="{FF2B5EF4-FFF2-40B4-BE49-F238E27FC236}">
              <a16:creationId xmlns:a16="http://schemas.microsoft.com/office/drawing/2014/main" id="{E4FA7ED5-E436-48FF-9254-EB4CDA2E57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4" name="Elipse 1763">
          <a:extLst>
            <a:ext uri="{FF2B5EF4-FFF2-40B4-BE49-F238E27FC236}">
              <a16:creationId xmlns:a16="http://schemas.microsoft.com/office/drawing/2014/main" id="{6B595089-6011-41F0-929B-2F96BBBD34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5" name="Elipse 1764">
          <a:extLst>
            <a:ext uri="{FF2B5EF4-FFF2-40B4-BE49-F238E27FC236}">
              <a16:creationId xmlns:a16="http://schemas.microsoft.com/office/drawing/2014/main" id="{8268C795-80EF-45FD-B1A0-458FB1546D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6" name="Elipse 1765">
          <a:extLst>
            <a:ext uri="{FF2B5EF4-FFF2-40B4-BE49-F238E27FC236}">
              <a16:creationId xmlns:a16="http://schemas.microsoft.com/office/drawing/2014/main" id="{31FBCCF2-B9A4-481E-BCE4-6993637F17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7" name="Elipse 1766">
          <a:extLst>
            <a:ext uri="{FF2B5EF4-FFF2-40B4-BE49-F238E27FC236}">
              <a16:creationId xmlns:a16="http://schemas.microsoft.com/office/drawing/2014/main" id="{5C77BF49-448B-470E-B4C1-AE03D0D39B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8" name="Elipse 1767">
          <a:extLst>
            <a:ext uri="{FF2B5EF4-FFF2-40B4-BE49-F238E27FC236}">
              <a16:creationId xmlns:a16="http://schemas.microsoft.com/office/drawing/2014/main" id="{3864896A-97F6-41FE-B577-9BEB333B17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69" name="Elipse 1768">
          <a:extLst>
            <a:ext uri="{FF2B5EF4-FFF2-40B4-BE49-F238E27FC236}">
              <a16:creationId xmlns:a16="http://schemas.microsoft.com/office/drawing/2014/main" id="{8F78AEDE-1FD6-43C8-AF64-9B8242EDAA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0" name="Elipse 1769">
          <a:extLst>
            <a:ext uri="{FF2B5EF4-FFF2-40B4-BE49-F238E27FC236}">
              <a16:creationId xmlns:a16="http://schemas.microsoft.com/office/drawing/2014/main" id="{34DEEE54-AB3E-4C34-9116-3E32175D85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1" name="Elipse 1770">
          <a:extLst>
            <a:ext uri="{FF2B5EF4-FFF2-40B4-BE49-F238E27FC236}">
              <a16:creationId xmlns:a16="http://schemas.microsoft.com/office/drawing/2014/main" id="{BFCB31B1-5BBF-4C01-80AE-1676D4E5A6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2" name="Elipse 1771">
          <a:extLst>
            <a:ext uri="{FF2B5EF4-FFF2-40B4-BE49-F238E27FC236}">
              <a16:creationId xmlns:a16="http://schemas.microsoft.com/office/drawing/2014/main" id="{65F567C7-D3D3-438B-BC63-A2E68BB502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3" name="Elipse 1772">
          <a:extLst>
            <a:ext uri="{FF2B5EF4-FFF2-40B4-BE49-F238E27FC236}">
              <a16:creationId xmlns:a16="http://schemas.microsoft.com/office/drawing/2014/main" id="{984B3CFA-EE1D-4727-8C95-5BB16254CF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4" name="Elipse 1773">
          <a:extLst>
            <a:ext uri="{FF2B5EF4-FFF2-40B4-BE49-F238E27FC236}">
              <a16:creationId xmlns:a16="http://schemas.microsoft.com/office/drawing/2014/main" id="{6C9391ED-67C1-4EFC-8236-18FC0B1346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5" name="Elipse 1774">
          <a:extLst>
            <a:ext uri="{FF2B5EF4-FFF2-40B4-BE49-F238E27FC236}">
              <a16:creationId xmlns:a16="http://schemas.microsoft.com/office/drawing/2014/main" id="{34D98E88-BC21-4743-991F-89F42163FD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6" name="Elipse 1775">
          <a:extLst>
            <a:ext uri="{FF2B5EF4-FFF2-40B4-BE49-F238E27FC236}">
              <a16:creationId xmlns:a16="http://schemas.microsoft.com/office/drawing/2014/main" id="{90FA18A1-151E-42C5-BF02-F041A8139E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7" name="Elipse 1776">
          <a:extLst>
            <a:ext uri="{FF2B5EF4-FFF2-40B4-BE49-F238E27FC236}">
              <a16:creationId xmlns:a16="http://schemas.microsoft.com/office/drawing/2014/main" id="{A9174CA2-2A47-4F93-99A7-124797DDB9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8" name="Elipse 1777">
          <a:extLst>
            <a:ext uri="{FF2B5EF4-FFF2-40B4-BE49-F238E27FC236}">
              <a16:creationId xmlns:a16="http://schemas.microsoft.com/office/drawing/2014/main" id="{88BC5A85-9954-4945-AAB8-74DB1F8517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79" name="Elipse 1778">
          <a:extLst>
            <a:ext uri="{FF2B5EF4-FFF2-40B4-BE49-F238E27FC236}">
              <a16:creationId xmlns:a16="http://schemas.microsoft.com/office/drawing/2014/main" id="{8A70D241-B0F9-42EE-AAFE-EB1AA8542C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0" name="Elipse 1779">
          <a:extLst>
            <a:ext uri="{FF2B5EF4-FFF2-40B4-BE49-F238E27FC236}">
              <a16:creationId xmlns:a16="http://schemas.microsoft.com/office/drawing/2014/main" id="{C88665C0-01AB-4386-8D4E-BF78FEF728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1" name="Elipse 1780">
          <a:extLst>
            <a:ext uri="{FF2B5EF4-FFF2-40B4-BE49-F238E27FC236}">
              <a16:creationId xmlns:a16="http://schemas.microsoft.com/office/drawing/2014/main" id="{FDCE7DB0-C76B-4C89-A185-EFB6B855B3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2" name="Elipse 1781">
          <a:extLst>
            <a:ext uri="{FF2B5EF4-FFF2-40B4-BE49-F238E27FC236}">
              <a16:creationId xmlns:a16="http://schemas.microsoft.com/office/drawing/2014/main" id="{65138FBE-FAFF-4B59-AF89-395DFDF6F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3" name="Elipse 1782">
          <a:extLst>
            <a:ext uri="{FF2B5EF4-FFF2-40B4-BE49-F238E27FC236}">
              <a16:creationId xmlns:a16="http://schemas.microsoft.com/office/drawing/2014/main" id="{F4CE6A06-09D3-45DA-B4E7-514B36F23E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4" name="Elipse 1783">
          <a:extLst>
            <a:ext uri="{FF2B5EF4-FFF2-40B4-BE49-F238E27FC236}">
              <a16:creationId xmlns:a16="http://schemas.microsoft.com/office/drawing/2014/main" id="{6DAD575C-A4D6-4C9D-95D5-C33556AF71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5" name="Elipse 1784">
          <a:extLst>
            <a:ext uri="{FF2B5EF4-FFF2-40B4-BE49-F238E27FC236}">
              <a16:creationId xmlns:a16="http://schemas.microsoft.com/office/drawing/2014/main" id="{46CEA882-7021-4A3E-9154-18A377ECAC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6" name="Elipse 1785">
          <a:extLst>
            <a:ext uri="{FF2B5EF4-FFF2-40B4-BE49-F238E27FC236}">
              <a16:creationId xmlns:a16="http://schemas.microsoft.com/office/drawing/2014/main" id="{ABCF4350-44B3-47E0-906E-17E4611E9E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7" name="Elipse 1786">
          <a:extLst>
            <a:ext uri="{FF2B5EF4-FFF2-40B4-BE49-F238E27FC236}">
              <a16:creationId xmlns:a16="http://schemas.microsoft.com/office/drawing/2014/main" id="{F0006110-ACD0-4F02-9104-163E9E79B0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8" name="Elipse 1787">
          <a:extLst>
            <a:ext uri="{FF2B5EF4-FFF2-40B4-BE49-F238E27FC236}">
              <a16:creationId xmlns:a16="http://schemas.microsoft.com/office/drawing/2014/main" id="{ADF0E2D0-4BD3-4392-A65B-EE03FF6966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89" name="Elipse 1788">
          <a:extLst>
            <a:ext uri="{FF2B5EF4-FFF2-40B4-BE49-F238E27FC236}">
              <a16:creationId xmlns:a16="http://schemas.microsoft.com/office/drawing/2014/main" id="{23F85A7E-482F-4024-93A0-08B452D857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0" name="Elipse 1789">
          <a:extLst>
            <a:ext uri="{FF2B5EF4-FFF2-40B4-BE49-F238E27FC236}">
              <a16:creationId xmlns:a16="http://schemas.microsoft.com/office/drawing/2014/main" id="{143DDB87-8D51-4617-86D6-7E5C02C6C4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1" name="Elipse 1790">
          <a:extLst>
            <a:ext uri="{FF2B5EF4-FFF2-40B4-BE49-F238E27FC236}">
              <a16:creationId xmlns:a16="http://schemas.microsoft.com/office/drawing/2014/main" id="{19590FF9-71EA-4E8E-BC99-718F3627B6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2" name="Elipse 1791">
          <a:extLst>
            <a:ext uri="{FF2B5EF4-FFF2-40B4-BE49-F238E27FC236}">
              <a16:creationId xmlns:a16="http://schemas.microsoft.com/office/drawing/2014/main" id="{0947A772-ECDD-4D14-9563-61B75D9EDC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3" name="Elipse 1792">
          <a:extLst>
            <a:ext uri="{FF2B5EF4-FFF2-40B4-BE49-F238E27FC236}">
              <a16:creationId xmlns:a16="http://schemas.microsoft.com/office/drawing/2014/main" id="{F07B9D04-6468-4C28-B62A-6A2E74318B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4" name="Elipse 1793">
          <a:extLst>
            <a:ext uri="{FF2B5EF4-FFF2-40B4-BE49-F238E27FC236}">
              <a16:creationId xmlns:a16="http://schemas.microsoft.com/office/drawing/2014/main" id="{3E78D6F6-6542-4AA4-B1E7-B7AD7338A0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5" name="Elipse 1794">
          <a:extLst>
            <a:ext uri="{FF2B5EF4-FFF2-40B4-BE49-F238E27FC236}">
              <a16:creationId xmlns:a16="http://schemas.microsoft.com/office/drawing/2014/main" id="{341F934C-2866-4CBF-A5F9-0C3F6B0FCA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6" name="Elipse 1795">
          <a:extLst>
            <a:ext uri="{FF2B5EF4-FFF2-40B4-BE49-F238E27FC236}">
              <a16:creationId xmlns:a16="http://schemas.microsoft.com/office/drawing/2014/main" id="{1F278BD5-2E27-442B-87FA-76ACF9A03D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7" name="Elipse 1796">
          <a:extLst>
            <a:ext uri="{FF2B5EF4-FFF2-40B4-BE49-F238E27FC236}">
              <a16:creationId xmlns:a16="http://schemas.microsoft.com/office/drawing/2014/main" id="{33C16E32-BECE-439E-A720-6598A4340F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8" name="Elipse 1797">
          <a:extLst>
            <a:ext uri="{FF2B5EF4-FFF2-40B4-BE49-F238E27FC236}">
              <a16:creationId xmlns:a16="http://schemas.microsoft.com/office/drawing/2014/main" id="{E02C8B5D-617A-4944-BC78-66598AAD19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799" name="Elipse 1798">
          <a:extLst>
            <a:ext uri="{FF2B5EF4-FFF2-40B4-BE49-F238E27FC236}">
              <a16:creationId xmlns:a16="http://schemas.microsoft.com/office/drawing/2014/main" id="{409A864B-1754-4744-9B2C-954B6D2583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0" name="Elipse 1799">
          <a:extLst>
            <a:ext uri="{FF2B5EF4-FFF2-40B4-BE49-F238E27FC236}">
              <a16:creationId xmlns:a16="http://schemas.microsoft.com/office/drawing/2014/main" id="{5A1489F3-9819-416A-A6A3-1E809A30D4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1" name="Elipse 1800">
          <a:extLst>
            <a:ext uri="{FF2B5EF4-FFF2-40B4-BE49-F238E27FC236}">
              <a16:creationId xmlns:a16="http://schemas.microsoft.com/office/drawing/2014/main" id="{9CA40B9D-0AAD-453C-8B5E-28269F603B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2" name="Elipse 1801">
          <a:extLst>
            <a:ext uri="{FF2B5EF4-FFF2-40B4-BE49-F238E27FC236}">
              <a16:creationId xmlns:a16="http://schemas.microsoft.com/office/drawing/2014/main" id="{5763B9AE-087E-40BA-AA5C-FF319E906A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3" name="Elipse 1802">
          <a:extLst>
            <a:ext uri="{FF2B5EF4-FFF2-40B4-BE49-F238E27FC236}">
              <a16:creationId xmlns:a16="http://schemas.microsoft.com/office/drawing/2014/main" id="{D3C7F5D6-1B66-427D-9B28-0DF257CBC5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4" name="Elipse 1803">
          <a:extLst>
            <a:ext uri="{FF2B5EF4-FFF2-40B4-BE49-F238E27FC236}">
              <a16:creationId xmlns:a16="http://schemas.microsoft.com/office/drawing/2014/main" id="{772A8164-0FD4-45C9-886D-7F4D0667C0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5" name="Elipse 1804">
          <a:extLst>
            <a:ext uri="{FF2B5EF4-FFF2-40B4-BE49-F238E27FC236}">
              <a16:creationId xmlns:a16="http://schemas.microsoft.com/office/drawing/2014/main" id="{FBCDC45E-8561-41A7-9718-6BB90FB6E3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6" name="Elipse 1805">
          <a:extLst>
            <a:ext uri="{FF2B5EF4-FFF2-40B4-BE49-F238E27FC236}">
              <a16:creationId xmlns:a16="http://schemas.microsoft.com/office/drawing/2014/main" id="{62766569-8B7C-48C6-B4B2-87C9904A43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7" name="Elipse 1806">
          <a:extLst>
            <a:ext uri="{FF2B5EF4-FFF2-40B4-BE49-F238E27FC236}">
              <a16:creationId xmlns:a16="http://schemas.microsoft.com/office/drawing/2014/main" id="{F91A8A26-2C3F-40D8-A032-A828F1E1B2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8" name="Elipse 1807">
          <a:extLst>
            <a:ext uri="{FF2B5EF4-FFF2-40B4-BE49-F238E27FC236}">
              <a16:creationId xmlns:a16="http://schemas.microsoft.com/office/drawing/2014/main" id="{4EF058BA-8C3A-4146-A614-479572B7E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09" name="Elipse 1808">
          <a:extLst>
            <a:ext uri="{FF2B5EF4-FFF2-40B4-BE49-F238E27FC236}">
              <a16:creationId xmlns:a16="http://schemas.microsoft.com/office/drawing/2014/main" id="{C77D8621-2AE3-40C8-8ADC-06A75AC238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0" name="Elipse 1809">
          <a:extLst>
            <a:ext uri="{FF2B5EF4-FFF2-40B4-BE49-F238E27FC236}">
              <a16:creationId xmlns:a16="http://schemas.microsoft.com/office/drawing/2014/main" id="{716D6C14-DFF6-4B46-8433-B16F2CC244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1" name="Elipse 1810">
          <a:extLst>
            <a:ext uri="{FF2B5EF4-FFF2-40B4-BE49-F238E27FC236}">
              <a16:creationId xmlns:a16="http://schemas.microsoft.com/office/drawing/2014/main" id="{7B2985B9-4DD4-4150-944C-E5A4EEC4A5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2" name="Elipse 1811">
          <a:extLst>
            <a:ext uri="{FF2B5EF4-FFF2-40B4-BE49-F238E27FC236}">
              <a16:creationId xmlns:a16="http://schemas.microsoft.com/office/drawing/2014/main" id="{0B5F0567-0688-42CF-8520-A27ED29F5E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3" name="Elipse 1812">
          <a:extLst>
            <a:ext uri="{FF2B5EF4-FFF2-40B4-BE49-F238E27FC236}">
              <a16:creationId xmlns:a16="http://schemas.microsoft.com/office/drawing/2014/main" id="{34926631-1151-4C2B-8DA7-D23CA494F9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4" name="Elipse 1813">
          <a:extLst>
            <a:ext uri="{FF2B5EF4-FFF2-40B4-BE49-F238E27FC236}">
              <a16:creationId xmlns:a16="http://schemas.microsoft.com/office/drawing/2014/main" id="{DFE69240-2DD5-4891-9A02-093BA9345C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5" name="Elipse 1814">
          <a:extLst>
            <a:ext uri="{FF2B5EF4-FFF2-40B4-BE49-F238E27FC236}">
              <a16:creationId xmlns:a16="http://schemas.microsoft.com/office/drawing/2014/main" id="{910FDBC6-99D8-44D8-A2A7-E1769D905C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6" name="Elipse 1815">
          <a:extLst>
            <a:ext uri="{FF2B5EF4-FFF2-40B4-BE49-F238E27FC236}">
              <a16:creationId xmlns:a16="http://schemas.microsoft.com/office/drawing/2014/main" id="{FAA1FBFB-5412-4074-84E8-27A58CB82B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7" name="Elipse 1816">
          <a:extLst>
            <a:ext uri="{FF2B5EF4-FFF2-40B4-BE49-F238E27FC236}">
              <a16:creationId xmlns:a16="http://schemas.microsoft.com/office/drawing/2014/main" id="{7C092F8F-4D25-42CE-A8AF-20EE7FBA8E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8" name="Elipse 1817">
          <a:extLst>
            <a:ext uri="{FF2B5EF4-FFF2-40B4-BE49-F238E27FC236}">
              <a16:creationId xmlns:a16="http://schemas.microsoft.com/office/drawing/2014/main" id="{FED42C70-6EA0-4D23-B2FB-8DEBB4ABEC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19" name="Elipse 1818">
          <a:extLst>
            <a:ext uri="{FF2B5EF4-FFF2-40B4-BE49-F238E27FC236}">
              <a16:creationId xmlns:a16="http://schemas.microsoft.com/office/drawing/2014/main" id="{73CD8D7A-050C-4EA0-AA57-CC750012D7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0" name="Elipse 1819">
          <a:extLst>
            <a:ext uri="{FF2B5EF4-FFF2-40B4-BE49-F238E27FC236}">
              <a16:creationId xmlns:a16="http://schemas.microsoft.com/office/drawing/2014/main" id="{02325E56-3622-4900-9AEC-83318C8772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1" name="Elipse 1820">
          <a:extLst>
            <a:ext uri="{FF2B5EF4-FFF2-40B4-BE49-F238E27FC236}">
              <a16:creationId xmlns:a16="http://schemas.microsoft.com/office/drawing/2014/main" id="{4B5F525A-D588-45FC-B04E-26B5709CB3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2" name="Elipse 1821">
          <a:extLst>
            <a:ext uri="{FF2B5EF4-FFF2-40B4-BE49-F238E27FC236}">
              <a16:creationId xmlns:a16="http://schemas.microsoft.com/office/drawing/2014/main" id="{FFEF6184-EF48-47BC-B5D6-18DBFCA610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3" name="Elipse 1822">
          <a:extLst>
            <a:ext uri="{FF2B5EF4-FFF2-40B4-BE49-F238E27FC236}">
              <a16:creationId xmlns:a16="http://schemas.microsoft.com/office/drawing/2014/main" id="{FACDC158-5260-44AC-A487-4396755891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4" name="Elipse 1823">
          <a:extLst>
            <a:ext uri="{FF2B5EF4-FFF2-40B4-BE49-F238E27FC236}">
              <a16:creationId xmlns:a16="http://schemas.microsoft.com/office/drawing/2014/main" id="{838FC19A-3E25-4D16-BBE2-5082BF77D5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5" name="Elipse 1824">
          <a:extLst>
            <a:ext uri="{FF2B5EF4-FFF2-40B4-BE49-F238E27FC236}">
              <a16:creationId xmlns:a16="http://schemas.microsoft.com/office/drawing/2014/main" id="{718E176D-CACE-4BC5-9BC5-F998D05E72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6" name="Elipse 1825">
          <a:extLst>
            <a:ext uri="{FF2B5EF4-FFF2-40B4-BE49-F238E27FC236}">
              <a16:creationId xmlns:a16="http://schemas.microsoft.com/office/drawing/2014/main" id="{565D70D4-38F3-4CAE-AA7C-0033A06CF2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7" name="Elipse 1826">
          <a:extLst>
            <a:ext uri="{FF2B5EF4-FFF2-40B4-BE49-F238E27FC236}">
              <a16:creationId xmlns:a16="http://schemas.microsoft.com/office/drawing/2014/main" id="{D316A98A-95F6-4F91-B525-6F632FD89D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8" name="Elipse 1827">
          <a:extLst>
            <a:ext uri="{FF2B5EF4-FFF2-40B4-BE49-F238E27FC236}">
              <a16:creationId xmlns:a16="http://schemas.microsoft.com/office/drawing/2014/main" id="{8E392608-C8EC-4E25-B8CE-F5661E4B2D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29" name="Elipse 1828">
          <a:extLst>
            <a:ext uri="{FF2B5EF4-FFF2-40B4-BE49-F238E27FC236}">
              <a16:creationId xmlns:a16="http://schemas.microsoft.com/office/drawing/2014/main" id="{2927209B-4DE2-4E18-9159-4FA3547B8C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0" name="Elipse 1829">
          <a:extLst>
            <a:ext uri="{FF2B5EF4-FFF2-40B4-BE49-F238E27FC236}">
              <a16:creationId xmlns:a16="http://schemas.microsoft.com/office/drawing/2014/main" id="{6721684C-885A-485F-9F79-09FC873697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1" name="Elipse 1830">
          <a:extLst>
            <a:ext uri="{FF2B5EF4-FFF2-40B4-BE49-F238E27FC236}">
              <a16:creationId xmlns:a16="http://schemas.microsoft.com/office/drawing/2014/main" id="{B3338458-5C7A-453F-B08A-0768272A28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2" name="Elipse 1831">
          <a:extLst>
            <a:ext uri="{FF2B5EF4-FFF2-40B4-BE49-F238E27FC236}">
              <a16:creationId xmlns:a16="http://schemas.microsoft.com/office/drawing/2014/main" id="{73957386-8810-4A4B-AD76-1AA2B03F72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3" name="Elipse 1832">
          <a:extLst>
            <a:ext uri="{FF2B5EF4-FFF2-40B4-BE49-F238E27FC236}">
              <a16:creationId xmlns:a16="http://schemas.microsoft.com/office/drawing/2014/main" id="{B2C8F753-8CEC-421B-BC54-CC0AA5CCCA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4" name="Elipse 1833">
          <a:extLst>
            <a:ext uri="{FF2B5EF4-FFF2-40B4-BE49-F238E27FC236}">
              <a16:creationId xmlns:a16="http://schemas.microsoft.com/office/drawing/2014/main" id="{5E760D67-5BB4-4C05-B01A-83694AFE8F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5" name="Elipse 1834">
          <a:extLst>
            <a:ext uri="{FF2B5EF4-FFF2-40B4-BE49-F238E27FC236}">
              <a16:creationId xmlns:a16="http://schemas.microsoft.com/office/drawing/2014/main" id="{544ED517-3769-4020-B178-56ABAD899C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6" name="Elipse 1835">
          <a:extLst>
            <a:ext uri="{FF2B5EF4-FFF2-40B4-BE49-F238E27FC236}">
              <a16:creationId xmlns:a16="http://schemas.microsoft.com/office/drawing/2014/main" id="{10B57495-5193-4C0E-863B-8F7A37FC73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7" name="Elipse 1836">
          <a:extLst>
            <a:ext uri="{FF2B5EF4-FFF2-40B4-BE49-F238E27FC236}">
              <a16:creationId xmlns:a16="http://schemas.microsoft.com/office/drawing/2014/main" id="{D5591DFB-5C4A-4F31-85CC-E07D0346D5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8" name="Elipse 1837">
          <a:extLst>
            <a:ext uri="{FF2B5EF4-FFF2-40B4-BE49-F238E27FC236}">
              <a16:creationId xmlns:a16="http://schemas.microsoft.com/office/drawing/2014/main" id="{A7A7E0BF-B5BD-455F-ABDB-BFDD1F30AC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39" name="Elipse 1838">
          <a:extLst>
            <a:ext uri="{FF2B5EF4-FFF2-40B4-BE49-F238E27FC236}">
              <a16:creationId xmlns:a16="http://schemas.microsoft.com/office/drawing/2014/main" id="{07C7600E-D9ED-4992-8229-29F52E8435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0" name="Elipse 1839">
          <a:extLst>
            <a:ext uri="{FF2B5EF4-FFF2-40B4-BE49-F238E27FC236}">
              <a16:creationId xmlns:a16="http://schemas.microsoft.com/office/drawing/2014/main" id="{D74A669F-09E8-43F9-BAF1-E09C65A544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1" name="Elipse 1840">
          <a:extLst>
            <a:ext uri="{FF2B5EF4-FFF2-40B4-BE49-F238E27FC236}">
              <a16:creationId xmlns:a16="http://schemas.microsoft.com/office/drawing/2014/main" id="{F12D9314-3D9D-495B-975E-EF0A79981F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2" name="Elipse 1841">
          <a:extLst>
            <a:ext uri="{FF2B5EF4-FFF2-40B4-BE49-F238E27FC236}">
              <a16:creationId xmlns:a16="http://schemas.microsoft.com/office/drawing/2014/main" id="{CAD22BE9-E6F1-48D6-9A9A-5CFE68B4B9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3" name="Elipse 1842">
          <a:extLst>
            <a:ext uri="{FF2B5EF4-FFF2-40B4-BE49-F238E27FC236}">
              <a16:creationId xmlns:a16="http://schemas.microsoft.com/office/drawing/2014/main" id="{DF5A3DDC-ACB6-4038-8598-577BEC5417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4" name="Elipse 1843">
          <a:extLst>
            <a:ext uri="{FF2B5EF4-FFF2-40B4-BE49-F238E27FC236}">
              <a16:creationId xmlns:a16="http://schemas.microsoft.com/office/drawing/2014/main" id="{6B433A93-2051-46CA-9748-FC8D55C0F5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5" name="Elipse 1844">
          <a:extLst>
            <a:ext uri="{FF2B5EF4-FFF2-40B4-BE49-F238E27FC236}">
              <a16:creationId xmlns:a16="http://schemas.microsoft.com/office/drawing/2014/main" id="{BF4C900B-969C-4437-8B31-31EA898B14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6" name="Elipse 1845">
          <a:extLst>
            <a:ext uri="{FF2B5EF4-FFF2-40B4-BE49-F238E27FC236}">
              <a16:creationId xmlns:a16="http://schemas.microsoft.com/office/drawing/2014/main" id="{0CF38680-E9C2-4008-A7EC-E9D69ED07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7" name="Elipse 1846">
          <a:extLst>
            <a:ext uri="{FF2B5EF4-FFF2-40B4-BE49-F238E27FC236}">
              <a16:creationId xmlns:a16="http://schemas.microsoft.com/office/drawing/2014/main" id="{79F40A1F-244E-4290-87F2-45BA058F9F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8" name="Elipse 1847">
          <a:extLst>
            <a:ext uri="{FF2B5EF4-FFF2-40B4-BE49-F238E27FC236}">
              <a16:creationId xmlns:a16="http://schemas.microsoft.com/office/drawing/2014/main" id="{13ABE1F2-B624-4DA7-810E-21EF1C0E9E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49" name="Elipse 1848">
          <a:extLst>
            <a:ext uri="{FF2B5EF4-FFF2-40B4-BE49-F238E27FC236}">
              <a16:creationId xmlns:a16="http://schemas.microsoft.com/office/drawing/2014/main" id="{674097C5-1C62-430C-A052-7D979486AF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0" name="Elipse 1849">
          <a:extLst>
            <a:ext uri="{FF2B5EF4-FFF2-40B4-BE49-F238E27FC236}">
              <a16:creationId xmlns:a16="http://schemas.microsoft.com/office/drawing/2014/main" id="{648A6E36-7E02-4078-B582-22243DFA53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1" name="Elipse 1850">
          <a:extLst>
            <a:ext uri="{FF2B5EF4-FFF2-40B4-BE49-F238E27FC236}">
              <a16:creationId xmlns:a16="http://schemas.microsoft.com/office/drawing/2014/main" id="{74F99407-7AA5-4AD3-BCDB-E6730CE06D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2" name="Elipse 1851">
          <a:extLst>
            <a:ext uri="{FF2B5EF4-FFF2-40B4-BE49-F238E27FC236}">
              <a16:creationId xmlns:a16="http://schemas.microsoft.com/office/drawing/2014/main" id="{7F916831-7A48-495C-A3B2-526E7BEB4F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3" name="Elipse 1852">
          <a:extLst>
            <a:ext uri="{FF2B5EF4-FFF2-40B4-BE49-F238E27FC236}">
              <a16:creationId xmlns:a16="http://schemas.microsoft.com/office/drawing/2014/main" id="{2483B72E-7A00-4E49-8122-F5462DCF6C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4" name="Elipse 1853">
          <a:extLst>
            <a:ext uri="{FF2B5EF4-FFF2-40B4-BE49-F238E27FC236}">
              <a16:creationId xmlns:a16="http://schemas.microsoft.com/office/drawing/2014/main" id="{E3754A9F-778A-4597-95B6-8E58F9B332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5" name="Elipse 1854">
          <a:extLst>
            <a:ext uri="{FF2B5EF4-FFF2-40B4-BE49-F238E27FC236}">
              <a16:creationId xmlns:a16="http://schemas.microsoft.com/office/drawing/2014/main" id="{EECE22D6-1410-4D21-90E4-3666F1439C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6" name="Elipse 1855">
          <a:extLst>
            <a:ext uri="{FF2B5EF4-FFF2-40B4-BE49-F238E27FC236}">
              <a16:creationId xmlns:a16="http://schemas.microsoft.com/office/drawing/2014/main" id="{75645211-43F2-4014-B2A7-6E6B87CDCF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7" name="Elipse 1856">
          <a:extLst>
            <a:ext uri="{FF2B5EF4-FFF2-40B4-BE49-F238E27FC236}">
              <a16:creationId xmlns:a16="http://schemas.microsoft.com/office/drawing/2014/main" id="{322647BF-1CEE-4A5B-819B-DCDB8C39CE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8" name="Elipse 1857">
          <a:extLst>
            <a:ext uri="{FF2B5EF4-FFF2-40B4-BE49-F238E27FC236}">
              <a16:creationId xmlns:a16="http://schemas.microsoft.com/office/drawing/2014/main" id="{D9BFD7E3-24AB-4171-ABBE-441392DDE8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59" name="Elipse 1858">
          <a:extLst>
            <a:ext uri="{FF2B5EF4-FFF2-40B4-BE49-F238E27FC236}">
              <a16:creationId xmlns:a16="http://schemas.microsoft.com/office/drawing/2014/main" id="{E032E42C-998B-4643-9237-5D46E9A432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0" name="Elipse 1859">
          <a:extLst>
            <a:ext uri="{FF2B5EF4-FFF2-40B4-BE49-F238E27FC236}">
              <a16:creationId xmlns:a16="http://schemas.microsoft.com/office/drawing/2014/main" id="{4EEC07A6-A803-429A-BB8A-D79F974AB3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1" name="Elipse 1860">
          <a:extLst>
            <a:ext uri="{FF2B5EF4-FFF2-40B4-BE49-F238E27FC236}">
              <a16:creationId xmlns:a16="http://schemas.microsoft.com/office/drawing/2014/main" id="{83381E33-4A00-47D0-9754-0855728416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2" name="Elipse 1861">
          <a:extLst>
            <a:ext uri="{FF2B5EF4-FFF2-40B4-BE49-F238E27FC236}">
              <a16:creationId xmlns:a16="http://schemas.microsoft.com/office/drawing/2014/main" id="{43E828A9-2CE8-432F-999C-7A974B3173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3" name="Elipse 1862">
          <a:extLst>
            <a:ext uri="{FF2B5EF4-FFF2-40B4-BE49-F238E27FC236}">
              <a16:creationId xmlns:a16="http://schemas.microsoft.com/office/drawing/2014/main" id="{08008CA5-D0AC-4E48-88C6-F781AC5552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4" name="Elipse 1863">
          <a:extLst>
            <a:ext uri="{FF2B5EF4-FFF2-40B4-BE49-F238E27FC236}">
              <a16:creationId xmlns:a16="http://schemas.microsoft.com/office/drawing/2014/main" id="{7ACA3741-B9E4-488D-B84E-66D70B0C28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5" name="Elipse 1864">
          <a:extLst>
            <a:ext uri="{FF2B5EF4-FFF2-40B4-BE49-F238E27FC236}">
              <a16:creationId xmlns:a16="http://schemas.microsoft.com/office/drawing/2014/main" id="{7386E970-7D82-4EF8-984C-E6FE77CF26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6" name="Elipse 1865">
          <a:extLst>
            <a:ext uri="{FF2B5EF4-FFF2-40B4-BE49-F238E27FC236}">
              <a16:creationId xmlns:a16="http://schemas.microsoft.com/office/drawing/2014/main" id="{556B9829-3F2B-44B3-B377-C817AE5D9C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7" name="Elipse 1866">
          <a:extLst>
            <a:ext uri="{FF2B5EF4-FFF2-40B4-BE49-F238E27FC236}">
              <a16:creationId xmlns:a16="http://schemas.microsoft.com/office/drawing/2014/main" id="{182A68F8-B8EA-4C57-AF4F-7D888B092F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8" name="Elipse 1867">
          <a:extLst>
            <a:ext uri="{FF2B5EF4-FFF2-40B4-BE49-F238E27FC236}">
              <a16:creationId xmlns:a16="http://schemas.microsoft.com/office/drawing/2014/main" id="{CFE72D16-158C-4C76-9783-7178E81FD9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69" name="Elipse 1868">
          <a:extLst>
            <a:ext uri="{FF2B5EF4-FFF2-40B4-BE49-F238E27FC236}">
              <a16:creationId xmlns:a16="http://schemas.microsoft.com/office/drawing/2014/main" id="{3EE1BEE0-34D7-4746-A5D3-C6C36C9524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0" name="Elipse 1869">
          <a:extLst>
            <a:ext uri="{FF2B5EF4-FFF2-40B4-BE49-F238E27FC236}">
              <a16:creationId xmlns:a16="http://schemas.microsoft.com/office/drawing/2014/main" id="{1F2BD927-1745-4983-84F1-3D0461149B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1" name="Elipse 1870">
          <a:extLst>
            <a:ext uri="{FF2B5EF4-FFF2-40B4-BE49-F238E27FC236}">
              <a16:creationId xmlns:a16="http://schemas.microsoft.com/office/drawing/2014/main" id="{788C4FB9-AC3F-4581-844A-6F8E9FC0DB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2" name="Elipse 1871">
          <a:extLst>
            <a:ext uri="{FF2B5EF4-FFF2-40B4-BE49-F238E27FC236}">
              <a16:creationId xmlns:a16="http://schemas.microsoft.com/office/drawing/2014/main" id="{DD5E4BAF-1531-4287-93C2-376C3CE9F6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3" name="Elipse 1872">
          <a:extLst>
            <a:ext uri="{FF2B5EF4-FFF2-40B4-BE49-F238E27FC236}">
              <a16:creationId xmlns:a16="http://schemas.microsoft.com/office/drawing/2014/main" id="{21BA3DCB-F790-4320-9C41-F18C3276FD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4" name="Elipse 1873">
          <a:extLst>
            <a:ext uri="{FF2B5EF4-FFF2-40B4-BE49-F238E27FC236}">
              <a16:creationId xmlns:a16="http://schemas.microsoft.com/office/drawing/2014/main" id="{4C9913D4-11C8-4665-AE5E-7BE5F1B9BD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5" name="Elipse 1874">
          <a:extLst>
            <a:ext uri="{FF2B5EF4-FFF2-40B4-BE49-F238E27FC236}">
              <a16:creationId xmlns:a16="http://schemas.microsoft.com/office/drawing/2014/main" id="{E6F34667-8172-4E1F-975A-D22840D03F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6" name="Elipse 1875">
          <a:extLst>
            <a:ext uri="{FF2B5EF4-FFF2-40B4-BE49-F238E27FC236}">
              <a16:creationId xmlns:a16="http://schemas.microsoft.com/office/drawing/2014/main" id="{0D52496C-DEFA-4F6B-9DDB-ACEAD5592F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7" name="Elipse 1876">
          <a:extLst>
            <a:ext uri="{FF2B5EF4-FFF2-40B4-BE49-F238E27FC236}">
              <a16:creationId xmlns:a16="http://schemas.microsoft.com/office/drawing/2014/main" id="{4BC737BF-EA25-4561-A8C3-21C540B338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8" name="Elipse 1877">
          <a:extLst>
            <a:ext uri="{FF2B5EF4-FFF2-40B4-BE49-F238E27FC236}">
              <a16:creationId xmlns:a16="http://schemas.microsoft.com/office/drawing/2014/main" id="{1832E4DC-CCEC-4E05-B6E8-4F436927CD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79" name="Elipse 1878">
          <a:extLst>
            <a:ext uri="{FF2B5EF4-FFF2-40B4-BE49-F238E27FC236}">
              <a16:creationId xmlns:a16="http://schemas.microsoft.com/office/drawing/2014/main" id="{E3D0FC01-EEEB-43CD-B826-3AE96F042E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0" name="Elipse 1879">
          <a:extLst>
            <a:ext uri="{FF2B5EF4-FFF2-40B4-BE49-F238E27FC236}">
              <a16:creationId xmlns:a16="http://schemas.microsoft.com/office/drawing/2014/main" id="{DF031D29-C6BE-4DC5-854D-FA5B40C4D6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1" name="Elipse 1880">
          <a:extLst>
            <a:ext uri="{FF2B5EF4-FFF2-40B4-BE49-F238E27FC236}">
              <a16:creationId xmlns:a16="http://schemas.microsoft.com/office/drawing/2014/main" id="{D41AD489-E064-40C7-91ED-006CAFF35F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2" name="Elipse 1881">
          <a:extLst>
            <a:ext uri="{FF2B5EF4-FFF2-40B4-BE49-F238E27FC236}">
              <a16:creationId xmlns:a16="http://schemas.microsoft.com/office/drawing/2014/main" id="{4786203F-4BB9-44E7-B7BD-EA650B50F7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3" name="Elipse 1882">
          <a:extLst>
            <a:ext uri="{FF2B5EF4-FFF2-40B4-BE49-F238E27FC236}">
              <a16:creationId xmlns:a16="http://schemas.microsoft.com/office/drawing/2014/main" id="{1A0E9350-7A66-452B-9E3A-E989F8C963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4" name="Elipse 1883">
          <a:extLst>
            <a:ext uri="{FF2B5EF4-FFF2-40B4-BE49-F238E27FC236}">
              <a16:creationId xmlns:a16="http://schemas.microsoft.com/office/drawing/2014/main" id="{40BCEF4A-7D65-4CCA-AD2D-45897D99FB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5" name="Elipse 1884">
          <a:extLst>
            <a:ext uri="{FF2B5EF4-FFF2-40B4-BE49-F238E27FC236}">
              <a16:creationId xmlns:a16="http://schemas.microsoft.com/office/drawing/2014/main" id="{47A35C1E-ECCC-45E9-94C5-1C3F866ADC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6" name="Elipse 1885">
          <a:extLst>
            <a:ext uri="{FF2B5EF4-FFF2-40B4-BE49-F238E27FC236}">
              <a16:creationId xmlns:a16="http://schemas.microsoft.com/office/drawing/2014/main" id="{9AC67883-F498-40A7-BAD1-66BC0281C1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7" name="Elipse 1886">
          <a:extLst>
            <a:ext uri="{FF2B5EF4-FFF2-40B4-BE49-F238E27FC236}">
              <a16:creationId xmlns:a16="http://schemas.microsoft.com/office/drawing/2014/main" id="{E0CF018B-5809-402E-9A85-995A7EEF32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8" name="Elipse 1887">
          <a:extLst>
            <a:ext uri="{FF2B5EF4-FFF2-40B4-BE49-F238E27FC236}">
              <a16:creationId xmlns:a16="http://schemas.microsoft.com/office/drawing/2014/main" id="{2A2DA222-B41B-48B8-92C3-BF81C344F0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89" name="Elipse 1888">
          <a:extLst>
            <a:ext uri="{FF2B5EF4-FFF2-40B4-BE49-F238E27FC236}">
              <a16:creationId xmlns:a16="http://schemas.microsoft.com/office/drawing/2014/main" id="{B1965715-4E78-4752-AD6A-E758CE754A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0" name="Elipse 1889">
          <a:extLst>
            <a:ext uri="{FF2B5EF4-FFF2-40B4-BE49-F238E27FC236}">
              <a16:creationId xmlns:a16="http://schemas.microsoft.com/office/drawing/2014/main" id="{AE22BD1E-B767-4CE9-A661-5E47606E1F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1" name="Elipse 1890">
          <a:extLst>
            <a:ext uri="{FF2B5EF4-FFF2-40B4-BE49-F238E27FC236}">
              <a16:creationId xmlns:a16="http://schemas.microsoft.com/office/drawing/2014/main" id="{D210B2D3-83FD-46B1-AF1F-BF32E0CFE4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2" name="Elipse 1891">
          <a:extLst>
            <a:ext uri="{FF2B5EF4-FFF2-40B4-BE49-F238E27FC236}">
              <a16:creationId xmlns:a16="http://schemas.microsoft.com/office/drawing/2014/main" id="{453A1900-99E0-41E3-812D-C1755BE632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3" name="Elipse 1892">
          <a:extLst>
            <a:ext uri="{FF2B5EF4-FFF2-40B4-BE49-F238E27FC236}">
              <a16:creationId xmlns:a16="http://schemas.microsoft.com/office/drawing/2014/main" id="{432CB1D4-1A24-4EF2-BB95-514AEB66EB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4" name="Elipse 1893">
          <a:extLst>
            <a:ext uri="{FF2B5EF4-FFF2-40B4-BE49-F238E27FC236}">
              <a16:creationId xmlns:a16="http://schemas.microsoft.com/office/drawing/2014/main" id="{1F6B52FF-9FCF-453A-9CC7-DB6C55DA03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5" name="Elipse 1894">
          <a:extLst>
            <a:ext uri="{FF2B5EF4-FFF2-40B4-BE49-F238E27FC236}">
              <a16:creationId xmlns:a16="http://schemas.microsoft.com/office/drawing/2014/main" id="{0534FDFE-2876-4560-819E-9DA191385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6" name="Elipse 1895">
          <a:extLst>
            <a:ext uri="{FF2B5EF4-FFF2-40B4-BE49-F238E27FC236}">
              <a16:creationId xmlns:a16="http://schemas.microsoft.com/office/drawing/2014/main" id="{959F465E-3B1A-49E4-B840-4F5A2CFB71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7" name="Elipse 1896">
          <a:extLst>
            <a:ext uri="{FF2B5EF4-FFF2-40B4-BE49-F238E27FC236}">
              <a16:creationId xmlns:a16="http://schemas.microsoft.com/office/drawing/2014/main" id="{43052C4A-6AF6-4E97-86BF-69C05DA36D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8" name="Elipse 1897">
          <a:extLst>
            <a:ext uri="{FF2B5EF4-FFF2-40B4-BE49-F238E27FC236}">
              <a16:creationId xmlns:a16="http://schemas.microsoft.com/office/drawing/2014/main" id="{D6E20164-17AA-479D-B8F6-EF4755FB51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899" name="Elipse 1898">
          <a:extLst>
            <a:ext uri="{FF2B5EF4-FFF2-40B4-BE49-F238E27FC236}">
              <a16:creationId xmlns:a16="http://schemas.microsoft.com/office/drawing/2014/main" id="{126D142A-F485-4D7C-B87F-388010AF9D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0" name="Elipse 1899">
          <a:extLst>
            <a:ext uri="{FF2B5EF4-FFF2-40B4-BE49-F238E27FC236}">
              <a16:creationId xmlns:a16="http://schemas.microsoft.com/office/drawing/2014/main" id="{53EBCF71-76C9-4ED4-A49C-652FFCA50D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1" name="Elipse 1900">
          <a:extLst>
            <a:ext uri="{FF2B5EF4-FFF2-40B4-BE49-F238E27FC236}">
              <a16:creationId xmlns:a16="http://schemas.microsoft.com/office/drawing/2014/main" id="{72AF5BB1-FB08-40C2-8978-7B93DCBCB1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2" name="Elipse 1901">
          <a:extLst>
            <a:ext uri="{FF2B5EF4-FFF2-40B4-BE49-F238E27FC236}">
              <a16:creationId xmlns:a16="http://schemas.microsoft.com/office/drawing/2014/main" id="{66E8210F-86BF-46F6-AD98-8DE26B1045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3" name="Elipse 1902">
          <a:extLst>
            <a:ext uri="{FF2B5EF4-FFF2-40B4-BE49-F238E27FC236}">
              <a16:creationId xmlns:a16="http://schemas.microsoft.com/office/drawing/2014/main" id="{595C9486-3C8F-4EFE-9BD4-72407A5BCE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4" name="Elipse 1903">
          <a:extLst>
            <a:ext uri="{FF2B5EF4-FFF2-40B4-BE49-F238E27FC236}">
              <a16:creationId xmlns:a16="http://schemas.microsoft.com/office/drawing/2014/main" id="{C19E5F5A-56C4-4FD3-A244-87D9BCFF2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5" name="Elipse 1904">
          <a:extLst>
            <a:ext uri="{FF2B5EF4-FFF2-40B4-BE49-F238E27FC236}">
              <a16:creationId xmlns:a16="http://schemas.microsoft.com/office/drawing/2014/main" id="{D93C2788-2249-4917-90E7-C12C450991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6" name="Elipse 1905">
          <a:extLst>
            <a:ext uri="{FF2B5EF4-FFF2-40B4-BE49-F238E27FC236}">
              <a16:creationId xmlns:a16="http://schemas.microsoft.com/office/drawing/2014/main" id="{B524A2DF-00CF-4023-B957-DCEBFBBEB4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7" name="Elipse 1906">
          <a:extLst>
            <a:ext uri="{FF2B5EF4-FFF2-40B4-BE49-F238E27FC236}">
              <a16:creationId xmlns:a16="http://schemas.microsoft.com/office/drawing/2014/main" id="{A6C861AD-CFAD-47A3-A1B2-6B99A0AD3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8" name="Elipse 1907">
          <a:extLst>
            <a:ext uri="{FF2B5EF4-FFF2-40B4-BE49-F238E27FC236}">
              <a16:creationId xmlns:a16="http://schemas.microsoft.com/office/drawing/2014/main" id="{7084667A-36D9-4F6F-8188-ED442DB914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09" name="Elipse 1908">
          <a:extLst>
            <a:ext uri="{FF2B5EF4-FFF2-40B4-BE49-F238E27FC236}">
              <a16:creationId xmlns:a16="http://schemas.microsoft.com/office/drawing/2014/main" id="{B8667FA4-31B6-478B-AB4E-CAE52C4D81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0" name="Elipse 1909">
          <a:extLst>
            <a:ext uri="{FF2B5EF4-FFF2-40B4-BE49-F238E27FC236}">
              <a16:creationId xmlns:a16="http://schemas.microsoft.com/office/drawing/2014/main" id="{1893F948-83C3-4D34-91DB-86DA3E9D49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1" name="Elipse 1910">
          <a:extLst>
            <a:ext uri="{FF2B5EF4-FFF2-40B4-BE49-F238E27FC236}">
              <a16:creationId xmlns:a16="http://schemas.microsoft.com/office/drawing/2014/main" id="{D8F702C2-1E41-46E2-B642-DA811E1923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2" name="Elipse 1911">
          <a:extLst>
            <a:ext uri="{FF2B5EF4-FFF2-40B4-BE49-F238E27FC236}">
              <a16:creationId xmlns:a16="http://schemas.microsoft.com/office/drawing/2014/main" id="{968B50B8-9F08-4E57-B58F-2B424DB620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3" name="Elipse 1912">
          <a:extLst>
            <a:ext uri="{FF2B5EF4-FFF2-40B4-BE49-F238E27FC236}">
              <a16:creationId xmlns:a16="http://schemas.microsoft.com/office/drawing/2014/main" id="{25697EAA-CE81-459D-94B6-03EBBD4552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4" name="Elipse 1913">
          <a:extLst>
            <a:ext uri="{FF2B5EF4-FFF2-40B4-BE49-F238E27FC236}">
              <a16:creationId xmlns:a16="http://schemas.microsoft.com/office/drawing/2014/main" id="{5B2DA046-22A6-4D16-B2AC-774C1BEA60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5" name="Elipse 1914">
          <a:extLst>
            <a:ext uri="{FF2B5EF4-FFF2-40B4-BE49-F238E27FC236}">
              <a16:creationId xmlns:a16="http://schemas.microsoft.com/office/drawing/2014/main" id="{83CEE6F7-89D0-4B6F-85D0-CB35FA5440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6" name="Elipse 1915">
          <a:extLst>
            <a:ext uri="{FF2B5EF4-FFF2-40B4-BE49-F238E27FC236}">
              <a16:creationId xmlns:a16="http://schemas.microsoft.com/office/drawing/2014/main" id="{60744E93-B14A-48D6-8EC5-71DF48EA0F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7" name="Elipse 1916">
          <a:extLst>
            <a:ext uri="{FF2B5EF4-FFF2-40B4-BE49-F238E27FC236}">
              <a16:creationId xmlns:a16="http://schemas.microsoft.com/office/drawing/2014/main" id="{3B011482-1808-40D3-80AB-028775112F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8" name="Elipse 1917">
          <a:extLst>
            <a:ext uri="{FF2B5EF4-FFF2-40B4-BE49-F238E27FC236}">
              <a16:creationId xmlns:a16="http://schemas.microsoft.com/office/drawing/2014/main" id="{33D2EE52-4EA6-47AD-BE99-CBE6A09464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19" name="Elipse 1918">
          <a:extLst>
            <a:ext uri="{FF2B5EF4-FFF2-40B4-BE49-F238E27FC236}">
              <a16:creationId xmlns:a16="http://schemas.microsoft.com/office/drawing/2014/main" id="{8E4C3C53-04D6-444F-B696-12B1597B77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0" name="Elipse 1919">
          <a:extLst>
            <a:ext uri="{FF2B5EF4-FFF2-40B4-BE49-F238E27FC236}">
              <a16:creationId xmlns:a16="http://schemas.microsoft.com/office/drawing/2014/main" id="{9D3ABC54-C246-495B-B230-D7274F29B1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1" name="Elipse 1920">
          <a:extLst>
            <a:ext uri="{FF2B5EF4-FFF2-40B4-BE49-F238E27FC236}">
              <a16:creationId xmlns:a16="http://schemas.microsoft.com/office/drawing/2014/main" id="{B7B3E2EC-B94D-4196-B364-74054A4A59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2" name="Elipse 1921">
          <a:extLst>
            <a:ext uri="{FF2B5EF4-FFF2-40B4-BE49-F238E27FC236}">
              <a16:creationId xmlns:a16="http://schemas.microsoft.com/office/drawing/2014/main" id="{2F54C7DF-3EBA-4201-B2DB-6971DB95ED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3" name="Elipse 1922">
          <a:extLst>
            <a:ext uri="{FF2B5EF4-FFF2-40B4-BE49-F238E27FC236}">
              <a16:creationId xmlns:a16="http://schemas.microsoft.com/office/drawing/2014/main" id="{38D22404-0159-48CF-AA9C-127FC988BD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4" name="Elipse 1923">
          <a:extLst>
            <a:ext uri="{FF2B5EF4-FFF2-40B4-BE49-F238E27FC236}">
              <a16:creationId xmlns:a16="http://schemas.microsoft.com/office/drawing/2014/main" id="{ADFE6962-7C60-49D4-A655-1CBE22BC23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5" name="Elipse 1924">
          <a:extLst>
            <a:ext uri="{FF2B5EF4-FFF2-40B4-BE49-F238E27FC236}">
              <a16:creationId xmlns:a16="http://schemas.microsoft.com/office/drawing/2014/main" id="{DFC02204-A30F-415F-BC39-BC7F2B4512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6" name="Elipse 1925">
          <a:extLst>
            <a:ext uri="{FF2B5EF4-FFF2-40B4-BE49-F238E27FC236}">
              <a16:creationId xmlns:a16="http://schemas.microsoft.com/office/drawing/2014/main" id="{8116AF9F-50B7-4F42-8AA0-6A2BE8DC2E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7" name="Elipse 1926">
          <a:extLst>
            <a:ext uri="{FF2B5EF4-FFF2-40B4-BE49-F238E27FC236}">
              <a16:creationId xmlns:a16="http://schemas.microsoft.com/office/drawing/2014/main" id="{8B4468D8-9841-462B-8CF9-F548559482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8" name="Elipse 1927">
          <a:extLst>
            <a:ext uri="{FF2B5EF4-FFF2-40B4-BE49-F238E27FC236}">
              <a16:creationId xmlns:a16="http://schemas.microsoft.com/office/drawing/2014/main" id="{EAE6586B-A782-4133-8EBA-4B8CE1A261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29" name="Elipse 1928">
          <a:extLst>
            <a:ext uri="{FF2B5EF4-FFF2-40B4-BE49-F238E27FC236}">
              <a16:creationId xmlns:a16="http://schemas.microsoft.com/office/drawing/2014/main" id="{5E4DE655-50DE-44BD-9C6C-ABB6FF10E9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0" name="Elipse 1929">
          <a:extLst>
            <a:ext uri="{FF2B5EF4-FFF2-40B4-BE49-F238E27FC236}">
              <a16:creationId xmlns:a16="http://schemas.microsoft.com/office/drawing/2014/main" id="{E03323C6-BC3B-4B66-85C2-C188871A85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1" name="Elipse 1930">
          <a:extLst>
            <a:ext uri="{FF2B5EF4-FFF2-40B4-BE49-F238E27FC236}">
              <a16:creationId xmlns:a16="http://schemas.microsoft.com/office/drawing/2014/main" id="{4C47BF48-FF7E-4521-9FD7-AFC6655B96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2" name="Elipse 1931">
          <a:extLst>
            <a:ext uri="{FF2B5EF4-FFF2-40B4-BE49-F238E27FC236}">
              <a16:creationId xmlns:a16="http://schemas.microsoft.com/office/drawing/2014/main" id="{E527CCB0-0BAB-4396-8EA5-5FC3F24EE5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3" name="Elipse 1932">
          <a:extLst>
            <a:ext uri="{FF2B5EF4-FFF2-40B4-BE49-F238E27FC236}">
              <a16:creationId xmlns:a16="http://schemas.microsoft.com/office/drawing/2014/main" id="{DBCD6EE0-90E3-4C12-B740-0771901BDA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4" name="Elipse 1933">
          <a:extLst>
            <a:ext uri="{FF2B5EF4-FFF2-40B4-BE49-F238E27FC236}">
              <a16:creationId xmlns:a16="http://schemas.microsoft.com/office/drawing/2014/main" id="{1AE91FDD-7CDC-4CC1-9432-5FB0611F90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5" name="Elipse 1934">
          <a:extLst>
            <a:ext uri="{FF2B5EF4-FFF2-40B4-BE49-F238E27FC236}">
              <a16:creationId xmlns:a16="http://schemas.microsoft.com/office/drawing/2014/main" id="{AA5DE08C-13FD-4F98-BCD0-3CB91C53B4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6" name="Elipse 1935">
          <a:extLst>
            <a:ext uri="{FF2B5EF4-FFF2-40B4-BE49-F238E27FC236}">
              <a16:creationId xmlns:a16="http://schemas.microsoft.com/office/drawing/2014/main" id="{9FB43802-52A3-44C4-A678-B64CEE2629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7" name="Elipse 1936">
          <a:extLst>
            <a:ext uri="{FF2B5EF4-FFF2-40B4-BE49-F238E27FC236}">
              <a16:creationId xmlns:a16="http://schemas.microsoft.com/office/drawing/2014/main" id="{C28FFD9F-405C-4100-8F1B-B2DC0FEDB9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8" name="Elipse 1937">
          <a:extLst>
            <a:ext uri="{FF2B5EF4-FFF2-40B4-BE49-F238E27FC236}">
              <a16:creationId xmlns:a16="http://schemas.microsoft.com/office/drawing/2014/main" id="{BE781314-FEFE-4580-8072-3D2FE852EC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39" name="Elipse 1938">
          <a:extLst>
            <a:ext uri="{FF2B5EF4-FFF2-40B4-BE49-F238E27FC236}">
              <a16:creationId xmlns:a16="http://schemas.microsoft.com/office/drawing/2014/main" id="{CBBE6E81-50C6-49B2-8921-EF69AFAB1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0" name="Elipse 1939">
          <a:extLst>
            <a:ext uri="{FF2B5EF4-FFF2-40B4-BE49-F238E27FC236}">
              <a16:creationId xmlns:a16="http://schemas.microsoft.com/office/drawing/2014/main" id="{E7FE7A9E-B64A-46D7-B910-6BEEC27ED4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1" name="Elipse 1940">
          <a:extLst>
            <a:ext uri="{FF2B5EF4-FFF2-40B4-BE49-F238E27FC236}">
              <a16:creationId xmlns:a16="http://schemas.microsoft.com/office/drawing/2014/main" id="{281EE970-E847-48BE-BEA9-8BDD92EDBE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2" name="Elipse 1941">
          <a:extLst>
            <a:ext uri="{FF2B5EF4-FFF2-40B4-BE49-F238E27FC236}">
              <a16:creationId xmlns:a16="http://schemas.microsoft.com/office/drawing/2014/main" id="{4477C70A-3D08-46DF-8B68-FC857A18E8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3" name="Elipse 1942">
          <a:extLst>
            <a:ext uri="{FF2B5EF4-FFF2-40B4-BE49-F238E27FC236}">
              <a16:creationId xmlns:a16="http://schemas.microsoft.com/office/drawing/2014/main" id="{7B898F35-0D51-4BA3-904D-01ECCD57E4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4" name="Elipse 1943">
          <a:extLst>
            <a:ext uri="{FF2B5EF4-FFF2-40B4-BE49-F238E27FC236}">
              <a16:creationId xmlns:a16="http://schemas.microsoft.com/office/drawing/2014/main" id="{A51C75F1-9F2B-4699-B884-B0D28BEBE2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5" name="Elipse 1944">
          <a:extLst>
            <a:ext uri="{FF2B5EF4-FFF2-40B4-BE49-F238E27FC236}">
              <a16:creationId xmlns:a16="http://schemas.microsoft.com/office/drawing/2014/main" id="{1E477D34-21A3-42F5-A84C-3F2CC0526D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6" name="Elipse 1945">
          <a:extLst>
            <a:ext uri="{FF2B5EF4-FFF2-40B4-BE49-F238E27FC236}">
              <a16:creationId xmlns:a16="http://schemas.microsoft.com/office/drawing/2014/main" id="{81F65377-6634-41AD-A6F8-F2DB454719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7" name="Elipse 1946">
          <a:extLst>
            <a:ext uri="{FF2B5EF4-FFF2-40B4-BE49-F238E27FC236}">
              <a16:creationId xmlns:a16="http://schemas.microsoft.com/office/drawing/2014/main" id="{CF013370-6C12-4DF6-B64F-440D0AFA3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8" name="Elipse 1947">
          <a:extLst>
            <a:ext uri="{FF2B5EF4-FFF2-40B4-BE49-F238E27FC236}">
              <a16:creationId xmlns:a16="http://schemas.microsoft.com/office/drawing/2014/main" id="{82C4A1AB-80FA-49E5-9DF4-BE5501E398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49" name="Elipse 1948">
          <a:extLst>
            <a:ext uri="{FF2B5EF4-FFF2-40B4-BE49-F238E27FC236}">
              <a16:creationId xmlns:a16="http://schemas.microsoft.com/office/drawing/2014/main" id="{A1C77289-91C5-49D8-9845-D1864F5BE0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0" name="Elipse 1949">
          <a:extLst>
            <a:ext uri="{FF2B5EF4-FFF2-40B4-BE49-F238E27FC236}">
              <a16:creationId xmlns:a16="http://schemas.microsoft.com/office/drawing/2014/main" id="{358A7F2D-FB4E-4442-AAFB-16FBC2EFB2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1" name="Elipse 1950">
          <a:extLst>
            <a:ext uri="{FF2B5EF4-FFF2-40B4-BE49-F238E27FC236}">
              <a16:creationId xmlns:a16="http://schemas.microsoft.com/office/drawing/2014/main" id="{E167C442-8B9B-45ED-B9EE-1587C7869C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2" name="Elipse 1951">
          <a:extLst>
            <a:ext uri="{FF2B5EF4-FFF2-40B4-BE49-F238E27FC236}">
              <a16:creationId xmlns:a16="http://schemas.microsoft.com/office/drawing/2014/main" id="{1B35E600-4B1D-45A4-9F7F-7847F422FD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3" name="Elipse 1952">
          <a:extLst>
            <a:ext uri="{FF2B5EF4-FFF2-40B4-BE49-F238E27FC236}">
              <a16:creationId xmlns:a16="http://schemas.microsoft.com/office/drawing/2014/main" id="{6EC0E357-0AD4-4560-822B-58B6E4907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4" name="Elipse 1953">
          <a:extLst>
            <a:ext uri="{FF2B5EF4-FFF2-40B4-BE49-F238E27FC236}">
              <a16:creationId xmlns:a16="http://schemas.microsoft.com/office/drawing/2014/main" id="{9E2D84BE-1EA6-4FEF-BD4E-704B0E741D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5" name="Elipse 1954">
          <a:extLst>
            <a:ext uri="{FF2B5EF4-FFF2-40B4-BE49-F238E27FC236}">
              <a16:creationId xmlns:a16="http://schemas.microsoft.com/office/drawing/2014/main" id="{F4676525-12A5-4D61-B4BF-818C62A703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6" name="Elipse 1955">
          <a:extLst>
            <a:ext uri="{FF2B5EF4-FFF2-40B4-BE49-F238E27FC236}">
              <a16:creationId xmlns:a16="http://schemas.microsoft.com/office/drawing/2014/main" id="{DA5AB2D5-7C2D-4A2F-8F1E-046C24EA06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7" name="Elipse 1956">
          <a:extLst>
            <a:ext uri="{FF2B5EF4-FFF2-40B4-BE49-F238E27FC236}">
              <a16:creationId xmlns:a16="http://schemas.microsoft.com/office/drawing/2014/main" id="{EB987FF2-64DD-4B77-A7A7-EF4E8D7AED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8" name="Elipse 1957">
          <a:extLst>
            <a:ext uri="{FF2B5EF4-FFF2-40B4-BE49-F238E27FC236}">
              <a16:creationId xmlns:a16="http://schemas.microsoft.com/office/drawing/2014/main" id="{DFBD5E25-0735-45DD-901C-CE609B6749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59" name="Elipse 1958">
          <a:extLst>
            <a:ext uri="{FF2B5EF4-FFF2-40B4-BE49-F238E27FC236}">
              <a16:creationId xmlns:a16="http://schemas.microsoft.com/office/drawing/2014/main" id="{42FB4801-0D42-48A2-8E63-B82D6DC9CD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0" name="Elipse 1959">
          <a:extLst>
            <a:ext uri="{FF2B5EF4-FFF2-40B4-BE49-F238E27FC236}">
              <a16:creationId xmlns:a16="http://schemas.microsoft.com/office/drawing/2014/main" id="{5DE6CD3F-CCF4-410A-8932-54E141E20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1" name="Elipse 1960">
          <a:extLst>
            <a:ext uri="{FF2B5EF4-FFF2-40B4-BE49-F238E27FC236}">
              <a16:creationId xmlns:a16="http://schemas.microsoft.com/office/drawing/2014/main" id="{6C435DB4-CC2B-4A0F-A8CD-D3484FE245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2" name="Elipse 1961">
          <a:extLst>
            <a:ext uri="{FF2B5EF4-FFF2-40B4-BE49-F238E27FC236}">
              <a16:creationId xmlns:a16="http://schemas.microsoft.com/office/drawing/2014/main" id="{1EF38105-D8D3-4B8A-A7F4-ADCA6D0EB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3" name="Elipse 1962">
          <a:extLst>
            <a:ext uri="{FF2B5EF4-FFF2-40B4-BE49-F238E27FC236}">
              <a16:creationId xmlns:a16="http://schemas.microsoft.com/office/drawing/2014/main" id="{A137B109-87C7-4941-8E1B-C7F7485768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4" name="Elipse 1963">
          <a:extLst>
            <a:ext uri="{FF2B5EF4-FFF2-40B4-BE49-F238E27FC236}">
              <a16:creationId xmlns:a16="http://schemas.microsoft.com/office/drawing/2014/main" id="{C080990E-830A-45EB-838A-C9B13AE753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5" name="Elipse 1964">
          <a:extLst>
            <a:ext uri="{FF2B5EF4-FFF2-40B4-BE49-F238E27FC236}">
              <a16:creationId xmlns:a16="http://schemas.microsoft.com/office/drawing/2014/main" id="{53B819B7-FE11-45C1-8169-0D724AF1A5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6" name="Elipse 1965">
          <a:extLst>
            <a:ext uri="{FF2B5EF4-FFF2-40B4-BE49-F238E27FC236}">
              <a16:creationId xmlns:a16="http://schemas.microsoft.com/office/drawing/2014/main" id="{A63DDB53-B5A3-49DB-9C9E-E60738ED7C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7" name="Elipse 1966">
          <a:extLst>
            <a:ext uri="{FF2B5EF4-FFF2-40B4-BE49-F238E27FC236}">
              <a16:creationId xmlns:a16="http://schemas.microsoft.com/office/drawing/2014/main" id="{2D5955B0-C2A0-4A32-B10B-B22BF8CF89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8" name="Elipse 1967">
          <a:extLst>
            <a:ext uri="{FF2B5EF4-FFF2-40B4-BE49-F238E27FC236}">
              <a16:creationId xmlns:a16="http://schemas.microsoft.com/office/drawing/2014/main" id="{8079675E-EEB2-4CB1-BE1C-C43F055679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69" name="Elipse 1968">
          <a:extLst>
            <a:ext uri="{FF2B5EF4-FFF2-40B4-BE49-F238E27FC236}">
              <a16:creationId xmlns:a16="http://schemas.microsoft.com/office/drawing/2014/main" id="{3B8604A1-9B60-441F-B91E-A97927B4F9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0" name="Elipse 1969">
          <a:extLst>
            <a:ext uri="{FF2B5EF4-FFF2-40B4-BE49-F238E27FC236}">
              <a16:creationId xmlns:a16="http://schemas.microsoft.com/office/drawing/2014/main" id="{B4353671-F600-4036-A917-AA92471346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1" name="Elipse 1970">
          <a:extLst>
            <a:ext uri="{FF2B5EF4-FFF2-40B4-BE49-F238E27FC236}">
              <a16:creationId xmlns:a16="http://schemas.microsoft.com/office/drawing/2014/main" id="{95776252-2427-4585-AE7A-97124378D6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2" name="Elipse 1971">
          <a:extLst>
            <a:ext uri="{FF2B5EF4-FFF2-40B4-BE49-F238E27FC236}">
              <a16:creationId xmlns:a16="http://schemas.microsoft.com/office/drawing/2014/main" id="{2A41C280-8A90-4BDD-BE54-CB806B3FAD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3" name="Elipse 1972">
          <a:extLst>
            <a:ext uri="{FF2B5EF4-FFF2-40B4-BE49-F238E27FC236}">
              <a16:creationId xmlns:a16="http://schemas.microsoft.com/office/drawing/2014/main" id="{8F343935-AEF4-4445-9324-9DC2A43FF2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4" name="Elipse 1973">
          <a:extLst>
            <a:ext uri="{FF2B5EF4-FFF2-40B4-BE49-F238E27FC236}">
              <a16:creationId xmlns:a16="http://schemas.microsoft.com/office/drawing/2014/main" id="{7B1E265D-683A-4A0E-B048-446F9A6924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5" name="Elipse 1974">
          <a:extLst>
            <a:ext uri="{FF2B5EF4-FFF2-40B4-BE49-F238E27FC236}">
              <a16:creationId xmlns:a16="http://schemas.microsoft.com/office/drawing/2014/main" id="{15EDEDAA-6B98-4AF9-A7AC-42E4FE41F9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6" name="Elipse 1975">
          <a:extLst>
            <a:ext uri="{FF2B5EF4-FFF2-40B4-BE49-F238E27FC236}">
              <a16:creationId xmlns:a16="http://schemas.microsoft.com/office/drawing/2014/main" id="{63A86269-662E-4E38-8A9F-6329E16396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7" name="Elipse 1976">
          <a:extLst>
            <a:ext uri="{FF2B5EF4-FFF2-40B4-BE49-F238E27FC236}">
              <a16:creationId xmlns:a16="http://schemas.microsoft.com/office/drawing/2014/main" id="{66269950-B245-4321-9D6D-409BCC84DC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8" name="Elipse 1977">
          <a:extLst>
            <a:ext uri="{FF2B5EF4-FFF2-40B4-BE49-F238E27FC236}">
              <a16:creationId xmlns:a16="http://schemas.microsoft.com/office/drawing/2014/main" id="{B36AC8CE-3EE9-40E1-8793-B92753916D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79" name="Elipse 1978">
          <a:extLst>
            <a:ext uri="{FF2B5EF4-FFF2-40B4-BE49-F238E27FC236}">
              <a16:creationId xmlns:a16="http://schemas.microsoft.com/office/drawing/2014/main" id="{41C7A2AF-F518-4AD8-ABDA-C9347B31E7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0" name="Elipse 1979">
          <a:extLst>
            <a:ext uri="{FF2B5EF4-FFF2-40B4-BE49-F238E27FC236}">
              <a16:creationId xmlns:a16="http://schemas.microsoft.com/office/drawing/2014/main" id="{0A870ABC-47E3-4C75-9663-7A90965251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1" name="Elipse 1980">
          <a:extLst>
            <a:ext uri="{FF2B5EF4-FFF2-40B4-BE49-F238E27FC236}">
              <a16:creationId xmlns:a16="http://schemas.microsoft.com/office/drawing/2014/main" id="{6ECB80A1-0E64-4C48-9D63-021C917690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2" name="Elipse 1981">
          <a:extLst>
            <a:ext uri="{FF2B5EF4-FFF2-40B4-BE49-F238E27FC236}">
              <a16:creationId xmlns:a16="http://schemas.microsoft.com/office/drawing/2014/main" id="{25F26A81-F004-4553-8A61-FBFDE4E03B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3" name="Elipse 1982">
          <a:extLst>
            <a:ext uri="{FF2B5EF4-FFF2-40B4-BE49-F238E27FC236}">
              <a16:creationId xmlns:a16="http://schemas.microsoft.com/office/drawing/2014/main" id="{99095A6C-0EB0-4142-AFAC-7264554611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4" name="Elipse 1983">
          <a:extLst>
            <a:ext uri="{FF2B5EF4-FFF2-40B4-BE49-F238E27FC236}">
              <a16:creationId xmlns:a16="http://schemas.microsoft.com/office/drawing/2014/main" id="{FADBD2FA-DBB3-43F3-A693-5FCBD5CC1F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5" name="Elipse 1984">
          <a:extLst>
            <a:ext uri="{FF2B5EF4-FFF2-40B4-BE49-F238E27FC236}">
              <a16:creationId xmlns:a16="http://schemas.microsoft.com/office/drawing/2014/main" id="{9489B6B9-00CC-4225-993C-F22B8EC53E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6" name="Elipse 1985">
          <a:extLst>
            <a:ext uri="{FF2B5EF4-FFF2-40B4-BE49-F238E27FC236}">
              <a16:creationId xmlns:a16="http://schemas.microsoft.com/office/drawing/2014/main" id="{84E81387-3A6E-465C-BDF6-7A1B245714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7" name="Elipse 1986">
          <a:extLst>
            <a:ext uri="{FF2B5EF4-FFF2-40B4-BE49-F238E27FC236}">
              <a16:creationId xmlns:a16="http://schemas.microsoft.com/office/drawing/2014/main" id="{6317D56F-FA50-4D02-ACFE-7B03BADD4A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8" name="Elipse 1987">
          <a:extLst>
            <a:ext uri="{FF2B5EF4-FFF2-40B4-BE49-F238E27FC236}">
              <a16:creationId xmlns:a16="http://schemas.microsoft.com/office/drawing/2014/main" id="{A8BC2E5E-7B69-4ADA-AC7B-A8602C7674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89" name="Elipse 1988">
          <a:extLst>
            <a:ext uri="{FF2B5EF4-FFF2-40B4-BE49-F238E27FC236}">
              <a16:creationId xmlns:a16="http://schemas.microsoft.com/office/drawing/2014/main" id="{FB86AF8A-BC2C-4D27-A237-2F4E93B8D8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0" name="Elipse 1989">
          <a:extLst>
            <a:ext uri="{FF2B5EF4-FFF2-40B4-BE49-F238E27FC236}">
              <a16:creationId xmlns:a16="http://schemas.microsoft.com/office/drawing/2014/main" id="{BAD3FD68-D747-4C2F-986C-E7FC85260A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1" name="Elipse 1990">
          <a:extLst>
            <a:ext uri="{FF2B5EF4-FFF2-40B4-BE49-F238E27FC236}">
              <a16:creationId xmlns:a16="http://schemas.microsoft.com/office/drawing/2014/main" id="{ABCD192E-143B-4EAC-9556-0986736FE5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2" name="Elipse 1991">
          <a:extLst>
            <a:ext uri="{FF2B5EF4-FFF2-40B4-BE49-F238E27FC236}">
              <a16:creationId xmlns:a16="http://schemas.microsoft.com/office/drawing/2014/main" id="{B59A78D6-BA3C-4097-B55F-0CCA395F55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3" name="Elipse 1992">
          <a:extLst>
            <a:ext uri="{FF2B5EF4-FFF2-40B4-BE49-F238E27FC236}">
              <a16:creationId xmlns:a16="http://schemas.microsoft.com/office/drawing/2014/main" id="{51F77EA2-0F99-4574-A034-E3A7F84FCE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4" name="Elipse 1993">
          <a:extLst>
            <a:ext uri="{FF2B5EF4-FFF2-40B4-BE49-F238E27FC236}">
              <a16:creationId xmlns:a16="http://schemas.microsoft.com/office/drawing/2014/main" id="{14495D60-A7D6-4A9E-BC92-0C5EB81E13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5" name="Elipse 1994">
          <a:extLst>
            <a:ext uri="{FF2B5EF4-FFF2-40B4-BE49-F238E27FC236}">
              <a16:creationId xmlns:a16="http://schemas.microsoft.com/office/drawing/2014/main" id="{0D2F939E-6A25-4786-A4E2-4589EA40B4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6" name="Elipse 1995">
          <a:extLst>
            <a:ext uri="{FF2B5EF4-FFF2-40B4-BE49-F238E27FC236}">
              <a16:creationId xmlns:a16="http://schemas.microsoft.com/office/drawing/2014/main" id="{528CCCC8-57D1-4E38-BC76-F7EB028903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7" name="Elipse 1996">
          <a:extLst>
            <a:ext uri="{FF2B5EF4-FFF2-40B4-BE49-F238E27FC236}">
              <a16:creationId xmlns:a16="http://schemas.microsoft.com/office/drawing/2014/main" id="{F748D4A0-8980-4181-987C-5C4C568C71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8" name="Elipse 1997">
          <a:extLst>
            <a:ext uri="{FF2B5EF4-FFF2-40B4-BE49-F238E27FC236}">
              <a16:creationId xmlns:a16="http://schemas.microsoft.com/office/drawing/2014/main" id="{40A16F0F-26DC-4470-AA33-65A582D172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999" name="Elipse 1998">
          <a:extLst>
            <a:ext uri="{FF2B5EF4-FFF2-40B4-BE49-F238E27FC236}">
              <a16:creationId xmlns:a16="http://schemas.microsoft.com/office/drawing/2014/main" id="{F8396616-5F80-4565-8352-014965F0AD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0" name="Elipse 1999">
          <a:extLst>
            <a:ext uri="{FF2B5EF4-FFF2-40B4-BE49-F238E27FC236}">
              <a16:creationId xmlns:a16="http://schemas.microsoft.com/office/drawing/2014/main" id="{1BFE935A-F102-4615-946F-320FDE174B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1" name="Elipse 2000">
          <a:extLst>
            <a:ext uri="{FF2B5EF4-FFF2-40B4-BE49-F238E27FC236}">
              <a16:creationId xmlns:a16="http://schemas.microsoft.com/office/drawing/2014/main" id="{99960004-69A3-4ABC-A70D-F2136F0197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2" name="Elipse 2001">
          <a:extLst>
            <a:ext uri="{FF2B5EF4-FFF2-40B4-BE49-F238E27FC236}">
              <a16:creationId xmlns:a16="http://schemas.microsoft.com/office/drawing/2014/main" id="{E15DF8BE-6A27-41C0-BECB-43DA83CAC0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3" name="Elipse 2002">
          <a:extLst>
            <a:ext uri="{FF2B5EF4-FFF2-40B4-BE49-F238E27FC236}">
              <a16:creationId xmlns:a16="http://schemas.microsoft.com/office/drawing/2014/main" id="{A02FBDC0-3524-478E-9FAE-B0A6BE749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4" name="Elipse 2003">
          <a:extLst>
            <a:ext uri="{FF2B5EF4-FFF2-40B4-BE49-F238E27FC236}">
              <a16:creationId xmlns:a16="http://schemas.microsoft.com/office/drawing/2014/main" id="{A4B0F4B1-050F-463B-86F3-8C64A056B2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5" name="Elipse 2004">
          <a:extLst>
            <a:ext uri="{FF2B5EF4-FFF2-40B4-BE49-F238E27FC236}">
              <a16:creationId xmlns:a16="http://schemas.microsoft.com/office/drawing/2014/main" id="{F2CAF575-D6E7-4A6D-8608-ECD4F6CC4B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6" name="Elipse 2005">
          <a:extLst>
            <a:ext uri="{FF2B5EF4-FFF2-40B4-BE49-F238E27FC236}">
              <a16:creationId xmlns:a16="http://schemas.microsoft.com/office/drawing/2014/main" id="{07583F9E-9019-4D6B-A524-5263341636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7" name="Elipse 2006">
          <a:extLst>
            <a:ext uri="{FF2B5EF4-FFF2-40B4-BE49-F238E27FC236}">
              <a16:creationId xmlns:a16="http://schemas.microsoft.com/office/drawing/2014/main" id="{31BA28F6-D202-4DD3-99B2-EAC657F39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8" name="Elipse 2007">
          <a:extLst>
            <a:ext uri="{FF2B5EF4-FFF2-40B4-BE49-F238E27FC236}">
              <a16:creationId xmlns:a16="http://schemas.microsoft.com/office/drawing/2014/main" id="{1EAE8B59-80AD-406D-AF96-87ACE87519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09" name="Elipse 2008">
          <a:extLst>
            <a:ext uri="{FF2B5EF4-FFF2-40B4-BE49-F238E27FC236}">
              <a16:creationId xmlns:a16="http://schemas.microsoft.com/office/drawing/2014/main" id="{D9AC6DA2-743C-4975-9E78-297039ABAF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0" name="Elipse 2009">
          <a:extLst>
            <a:ext uri="{FF2B5EF4-FFF2-40B4-BE49-F238E27FC236}">
              <a16:creationId xmlns:a16="http://schemas.microsoft.com/office/drawing/2014/main" id="{EB8B8530-69B0-43DD-8BE2-EE51923B9C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1" name="Elipse 2010">
          <a:extLst>
            <a:ext uri="{FF2B5EF4-FFF2-40B4-BE49-F238E27FC236}">
              <a16:creationId xmlns:a16="http://schemas.microsoft.com/office/drawing/2014/main" id="{34F2E9F9-7AC0-4376-BC10-1AA32CD2F6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2" name="Elipse 2011">
          <a:extLst>
            <a:ext uri="{FF2B5EF4-FFF2-40B4-BE49-F238E27FC236}">
              <a16:creationId xmlns:a16="http://schemas.microsoft.com/office/drawing/2014/main" id="{508CDBE0-F76F-4330-985F-B5A8D81FD8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3" name="Elipse 2012">
          <a:extLst>
            <a:ext uri="{FF2B5EF4-FFF2-40B4-BE49-F238E27FC236}">
              <a16:creationId xmlns:a16="http://schemas.microsoft.com/office/drawing/2014/main" id="{4AF4CD32-73CD-4655-886D-F5C287DD02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4" name="Elipse 2013">
          <a:extLst>
            <a:ext uri="{FF2B5EF4-FFF2-40B4-BE49-F238E27FC236}">
              <a16:creationId xmlns:a16="http://schemas.microsoft.com/office/drawing/2014/main" id="{1623063A-10AB-4306-979E-B377577ED3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5" name="Elipse 2014">
          <a:extLst>
            <a:ext uri="{FF2B5EF4-FFF2-40B4-BE49-F238E27FC236}">
              <a16:creationId xmlns:a16="http://schemas.microsoft.com/office/drawing/2014/main" id="{222B8086-F6CF-4D21-A719-89CCF23630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6" name="Elipse 2015">
          <a:extLst>
            <a:ext uri="{FF2B5EF4-FFF2-40B4-BE49-F238E27FC236}">
              <a16:creationId xmlns:a16="http://schemas.microsoft.com/office/drawing/2014/main" id="{96877C84-B74C-456D-B5DA-8C37BE02DC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7" name="Elipse 2016">
          <a:extLst>
            <a:ext uri="{FF2B5EF4-FFF2-40B4-BE49-F238E27FC236}">
              <a16:creationId xmlns:a16="http://schemas.microsoft.com/office/drawing/2014/main" id="{9EBB6320-CAB6-4F24-8C0E-AC68E9C18C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8" name="Elipse 2017">
          <a:extLst>
            <a:ext uri="{FF2B5EF4-FFF2-40B4-BE49-F238E27FC236}">
              <a16:creationId xmlns:a16="http://schemas.microsoft.com/office/drawing/2014/main" id="{91D462E3-EC67-455F-ABA4-8F19A3915E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19" name="Elipse 2018">
          <a:extLst>
            <a:ext uri="{FF2B5EF4-FFF2-40B4-BE49-F238E27FC236}">
              <a16:creationId xmlns:a16="http://schemas.microsoft.com/office/drawing/2014/main" id="{BD1DD8D7-F56E-4DB7-9A36-FF6AD88311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0" name="Elipse 2019">
          <a:extLst>
            <a:ext uri="{FF2B5EF4-FFF2-40B4-BE49-F238E27FC236}">
              <a16:creationId xmlns:a16="http://schemas.microsoft.com/office/drawing/2014/main" id="{B8A6A4F2-E669-4024-9FE1-B83E0A193D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1" name="Elipse 2020">
          <a:extLst>
            <a:ext uri="{FF2B5EF4-FFF2-40B4-BE49-F238E27FC236}">
              <a16:creationId xmlns:a16="http://schemas.microsoft.com/office/drawing/2014/main" id="{DCACDA90-BF59-4471-A0B5-6DAC6D372A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2" name="Elipse 2021">
          <a:extLst>
            <a:ext uri="{FF2B5EF4-FFF2-40B4-BE49-F238E27FC236}">
              <a16:creationId xmlns:a16="http://schemas.microsoft.com/office/drawing/2014/main" id="{CC4C4B3D-CCBF-480B-8AC5-B874089DFB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3" name="Elipse 2022">
          <a:extLst>
            <a:ext uri="{FF2B5EF4-FFF2-40B4-BE49-F238E27FC236}">
              <a16:creationId xmlns:a16="http://schemas.microsoft.com/office/drawing/2014/main" id="{8D9FDC2A-6732-4581-B2C3-C37E5AFDD5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4" name="Elipse 2023">
          <a:extLst>
            <a:ext uri="{FF2B5EF4-FFF2-40B4-BE49-F238E27FC236}">
              <a16:creationId xmlns:a16="http://schemas.microsoft.com/office/drawing/2014/main" id="{E2E2D560-2E83-4A39-B9DE-B0B8F883C6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5" name="Elipse 2024">
          <a:extLst>
            <a:ext uri="{FF2B5EF4-FFF2-40B4-BE49-F238E27FC236}">
              <a16:creationId xmlns:a16="http://schemas.microsoft.com/office/drawing/2014/main" id="{AB0318DF-3612-433E-A662-748B79BD3D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6" name="Elipse 2025">
          <a:extLst>
            <a:ext uri="{FF2B5EF4-FFF2-40B4-BE49-F238E27FC236}">
              <a16:creationId xmlns:a16="http://schemas.microsoft.com/office/drawing/2014/main" id="{8DA119FB-1C89-4C03-8E90-FB8FF27EDD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7" name="Elipse 2026">
          <a:extLst>
            <a:ext uri="{FF2B5EF4-FFF2-40B4-BE49-F238E27FC236}">
              <a16:creationId xmlns:a16="http://schemas.microsoft.com/office/drawing/2014/main" id="{B161F913-6EC8-464C-AD21-CB550D7B56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8" name="Elipse 2027">
          <a:extLst>
            <a:ext uri="{FF2B5EF4-FFF2-40B4-BE49-F238E27FC236}">
              <a16:creationId xmlns:a16="http://schemas.microsoft.com/office/drawing/2014/main" id="{126406D1-D340-45E1-AEA6-648A3F5493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29" name="Elipse 2028">
          <a:extLst>
            <a:ext uri="{FF2B5EF4-FFF2-40B4-BE49-F238E27FC236}">
              <a16:creationId xmlns:a16="http://schemas.microsoft.com/office/drawing/2014/main" id="{F5276812-F8D4-4155-9D43-EBCCD54A84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0" name="Elipse 2029">
          <a:extLst>
            <a:ext uri="{FF2B5EF4-FFF2-40B4-BE49-F238E27FC236}">
              <a16:creationId xmlns:a16="http://schemas.microsoft.com/office/drawing/2014/main" id="{A066A92C-BF8C-4010-B3FD-18302528D8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1" name="Elipse 2030">
          <a:extLst>
            <a:ext uri="{FF2B5EF4-FFF2-40B4-BE49-F238E27FC236}">
              <a16:creationId xmlns:a16="http://schemas.microsoft.com/office/drawing/2014/main" id="{C8DCB7EB-9313-4539-815C-A23ECAB174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2" name="Elipse 2031">
          <a:extLst>
            <a:ext uri="{FF2B5EF4-FFF2-40B4-BE49-F238E27FC236}">
              <a16:creationId xmlns:a16="http://schemas.microsoft.com/office/drawing/2014/main" id="{421C6136-160B-4448-914B-054CC71F1D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3" name="Elipse 2032">
          <a:extLst>
            <a:ext uri="{FF2B5EF4-FFF2-40B4-BE49-F238E27FC236}">
              <a16:creationId xmlns:a16="http://schemas.microsoft.com/office/drawing/2014/main" id="{60BEB067-7E83-4687-B852-FEE2E53F28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4" name="Elipse 2033">
          <a:extLst>
            <a:ext uri="{FF2B5EF4-FFF2-40B4-BE49-F238E27FC236}">
              <a16:creationId xmlns:a16="http://schemas.microsoft.com/office/drawing/2014/main" id="{D5A7B5DF-303C-47F4-B57E-36B236962E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5" name="Elipse 2034">
          <a:extLst>
            <a:ext uri="{FF2B5EF4-FFF2-40B4-BE49-F238E27FC236}">
              <a16:creationId xmlns:a16="http://schemas.microsoft.com/office/drawing/2014/main" id="{D88815BE-8CF0-4F47-92E6-4D816CA702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6" name="Elipse 2035">
          <a:extLst>
            <a:ext uri="{FF2B5EF4-FFF2-40B4-BE49-F238E27FC236}">
              <a16:creationId xmlns:a16="http://schemas.microsoft.com/office/drawing/2014/main" id="{D689355F-9F71-4047-B33B-569706D54E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7" name="Elipse 2036">
          <a:extLst>
            <a:ext uri="{FF2B5EF4-FFF2-40B4-BE49-F238E27FC236}">
              <a16:creationId xmlns:a16="http://schemas.microsoft.com/office/drawing/2014/main" id="{471FF5AB-A0CB-450E-B31A-2EAB66911B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8" name="Elipse 2037">
          <a:extLst>
            <a:ext uri="{FF2B5EF4-FFF2-40B4-BE49-F238E27FC236}">
              <a16:creationId xmlns:a16="http://schemas.microsoft.com/office/drawing/2014/main" id="{1F2B99C1-81F2-4238-A609-4088983B79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39" name="Elipse 2038">
          <a:extLst>
            <a:ext uri="{FF2B5EF4-FFF2-40B4-BE49-F238E27FC236}">
              <a16:creationId xmlns:a16="http://schemas.microsoft.com/office/drawing/2014/main" id="{87FF318F-EF90-43E2-8043-9B14044B76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0" name="Elipse 2039">
          <a:extLst>
            <a:ext uri="{FF2B5EF4-FFF2-40B4-BE49-F238E27FC236}">
              <a16:creationId xmlns:a16="http://schemas.microsoft.com/office/drawing/2014/main" id="{E2D621BA-C54A-40B5-95F2-34E3FC814B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1" name="Elipse 2040">
          <a:extLst>
            <a:ext uri="{FF2B5EF4-FFF2-40B4-BE49-F238E27FC236}">
              <a16:creationId xmlns:a16="http://schemas.microsoft.com/office/drawing/2014/main" id="{9D1971DE-4723-4B79-8281-5E24C3459B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2" name="Elipse 2041">
          <a:extLst>
            <a:ext uri="{FF2B5EF4-FFF2-40B4-BE49-F238E27FC236}">
              <a16:creationId xmlns:a16="http://schemas.microsoft.com/office/drawing/2014/main" id="{4E487DDE-4482-468F-AAE1-B2E0D52223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3" name="Elipse 2042">
          <a:extLst>
            <a:ext uri="{FF2B5EF4-FFF2-40B4-BE49-F238E27FC236}">
              <a16:creationId xmlns:a16="http://schemas.microsoft.com/office/drawing/2014/main" id="{2C9B5AB1-43C6-44B5-BB5E-DAE2216FE7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4" name="Elipse 2043">
          <a:extLst>
            <a:ext uri="{FF2B5EF4-FFF2-40B4-BE49-F238E27FC236}">
              <a16:creationId xmlns:a16="http://schemas.microsoft.com/office/drawing/2014/main" id="{0A259B4B-8D7B-400E-A3A3-B19B33D049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5" name="Elipse 2044">
          <a:extLst>
            <a:ext uri="{FF2B5EF4-FFF2-40B4-BE49-F238E27FC236}">
              <a16:creationId xmlns:a16="http://schemas.microsoft.com/office/drawing/2014/main" id="{3D4B2546-EEA5-4AB9-AF69-6F12AA0DBF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6" name="Elipse 2045">
          <a:extLst>
            <a:ext uri="{FF2B5EF4-FFF2-40B4-BE49-F238E27FC236}">
              <a16:creationId xmlns:a16="http://schemas.microsoft.com/office/drawing/2014/main" id="{64CD4F92-4A25-4727-B82E-A76F2F27E8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7" name="Elipse 2046">
          <a:extLst>
            <a:ext uri="{FF2B5EF4-FFF2-40B4-BE49-F238E27FC236}">
              <a16:creationId xmlns:a16="http://schemas.microsoft.com/office/drawing/2014/main" id="{80389127-0731-4A6C-B01E-61A284608C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8" name="Elipse 2047">
          <a:extLst>
            <a:ext uri="{FF2B5EF4-FFF2-40B4-BE49-F238E27FC236}">
              <a16:creationId xmlns:a16="http://schemas.microsoft.com/office/drawing/2014/main" id="{B604239C-FC59-453E-AE22-9320046112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49" name="Elipse 2048">
          <a:extLst>
            <a:ext uri="{FF2B5EF4-FFF2-40B4-BE49-F238E27FC236}">
              <a16:creationId xmlns:a16="http://schemas.microsoft.com/office/drawing/2014/main" id="{2561A041-C951-4620-A0E6-1DBC781CBA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0" name="Elipse 2049">
          <a:extLst>
            <a:ext uri="{FF2B5EF4-FFF2-40B4-BE49-F238E27FC236}">
              <a16:creationId xmlns:a16="http://schemas.microsoft.com/office/drawing/2014/main" id="{4D792E1B-99F8-412B-9A33-B498B4A638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1" name="Elipse 2050">
          <a:extLst>
            <a:ext uri="{FF2B5EF4-FFF2-40B4-BE49-F238E27FC236}">
              <a16:creationId xmlns:a16="http://schemas.microsoft.com/office/drawing/2014/main" id="{5F7D58B5-EB25-4D3E-B0CF-0A4E41D496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2" name="Elipse 2051">
          <a:extLst>
            <a:ext uri="{FF2B5EF4-FFF2-40B4-BE49-F238E27FC236}">
              <a16:creationId xmlns:a16="http://schemas.microsoft.com/office/drawing/2014/main" id="{7007021E-46DA-413B-B83D-19C9FEC163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3" name="Elipse 2052">
          <a:extLst>
            <a:ext uri="{FF2B5EF4-FFF2-40B4-BE49-F238E27FC236}">
              <a16:creationId xmlns:a16="http://schemas.microsoft.com/office/drawing/2014/main" id="{01CB31E4-1E6C-4F34-9B0C-1797A1C2A6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4" name="Elipse 2053">
          <a:extLst>
            <a:ext uri="{FF2B5EF4-FFF2-40B4-BE49-F238E27FC236}">
              <a16:creationId xmlns:a16="http://schemas.microsoft.com/office/drawing/2014/main" id="{EF300516-B54B-4100-9697-39ED8D1D5B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5" name="Elipse 2054">
          <a:extLst>
            <a:ext uri="{FF2B5EF4-FFF2-40B4-BE49-F238E27FC236}">
              <a16:creationId xmlns:a16="http://schemas.microsoft.com/office/drawing/2014/main" id="{49898F89-B9A0-41B7-9EAB-CF68E0C718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6" name="Elipse 2055">
          <a:extLst>
            <a:ext uri="{FF2B5EF4-FFF2-40B4-BE49-F238E27FC236}">
              <a16:creationId xmlns:a16="http://schemas.microsoft.com/office/drawing/2014/main" id="{831E2FF4-0198-4EBB-B41B-13CA429A3E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7" name="Elipse 2056">
          <a:extLst>
            <a:ext uri="{FF2B5EF4-FFF2-40B4-BE49-F238E27FC236}">
              <a16:creationId xmlns:a16="http://schemas.microsoft.com/office/drawing/2014/main" id="{3B146C11-3C08-45E2-A142-29B4E4DC12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8" name="Elipse 2057">
          <a:extLst>
            <a:ext uri="{FF2B5EF4-FFF2-40B4-BE49-F238E27FC236}">
              <a16:creationId xmlns:a16="http://schemas.microsoft.com/office/drawing/2014/main" id="{80630F59-ECDB-4956-B956-8D9AA01E2B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59" name="Elipse 2058">
          <a:extLst>
            <a:ext uri="{FF2B5EF4-FFF2-40B4-BE49-F238E27FC236}">
              <a16:creationId xmlns:a16="http://schemas.microsoft.com/office/drawing/2014/main" id="{13EAACC8-B87E-40BB-85BC-8472411FF4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0" name="Elipse 2059">
          <a:extLst>
            <a:ext uri="{FF2B5EF4-FFF2-40B4-BE49-F238E27FC236}">
              <a16:creationId xmlns:a16="http://schemas.microsoft.com/office/drawing/2014/main" id="{3EEDB7B1-3FB7-4C54-8372-1C08253508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1" name="Elipse 2060">
          <a:extLst>
            <a:ext uri="{FF2B5EF4-FFF2-40B4-BE49-F238E27FC236}">
              <a16:creationId xmlns:a16="http://schemas.microsoft.com/office/drawing/2014/main" id="{9EB02F29-310F-4B66-A0FE-A8120E55C1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2" name="Elipse 2061">
          <a:extLst>
            <a:ext uri="{FF2B5EF4-FFF2-40B4-BE49-F238E27FC236}">
              <a16:creationId xmlns:a16="http://schemas.microsoft.com/office/drawing/2014/main" id="{7F9F99D9-F6FE-4F9C-9D86-DCCE9C8A75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3" name="Elipse 2062">
          <a:extLst>
            <a:ext uri="{FF2B5EF4-FFF2-40B4-BE49-F238E27FC236}">
              <a16:creationId xmlns:a16="http://schemas.microsoft.com/office/drawing/2014/main" id="{1E738C7E-1C7E-4818-A0F0-796B2BD8C4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4" name="Elipse 2063">
          <a:extLst>
            <a:ext uri="{FF2B5EF4-FFF2-40B4-BE49-F238E27FC236}">
              <a16:creationId xmlns:a16="http://schemas.microsoft.com/office/drawing/2014/main" id="{78D67A8A-67F4-4A1A-B762-0313DDF1AA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5" name="Elipse 2064">
          <a:extLst>
            <a:ext uri="{FF2B5EF4-FFF2-40B4-BE49-F238E27FC236}">
              <a16:creationId xmlns:a16="http://schemas.microsoft.com/office/drawing/2014/main" id="{BD9C7DAE-31B0-4B4D-88FF-EEFBAAD0AC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6" name="Elipse 2065">
          <a:extLst>
            <a:ext uri="{FF2B5EF4-FFF2-40B4-BE49-F238E27FC236}">
              <a16:creationId xmlns:a16="http://schemas.microsoft.com/office/drawing/2014/main" id="{B163910E-CDA4-40B8-89C4-E5034D4067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7" name="Elipse 2066">
          <a:extLst>
            <a:ext uri="{FF2B5EF4-FFF2-40B4-BE49-F238E27FC236}">
              <a16:creationId xmlns:a16="http://schemas.microsoft.com/office/drawing/2014/main" id="{8918A5DE-54C1-46E6-9DF9-4976B693D5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8" name="Elipse 2067">
          <a:extLst>
            <a:ext uri="{FF2B5EF4-FFF2-40B4-BE49-F238E27FC236}">
              <a16:creationId xmlns:a16="http://schemas.microsoft.com/office/drawing/2014/main" id="{4051487C-526D-48BA-8841-57E39D5ED0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69" name="Elipse 2068">
          <a:extLst>
            <a:ext uri="{FF2B5EF4-FFF2-40B4-BE49-F238E27FC236}">
              <a16:creationId xmlns:a16="http://schemas.microsoft.com/office/drawing/2014/main" id="{A23B87C6-ADE4-4CB0-91D5-30BB456083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0" name="Elipse 2069">
          <a:extLst>
            <a:ext uri="{FF2B5EF4-FFF2-40B4-BE49-F238E27FC236}">
              <a16:creationId xmlns:a16="http://schemas.microsoft.com/office/drawing/2014/main" id="{C5170DAE-E3BA-4D59-AC06-8CFF598B7D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1" name="Elipse 2070">
          <a:extLst>
            <a:ext uri="{FF2B5EF4-FFF2-40B4-BE49-F238E27FC236}">
              <a16:creationId xmlns:a16="http://schemas.microsoft.com/office/drawing/2014/main" id="{9F94091C-B42B-4F4E-9D2A-C30789E930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2" name="Elipse 2071">
          <a:extLst>
            <a:ext uri="{FF2B5EF4-FFF2-40B4-BE49-F238E27FC236}">
              <a16:creationId xmlns:a16="http://schemas.microsoft.com/office/drawing/2014/main" id="{E914EE94-ED15-4F59-97CF-5C5AA4A6D5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3" name="Elipse 2072">
          <a:extLst>
            <a:ext uri="{FF2B5EF4-FFF2-40B4-BE49-F238E27FC236}">
              <a16:creationId xmlns:a16="http://schemas.microsoft.com/office/drawing/2014/main" id="{1826690F-9508-401D-8FC1-581DFF9B7E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4" name="Elipse 2073">
          <a:extLst>
            <a:ext uri="{FF2B5EF4-FFF2-40B4-BE49-F238E27FC236}">
              <a16:creationId xmlns:a16="http://schemas.microsoft.com/office/drawing/2014/main" id="{91CE7EB9-D032-4975-A724-6A487BA071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5" name="Elipse 2074">
          <a:extLst>
            <a:ext uri="{FF2B5EF4-FFF2-40B4-BE49-F238E27FC236}">
              <a16:creationId xmlns:a16="http://schemas.microsoft.com/office/drawing/2014/main" id="{9A5AA9D3-271F-4CC4-9B2C-C66F406B51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6" name="Elipse 2075">
          <a:extLst>
            <a:ext uri="{FF2B5EF4-FFF2-40B4-BE49-F238E27FC236}">
              <a16:creationId xmlns:a16="http://schemas.microsoft.com/office/drawing/2014/main" id="{D0CA9BE2-F593-4D46-B045-B2C3E89FEE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7" name="Elipse 2076">
          <a:extLst>
            <a:ext uri="{FF2B5EF4-FFF2-40B4-BE49-F238E27FC236}">
              <a16:creationId xmlns:a16="http://schemas.microsoft.com/office/drawing/2014/main" id="{8BEE0493-7730-48F8-9D4B-2D58FFC91B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8" name="Elipse 2077">
          <a:extLst>
            <a:ext uri="{FF2B5EF4-FFF2-40B4-BE49-F238E27FC236}">
              <a16:creationId xmlns:a16="http://schemas.microsoft.com/office/drawing/2014/main" id="{CA86C9F7-4A64-4086-8B62-699647B6F3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79" name="Elipse 2078">
          <a:extLst>
            <a:ext uri="{FF2B5EF4-FFF2-40B4-BE49-F238E27FC236}">
              <a16:creationId xmlns:a16="http://schemas.microsoft.com/office/drawing/2014/main" id="{B8277779-5DCF-4F17-8DC6-6A51E027A0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0" name="Elipse 2079">
          <a:extLst>
            <a:ext uri="{FF2B5EF4-FFF2-40B4-BE49-F238E27FC236}">
              <a16:creationId xmlns:a16="http://schemas.microsoft.com/office/drawing/2014/main" id="{85718390-FABA-48E7-8268-8B8FD1742E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1" name="Elipse 2080">
          <a:extLst>
            <a:ext uri="{FF2B5EF4-FFF2-40B4-BE49-F238E27FC236}">
              <a16:creationId xmlns:a16="http://schemas.microsoft.com/office/drawing/2014/main" id="{6A1DF626-76AB-491C-9647-1095CAECAF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2" name="Elipse 2081">
          <a:extLst>
            <a:ext uri="{FF2B5EF4-FFF2-40B4-BE49-F238E27FC236}">
              <a16:creationId xmlns:a16="http://schemas.microsoft.com/office/drawing/2014/main" id="{017E9BA9-F1CD-453E-BFB8-424F7D28BA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3" name="Elipse 2082">
          <a:extLst>
            <a:ext uri="{FF2B5EF4-FFF2-40B4-BE49-F238E27FC236}">
              <a16:creationId xmlns:a16="http://schemas.microsoft.com/office/drawing/2014/main" id="{3C26AAAE-BA4D-4610-991E-D3FC54804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4" name="Elipse 2083">
          <a:extLst>
            <a:ext uri="{FF2B5EF4-FFF2-40B4-BE49-F238E27FC236}">
              <a16:creationId xmlns:a16="http://schemas.microsoft.com/office/drawing/2014/main" id="{2DEC799F-1ED3-46B1-A1BB-FD88F2D4E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5" name="Elipse 2084">
          <a:extLst>
            <a:ext uri="{FF2B5EF4-FFF2-40B4-BE49-F238E27FC236}">
              <a16:creationId xmlns:a16="http://schemas.microsoft.com/office/drawing/2014/main" id="{9CAF61E1-5028-42E8-ABB5-8DA20C1402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6" name="Elipse 2085">
          <a:extLst>
            <a:ext uri="{FF2B5EF4-FFF2-40B4-BE49-F238E27FC236}">
              <a16:creationId xmlns:a16="http://schemas.microsoft.com/office/drawing/2014/main" id="{8DABF74B-9798-42CC-A9FE-244B3B96D6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7" name="Elipse 2086">
          <a:extLst>
            <a:ext uri="{FF2B5EF4-FFF2-40B4-BE49-F238E27FC236}">
              <a16:creationId xmlns:a16="http://schemas.microsoft.com/office/drawing/2014/main" id="{4C994A0E-F3CA-4A46-B155-E26D4FF85B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8" name="Elipse 2087">
          <a:extLst>
            <a:ext uri="{FF2B5EF4-FFF2-40B4-BE49-F238E27FC236}">
              <a16:creationId xmlns:a16="http://schemas.microsoft.com/office/drawing/2014/main" id="{BC5F2C2D-B291-4305-A73A-C1D83F9CA3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89" name="Elipse 2088">
          <a:extLst>
            <a:ext uri="{FF2B5EF4-FFF2-40B4-BE49-F238E27FC236}">
              <a16:creationId xmlns:a16="http://schemas.microsoft.com/office/drawing/2014/main" id="{9B8ADD71-D6CA-4A2C-842A-B61A50E2C9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0" name="Elipse 2089">
          <a:extLst>
            <a:ext uri="{FF2B5EF4-FFF2-40B4-BE49-F238E27FC236}">
              <a16:creationId xmlns:a16="http://schemas.microsoft.com/office/drawing/2014/main" id="{D8224A8B-CC53-4E65-AA9A-3518EE87ED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1" name="Elipse 2090">
          <a:extLst>
            <a:ext uri="{FF2B5EF4-FFF2-40B4-BE49-F238E27FC236}">
              <a16:creationId xmlns:a16="http://schemas.microsoft.com/office/drawing/2014/main" id="{262E0E7E-2459-4110-B1C3-64ED1A1289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2" name="Elipse 2091">
          <a:extLst>
            <a:ext uri="{FF2B5EF4-FFF2-40B4-BE49-F238E27FC236}">
              <a16:creationId xmlns:a16="http://schemas.microsoft.com/office/drawing/2014/main" id="{B0FE5C69-E543-4CEC-B36C-5FCF6279C8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3" name="Elipse 2092">
          <a:extLst>
            <a:ext uri="{FF2B5EF4-FFF2-40B4-BE49-F238E27FC236}">
              <a16:creationId xmlns:a16="http://schemas.microsoft.com/office/drawing/2014/main" id="{21CA4AFD-E36C-4FA9-8EF8-BF5400B1F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4" name="Elipse 2093">
          <a:extLst>
            <a:ext uri="{FF2B5EF4-FFF2-40B4-BE49-F238E27FC236}">
              <a16:creationId xmlns:a16="http://schemas.microsoft.com/office/drawing/2014/main" id="{FFDDBBA6-1DDB-46AF-9174-3C600FA1E6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5" name="Elipse 2094">
          <a:extLst>
            <a:ext uri="{FF2B5EF4-FFF2-40B4-BE49-F238E27FC236}">
              <a16:creationId xmlns:a16="http://schemas.microsoft.com/office/drawing/2014/main" id="{0BB5F917-8D6C-4780-B4A1-43EDAF6179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6" name="Elipse 2095">
          <a:extLst>
            <a:ext uri="{FF2B5EF4-FFF2-40B4-BE49-F238E27FC236}">
              <a16:creationId xmlns:a16="http://schemas.microsoft.com/office/drawing/2014/main" id="{251F50BA-3EB3-455F-B5FC-CEBEFAC968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7" name="Elipse 2096">
          <a:extLst>
            <a:ext uri="{FF2B5EF4-FFF2-40B4-BE49-F238E27FC236}">
              <a16:creationId xmlns:a16="http://schemas.microsoft.com/office/drawing/2014/main" id="{AB091059-76EC-438B-8621-6E0E0197D8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8" name="Elipse 2097">
          <a:extLst>
            <a:ext uri="{FF2B5EF4-FFF2-40B4-BE49-F238E27FC236}">
              <a16:creationId xmlns:a16="http://schemas.microsoft.com/office/drawing/2014/main" id="{B5F55C48-C620-4BB9-979E-4474010312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099" name="Elipse 2098">
          <a:extLst>
            <a:ext uri="{FF2B5EF4-FFF2-40B4-BE49-F238E27FC236}">
              <a16:creationId xmlns:a16="http://schemas.microsoft.com/office/drawing/2014/main" id="{D9F3069F-2DF3-44F0-95FF-77EA4326B7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0" name="Elipse 2099">
          <a:extLst>
            <a:ext uri="{FF2B5EF4-FFF2-40B4-BE49-F238E27FC236}">
              <a16:creationId xmlns:a16="http://schemas.microsoft.com/office/drawing/2014/main" id="{7480769F-0402-402A-A08A-4D63484F13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1" name="Elipse 2100">
          <a:extLst>
            <a:ext uri="{FF2B5EF4-FFF2-40B4-BE49-F238E27FC236}">
              <a16:creationId xmlns:a16="http://schemas.microsoft.com/office/drawing/2014/main" id="{CF3852F9-028A-441B-8E27-7BE1ED2B63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2" name="Elipse 2101">
          <a:extLst>
            <a:ext uri="{FF2B5EF4-FFF2-40B4-BE49-F238E27FC236}">
              <a16:creationId xmlns:a16="http://schemas.microsoft.com/office/drawing/2014/main" id="{D20D7DEA-6FC1-4695-9163-43EDDA06ED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3" name="Elipse 2102">
          <a:extLst>
            <a:ext uri="{FF2B5EF4-FFF2-40B4-BE49-F238E27FC236}">
              <a16:creationId xmlns:a16="http://schemas.microsoft.com/office/drawing/2014/main" id="{CC36B3A8-5236-4169-A29E-163E4ECAB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4" name="Elipse 2103">
          <a:extLst>
            <a:ext uri="{FF2B5EF4-FFF2-40B4-BE49-F238E27FC236}">
              <a16:creationId xmlns:a16="http://schemas.microsoft.com/office/drawing/2014/main" id="{3456849C-06C1-4FAB-AAAF-BCDA3D61FE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5" name="Elipse 2104">
          <a:extLst>
            <a:ext uri="{FF2B5EF4-FFF2-40B4-BE49-F238E27FC236}">
              <a16:creationId xmlns:a16="http://schemas.microsoft.com/office/drawing/2014/main" id="{CE4C94E3-558A-467A-902D-3E7F401D01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6" name="Elipse 2105">
          <a:extLst>
            <a:ext uri="{FF2B5EF4-FFF2-40B4-BE49-F238E27FC236}">
              <a16:creationId xmlns:a16="http://schemas.microsoft.com/office/drawing/2014/main" id="{EC92E6AA-7AD7-468E-9963-6F432025C5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7" name="Elipse 2106">
          <a:extLst>
            <a:ext uri="{FF2B5EF4-FFF2-40B4-BE49-F238E27FC236}">
              <a16:creationId xmlns:a16="http://schemas.microsoft.com/office/drawing/2014/main" id="{F69478C9-0113-42F7-824B-42F6A3E33B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8" name="Elipse 2107">
          <a:extLst>
            <a:ext uri="{FF2B5EF4-FFF2-40B4-BE49-F238E27FC236}">
              <a16:creationId xmlns:a16="http://schemas.microsoft.com/office/drawing/2014/main" id="{B9CCD030-B6AB-4875-A64D-EECDF1FC6D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09" name="Elipse 2108">
          <a:extLst>
            <a:ext uri="{FF2B5EF4-FFF2-40B4-BE49-F238E27FC236}">
              <a16:creationId xmlns:a16="http://schemas.microsoft.com/office/drawing/2014/main" id="{4B56DFE1-72EB-46DE-9173-703EB4B51B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0" name="Elipse 2109">
          <a:extLst>
            <a:ext uri="{FF2B5EF4-FFF2-40B4-BE49-F238E27FC236}">
              <a16:creationId xmlns:a16="http://schemas.microsoft.com/office/drawing/2014/main" id="{77329A1B-4518-42CB-9E0A-8EFF14A907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1" name="Elipse 2110">
          <a:extLst>
            <a:ext uri="{FF2B5EF4-FFF2-40B4-BE49-F238E27FC236}">
              <a16:creationId xmlns:a16="http://schemas.microsoft.com/office/drawing/2014/main" id="{E7DB8258-5490-4324-8E61-7D124FDCD4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2" name="Elipse 2111">
          <a:extLst>
            <a:ext uri="{FF2B5EF4-FFF2-40B4-BE49-F238E27FC236}">
              <a16:creationId xmlns:a16="http://schemas.microsoft.com/office/drawing/2014/main" id="{7E20CD35-B739-4860-96E1-D622597107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3" name="Elipse 2112">
          <a:extLst>
            <a:ext uri="{FF2B5EF4-FFF2-40B4-BE49-F238E27FC236}">
              <a16:creationId xmlns:a16="http://schemas.microsoft.com/office/drawing/2014/main" id="{20C143B1-6DB1-4689-8248-C10BEAA10E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4" name="Elipse 2113">
          <a:extLst>
            <a:ext uri="{FF2B5EF4-FFF2-40B4-BE49-F238E27FC236}">
              <a16:creationId xmlns:a16="http://schemas.microsoft.com/office/drawing/2014/main" id="{34E090F9-211B-45CF-8053-1C38C593B5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5" name="Elipse 2114">
          <a:extLst>
            <a:ext uri="{FF2B5EF4-FFF2-40B4-BE49-F238E27FC236}">
              <a16:creationId xmlns:a16="http://schemas.microsoft.com/office/drawing/2014/main" id="{7CB078AE-CA94-4AD1-A985-FAC7FFE633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6" name="Elipse 2115">
          <a:extLst>
            <a:ext uri="{FF2B5EF4-FFF2-40B4-BE49-F238E27FC236}">
              <a16:creationId xmlns:a16="http://schemas.microsoft.com/office/drawing/2014/main" id="{48D8B177-AD65-423A-AA46-CEA7A320C4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7" name="Elipse 2116">
          <a:extLst>
            <a:ext uri="{FF2B5EF4-FFF2-40B4-BE49-F238E27FC236}">
              <a16:creationId xmlns:a16="http://schemas.microsoft.com/office/drawing/2014/main" id="{C5DAB08D-00D5-4712-BE2E-4332F02664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8" name="Elipse 2117">
          <a:extLst>
            <a:ext uri="{FF2B5EF4-FFF2-40B4-BE49-F238E27FC236}">
              <a16:creationId xmlns:a16="http://schemas.microsoft.com/office/drawing/2014/main" id="{8582FBEF-F0A5-4774-B0B6-AA663FB5DB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19" name="Elipse 2118">
          <a:extLst>
            <a:ext uri="{FF2B5EF4-FFF2-40B4-BE49-F238E27FC236}">
              <a16:creationId xmlns:a16="http://schemas.microsoft.com/office/drawing/2014/main" id="{EFB9AD07-C6CD-40D6-BDE2-E1583310A5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0" name="Elipse 2119">
          <a:extLst>
            <a:ext uri="{FF2B5EF4-FFF2-40B4-BE49-F238E27FC236}">
              <a16:creationId xmlns:a16="http://schemas.microsoft.com/office/drawing/2014/main" id="{E688A76D-80B8-42D1-939F-C96505CFE8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1" name="Elipse 2120">
          <a:extLst>
            <a:ext uri="{FF2B5EF4-FFF2-40B4-BE49-F238E27FC236}">
              <a16:creationId xmlns:a16="http://schemas.microsoft.com/office/drawing/2014/main" id="{0BCA4D74-FBCE-4636-A385-9568A6EB26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2" name="Elipse 2121">
          <a:extLst>
            <a:ext uri="{FF2B5EF4-FFF2-40B4-BE49-F238E27FC236}">
              <a16:creationId xmlns:a16="http://schemas.microsoft.com/office/drawing/2014/main" id="{B09DFD58-6501-42C3-A99E-B3369ECA3B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3" name="Elipse 2122">
          <a:extLst>
            <a:ext uri="{FF2B5EF4-FFF2-40B4-BE49-F238E27FC236}">
              <a16:creationId xmlns:a16="http://schemas.microsoft.com/office/drawing/2014/main" id="{B6698023-5945-4CA9-A1F6-051FE4970A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4" name="Elipse 2123">
          <a:extLst>
            <a:ext uri="{FF2B5EF4-FFF2-40B4-BE49-F238E27FC236}">
              <a16:creationId xmlns:a16="http://schemas.microsoft.com/office/drawing/2014/main" id="{4C4F87AE-07F7-47CB-82B4-CF2DAE5C3A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5" name="Elipse 2124">
          <a:extLst>
            <a:ext uri="{FF2B5EF4-FFF2-40B4-BE49-F238E27FC236}">
              <a16:creationId xmlns:a16="http://schemas.microsoft.com/office/drawing/2014/main" id="{5FE064CB-82CA-4AF2-9B2B-0C8FAC664C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6" name="Elipse 2125">
          <a:extLst>
            <a:ext uri="{FF2B5EF4-FFF2-40B4-BE49-F238E27FC236}">
              <a16:creationId xmlns:a16="http://schemas.microsoft.com/office/drawing/2014/main" id="{85B4B8A4-80B8-441E-9523-FD1EFDEAAC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7" name="Elipse 2126">
          <a:extLst>
            <a:ext uri="{FF2B5EF4-FFF2-40B4-BE49-F238E27FC236}">
              <a16:creationId xmlns:a16="http://schemas.microsoft.com/office/drawing/2014/main" id="{713B1BDB-BEFD-45BB-8843-77244A549C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8" name="Elipse 2127">
          <a:extLst>
            <a:ext uri="{FF2B5EF4-FFF2-40B4-BE49-F238E27FC236}">
              <a16:creationId xmlns:a16="http://schemas.microsoft.com/office/drawing/2014/main" id="{6FC2103A-A1FC-48D0-8E90-51E963E4E6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29" name="Elipse 2128">
          <a:extLst>
            <a:ext uri="{FF2B5EF4-FFF2-40B4-BE49-F238E27FC236}">
              <a16:creationId xmlns:a16="http://schemas.microsoft.com/office/drawing/2014/main" id="{456B5E43-29A1-4163-844B-53C31E1A9B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0" name="Elipse 2129">
          <a:extLst>
            <a:ext uri="{FF2B5EF4-FFF2-40B4-BE49-F238E27FC236}">
              <a16:creationId xmlns:a16="http://schemas.microsoft.com/office/drawing/2014/main" id="{034018C6-6239-4F19-AFEC-F0F5E001CC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1" name="Elipse 2130">
          <a:extLst>
            <a:ext uri="{FF2B5EF4-FFF2-40B4-BE49-F238E27FC236}">
              <a16:creationId xmlns:a16="http://schemas.microsoft.com/office/drawing/2014/main" id="{25483545-2550-491E-BA23-5901B0AD29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2" name="Elipse 2131">
          <a:extLst>
            <a:ext uri="{FF2B5EF4-FFF2-40B4-BE49-F238E27FC236}">
              <a16:creationId xmlns:a16="http://schemas.microsoft.com/office/drawing/2014/main" id="{B58F6893-DCCD-408B-A638-6CA5E81AB0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3" name="Elipse 2132">
          <a:extLst>
            <a:ext uri="{FF2B5EF4-FFF2-40B4-BE49-F238E27FC236}">
              <a16:creationId xmlns:a16="http://schemas.microsoft.com/office/drawing/2014/main" id="{2690046B-3EDB-4570-AB03-8068E0A70C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4" name="Elipse 2133">
          <a:extLst>
            <a:ext uri="{FF2B5EF4-FFF2-40B4-BE49-F238E27FC236}">
              <a16:creationId xmlns:a16="http://schemas.microsoft.com/office/drawing/2014/main" id="{724310B4-DE1D-4942-ACA2-3E82638BF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5" name="Elipse 2134">
          <a:extLst>
            <a:ext uri="{FF2B5EF4-FFF2-40B4-BE49-F238E27FC236}">
              <a16:creationId xmlns:a16="http://schemas.microsoft.com/office/drawing/2014/main" id="{609A03BE-9E74-46A3-AB3B-F599903CFD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6" name="Elipse 2135">
          <a:extLst>
            <a:ext uri="{FF2B5EF4-FFF2-40B4-BE49-F238E27FC236}">
              <a16:creationId xmlns:a16="http://schemas.microsoft.com/office/drawing/2014/main" id="{ECA126E8-F43A-4BAC-83F3-3E624BD73F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7" name="Elipse 2136">
          <a:extLst>
            <a:ext uri="{FF2B5EF4-FFF2-40B4-BE49-F238E27FC236}">
              <a16:creationId xmlns:a16="http://schemas.microsoft.com/office/drawing/2014/main" id="{65B08320-2243-41E6-9FE1-184B97A901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8" name="Elipse 2137">
          <a:extLst>
            <a:ext uri="{FF2B5EF4-FFF2-40B4-BE49-F238E27FC236}">
              <a16:creationId xmlns:a16="http://schemas.microsoft.com/office/drawing/2014/main" id="{2FBA4BD6-740E-4070-A04A-2FF3899AE2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39" name="Elipse 2138">
          <a:extLst>
            <a:ext uri="{FF2B5EF4-FFF2-40B4-BE49-F238E27FC236}">
              <a16:creationId xmlns:a16="http://schemas.microsoft.com/office/drawing/2014/main" id="{B66F3BC3-2811-421E-925C-12C952F964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0" name="Elipse 2139">
          <a:extLst>
            <a:ext uri="{FF2B5EF4-FFF2-40B4-BE49-F238E27FC236}">
              <a16:creationId xmlns:a16="http://schemas.microsoft.com/office/drawing/2014/main" id="{EC8F7073-70D1-4A56-8515-5FA1A3EAFA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1" name="Elipse 2140">
          <a:extLst>
            <a:ext uri="{FF2B5EF4-FFF2-40B4-BE49-F238E27FC236}">
              <a16:creationId xmlns:a16="http://schemas.microsoft.com/office/drawing/2014/main" id="{364A235D-650D-45B6-B007-836BE78F42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2" name="Elipse 2141">
          <a:extLst>
            <a:ext uri="{FF2B5EF4-FFF2-40B4-BE49-F238E27FC236}">
              <a16:creationId xmlns:a16="http://schemas.microsoft.com/office/drawing/2014/main" id="{EF07A9EE-14F9-4763-891D-44A691D41C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3" name="Elipse 2142">
          <a:extLst>
            <a:ext uri="{FF2B5EF4-FFF2-40B4-BE49-F238E27FC236}">
              <a16:creationId xmlns:a16="http://schemas.microsoft.com/office/drawing/2014/main" id="{788CE2D4-9624-4706-B3CC-C8047F794A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4" name="Elipse 2143">
          <a:extLst>
            <a:ext uri="{FF2B5EF4-FFF2-40B4-BE49-F238E27FC236}">
              <a16:creationId xmlns:a16="http://schemas.microsoft.com/office/drawing/2014/main" id="{DEBE78D9-B14C-47E4-ABF2-94B4C7051B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5" name="Elipse 2144">
          <a:extLst>
            <a:ext uri="{FF2B5EF4-FFF2-40B4-BE49-F238E27FC236}">
              <a16:creationId xmlns:a16="http://schemas.microsoft.com/office/drawing/2014/main" id="{5F67DDEB-5ED0-4458-803E-2C0BCFC181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6" name="Elipse 2145">
          <a:extLst>
            <a:ext uri="{FF2B5EF4-FFF2-40B4-BE49-F238E27FC236}">
              <a16:creationId xmlns:a16="http://schemas.microsoft.com/office/drawing/2014/main" id="{C8CA919E-AEB7-4D55-A747-47DB52F076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7" name="Elipse 2146">
          <a:extLst>
            <a:ext uri="{FF2B5EF4-FFF2-40B4-BE49-F238E27FC236}">
              <a16:creationId xmlns:a16="http://schemas.microsoft.com/office/drawing/2014/main" id="{8FD16836-8A03-450C-A971-52B8CFF848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8" name="Elipse 2147">
          <a:extLst>
            <a:ext uri="{FF2B5EF4-FFF2-40B4-BE49-F238E27FC236}">
              <a16:creationId xmlns:a16="http://schemas.microsoft.com/office/drawing/2014/main" id="{34C6E218-281A-4477-8DA1-14D8C19E6E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49" name="Elipse 2148">
          <a:extLst>
            <a:ext uri="{FF2B5EF4-FFF2-40B4-BE49-F238E27FC236}">
              <a16:creationId xmlns:a16="http://schemas.microsoft.com/office/drawing/2014/main" id="{7350912A-61D9-425E-A515-1877FE0BE3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0" name="Elipse 2149">
          <a:extLst>
            <a:ext uri="{FF2B5EF4-FFF2-40B4-BE49-F238E27FC236}">
              <a16:creationId xmlns:a16="http://schemas.microsoft.com/office/drawing/2014/main" id="{957D8F33-B928-428C-82C6-B8EBC47C41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1" name="Elipse 2150">
          <a:extLst>
            <a:ext uri="{FF2B5EF4-FFF2-40B4-BE49-F238E27FC236}">
              <a16:creationId xmlns:a16="http://schemas.microsoft.com/office/drawing/2014/main" id="{92116900-3DAA-42BE-9793-DAE4E149C3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2" name="Elipse 2151">
          <a:extLst>
            <a:ext uri="{FF2B5EF4-FFF2-40B4-BE49-F238E27FC236}">
              <a16:creationId xmlns:a16="http://schemas.microsoft.com/office/drawing/2014/main" id="{00068792-DA40-4EF9-BACC-CC37B36500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3" name="Elipse 2152">
          <a:extLst>
            <a:ext uri="{FF2B5EF4-FFF2-40B4-BE49-F238E27FC236}">
              <a16:creationId xmlns:a16="http://schemas.microsoft.com/office/drawing/2014/main" id="{4AEC4382-5366-4F2B-838C-B1B99B07B1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4" name="Elipse 2153">
          <a:extLst>
            <a:ext uri="{FF2B5EF4-FFF2-40B4-BE49-F238E27FC236}">
              <a16:creationId xmlns:a16="http://schemas.microsoft.com/office/drawing/2014/main" id="{5DA99218-B937-4A3F-8853-E732CB5522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5" name="Elipse 2154">
          <a:extLst>
            <a:ext uri="{FF2B5EF4-FFF2-40B4-BE49-F238E27FC236}">
              <a16:creationId xmlns:a16="http://schemas.microsoft.com/office/drawing/2014/main" id="{02F3D8B7-DD76-4C59-8C06-09C6CAB452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6" name="Elipse 2155">
          <a:extLst>
            <a:ext uri="{FF2B5EF4-FFF2-40B4-BE49-F238E27FC236}">
              <a16:creationId xmlns:a16="http://schemas.microsoft.com/office/drawing/2014/main" id="{5E6F3E72-61C6-4C47-A840-B83F6AA9BA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7" name="Elipse 2156">
          <a:extLst>
            <a:ext uri="{FF2B5EF4-FFF2-40B4-BE49-F238E27FC236}">
              <a16:creationId xmlns:a16="http://schemas.microsoft.com/office/drawing/2014/main" id="{450A4235-E0E1-4F9E-A603-EDD431202E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8" name="Elipse 2157">
          <a:extLst>
            <a:ext uri="{FF2B5EF4-FFF2-40B4-BE49-F238E27FC236}">
              <a16:creationId xmlns:a16="http://schemas.microsoft.com/office/drawing/2014/main" id="{6BD932E0-B802-4631-A8BC-0B9AB2FDF8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59" name="Elipse 2158">
          <a:extLst>
            <a:ext uri="{FF2B5EF4-FFF2-40B4-BE49-F238E27FC236}">
              <a16:creationId xmlns:a16="http://schemas.microsoft.com/office/drawing/2014/main" id="{BD2BE9CB-4B22-4047-B2C0-7E382FB7D6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0" name="Elipse 2159">
          <a:extLst>
            <a:ext uri="{FF2B5EF4-FFF2-40B4-BE49-F238E27FC236}">
              <a16:creationId xmlns:a16="http://schemas.microsoft.com/office/drawing/2014/main" id="{E51A2263-811D-4E77-807F-B01D88AB4A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1" name="Elipse 2160">
          <a:extLst>
            <a:ext uri="{FF2B5EF4-FFF2-40B4-BE49-F238E27FC236}">
              <a16:creationId xmlns:a16="http://schemas.microsoft.com/office/drawing/2014/main" id="{C93BB888-91EA-42F6-8490-C8E8D3C082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2" name="Elipse 2161">
          <a:extLst>
            <a:ext uri="{FF2B5EF4-FFF2-40B4-BE49-F238E27FC236}">
              <a16:creationId xmlns:a16="http://schemas.microsoft.com/office/drawing/2014/main" id="{7CDB9C6E-B3F6-43DF-A03F-64BC6F31AE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3" name="Elipse 2162">
          <a:extLst>
            <a:ext uri="{FF2B5EF4-FFF2-40B4-BE49-F238E27FC236}">
              <a16:creationId xmlns:a16="http://schemas.microsoft.com/office/drawing/2014/main" id="{9AEDD12A-BD4F-4454-8CCB-C595153826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4" name="Elipse 2163">
          <a:extLst>
            <a:ext uri="{FF2B5EF4-FFF2-40B4-BE49-F238E27FC236}">
              <a16:creationId xmlns:a16="http://schemas.microsoft.com/office/drawing/2014/main" id="{7F5E3883-0769-4D74-A351-CF8EA374A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5" name="Elipse 2164">
          <a:extLst>
            <a:ext uri="{FF2B5EF4-FFF2-40B4-BE49-F238E27FC236}">
              <a16:creationId xmlns:a16="http://schemas.microsoft.com/office/drawing/2014/main" id="{812C2AEB-EA2D-4DE9-BDCE-745288ECAD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6" name="Elipse 2165">
          <a:extLst>
            <a:ext uri="{FF2B5EF4-FFF2-40B4-BE49-F238E27FC236}">
              <a16:creationId xmlns:a16="http://schemas.microsoft.com/office/drawing/2014/main" id="{A56DC57D-B333-4624-BF29-8308C1B2C4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7" name="Elipse 2166">
          <a:extLst>
            <a:ext uri="{FF2B5EF4-FFF2-40B4-BE49-F238E27FC236}">
              <a16:creationId xmlns:a16="http://schemas.microsoft.com/office/drawing/2014/main" id="{130E636C-5830-4AE5-A1BE-1847C4C783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8" name="Elipse 2167">
          <a:extLst>
            <a:ext uri="{FF2B5EF4-FFF2-40B4-BE49-F238E27FC236}">
              <a16:creationId xmlns:a16="http://schemas.microsoft.com/office/drawing/2014/main" id="{26F21D7A-DDA8-4776-8C4C-FAE6D0DC86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69" name="Elipse 2168">
          <a:extLst>
            <a:ext uri="{FF2B5EF4-FFF2-40B4-BE49-F238E27FC236}">
              <a16:creationId xmlns:a16="http://schemas.microsoft.com/office/drawing/2014/main" id="{7FC6CB67-DDA8-4D9A-9E54-68CDFA7489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0" name="Elipse 2169">
          <a:extLst>
            <a:ext uri="{FF2B5EF4-FFF2-40B4-BE49-F238E27FC236}">
              <a16:creationId xmlns:a16="http://schemas.microsoft.com/office/drawing/2014/main" id="{D9AC6FDF-3B6F-4386-8A93-B38DEE8E42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1" name="Elipse 2170">
          <a:extLst>
            <a:ext uri="{FF2B5EF4-FFF2-40B4-BE49-F238E27FC236}">
              <a16:creationId xmlns:a16="http://schemas.microsoft.com/office/drawing/2014/main" id="{A460117E-14DB-4885-AA3B-28CAFD75E9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2" name="Elipse 2171">
          <a:extLst>
            <a:ext uri="{FF2B5EF4-FFF2-40B4-BE49-F238E27FC236}">
              <a16:creationId xmlns:a16="http://schemas.microsoft.com/office/drawing/2014/main" id="{00E0A781-5D3F-4D04-BF22-8C8FA51715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3" name="Elipse 2172">
          <a:extLst>
            <a:ext uri="{FF2B5EF4-FFF2-40B4-BE49-F238E27FC236}">
              <a16:creationId xmlns:a16="http://schemas.microsoft.com/office/drawing/2014/main" id="{3BBEF225-AEDF-44AE-85E5-CB39DC7784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4" name="Elipse 2173">
          <a:extLst>
            <a:ext uri="{FF2B5EF4-FFF2-40B4-BE49-F238E27FC236}">
              <a16:creationId xmlns:a16="http://schemas.microsoft.com/office/drawing/2014/main" id="{2B4A7857-C9A9-453F-9FC9-BA51C1B0CD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5" name="Elipse 2174">
          <a:extLst>
            <a:ext uri="{FF2B5EF4-FFF2-40B4-BE49-F238E27FC236}">
              <a16:creationId xmlns:a16="http://schemas.microsoft.com/office/drawing/2014/main" id="{9C4203CC-16B5-4CBC-9FDB-8D871EB02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6" name="Elipse 2175">
          <a:extLst>
            <a:ext uri="{FF2B5EF4-FFF2-40B4-BE49-F238E27FC236}">
              <a16:creationId xmlns:a16="http://schemas.microsoft.com/office/drawing/2014/main" id="{25911C5C-C2AC-4D5A-B551-C1313B220F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7" name="Elipse 2176">
          <a:extLst>
            <a:ext uri="{FF2B5EF4-FFF2-40B4-BE49-F238E27FC236}">
              <a16:creationId xmlns:a16="http://schemas.microsoft.com/office/drawing/2014/main" id="{D1A3A0A0-AD27-4A9A-BF97-18EE59DEC2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8" name="Elipse 2177">
          <a:extLst>
            <a:ext uri="{FF2B5EF4-FFF2-40B4-BE49-F238E27FC236}">
              <a16:creationId xmlns:a16="http://schemas.microsoft.com/office/drawing/2014/main" id="{89BE4124-A876-4095-AC2E-0C2D150BD9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79" name="Elipse 2178">
          <a:extLst>
            <a:ext uri="{FF2B5EF4-FFF2-40B4-BE49-F238E27FC236}">
              <a16:creationId xmlns:a16="http://schemas.microsoft.com/office/drawing/2014/main" id="{244DD081-9B51-4DD2-BC1A-9197727F3E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0" name="Elipse 2179">
          <a:extLst>
            <a:ext uri="{FF2B5EF4-FFF2-40B4-BE49-F238E27FC236}">
              <a16:creationId xmlns:a16="http://schemas.microsoft.com/office/drawing/2014/main" id="{7AB34371-4CE4-49B4-A8AB-0CA309C74D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1" name="Elipse 2180">
          <a:extLst>
            <a:ext uri="{FF2B5EF4-FFF2-40B4-BE49-F238E27FC236}">
              <a16:creationId xmlns:a16="http://schemas.microsoft.com/office/drawing/2014/main" id="{20BD33FB-576D-43A7-AAAD-B2579EE6BD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2" name="Elipse 2181">
          <a:extLst>
            <a:ext uri="{FF2B5EF4-FFF2-40B4-BE49-F238E27FC236}">
              <a16:creationId xmlns:a16="http://schemas.microsoft.com/office/drawing/2014/main" id="{5ADACB9A-3A88-4665-8C1C-18A48719E8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3" name="Elipse 2182">
          <a:extLst>
            <a:ext uri="{FF2B5EF4-FFF2-40B4-BE49-F238E27FC236}">
              <a16:creationId xmlns:a16="http://schemas.microsoft.com/office/drawing/2014/main" id="{1700C557-1E4D-4CD0-A627-DE970C0D40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4" name="Elipse 2183">
          <a:extLst>
            <a:ext uri="{FF2B5EF4-FFF2-40B4-BE49-F238E27FC236}">
              <a16:creationId xmlns:a16="http://schemas.microsoft.com/office/drawing/2014/main" id="{6DDE2A09-65D5-4787-A15F-549ED7D364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5" name="Elipse 2184">
          <a:extLst>
            <a:ext uri="{FF2B5EF4-FFF2-40B4-BE49-F238E27FC236}">
              <a16:creationId xmlns:a16="http://schemas.microsoft.com/office/drawing/2014/main" id="{537344F5-BF40-4DFB-8558-E8E7D9C453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6" name="Elipse 2185">
          <a:extLst>
            <a:ext uri="{FF2B5EF4-FFF2-40B4-BE49-F238E27FC236}">
              <a16:creationId xmlns:a16="http://schemas.microsoft.com/office/drawing/2014/main" id="{E662CC85-90FC-400B-A0ED-A805CA78D5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7" name="Elipse 2186">
          <a:extLst>
            <a:ext uri="{FF2B5EF4-FFF2-40B4-BE49-F238E27FC236}">
              <a16:creationId xmlns:a16="http://schemas.microsoft.com/office/drawing/2014/main" id="{8ECB2909-F7E0-4976-8253-85F6904BFA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8" name="Elipse 2187">
          <a:extLst>
            <a:ext uri="{FF2B5EF4-FFF2-40B4-BE49-F238E27FC236}">
              <a16:creationId xmlns:a16="http://schemas.microsoft.com/office/drawing/2014/main" id="{291E5C47-369A-4442-8415-E2D1C82EBF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89" name="Elipse 2188">
          <a:extLst>
            <a:ext uri="{FF2B5EF4-FFF2-40B4-BE49-F238E27FC236}">
              <a16:creationId xmlns:a16="http://schemas.microsoft.com/office/drawing/2014/main" id="{8A851799-F864-40A5-BD07-B9D6630D23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0" name="Elipse 2189">
          <a:extLst>
            <a:ext uri="{FF2B5EF4-FFF2-40B4-BE49-F238E27FC236}">
              <a16:creationId xmlns:a16="http://schemas.microsoft.com/office/drawing/2014/main" id="{5CA7F56A-3B13-45A6-BDBB-236DA3CFF7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1" name="Elipse 2190">
          <a:extLst>
            <a:ext uri="{FF2B5EF4-FFF2-40B4-BE49-F238E27FC236}">
              <a16:creationId xmlns:a16="http://schemas.microsoft.com/office/drawing/2014/main" id="{232F59AC-2A51-4C34-B560-F596C82E48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2" name="Elipse 2191">
          <a:extLst>
            <a:ext uri="{FF2B5EF4-FFF2-40B4-BE49-F238E27FC236}">
              <a16:creationId xmlns:a16="http://schemas.microsoft.com/office/drawing/2014/main" id="{BB36B8C6-0B4A-4ACD-B6A7-536FC5BD33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3" name="Elipse 2192">
          <a:extLst>
            <a:ext uri="{FF2B5EF4-FFF2-40B4-BE49-F238E27FC236}">
              <a16:creationId xmlns:a16="http://schemas.microsoft.com/office/drawing/2014/main" id="{2ADB77D8-CFEE-4FEC-9F05-1B9A314B86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4" name="Elipse 2193">
          <a:extLst>
            <a:ext uri="{FF2B5EF4-FFF2-40B4-BE49-F238E27FC236}">
              <a16:creationId xmlns:a16="http://schemas.microsoft.com/office/drawing/2014/main" id="{7EC289F1-F639-47B4-B129-33E7162AFB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5" name="Elipse 2194">
          <a:extLst>
            <a:ext uri="{FF2B5EF4-FFF2-40B4-BE49-F238E27FC236}">
              <a16:creationId xmlns:a16="http://schemas.microsoft.com/office/drawing/2014/main" id="{31997041-5CC8-4218-8F0B-8A3C756D7A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6" name="Elipse 2195">
          <a:extLst>
            <a:ext uri="{FF2B5EF4-FFF2-40B4-BE49-F238E27FC236}">
              <a16:creationId xmlns:a16="http://schemas.microsoft.com/office/drawing/2014/main" id="{89C15CB4-8866-4324-AD84-C2E4258FDD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7" name="Elipse 2196">
          <a:extLst>
            <a:ext uri="{FF2B5EF4-FFF2-40B4-BE49-F238E27FC236}">
              <a16:creationId xmlns:a16="http://schemas.microsoft.com/office/drawing/2014/main" id="{A8AB6E14-C39A-4F4F-97F3-138C144292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8" name="Elipse 2197">
          <a:extLst>
            <a:ext uri="{FF2B5EF4-FFF2-40B4-BE49-F238E27FC236}">
              <a16:creationId xmlns:a16="http://schemas.microsoft.com/office/drawing/2014/main" id="{133414CA-2C5B-4C7F-9733-47631DB08E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199" name="Elipse 2198">
          <a:extLst>
            <a:ext uri="{FF2B5EF4-FFF2-40B4-BE49-F238E27FC236}">
              <a16:creationId xmlns:a16="http://schemas.microsoft.com/office/drawing/2014/main" id="{772D233D-C546-4E15-AC2E-A9D6E98CFA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0" name="Elipse 2199">
          <a:extLst>
            <a:ext uri="{FF2B5EF4-FFF2-40B4-BE49-F238E27FC236}">
              <a16:creationId xmlns:a16="http://schemas.microsoft.com/office/drawing/2014/main" id="{6B45537D-F83B-4EB3-AB31-7EEA90B3C3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1" name="Elipse 2200">
          <a:extLst>
            <a:ext uri="{FF2B5EF4-FFF2-40B4-BE49-F238E27FC236}">
              <a16:creationId xmlns:a16="http://schemas.microsoft.com/office/drawing/2014/main" id="{54FF54FC-ECF7-4FA8-B434-8EC494F015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2" name="Elipse 2201">
          <a:extLst>
            <a:ext uri="{FF2B5EF4-FFF2-40B4-BE49-F238E27FC236}">
              <a16:creationId xmlns:a16="http://schemas.microsoft.com/office/drawing/2014/main" id="{88ED67EC-D589-4958-BCC9-DAF2E865F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3" name="Elipse 2202">
          <a:extLst>
            <a:ext uri="{FF2B5EF4-FFF2-40B4-BE49-F238E27FC236}">
              <a16:creationId xmlns:a16="http://schemas.microsoft.com/office/drawing/2014/main" id="{0BA93ADA-F96A-4E52-BC3A-5E8B020DF0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4" name="Elipse 2203">
          <a:extLst>
            <a:ext uri="{FF2B5EF4-FFF2-40B4-BE49-F238E27FC236}">
              <a16:creationId xmlns:a16="http://schemas.microsoft.com/office/drawing/2014/main" id="{25E6FD54-EAD8-4470-92EF-CF230E7C33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5" name="Elipse 2204">
          <a:extLst>
            <a:ext uri="{FF2B5EF4-FFF2-40B4-BE49-F238E27FC236}">
              <a16:creationId xmlns:a16="http://schemas.microsoft.com/office/drawing/2014/main" id="{8B3681DB-E436-4353-89D9-B24D8D899A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6" name="Elipse 2205">
          <a:extLst>
            <a:ext uri="{FF2B5EF4-FFF2-40B4-BE49-F238E27FC236}">
              <a16:creationId xmlns:a16="http://schemas.microsoft.com/office/drawing/2014/main" id="{D739BC53-E4AA-4E6E-A79C-A45BD54DC0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7" name="Elipse 2206">
          <a:extLst>
            <a:ext uri="{FF2B5EF4-FFF2-40B4-BE49-F238E27FC236}">
              <a16:creationId xmlns:a16="http://schemas.microsoft.com/office/drawing/2014/main" id="{A7424775-5501-4FDF-ABBE-4B30E12186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8" name="Elipse 2207">
          <a:extLst>
            <a:ext uri="{FF2B5EF4-FFF2-40B4-BE49-F238E27FC236}">
              <a16:creationId xmlns:a16="http://schemas.microsoft.com/office/drawing/2014/main" id="{6C50551F-1ED8-43AA-8CC7-5E10F405CC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09" name="Elipse 2208">
          <a:extLst>
            <a:ext uri="{FF2B5EF4-FFF2-40B4-BE49-F238E27FC236}">
              <a16:creationId xmlns:a16="http://schemas.microsoft.com/office/drawing/2014/main" id="{04B84CCD-6320-491D-A0C6-748E3473C6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0" name="Elipse 2209">
          <a:extLst>
            <a:ext uri="{FF2B5EF4-FFF2-40B4-BE49-F238E27FC236}">
              <a16:creationId xmlns:a16="http://schemas.microsoft.com/office/drawing/2014/main" id="{84792492-95F7-42A8-BF8B-E09DFCF81A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1" name="Elipse 2210">
          <a:extLst>
            <a:ext uri="{FF2B5EF4-FFF2-40B4-BE49-F238E27FC236}">
              <a16:creationId xmlns:a16="http://schemas.microsoft.com/office/drawing/2014/main" id="{4DE5F76F-0BC4-410A-A78A-CE318B3E5F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2" name="Elipse 2211">
          <a:extLst>
            <a:ext uri="{FF2B5EF4-FFF2-40B4-BE49-F238E27FC236}">
              <a16:creationId xmlns:a16="http://schemas.microsoft.com/office/drawing/2014/main" id="{C19993E6-4345-4448-BFE0-B01F5F64C5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3" name="Elipse 2212">
          <a:extLst>
            <a:ext uri="{FF2B5EF4-FFF2-40B4-BE49-F238E27FC236}">
              <a16:creationId xmlns:a16="http://schemas.microsoft.com/office/drawing/2014/main" id="{F5F2FD87-C565-4F09-91E1-043624CE53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4" name="Elipse 2213">
          <a:extLst>
            <a:ext uri="{FF2B5EF4-FFF2-40B4-BE49-F238E27FC236}">
              <a16:creationId xmlns:a16="http://schemas.microsoft.com/office/drawing/2014/main" id="{176309F1-2E66-4B2F-9B86-A09E88FF5B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5" name="Elipse 2214">
          <a:extLst>
            <a:ext uri="{FF2B5EF4-FFF2-40B4-BE49-F238E27FC236}">
              <a16:creationId xmlns:a16="http://schemas.microsoft.com/office/drawing/2014/main" id="{0344AFC6-7232-41C6-B3F1-E8550FCD36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6" name="Elipse 2215">
          <a:extLst>
            <a:ext uri="{FF2B5EF4-FFF2-40B4-BE49-F238E27FC236}">
              <a16:creationId xmlns:a16="http://schemas.microsoft.com/office/drawing/2014/main" id="{52D48F60-0B4E-4421-9488-2C8859EDB0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7" name="Elipse 2216">
          <a:extLst>
            <a:ext uri="{FF2B5EF4-FFF2-40B4-BE49-F238E27FC236}">
              <a16:creationId xmlns:a16="http://schemas.microsoft.com/office/drawing/2014/main" id="{DBD7D481-4BB8-4CFC-B48F-EB36FCCE5C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8" name="Elipse 2217">
          <a:extLst>
            <a:ext uri="{FF2B5EF4-FFF2-40B4-BE49-F238E27FC236}">
              <a16:creationId xmlns:a16="http://schemas.microsoft.com/office/drawing/2014/main" id="{C497E171-4D51-4D16-BC9B-16570EBBE1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19" name="Elipse 2218">
          <a:extLst>
            <a:ext uri="{FF2B5EF4-FFF2-40B4-BE49-F238E27FC236}">
              <a16:creationId xmlns:a16="http://schemas.microsoft.com/office/drawing/2014/main" id="{A214B50C-973B-41A5-83E9-2AEEE92607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0" name="Elipse 2219">
          <a:extLst>
            <a:ext uri="{FF2B5EF4-FFF2-40B4-BE49-F238E27FC236}">
              <a16:creationId xmlns:a16="http://schemas.microsoft.com/office/drawing/2014/main" id="{AA4FB5A2-9A7B-4BF8-A484-985F36D70D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1" name="Elipse 2220">
          <a:extLst>
            <a:ext uri="{FF2B5EF4-FFF2-40B4-BE49-F238E27FC236}">
              <a16:creationId xmlns:a16="http://schemas.microsoft.com/office/drawing/2014/main" id="{112AAE1F-B713-42AE-B44D-79F3E887C0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2" name="Elipse 2221">
          <a:extLst>
            <a:ext uri="{FF2B5EF4-FFF2-40B4-BE49-F238E27FC236}">
              <a16:creationId xmlns:a16="http://schemas.microsoft.com/office/drawing/2014/main" id="{5058E8CD-0A3B-4A5A-B890-E9CF5A4783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3" name="Elipse 2222">
          <a:extLst>
            <a:ext uri="{FF2B5EF4-FFF2-40B4-BE49-F238E27FC236}">
              <a16:creationId xmlns:a16="http://schemas.microsoft.com/office/drawing/2014/main" id="{DAAA1041-C275-421D-A6D2-70E274149A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4" name="Elipse 2223">
          <a:extLst>
            <a:ext uri="{FF2B5EF4-FFF2-40B4-BE49-F238E27FC236}">
              <a16:creationId xmlns:a16="http://schemas.microsoft.com/office/drawing/2014/main" id="{18B1A56C-137F-4536-A19D-A8D8EAD7D9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5" name="Elipse 2224">
          <a:extLst>
            <a:ext uri="{FF2B5EF4-FFF2-40B4-BE49-F238E27FC236}">
              <a16:creationId xmlns:a16="http://schemas.microsoft.com/office/drawing/2014/main" id="{8D1C6676-EAF3-4996-9448-02185F5ABC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6" name="Elipse 2225">
          <a:extLst>
            <a:ext uri="{FF2B5EF4-FFF2-40B4-BE49-F238E27FC236}">
              <a16:creationId xmlns:a16="http://schemas.microsoft.com/office/drawing/2014/main" id="{CE87A7BF-5B5D-4DEF-AA6B-A4FAA9BFAB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7" name="Elipse 2226">
          <a:extLst>
            <a:ext uri="{FF2B5EF4-FFF2-40B4-BE49-F238E27FC236}">
              <a16:creationId xmlns:a16="http://schemas.microsoft.com/office/drawing/2014/main" id="{99511E31-1B00-45CF-9085-884FF6AC65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8" name="Elipse 2227">
          <a:extLst>
            <a:ext uri="{FF2B5EF4-FFF2-40B4-BE49-F238E27FC236}">
              <a16:creationId xmlns:a16="http://schemas.microsoft.com/office/drawing/2014/main" id="{9F25C60B-87C2-450C-95B8-19505ABA48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29" name="Elipse 2228">
          <a:extLst>
            <a:ext uri="{FF2B5EF4-FFF2-40B4-BE49-F238E27FC236}">
              <a16:creationId xmlns:a16="http://schemas.microsoft.com/office/drawing/2014/main" id="{37C3B4D6-4E36-4C78-8F54-451DE1DB7F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0" name="Elipse 2229">
          <a:extLst>
            <a:ext uri="{FF2B5EF4-FFF2-40B4-BE49-F238E27FC236}">
              <a16:creationId xmlns:a16="http://schemas.microsoft.com/office/drawing/2014/main" id="{2E54B4AC-CD66-4A85-B021-D4FF219E4F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1" name="Elipse 2230">
          <a:extLst>
            <a:ext uri="{FF2B5EF4-FFF2-40B4-BE49-F238E27FC236}">
              <a16:creationId xmlns:a16="http://schemas.microsoft.com/office/drawing/2014/main" id="{A775FA0E-CD40-4EB5-B572-B521DA87C6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2" name="Elipse 2231">
          <a:extLst>
            <a:ext uri="{FF2B5EF4-FFF2-40B4-BE49-F238E27FC236}">
              <a16:creationId xmlns:a16="http://schemas.microsoft.com/office/drawing/2014/main" id="{3371D8E5-DEFB-4CD8-9080-175C08C2B9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3" name="Elipse 2232">
          <a:extLst>
            <a:ext uri="{FF2B5EF4-FFF2-40B4-BE49-F238E27FC236}">
              <a16:creationId xmlns:a16="http://schemas.microsoft.com/office/drawing/2014/main" id="{85823910-61BF-4748-A194-8F817AD999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4" name="Elipse 2233">
          <a:extLst>
            <a:ext uri="{FF2B5EF4-FFF2-40B4-BE49-F238E27FC236}">
              <a16:creationId xmlns:a16="http://schemas.microsoft.com/office/drawing/2014/main" id="{33B1D517-B02F-4B45-B890-ED842E8FC4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5" name="Elipse 2234">
          <a:extLst>
            <a:ext uri="{FF2B5EF4-FFF2-40B4-BE49-F238E27FC236}">
              <a16:creationId xmlns:a16="http://schemas.microsoft.com/office/drawing/2014/main" id="{4BBE6AD2-F059-4ADB-AEF7-D96CD5ED18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6" name="Elipse 2235">
          <a:extLst>
            <a:ext uri="{FF2B5EF4-FFF2-40B4-BE49-F238E27FC236}">
              <a16:creationId xmlns:a16="http://schemas.microsoft.com/office/drawing/2014/main" id="{F2CEE153-B93E-4AA2-955F-4A0DFEA467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7" name="Elipse 2236">
          <a:extLst>
            <a:ext uri="{FF2B5EF4-FFF2-40B4-BE49-F238E27FC236}">
              <a16:creationId xmlns:a16="http://schemas.microsoft.com/office/drawing/2014/main" id="{6855751F-7542-43DD-9559-F0B50A491F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8" name="Elipse 2237">
          <a:extLst>
            <a:ext uri="{FF2B5EF4-FFF2-40B4-BE49-F238E27FC236}">
              <a16:creationId xmlns:a16="http://schemas.microsoft.com/office/drawing/2014/main" id="{EBF1A591-3B45-4570-A7CA-EC88696E09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39" name="Elipse 2238">
          <a:extLst>
            <a:ext uri="{FF2B5EF4-FFF2-40B4-BE49-F238E27FC236}">
              <a16:creationId xmlns:a16="http://schemas.microsoft.com/office/drawing/2014/main" id="{CA8CA1BB-37C3-4984-84F5-BF0AF9DAC3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0" name="Elipse 2239">
          <a:extLst>
            <a:ext uri="{FF2B5EF4-FFF2-40B4-BE49-F238E27FC236}">
              <a16:creationId xmlns:a16="http://schemas.microsoft.com/office/drawing/2014/main" id="{CBC0511C-D01B-438D-B35F-A93E964FE7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1" name="Elipse 2240">
          <a:extLst>
            <a:ext uri="{FF2B5EF4-FFF2-40B4-BE49-F238E27FC236}">
              <a16:creationId xmlns:a16="http://schemas.microsoft.com/office/drawing/2014/main" id="{94459CC2-27EA-4949-AEA4-4FC5ADC468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2" name="Elipse 2241">
          <a:extLst>
            <a:ext uri="{FF2B5EF4-FFF2-40B4-BE49-F238E27FC236}">
              <a16:creationId xmlns:a16="http://schemas.microsoft.com/office/drawing/2014/main" id="{FF2E4FB6-EF12-45DF-B466-2D6AA8C297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3" name="Elipse 2242">
          <a:extLst>
            <a:ext uri="{FF2B5EF4-FFF2-40B4-BE49-F238E27FC236}">
              <a16:creationId xmlns:a16="http://schemas.microsoft.com/office/drawing/2014/main" id="{6DE06F7C-95F2-4C85-91F4-13A0B9AC40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4" name="Elipse 2243">
          <a:extLst>
            <a:ext uri="{FF2B5EF4-FFF2-40B4-BE49-F238E27FC236}">
              <a16:creationId xmlns:a16="http://schemas.microsoft.com/office/drawing/2014/main" id="{98BDE623-8214-4C40-8793-C9CC484C78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5" name="Elipse 2244">
          <a:extLst>
            <a:ext uri="{FF2B5EF4-FFF2-40B4-BE49-F238E27FC236}">
              <a16:creationId xmlns:a16="http://schemas.microsoft.com/office/drawing/2014/main" id="{E4C1D3A3-B756-453D-B188-BECACC214C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6" name="Elipse 2245">
          <a:extLst>
            <a:ext uri="{FF2B5EF4-FFF2-40B4-BE49-F238E27FC236}">
              <a16:creationId xmlns:a16="http://schemas.microsoft.com/office/drawing/2014/main" id="{A84BEEC4-8D2F-418C-9833-421CB6887D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7" name="Elipse 2246">
          <a:extLst>
            <a:ext uri="{FF2B5EF4-FFF2-40B4-BE49-F238E27FC236}">
              <a16:creationId xmlns:a16="http://schemas.microsoft.com/office/drawing/2014/main" id="{06992178-32BE-4A6F-97A1-87306ADD83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8" name="Elipse 2247">
          <a:extLst>
            <a:ext uri="{FF2B5EF4-FFF2-40B4-BE49-F238E27FC236}">
              <a16:creationId xmlns:a16="http://schemas.microsoft.com/office/drawing/2014/main" id="{A6647B28-136D-4F12-9E2F-2CF8238AF3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49" name="Elipse 2248">
          <a:extLst>
            <a:ext uri="{FF2B5EF4-FFF2-40B4-BE49-F238E27FC236}">
              <a16:creationId xmlns:a16="http://schemas.microsoft.com/office/drawing/2014/main" id="{B3A70A1C-B44E-4993-9621-FAB7384A75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0" name="Elipse 2249">
          <a:extLst>
            <a:ext uri="{FF2B5EF4-FFF2-40B4-BE49-F238E27FC236}">
              <a16:creationId xmlns:a16="http://schemas.microsoft.com/office/drawing/2014/main" id="{11B0DBC1-C40D-4508-908E-A8335CC9B5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1" name="Elipse 2250">
          <a:extLst>
            <a:ext uri="{FF2B5EF4-FFF2-40B4-BE49-F238E27FC236}">
              <a16:creationId xmlns:a16="http://schemas.microsoft.com/office/drawing/2014/main" id="{E880A867-583B-4246-B517-A50C601D6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2" name="Elipse 2251">
          <a:extLst>
            <a:ext uri="{FF2B5EF4-FFF2-40B4-BE49-F238E27FC236}">
              <a16:creationId xmlns:a16="http://schemas.microsoft.com/office/drawing/2014/main" id="{26A68498-4634-4CB3-B37F-34E9F7BC76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3" name="Elipse 2252">
          <a:extLst>
            <a:ext uri="{FF2B5EF4-FFF2-40B4-BE49-F238E27FC236}">
              <a16:creationId xmlns:a16="http://schemas.microsoft.com/office/drawing/2014/main" id="{045C5558-4D45-4295-99F4-928E5B42CA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4" name="Elipse 2253">
          <a:extLst>
            <a:ext uri="{FF2B5EF4-FFF2-40B4-BE49-F238E27FC236}">
              <a16:creationId xmlns:a16="http://schemas.microsoft.com/office/drawing/2014/main" id="{8AACC419-B597-46D6-8BF5-DEE3C1B542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5" name="Elipse 2254">
          <a:extLst>
            <a:ext uri="{FF2B5EF4-FFF2-40B4-BE49-F238E27FC236}">
              <a16:creationId xmlns:a16="http://schemas.microsoft.com/office/drawing/2014/main" id="{B9F76227-17C3-47AE-AB1E-ACFB13C64D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6" name="Elipse 2255">
          <a:extLst>
            <a:ext uri="{FF2B5EF4-FFF2-40B4-BE49-F238E27FC236}">
              <a16:creationId xmlns:a16="http://schemas.microsoft.com/office/drawing/2014/main" id="{80B31AE0-7618-445C-8BDD-3346A9D0E8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7" name="Elipse 2256">
          <a:extLst>
            <a:ext uri="{FF2B5EF4-FFF2-40B4-BE49-F238E27FC236}">
              <a16:creationId xmlns:a16="http://schemas.microsoft.com/office/drawing/2014/main" id="{9F38CEE3-7EEF-4260-A076-A9AEBA9FEA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8" name="Elipse 2257">
          <a:extLst>
            <a:ext uri="{FF2B5EF4-FFF2-40B4-BE49-F238E27FC236}">
              <a16:creationId xmlns:a16="http://schemas.microsoft.com/office/drawing/2014/main" id="{D5BB7E24-C245-46B2-92CE-44A89CB2C3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59" name="Elipse 2258">
          <a:extLst>
            <a:ext uri="{FF2B5EF4-FFF2-40B4-BE49-F238E27FC236}">
              <a16:creationId xmlns:a16="http://schemas.microsoft.com/office/drawing/2014/main" id="{D851BF4E-E31B-4ED2-A1AE-60C2C9B6E0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0" name="Elipse 2259">
          <a:extLst>
            <a:ext uri="{FF2B5EF4-FFF2-40B4-BE49-F238E27FC236}">
              <a16:creationId xmlns:a16="http://schemas.microsoft.com/office/drawing/2014/main" id="{817704B1-A3CC-49FB-B2A2-5B4D9788F9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1" name="Elipse 2260">
          <a:extLst>
            <a:ext uri="{FF2B5EF4-FFF2-40B4-BE49-F238E27FC236}">
              <a16:creationId xmlns:a16="http://schemas.microsoft.com/office/drawing/2014/main" id="{0E10B557-927C-46C3-BFD5-AAD2D4B25B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2" name="Elipse 2261">
          <a:extLst>
            <a:ext uri="{FF2B5EF4-FFF2-40B4-BE49-F238E27FC236}">
              <a16:creationId xmlns:a16="http://schemas.microsoft.com/office/drawing/2014/main" id="{F022839E-7017-4D23-BE83-324584D7C8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3" name="Elipse 2262">
          <a:extLst>
            <a:ext uri="{FF2B5EF4-FFF2-40B4-BE49-F238E27FC236}">
              <a16:creationId xmlns:a16="http://schemas.microsoft.com/office/drawing/2014/main" id="{0FE1AFDA-0105-4649-9003-13B97DCE28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4" name="Elipse 2263">
          <a:extLst>
            <a:ext uri="{FF2B5EF4-FFF2-40B4-BE49-F238E27FC236}">
              <a16:creationId xmlns:a16="http://schemas.microsoft.com/office/drawing/2014/main" id="{6E292391-CBAF-4E33-8A08-ADB079440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5" name="Elipse 2264">
          <a:extLst>
            <a:ext uri="{FF2B5EF4-FFF2-40B4-BE49-F238E27FC236}">
              <a16:creationId xmlns:a16="http://schemas.microsoft.com/office/drawing/2014/main" id="{B94C0399-3607-4C9E-BCB1-00767E5CBF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6" name="Elipse 2265">
          <a:extLst>
            <a:ext uri="{FF2B5EF4-FFF2-40B4-BE49-F238E27FC236}">
              <a16:creationId xmlns:a16="http://schemas.microsoft.com/office/drawing/2014/main" id="{5F5D16DF-708A-4C02-9330-12CBB4CE03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7" name="Elipse 2266">
          <a:extLst>
            <a:ext uri="{FF2B5EF4-FFF2-40B4-BE49-F238E27FC236}">
              <a16:creationId xmlns:a16="http://schemas.microsoft.com/office/drawing/2014/main" id="{4C53E393-53F8-46D2-B06C-1C0E04708E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8" name="Elipse 2267">
          <a:extLst>
            <a:ext uri="{FF2B5EF4-FFF2-40B4-BE49-F238E27FC236}">
              <a16:creationId xmlns:a16="http://schemas.microsoft.com/office/drawing/2014/main" id="{69387043-4E64-4AA6-810A-3E0472F086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69" name="Elipse 2268">
          <a:extLst>
            <a:ext uri="{FF2B5EF4-FFF2-40B4-BE49-F238E27FC236}">
              <a16:creationId xmlns:a16="http://schemas.microsoft.com/office/drawing/2014/main" id="{021C9824-33A7-482A-8151-7B3EC38362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0" name="Elipse 2269">
          <a:extLst>
            <a:ext uri="{FF2B5EF4-FFF2-40B4-BE49-F238E27FC236}">
              <a16:creationId xmlns:a16="http://schemas.microsoft.com/office/drawing/2014/main" id="{469717D3-851A-45F5-90C7-1EB7D346AA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1" name="Elipse 2270">
          <a:extLst>
            <a:ext uri="{FF2B5EF4-FFF2-40B4-BE49-F238E27FC236}">
              <a16:creationId xmlns:a16="http://schemas.microsoft.com/office/drawing/2014/main" id="{75845934-F0A3-4FE4-BC6E-33233414EB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2" name="Elipse 2271">
          <a:extLst>
            <a:ext uri="{FF2B5EF4-FFF2-40B4-BE49-F238E27FC236}">
              <a16:creationId xmlns:a16="http://schemas.microsoft.com/office/drawing/2014/main" id="{BAEE862E-3E9A-4EB0-AB38-F6D8B2554A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3" name="Elipse 2272">
          <a:extLst>
            <a:ext uri="{FF2B5EF4-FFF2-40B4-BE49-F238E27FC236}">
              <a16:creationId xmlns:a16="http://schemas.microsoft.com/office/drawing/2014/main" id="{E9E9255D-898D-46F3-A094-32A7C9BEF9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4" name="Elipse 2273">
          <a:extLst>
            <a:ext uri="{FF2B5EF4-FFF2-40B4-BE49-F238E27FC236}">
              <a16:creationId xmlns:a16="http://schemas.microsoft.com/office/drawing/2014/main" id="{7BD5F9B6-E3F7-4C15-97FD-129ED1F486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5" name="Elipse 2274">
          <a:extLst>
            <a:ext uri="{FF2B5EF4-FFF2-40B4-BE49-F238E27FC236}">
              <a16:creationId xmlns:a16="http://schemas.microsoft.com/office/drawing/2014/main" id="{5CBFA099-636C-41A4-82F5-CBE1A1F7CF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6" name="Elipse 2275">
          <a:extLst>
            <a:ext uri="{FF2B5EF4-FFF2-40B4-BE49-F238E27FC236}">
              <a16:creationId xmlns:a16="http://schemas.microsoft.com/office/drawing/2014/main" id="{BA149BD9-C805-4795-B416-7EA695AD36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7" name="Elipse 2276">
          <a:extLst>
            <a:ext uri="{FF2B5EF4-FFF2-40B4-BE49-F238E27FC236}">
              <a16:creationId xmlns:a16="http://schemas.microsoft.com/office/drawing/2014/main" id="{A54A4162-E61B-4EF5-B16B-202176262A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8" name="Elipse 2277">
          <a:extLst>
            <a:ext uri="{FF2B5EF4-FFF2-40B4-BE49-F238E27FC236}">
              <a16:creationId xmlns:a16="http://schemas.microsoft.com/office/drawing/2014/main" id="{ABB9CE05-B4C6-4C16-87DE-242BD22BA5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79" name="Elipse 2278">
          <a:extLst>
            <a:ext uri="{FF2B5EF4-FFF2-40B4-BE49-F238E27FC236}">
              <a16:creationId xmlns:a16="http://schemas.microsoft.com/office/drawing/2014/main" id="{343E278D-BEAC-46AE-830C-4F874978FA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0" name="Elipse 2279">
          <a:extLst>
            <a:ext uri="{FF2B5EF4-FFF2-40B4-BE49-F238E27FC236}">
              <a16:creationId xmlns:a16="http://schemas.microsoft.com/office/drawing/2014/main" id="{FC84C560-08CA-4A60-BB9C-9371E05711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1" name="Elipse 2280">
          <a:extLst>
            <a:ext uri="{FF2B5EF4-FFF2-40B4-BE49-F238E27FC236}">
              <a16:creationId xmlns:a16="http://schemas.microsoft.com/office/drawing/2014/main" id="{540BCB84-FECA-4BED-AC02-AE4B6BDC05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2" name="Elipse 2281">
          <a:extLst>
            <a:ext uri="{FF2B5EF4-FFF2-40B4-BE49-F238E27FC236}">
              <a16:creationId xmlns:a16="http://schemas.microsoft.com/office/drawing/2014/main" id="{F0190A1B-E3DC-4262-A3B1-71069E99AE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3" name="Elipse 2282">
          <a:extLst>
            <a:ext uri="{FF2B5EF4-FFF2-40B4-BE49-F238E27FC236}">
              <a16:creationId xmlns:a16="http://schemas.microsoft.com/office/drawing/2014/main" id="{72ABE0F8-118F-487B-B9B5-319E9E3E8C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4" name="Elipse 2283">
          <a:extLst>
            <a:ext uri="{FF2B5EF4-FFF2-40B4-BE49-F238E27FC236}">
              <a16:creationId xmlns:a16="http://schemas.microsoft.com/office/drawing/2014/main" id="{BCB32283-FE42-4B05-8E40-889DFB416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5" name="Elipse 2284">
          <a:extLst>
            <a:ext uri="{FF2B5EF4-FFF2-40B4-BE49-F238E27FC236}">
              <a16:creationId xmlns:a16="http://schemas.microsoft.com/office/drawing/2014/main" id="{1FADBA95-D679-4C08-829C-FE15EB3448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6" name="Elipse 2285">
          <a:extLst>
            <a:ext uri="{FF2B5EF4-FFF2-40B4-BE49-F238E27FC236}">
              <a16:creationId xmlns:a16="http://schemas.microsoft.com/office/drawing/2014/main" id="{DF175691-8057-425F-8EE0-AE2A78B8F7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7" name="Elipse 2286">
          <a:extLst>
            <a:ext uri="{FF2B5EF4-FFF2-40B4-BE49-F238E27FC236}">
              <a16:creationId xmlns:a16="http://schemas.microsoft.com/office/drawing/2014/main" id="{397FCA60-8695-4382-A496-8EEC175D9A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8" name="Elipse 2287">
          <a:extLst>
            <a:ext uri="{FF2B5EF4-FFF2-40B4-BE49-F238E27FC236}">
              <a16:creationId xmlns:a16="http://schemas.microsoft.com/office/drawing/2014/main" id="{DC5E1EA2-A8BF-47CD-9CE4-84B871F383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89" name="Elipse 2288">
          <a:extLst>
            <a:ext uri="{FF2B5EF4-FFF2-40B4-BE49-F238E27FC236}">
              <a16:creationId xmlns:a16="http://schemas.microsoft.com/office/drawing/2014/main" id="{63438C76-F1E8-4BE0-B958-2DA5B873BA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0" name="Elipse 2289">
          <a:extLst>
            <a:ext uri="{FF2B5EF4-FFF2-40B4-BE49-F238E27FC236}">
              <a16:creationId xmlns:a16="http://schemas.microsoft.com/office/drawing/2014/main" id="{74F3831D-08B0-45AF-B5B7-DD869C4508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1" name="Elipse 2290">
          <a:extLst>
            <a:ext uri="{FF2B5EF4-FFF2-40B4-BE49-F238E27FC236}">
              <a16:creationId xmlns:a16="http://schemas.microsoft.com/office/drawing/2014/main" id="{595A1D11-014E-41C8-A5C2-30936B7A6E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2" name="Elipse 2291">
          <a:extLst>
            <a:ext uri="{FF2B5EF4-FFF2-40B4-BE49-F238E27FC236}">
              <a16:creationId xmlns:a16="http://schemas.microsoft.com/office/drawing/2014/main" id="{96367B64-8A38-409A-8272-B4B2A4459F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3" name="Elipse 2292">
          <a:extLst>
            <a:ext uri="{FF2B5EF4-FFF2-40B4-BE49-F238E27FC236}">
              <a16:creationId xmlns:a16="http://schemas.microsoft.com/office/drawing/2014/main" id="{0FA79CC7-1610-4397-97CD-84D3AFD70C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4" name="Elipse 2293">
          <a:extLst>
            <a:ext uri="{FF2B5EF4-FFF2-40B4-BE49-F238E27FC236}">
              <a16:creationId xmlns:a16="http://schemas.microsoft.com/office/drawing/2014/main" id="{55710866-E8DC-41F2-8DD4-6BCE733B52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5" name="Elipse 2294">
          <a:extLst>
            <a:ext uri="{FF2B5EF4-FFF2-40B4-BE49-F238E27FC236}">
              <a16:creationId xmlns:a16="http://schemas.microsoft.com/office/drawing/2014/main" id="{743AD73B-16AD-4837-BE3B-3D8FFD31B7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6" name="Elipse 2295">
          <a:extLst>
            <a:ext uri="{FF2B5EF4-FFF2-40B4-BE49-F238E27FC236}">
              <a16:creationId xmlns:a16="http://schemas.microsoft.com/office/drawing/2014/main" id="{B4295B66-70B3-400D-A1B8-E4E4624186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7" name="Elipse 2296">
          <a:extLst>
            <a:ext uri="{FF2B5EF4-FFF2-40B4-BE49-F238E27FC236}">
              <a16:creationId xmlns:a16="http://schemas.microsoft.com/office/drawing/2014/main" id="{D4B88402-9B58-46DE-98E9-68A65F9CD7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8" name="Elipse 2297">
          <a:extLst>
            <a:ext uri="{FF2B5EF4-FFF2-40B4-BE49-F238E27FC236}">
              <a16:creationId xmlns:a16="http://schemas.microsoft.com/office/drawing/2014/main" id="{F2F2E342-81B7-43D8-9130-AFE277ED97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99" name="Elipse 2298">
          <a:extLst>
            <a:ext uri="{FF2B5EF4-FFF2-40B4-BE49-F238E27FC236}">
              <a16:creationId xmlns:a16="http://schemas.microsoft.com/office/drawing/2014/main" id="{EFFBF5CC-A67B-4935-910A-D9D0A4C141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0" name="Elipse 2299">
          <a:extLst>
            <a:ext uri="{FF2B5EF4-FFF2-40B4-BE49-F238E27FC236}">
              <a16:creationId xmlns:a16="http://schemas.microsoft.com/office/drawing/2014/main" id="{1F293654-D2FA-4401-BADB-43BFBF53DD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1" name="Elipse 2300">
          <a:extLst>
            <a:ext uri="{FF2B5EF4-FFF2-40B4-BE49-F238E27FC236}">
              <a16:creationId xmlns:a16="http://schemas.microsoft.com/office/drawing/2014/main" id="{3FA62CF3-768C-4AC6-B7B6-A510D974E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2" name="Elipse 2301">
          <a:extLst>
            <a:ext uri="{FF2B5EF4-FFF2-40B4-BE49-F238E27FC236}">
              <a16:creationId xmlns:a16="http://schemas.microsoft.com/office/drawing/2014/main" id="{51444AEC-9150-478B-BBC8-32627B9B41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3" name="Elipse 2302">
          <a:extLst>
            <a:ext uri="{FF2B5EF4-FFF2-40B4-BE49-F238E27FC236}">
              <a16:creationId xmlns:a16="http://schemas.microsoft.com/office/drawing/2014/main" id="{024177EF-3CC1-4523-9F00-B170CED7D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4" name="Elipse 2303">
          <a:extLst>
            <a:ext uri="{FF2B5EF4-FFF2-40B4-BE49-F238E27FC236}">
              <a16:creationId xmlns:a16="http://schemas.microsoft.com/office/drawing/2014/main" id="{9084FD85-6D5C-49FE-AB25-FD75AC7881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5" name="Elipse 2304">
          <a:extLst>
            <a:ext uri="{FF2B5EF4-FFF2-40B4-BE49-F238E27FC236}">
              <a16:creationId xmlns:a16="http://schemas.microsoft.com/office/drawing/2014/main" id="{947087E0-52F5-4D73-AEEA-0061B42812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6" name="Elipse 2305">
          <a:extLst>
            <a:ext uri="{FF2B5EF4-FFF2-40B4-BE49-F238E27FC236}">
              <a16:creationId xmlns:a16="http://schemas.microsoft.com/office/drawing/2014/main" id="{CDA7F6E7-3B9B-4689-83FC-F72DDAB595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7" name="Elipse 2306">
          <a:extLst>
            <a:ext uri="{FF2B5EF4-FFF2-40B4-BE49-F238E27FC236}">
              <a16:creationId xmlns:a16="http://schemas.microsoft.com/office/drawing/2014/main" id="{7237ED01-7D7C-4142-BB9A-8CF617740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8" name="Elipse 2307">
          <a:extLst>
            <a:ext uri="{FF2B5EF4-FFF2-40B4-BE49-F238E27FC236}">
              <a16:creationId xmlns:a16="http://schemas.microsoft.com/office/drawing/2014/main" id="{7D8B8535-B871-4626-B3A7-3D0D625AD9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09" name="Elipse 2308">
          <a:extLst>
            <a:ext uri="{FF2B5EF4-FFF2-40B4-BE49-F238E27FC236}">
              <a16:creationId xmlns:a16="http://schemas.microsoft.com/office/drawing/2014/main" id="{9CBDEA6D-0D88-48F9-B7B0-19ABD929B2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0" name="Elipse 2309">
          <a:extLst>
            <a:ext uri="{FF2B5EF4-FFF2-40B4-BE49-F238E27FC236}">
              <a16:creationId xmlns:a16="http://schemas.microsoft.com/office/drawing/2014/main" id="{F21BB61C-5D74-4D6D-9BF0-4D9BB1EB54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1" name="Elipse 2310">
          <a:extLst>
            <a:ext uri="{FF2B5EF4-FFF2-40B4-BE49-F238E27FC236}">
              <a16:creationId xmlns:a16="http://schemas.microsoft.com/office/drawing/2014/main" id="{57BF920D-83CD-491D-873E-BADB61560A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2" name="Elipse 2311">
          <a:extLst>
            <a:ext uri="{FF2B5EF4-FFF2-40B4-BE49-F238E27FC236}">
              <a16:creationId xmlns:a16="http://schemas.microsoft.com/office/drawing/2014/main" id="{BEDA0EF0-EF33-4162-B912-54343F6A37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3" name="Elipse 2312">
          <a:extLst>
            <a:ext uri="{FF2B5EF4-FFF2-40B4-BE49-F238E27FC236}">
              <a16:creationId xmlns:a16="http://schemas.microsoft.com/office/drawing/2014/main" id="{8E8B66D1-9BB6-4DE5-BBF7-1979AAA75C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4" name="Elipse 2313">
          <a:extLst>
            <a:ext uri="{FF2B5EF4-FFF2-40B4-BE49-F238E27FC236}">
              <a16:creationId xmlns:a16="http://schemas.microsoft.com/office/drawing/2014/main" id="{8F9423D0-5188-4554-85C1-12AFA127C7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5" name="Elipse 2314">
          <a:extLst>
            <a:ext uri="{FF2B5EF4-FFF2-40B4-BE49-F238E27FC236}">
              <a16:creationId xmlns:a16="http://schemas.microsoft.com/office/drawing/2014/main" id="{8DE95580-F9B2-400B-975D-6BD14C64A1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6" name="Elipse 2315">
          <a:extLst>
            <a:ext uri="{FF2B5EF4-FFF2-40B4-BE49-F238E27FC236}">
              <a16:creationId xmlns:a16="http://schemas.microsoft.com/office/drawing/2014/main" id="{C26CE549-C33D-45BF-B69A-92A7A8A6EC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7" name="Elipse 2316">
          <a:extLst>
            <a:ext uri="{FF2B5EF4-FFF2-40B4-BE49-F238E27FC236}">
              <a16:creationId xmlns:a16="http://schemas.microsoft.com/office/drawing/2014/main" id="{6102E157-E785-43A6-B04C-65B570AD85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8" name="Elipse 2317">
          <a:extLst>
            <a:ext uri="{FF2B5EF4-FFF2-40B4-BE49-F238E27FC236}">
              <a16:creationId xmlns:a16="http://schemas.microsoft.com/office/drawing/2014/main" id="{E3950C4F-79A1-47A2-BF30-FB294EC7BE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19" name="Elipse 2318">
          <a:extLst>
            <a:ext uri="{FF2B5EF4-FFF2-40B4-BE49-F238E27FC236}">
              <a16:creationId xmlns:a16="http://schemas.microsoft.com/office/drawing/2014/main" id="{3C040249-2142-44C8-B908-F6AEE74487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0" name="Elipse 2319">
          <a:extLst>
            <a:ext uri="{FF2B5EF4-FFF2-40B4-BE49-F238E27FC236}">
              <a16:creationId xmlns:a16="http://schemas.microsoft.com/office/drawing/2014/main" id="{8FB81F33-FE12-48AB-A048-CA67644BC9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1" name="Elipse 2320">
          <a:extLst>
            <a:ext uri="{FF2B5EF4-FFF2-40B4-BE49-F238E27FC236}">
              <a16:creationId xmlns:a16="http://schemas.microsoft.com/office/drawing/2014/main" id="{B4A75675-025F-4C2B-BF1F-6C5538D76B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2" name="Elipse 2321">
          <a:extLst>
            <a:ext uri="{FF2B5EF4-FFF2-40B4-BE49-F238E27FC236}">
              <a16:creationId xmlns:a16="http://schemas.microsoft.com/office/drawing/2014/main" id="{35F36250-C8A4-4694-9167-7DEA16E0A5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3" name="Elipse 2322">
          <a:extLst>
            <a:ext uri="{FF2B5EF4-FFF2-40B4-BE49-F238E27FC236}">
              <a16:creationId xmlns:a16="http://schemas.microsoft.com/office/drawing/2014/main" id="{C55FB47C-D186-4C31-A520-2E73892C74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4" name="Elipse 2323">
          <a:extLst>
            <a:ext uri="{FF2B5EF4-FFF2-40B4-BE49-F238E27FC236}">
              <a16:creationId xmlns:a16="http://schemas.microsoft.com/office/drawing/2014/main" id="{8DFFF969-848C-44AA-949E-3518120A90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5" name="Elipse 2324">
          <a:extLst>
            <a:ext uri="{FF2B5EF4-FFF2-40B4-BE49-F238E27FC236}">
              <a16:creationId xmlns:a16="http://schemas.microsoft.com/office/drawing/2014/main" id="{8B157A0D-AA68-4FE6-8349-7A148DA1D2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6" name="Elipse 2325">
          <a:extLst>
            <a:ext uri="{FF2B5EF4-FFF2-40B4-BE49-F238E27FC236}">
              <a16:creationId xmlns:a16="http://schemas.microsoft.com/office/drawing/2014/main" id="{4889000E-7BDD-48E5-8AA8-56DCCEA0BB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7" name="Elipse 2326">
          <a:extLst>
            <a:ext uri="{FF2B5EF4-FFF2-40B4-BE49-F238E27FC236}">
              <a16:creationId xmlns:a16="http://schemas.microsoft.com/office/drawing/2014/main" id="{88F09FE6-34DF-416E-B156-F3E60B6D49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8" name="Elipse 2327">
          <a:extLst>
            <a:ext uri="{FF2B5EF4-FFF2-40B4-BE49-F238E27FC236}">
              <a16:creationId xmlns:a16="http://schemas.microsoft.com/office/drawing/2014/main" id="{C1AFACAD-83DF-41FE-B1A1-FEA52347D0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29" name="Elipse 2328">
          <a:extLst>
            <a:ext uri="{FF2B5EF4-FFF2-40B4-BE49-F238E27FC236}">
              <a16:creationId xmlns:a16="http://schemas.microsoft.com/office/drawing/2014/main" id="{0AF7A46B-FCAF-4F94-84DF-5706675798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0" name="Elipse 2329">
          <a:extLst>
            <a:ext uri="{FF2B5EF4-FFF2-40B4-BE49-F238E27FC236}">
              <a16:creationId xmlns:a16="http://schemas.microsoft.com/office/drawing/2014/main" id="{6F37FE9B-8199-4410-AA92-31ADC91B58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1" name="Elipse 2330">
          <a:extLst>
            <a:ext uri="{FF2B5EF4-FFF2-40B4-BE49-F238E27FC236}">
              <a16:creationId xmlns:a16="http://schemas.microsoft.com/office/drawing/2014/main" id="{FA01A47C-3985-40F1-BF74-AD61F7856F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2" name="Elipse 2331">
          <a:extLst>
            <a:ext uri="{FF2B5EF4-FFF2-40B4-BE49-F238E27FC236}">
              <a16:creationId xmlns:a16="http://schemas.microsoft.com/office/drawing/2014/main" id="{7135FE76-78A6-41C0-ACA6-8239196A4F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3" name="Elipse 2332">
          <a:extLst>
            <a:ext uri="{FF2B5EF4-FFF2-40B4-BE49-F238E27FC236}">
              <a16:creationId xmlns:a16="http://schemas.microsoft.com/office/drawing/2014/main" id="{224C0332-441D-4785-A52B-66FDC69C7A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4" name="Elipse 2333">
          <a:extLst>
            <a:ext uri="{FF2B5EF4-FFF2-40B4-BE49-F238E27FC236}">
              <a16:creationId xmlns:a16="http://schemas.microsoft.com/office/drawing/2014/main" id="{A101738E-1D97-4720-855B-D8927AA7DA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5" name="Elipse 2334">
          <a:extLst>
            <a:ext uri="{FF2B5EF4-FFF2-40B4-BE49-F238E27FC236}">
              <a16:creationId xmlns:a16="http://schemas.microsoft.com/office/drawing/2014/main" id="{81ADA699-2758-42C5-9276-D3B83EA1E6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6" name="Elipse 2335">
          <a:extLst>
            <a:ext uri="{FF2B5EF4-FFF2-40B4-BE49-F238E27FC236}">
              <a16:creationId xmlns:a16="http://schemas.microsoft.com/office/drawing/2014/main" id="{AE74B8FC-F186-48E6-B1A3-3AD5B148D5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7" name="Elipse 2336">
          <a:extLst>
            <a:ext uri="{FF2B5EF4-FFF2-40B4-BE49-F238E27FC236}">
              <a16:creationId xmlns:a16="http://schemas.microsoft.com/office/drawing/2014/main" id="{F5166DC1-4514-4A7D-99C0-A0D3F20415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8" name="Elipse 2337">
          <a:extLst>
            <a:ext uri="{FF2B5EF4-FFF2-40B4-BE49-F238E27FC236}">
              <a16:creationId xmlns:a16="http://schemas.microsoft.com/office/drawing/2014/main" id="{DDB316AE-C5B7-46C1-BBBE-7752CCB4E3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39" name="Elipse 2338">
          <a:extLst>
            <a:ext uri="{FF2B5EF4-FFF2-40B4-BE49-F238E27FC236}">
              <a16:creationId xmlns:a16="http://schemas.microsoft.com/office/drawing/2014/main" id="{C05989CB-EB9C-4AFD-9259-074FCD7112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0" name="Elipse 2339">
          <a:extLst>
            <a:ext uri="{FF2B5EF4-FFF2-40B4-BE49-F238E27FC236}">
              <a16:creationId xmlns:a16="http://schemas.microsoft.com/office/drawing/2014/main" id="{8A554924-42FA-481D-ACE0-597411D437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1" name="Elipse 2340">
          <a:extLst>
            <a:ext uri="{FF2B5EF4-FFF2-40B4-BE49-F238E27FC236}">
              <a16:creationId xmlns:a16="http://schemas.microsoft.com/office/drawing/2014/main" id="{E8E20375-FA21-4976-BDC8-34CFC022A0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2" name="Elipse 2341">
          <a:extLst>
            <a:ext uri="{FF2B5EF4-FFF2-40B4-BE49-F238E27FC236}">
              <a16:creationId xmlns:a16="http://schemas.microsoft.com/office/drawing/2014/main" id="{92A3CD31-B5DE-43A7-AB11-09C4094465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3" name="Elipse 2342">
          <a:extLst>
            <a:ext uri="{FF2B5EF4-FFF2-40B4-BE49-F238E27FC236}">
              <a16:creationId xmlns:a16="http://schemas.microsoft.com/office/drawing/2014/main" id="{A77734A3-7118-422B-B179-483DD321A6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4" name="Elipse 2343">
          <a:extLst>
            <a:ext uri="{FF2B5EF4-FFF2-40B4-BE49-F238E27FC236}">
              <a16:creationId xmlns:a16="http://schemas.microsoft.com/office/drawing/2014/main" id="{4D7B4ABF-56A1-4792-8F54-B84C429310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5" name="Elipse 2344">
          <a:extLst>
            <a:ext uri="{FF2B5EF4-FFF2-40B4-BE49-F238E27FC236}">
              <a16:creationId xmlns:a16="http://schemas.microsoft.com/office/drawing/2014/main" id="{0D3DD542-1D01-44BA-812B-F47DD0D848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6" name="Elipse 2345">
          <a:extLst>
            <a:ext uri="{FF2B5EF4-FFF2-40B4-BE49-F238E27FC236}">
              <a16:creationId xmlns:a16="http://schemas.microsoft.com/office/drawing/2014/main" id="{912B2405-990D-4142-8E5E-58E76BC3DB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7" name="Elipse 2346">
          <a:extLst>
            <a:ext uri="{FF2B5EF4-FFF2-40B4-BE49-F238E27FC236}">
              <a16:creationId xmlns:a16="http://schemas.microsoft.com/office/drawing/2014/main" id="{F2EDBFDC-1C15-407C-B38A-17E8E1DFA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8" name="Elipse 2347">
          <a:extLst>
            <a:ext uri="{FF2B5EF4-FFF2-40B4-BE49-F238E27FC236}">
              <a16:creationId xmlns:a16="http://schemas.microsoft.com/office/drawing/2014/main" id="{900CDDB9-2FA0-4C99-AD17-9CC4C9CA20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49" name="Elipse 2348">
          <a:extLst>
            <a:ext uri="{FF2B5EF4-FFF2-40B4-BE49-F238E27FC236}">
              <a16:creationId xmlns:a16="http://schemas.microsoft.com/office/drawing/2014/main" id="{7C3B0F46-DD5A-4CBB-9815-AE0E8A0F82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0" name="Elipse 2349">
          <a:extLst>
            <a:ext uri="{FF2B5EF4-FFF2-40B4-BE49-F238E27FC236}">
              <a16:creationId xmlns:a16="http://schemas.microsoft.com/office/drawing/2014/main" id="{10CCA639-8281-48BA-B702-AB4892984E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1" name="Elipse 2350">
          <a:extLst>
            <a:ext uri="{FF2B5EF4-FFF2-40B4-BE49-F238E27FC236}">
              <a16:creationId xmlns:a16="http://schemas.microsoft.com/office/drawing/2014/main" id="{308863FD-1064-40A3-AFC1-2E4F964913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2" name="Elipse 2351">
          <a:extLst>
            <a:ext uri="{FF2B5EF4-FFF2-40B4-BE49-F238E27FC236}">
              <a16:creationId xmlns:a16="http://schemas.microsoft.com/office/drawing/2014/main" id="{B9731FE0-D2F4-4CCD-837A-37CCAF6BCE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3" name="Elipse 2352">
          <a:extLst>
            <a:ext uri="{FF2B5EF4-FFF2-40B4-BE49-F238E27FC236}">
              <a16:creationId xmlns:a16="http://schemas.microsoft.com/office/drawing/2014/main" id="{5F3C9A47-94E2-4A48-A1C6-F7F075A194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4" name="Elipse 2353">
          <a:extLst>
            <a:ext uri="{FF2B5EF4-FFF2-40B4-BE49-F238E27FC236}">
              <a16:creationId xmlns:a16="http://schemas.microsoft.com/office/drawing/2014/main" id="{1054B42D-6461-44D0-96B8-F3F5AAFC21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5" name="Elipse 2354">
          <a:extLst>
            <a:ext uri="{FF2B5EF4-FFF2-40B4-BE49-F238E27FC236}">
              <a16:creationId xmlns:a16="http://schemas.microsoft.com/office/drawing/2014/main" id="{07A946E1-5FBD-4ABD-B71D-69A7A97762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6" name="Elipse 2355">
          <a:extLst>
            <a:ext uri="{FF2B5EF4-FFF2-40B4-BE49-F238E27FC236}">
              <a16:creationId xmlns:a16="http://schemas.microsoft.com/office/drawing/2014/main" id="{ECC3114B-2BC2-40F6-84B1-8B6C43A4BD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7" name="Elipse 2356">
          <a:extLst>
            <a:ext uri="{FF2B5EF4-FFF2-40B4-BE49-F238E27FC236}">
              <a16:creationId xmlns:a16="http://schemas.microsoft.com/office/drawing/2014/main" id="{32E02D6A-ED1B-4A91-B158-3154B9B22F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8" name="Elipse 2357">
          <a:extLst>
            <a:ext uri="{FF2B5EF4-FFF2-40B4-BE49-F238E27FC236}">
              <a16:creationId xmlns:a16="http://schemas.microsoft.com/office/drawing/2014/main" id="{A9CBD723-EF5E-424A-9A28-7C488755C4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59" name="Elipse 2358">
          <a:extLst>
            <a:ext uri="{FF2B5EF4-FFF2-40B4-BE49-F238E27FC236}">
              <a16:creationId xmlns:a16="http://schemas.microsoft.com/office/drawing/2014/main" id="{8192B30D-9C2A-46AC-898D-E82512EF6A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0" name="Elipse 2359">
          <a:extLst>
            <a:ext uri="{FF2B5EF4-FFF2-40B4-BE49-F238E27FC236}">
              <a16:creationId xmlns:a16="http://schemas.microsoft.com/office/drawing/2014/main" id="{1D9B3FA8-44D6-4DDE-9156-1736987276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1" name="Elipse 2360">
          <a:extLst>
            <a:ext uri="{FF2B5EF4-FFF2-40B4-BE49-F238E27FC236}">
              <a16:creationId xmlns:a16="http://schemas.microsoft.com/office/drawing/2014/main" id="{9B42DCE8-959B-4031-8F52-A40E83AC6C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2" name="Elipse 2361">
          <a:extLst>
            <a:ext uri="{FF2B5EF4-FFF2-40B4-BE49-F238E27FC236}">
              <a16:creationId xmlns:a16="http://schemas.microsoft.com/office/drawing/2014/main" id="{CDE28A95-DC80-44D5-9163-CBDE45BE1B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3" name="Elipse 2362">
          <a:extLst>
            <a:ext uri="{FF2B5EF4-FFF2-40B4-BE49-F238E27FC236}">
              <a16:creationId xmlns:a16="http://schemas.microsoft.com/office/drawing/2014/main" id="{E181618B-867A-44EF-B3A4-775A7860B6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4" name="Elipse 2363">
          <a:extLst>
            <a:ext uri="{FF2B5EF4-FFF2-40B4-BE49-F238E27FC236}">
              <a16:creationId xmlns:a16="http://schemas.microsoft.com/office/drawing/2014/main" id="{4714CF5E-99DC-4673-A29A-9C2E54D04B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5" name="Elipse 2364">
          <a:extLst>
            <a:ext uri="{FF2B5EF4-FFF2-40B4-BE49-F238E27FC236}">
              <a16:creationId xmlns:a16="http://schemas.microsoft.com/office/drawing/2014/main" id="{1F8FBBF9-5B35-479C-8FF2-264A667BFD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6" name="Elipse 2365">
          <a:extLst>
            <a:ext uri="{FF2B5EF4-FFF2-40B4-BE49-F238E27FC236}">
              <a16:creationId xmlns:a16="http://schemas.microsoft.com/office/drawing/2014/main" id="{DDE3ABCA-BDD4-4FB7-8D13-2C903C9BF9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7" name="Elipse 2366">
          <a:extLst>
            <a:ext uri="{FF2B5EF4-FFF2-40B4-BE49-F238E27FC236}">
              <a16:creationId xmlns:a16="http://schemas.microsoft.com/office/drawing/2014/main" id="{F707B72B-5D1C-4BBC-AEF1-CA9F0F0447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8" name="Elipse 2367">
          <a:extLst>
            <a:ext uri="{FF2B5EF4-FFF2-40B4-BE49-F238E27FC236}">
              <a16:creationId xmlns:a16="http://schemas.microsoft.com/office/drawing/2014/main" id="{4728ED4B-6686-4415-B3E1-A1939D08F6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69" name="Elipse 2368">
          <a:extLst>
            <a:ext uri="{FF2B5EF4-FFF2-40B4-BE49-F238E27FC236}">
              <a16:creationId xmlns:a16="http://schemas.microsoft.com/office/drawing/2014/main" id="{5B08BB4C-C662-40C3-9212-283382F8B5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0" name="Elipse 2369">
          <a:extLst>
            <a:ext uri="{FF2B5EF4-FFF2-40B4-BE49-F238E27FC236}">
              <a16:creationId xmlns:a16="http://schemas.microsoft.com/office/drawing/2014/main" id="{FF8C2D23-CAE6-4586-BCB2-DC77AEBD4F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1" name="Elipse 2370">
          <a:extLst>
            <a:ext uri="{FF2B5EF4-FFF2-40B4-BE49-F238E27FC236}">
              <a16:creationId xmlns:a16="http://schemas.microsoft.com/office/drawing/2014/main" id="{43C2E15F-25A7-4C4F-827C-1199C7729A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2" name="Elipse 2371">
          <a:extLst>
            <a:ext uri="{FF2B5EF4-FFF2-40B4-BE49-F238E27FC236}">
              <a16:creationId xmlns:a16="http://schemas.microsoft.com/office/drawing/2014/main" id="{3CCBD78C-D62E-45EF-85C5-39A63D816E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3" name="Elipse 2372">
          <a:extLst>
            <a:ext uri="{FF2B5EF4-FFF2-40B4-BE49-F238E27FC236}">
              <a16:creationId xmlns:a16="http://schemas.microsoft.com/office/drawing/2014/main" id="{85C0B5EB-3374-4DA5-9DC2-E230F4205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4" name="Elipse 2373">
          <a:extLst>
            <a:ext uri="{FF2B5EF4-FFF2-40B4-BE49-F238E27FC236}">
              <a16:creationId xmlns:a16="http://schemas.microsoft.com/office/drawing/2014/main" id="{25E389C5-8A65-4103-8B84-A5EAAF7362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5" name="Elipse 2374">
          <a:extLst>
            <a:ext uri="{FF2B5EF4-FFF2-40B4-BE49-F238E27FC236}">
              <a16:creationId xmlns:a16="http://schemas.microsoft.com/office/drawing/2014/main" id="{A8BB4AC2-FFE2-47CF-876D-25C896F84A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6" name="Elipse 2375">
          <a:extLst>
            <a:ext uri="{FF2B5EF4-FFF2-40B4-BE49-F238E27FC236}">
              <a16:creationId xmlns:a16="http://schemas.microsoft.com/office/drawing/2014/main" id="{A92F50C2-283B-4ED5-9957-7B09EE9F4B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7" name="Elipse 2376">
          <a:extLst>
            <a:ext uri="{FF2B5EF4-FFF2-40B4-BE49-F238E27FC236}">
              <a16:creationId xmlns:a16="http://schemas.microsoft.com/office/drawing/2014/main" id="{64B22E5B-3CFD-4361-8DDD-B891D9E52B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8" name="Elipse 2377">
          <a:extLst>
            <a:ext uri="{FF2B5EF4-FFF2-40B4-BE49-F238E27FC236}">
              <a16:creationId xmlns:a16="http://schemas.microsoft.com/office/drawing/2014/main" id="{7235E5A6-F94B-42E3-86D1-84761413E8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79" name="Elipse 2378">
          <a:extLst>
            <a:ext uri="{FF2B5EF4-FFF2-40B4-BE49-F238E27FC236}">
              <a16:creationId xmlns:a16="http://schemas.microsoft.com/office/drawing/2014/main" id="{D26F325E-2120-4204-83BC-8C3DDD9833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0" name="Elipse 2379">
          <a:extLst>
            <a:ext uri="{FF2B5EF4-FFF2-40B4-BE49-F238E27FC236}">
              <a16:creationId xmlns:a16="http://schemas.microsoft.com/office/drawing/2014/main" id="{EC000776-F3F8-4B25-9ADF-D48B54F949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1" name="Elipse 2380">
          <a:extLst>
            <a:ext uri="{FF2B5EF4-FFF2-40B4-BE49-F238E27FC236}">
              <a16:creationId xmlns:a16="http://schemas.microsoft.com/office/drawing/2014/main" id="{45D4A3B5-1C16-4E63-BB9D-D564D1A55A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2" name="Elipse 2381">
          <a:extLst>
            <a:ext uri="{FF2B5EF4-FFF2-40B4-BE49-F238E27FC236}">
              <a16:creationId xmlns:a16="http://schemas.microsoft.com/office/drawing/2014/main" id="{3A9A4B2B-A2EA-40DA-AF4E-3AA56076FD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3" name="Elipse 2382">
          <a:extLst>
            <a:ext uri="{FF2B5EF4-FFF2-40B4-BE49-F238E27FC236}">
              <a16:creationId xmlns:a16="http://schemas.microsoft.com/office/drawing/2014/main" id="{6DC344F9-3BB0-4463-8361-226C63E979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4" name="Elipse 2383">
          <a:extLst>
            <a:ext uri="{FF2B5EF4-FFF2-40B4-BE49-F238E27FC236}">
              <a16:creationId xmlns:a16="http://schemas.microsoft.com/office/drawing/2014/main" id="{8C345B77-3064-4398-9C37-4A255D8B1B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5" name="Elipse 2384">
          <a:extLst>
            <a:ext uri="{FF2B5EF4-FFF2-40B4-BE49-F238E27FC236}">
              <a16:creationId xmlns:a16="http://schemas.microsoft.com/office/drawing/2014/main" id="{6DB2055A-0C31-44F5-A758-B8A91CACF9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6" name="Elipse 2385">
          <a:extLst>
            <a:ext uri="{FF2B5EF4-FFF2-40B4-BE49-F238E27FC236}">
              <a16:creationId xmlns:a16="http://schemas.microsoft.com/office/drawing/2014/main" id="{AE0E3349-1C83-481B-BADD-D61B81DE44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7" name="Elipse 2386">
          <a:extLst>
            <a:ext uri="{FF2B5EF4-FFF2-40B4-BE49-F238E27FC236}">
              <a16:creationId xmlns:a16="http://schemas.microsoft.com/office/drawing/2014/main" id="{9A81EB0D-7091-4422-891C-B2931D29A1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8" name="Elipse 2387">
          <a:extLst>
            <a:ext uri="{FF2B5EF4-FFF2-40B4-BE49-F238E27FC236}">
              <a16:creationId xmlns:a16="http://schemas.microsoft.com/office/drawing/2014/main" id="{20FF4D83-7446-42CC-A11A-1C335E7338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89" name="Elipse 2388">
          <a:extLst>
            <a:ext uri="{FF2B5EF4-FFF2-40B4-BE49-F238E27FC236}">
              <a16:creationId xmlns:a16="http://schemas.microsoft.com/office/drawing/2014/main" id="{92E2183A-71E4-481C-AA26-6189A7F1C1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0" name="Elipse 2389">
          <a:extLst>
            <a:ext uri="{FF2B5EF4-FFF2-40B4-BE49-F238E27FC236}">
              <a16:creationId xmlns:a16="http://schemas.microsoft.com/office/drawing/2014/main" id="{CAE906CA-199E-4F4D-80FA-E73ED7A18E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1" name="Elipse 2390">
          <a:extLst>
            <a:ext uri="{FF2B5EF4-FFF2-40B4-BE49-F238E27FC236}">
              <a16:creationId xmlns:a16="http://schemas.microsoft.com/office/drawing/2014/main" id="{A61CD592-DA48-4006-9083-2B45724EAB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2" name="Elipse 2391">
          <a:extLst>
            <a:ext uri="{FF2B5EF4-FFF2-40B4-BE49-F238E27FC236}">
              <a16:creationId xmlns:a16="http://schemas.microsoft.com/office/drawing/2014/main" id="{C765B5B2-2D9B-4CC1-9121-167A11016A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3" name="Elipse 2392">
          <a:extLst>
            <a:ext uri="{FF2B5EF4-FFF2-40B4-BE49-F238E27FC236}">
              <a16:creationId xmlns:a16="http://schemas.microsoft.com/office/drawing/2014/main" id="{76508D01-A169-4462-B0E5-DB94172759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4" name="Elipse 2393">
          <a:extLst>
            <a:ext uri="{FF2B5EF4-FFF2-40B4-BE49-F238E27FC236}">
              <a16:creationId xmlns:a16="http://schemas.microsoft.com/office/drawing/2014/main" id="{344DA9B3-2049-4842-ABF5-3ACB68059A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5" name="Elipse 2394">
          <a:extLst>
            <a:ext uri="{FF2B5EF4-FFF2-40B4-BE49-F238E27FC236}">
              <a16:creationId xmlns:a16="http://schemas.microsoft.com/office/drawing/2014/main" id="{F4493F6E-20FD-4282-BFBC-E4DA2D5CC2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6" name="Elipse 2395">
          <a:extLst>
            <a:ext uri="{FF2B5EF4-FFF2-40B4-BE49-F238E27FC236}">
              <a16:creationId xmlns:a16="http://schemas.microsoft.com/office/drawing/2014/main" id="{3C19784E-B41B-4A76-85AF-48114F526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7" name="Elipse 2396">
          <a:extLst>
            <a:ext uri="{FF2B5EF4-FFF2-40B4-BE49-F238E27FC236}">
              <a16:creationId xmlns:a16="http://schemas.microsoft.com/office/drawing/2014/main" id="{0670108F-BCC5-46AC-8E40-49B72FCB5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8" name="Elipse 2397">
          <a:extLst>
            <a:ext uri="{FF2B5EF4-FFF2-40B4-BE49-F238E27FC236}">
              <a16:creationId xmlns:a16="http://schemas.microsoft.com/office/drawing/2014/main" id="{00539F9B-CE43-49AE-8673-0227E4C930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99" name="Elipse 2398">
          <a:extLst>
            <a:ext uri="{FF2B5EF4-FFF2-40B4-BE49-F238E27FC236}">
              <a16:creationId xmlns:a16="http://schemas.microsoft.com/office/drawing/2014/main" id="{8795D0AB-1018-4095-A054-091AC0EB14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0" name="Elipse 2399">
          <a:extLst>
            <a:ext uri="{FF2B5EF4-FFF2-40B4-BE49-F238E27FC236}">
              <a16:creationId xmlns:a16="http://schemas.microsoft.com/office/drawing/2014/main" id="{7CE91450-994F-423A-A8F4-4DAF4E4AD6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1" name="Elipse 2400">
          <a:extLst>
            <a:ext uri="{FF2B5EF4-FFF2-40B4-BE49-F238E27FC236}">
              <a16:creationId xmlns:a16="http://schemas.microsoft.com/office/drawing/2014/main" id="{B1D55F5D-80C4-4CE9-92C5-9ED9640A4F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2" name="Elipse 2401">
          <a:extLst>
            <a:ext uri="{FF2B5EF4-FFF2-40B4-BE49-F238E27FC236}">
              <a16:creationId xmlns:a16="http://schemas.microsoft.com/office/drawing/2014/main" id="{887E1B5C-3A5E-4F42-910B-DC7F725DD8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3" name="Elipse 2402">
          <a:extLst>
            <a:ext uri="{FF2B5EF4-FFF2-40B4-BE49-F238E27FC236}">
              <a16:creationId xmlns:a16="http://schemas.microsoft.com/office/drawing/2014/main" id="{57A77C14-C061-4888-882F-DE9AA5970D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4" name="Elipse 2403">
          <a:extLst>
            <a:ext uri="{FF2B5EF4-FFF2-40B4-BE49-F238E27FC236}">
              <a16:creationId xmlns:a16="http://schemas.microsoft.com/office/drawing/2014/main" id="{A7C6C038-4F9A-475B-BB6F-243347F3A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5" name="Elipse 2404">
          <a:extLst>
            <a:ext uri="{FF2B5EF4-FFF2-40B4-BE49-F238E27FC236}">
              <a16:creationId xmlns:a16="http://schemas.microsoft.com/office/drawing/2014/main" id="{16DE006B-E9CB-4BF3-8B25-CB60039301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6" name="Elipse 2405">
          <a:extLst>
            <a:ext uri="{FF2B5EF4-FFF2-40B4-BE49-F238E27FC236}">
              <a16:creationId xmlns:a16="http://schemas.microsoft.com/office/drawing/2014/main" id="{B7580552-472C-4095-A775-EDFEBBEA7A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7" name="Elipse 2406">
          <a:extLst>
            <a:ext uri="{FF2B5EF4-FFF2-40B4-BE49-F238E27FC236}">
              <a16:creationId xmlns:a16="http://schemas.microsoft.com/office/drawing/2014/main" id="{C302B1A4-1852-4E19-8D84-3D0CBF40B8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8" name="Elipse 2407">
          <a:extLst>
            <a:ext uri="{FF2B5EF4-FFF2-40B4-BE49-F238E27FC236}">
              <a16:creationId xmlns:a16="http://schemas.microsoft.com/office/drawing/2014/main" id="{FF7ABE33-B4DF-4650-B2E1-B13D2185D9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09" name="Elipse 2408">
          <a:extLst>
            <a:ext uri="{FF2B5EF4-FFF2-40B4-BE49-F238E27FC236}">
              <a16:creationId xmlns:a16="http://schemas.microsoft.com/office/drawing/2014/main" id="{1EC6064E-69D4-4DDA-8DC4-195588165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0" name="Elipse 2409">
          <a:extLst>
            <a:ext uri="{FF2B5EF4-FFF2-40B4-BE49-F238E27FC236}">
              <a16:creationId xmlns:a16="http://schemas.microsoft.com/office/drawing/2014/main" id="{7B439B53-0F22-4876-8FAF-3E606E6174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1" name="Elipse 2410">
          <a:extLst>
            <a:ext uri="{FF2B5EF4-FFF2-40B4-BE49-F238E27FC236}">
              <a16:creationId xmlns:a16="http://schemas.microsoft.com/office/drawing/2014/main" id="{633F8AFC-1DB7-4536-ADC2-87997FC562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2" name="Elipse 2411">
          <a:extLst>
            <a:ext uri="{FF2B5EF4-FFF2-40B4-BE49-F238E27FC236}">
              <a16:creationId xmlns:a16="http://schemas.microsoft.com/office/drawing/2014/main" id="{98511765-6D6A-44AC-A423-1DE12B09F2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3" name="Elipse 2412">
          <a:extLst>
            <a:ext uri="{FF2B5EF4-FFF2-40B4-BE49-F238E27FC236}">
              <a16:creationId xmlns:a16="http://schemas.microsoft.com/office/drawing/2014/main" id="{31643E48-3624-4B5B-8BB7-05E46064AD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4" name="Elipse 2413">
          <a:extLst>
            <a:ext uri="{FF2B5EF4-FFF2-40B4-BE49-F238E27FC236}">
              <a16:creationId xmlns:a16="http://schemas.microsoft.com/office/drawing/2014/main" id="{0917FC00-039E-454D-AC97-4943D5F4E3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5" name="Elipse 2414">
          <a:extLst>
            <a:ext uri="{FF2B5EF4-FFF2-40B4-BE49-F238E27FC236}">
              <a16:creationId xmlns:a16="http://schemas.microsoft.com/office/drawing/2014/main" id="{478DB72A-686B-4395-A1AE-F34120FFDC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6" name="Elipse 2415">
          <a:extLst>
            <a:ext uri="{FF2B5EF4-FFF2-40B4-BE49-F238E27FC236}">
              <a16:creationId xmlns:a16="http://schemas.microsoft.com/office/drawing/2014/main" id="{1C927E4D-2DA5-4FCD-9B35-0DB1662ECE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7" name="Elipse 2416">
          <a:extLst>
            <a:ext uri="{FF2B5EF4-FFF2-40B4-BE49-F238E27FC236}">
              <a16:creationId xmlns:a16="http://schemas.microsoft.com/office/drawing/2014/main" id="{257B3BC8-E3A9-4418-B38C-9C67B14CC8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8" name="Elipse 2417">
          <a:extLst>
            <a:ext uri="{FF2B5EF4-FFF2-40B4-BE49-F238E27FC236}">
              <a16:creationId xmlns:a16="http://schemas.microsoft.com/office/drawing/2014/main" id="{4477D977-E8D5-4D02-B56B-75E03E32CA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19" name="Elipse 2418">
          <a:extLst>
            <a:ext uri="{FF2B5EF4-FFF2-40B4-BE49-F238E27FC236}">
              <a16:creationId xmlns:a16="http://schemas.microsoft.com/office/drawing/2014/main" id="{C09043C9-67FE-4439-90AD-F8C0627777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0" name="Elipse 2419">
          <a:extLst>
            <a:ext uri="{FF2B5EF4-FFF2-40B4-BE49-F238E27FC236}">
              <a16:creationId xmlns:a16="http://schemas.microsoft.com/office/drawing/2014/main" id="{13958B83-FB17-44E7-B00F-F46B8169F6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1" name="Elipse 2420">
          <a:extLst>
            <a:ext uri="{FF2B5EF4-FFF2-40B4-BE49-F238E27FC236}">
              <a16:creationId xmlns:a16="http://schemas.microsoft.com/office/drawing/2014/main" id="{25E59BEA-E1AB-4C8E-853B-14F0DF75BD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2" name="Elipse 2421">
          <a:extLst>
            <a:ext uri="{FF2B5EF4-FFF2-40B4-BE49-F238E27FC236}">
              <a16:creationId xmlns:a16="http://schemas.microsoft.com/office/drawing/2014/main" id="{596477DB-A494-4DF5-82DF-3E3F203957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3" name="Elipse 2422">
          <a:extLst>
            <a:ext uri="{FF2B5EF4-FFF2-40B4-BE49-F238E27FC236}">
              <a16:creationId xmlns:a16="http://schemas.microsoft.com/office/drawing/2014/main" id="{32F9B36F-F17F-4631-97E3-4A71CE32F5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4" name="Elipse 2423">
          <a:extLst>
            <a:ext uri="{FF2B5EF4-FFF2-40B4-BE49-F238E27FC236}">
              <a16:creationId xmlns:a16="http://schemas.microsoft.com/office/drawing/2014/main" id="{DB0987AA-0E8B-403A-B45A-ABC5DEFE0F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5" name="Elipse 2424">
          <a:extLst>
            <a:ext uri="{FF2B5EF4-FFF2-40B4-BE49-F238E27FC236}">
              <a16:creationId xmlns:a16="http://schemas.microsoft.com/office/drawing/2014/main" id="{F89C1864-C7D1-45DB-B496-DFFDE607F6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6" name="Elipse 2425">
          <a:extLst>
            <a:ext uri="{FF2B5EF4-FFF2-40B4-BE49-F238E27FC236}">
              <a16:creationId xmlns:a16="http://schemas.microsoft.com/office/drawing/2014/main" id="{9D2A4B46-F23E-42F1-A7AD-D6E47DE02E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7" name="Elipse 2426">
          <a:extLst>
            <a:ext uri="{FF2B5EF4-FFF2-40B4-BE49-F238E27FC236}">
              <a16:creationId xmlns:a16="http://schemas.microsoft.com/office/drawing/2014/main" id="{C241B573-67A1-4126-A8B6-03E13B55E4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8" name="Elipse 2427">
          <a:extLst>
            <a:ext uri="{FF2B5EF4-FFF2-40B4-BE49-F238E27FC236}">
              <a16:creationId xmlns:a16="http://schemas.microsoft.com/office/drawing/2014/main" id="{44A9152E-AD07-4803-80DB-84165CD69E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29" name="Elipse 2428">
          <a:extLst>
            <a:ext uri="{FF2B5EF4-FFF2-40B4-BE49-F238E27FC236}">
              <a16:creationId xmlns:a16="http://schemas.microsoft.com/office/drawing/2014/main" id="{42AE5DB4-40CC-45AC-A12D-EA3B1A3D02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0" name="Elipse 2429">
          <a:extLst>
            <a:ext uri="{FF2B5EF4-FFF2-40B4-BE49-F238E27FC236}">
              <a16:creationId xmlns:a16="http://schemas.microsoft.com/office/drawing/2014/main" id="{8BED7162-D38E-47FA-8CFB-FD2BCE305E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1" name="Elipse 2430">
          <a:extLst>
            <a:ext uri="{FF2B5EF4-FFF2-40B4-BE49-F238E27FC236}">
              <a16:creationId xmlns:a16="http://schemas.microsoft.com/office/drawing/2014/main" id="{98BB136A-20E3-48D5-BAD3-53D73F30A8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2" name="Elipse 2431">
          <a:extLst>
            <a:ext uri="{FF2B5EF4-FFF2-40B4-BE49-F238E27FC236}">
              <a16:creationId xmlns:a16="http://schemas.microsoft.com/office/drawing/2014/main" id="{40A7343E-FF68-49CC-8A3A-588C20590A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3" name="Elipse 2432">
          <a:extLst>
            <a:ext uri="{FF2B5EF4-FFF2-40B4-BE49-F238E27FC236}">
              <a16:creationId xmlns:a16="http://schemas.microsoft.com/office/drawing/2014/main" id="{62BA85A9-4AFF-4BDB-A054-5AD64A382A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4" name="Elipse 2433">
          <a:extLst>
            <a:ext uri="{FF2B5EF4-FFF2-40B4-BE49-F238E27FC236}">
              <a16:creationId xmlns:a16="http://schemas.microsoft.com/office/drawing/2014/main" id="{98D1CE5D-7F3A-4088-A7BB-8101B97589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5" name="Elipse 2434">
          <a:extLst>
            <a:ext uri="{FF2B5EF4-FFF2-40B4-BE49-F238E27FC236}">
              <a16:creationId xmlns:a16="http://schemas.microsoft.com/office/drawing/2014/main" id="{0685A0E3-AA0E-4B59-963E-955A52F43F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6" name="Elipse 2435">
          <a:extLst>
            <a:ext uri="{FF2B5EF4-FFF2-40B4-BE49-F238E27FC236}">
              <a16:creationId xmlns:a16="http://schemas.microsoft.com/office/drawing/2014/main" id="{61B13495-23A5-453B-95D3-4A13F96FD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7" name="Elipse 2436">
          <a:extLst>
            <a:ext uri="{FF2B5EF4-FFF2-40B4-BE49-F238E27FC236}">
              <a16:creationId xmlns:a16="http://schemas.microsoft.com/office/drawing/2014/main" id="{95537047-60CC-4E57-BEAE-844A125DB9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8" name="Elipse 2437">
          <a:extLst>
            <a:ext uri="{FF2B5EF4-FFF2-40B4-BE49-F238E27FC236}">
              <a16:creationId xmlns:a16="http://schemas.microsoft.com/office/drawing/2014/main" id="{8BFEF844-35F9-4D75-B075-7659A96495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39" name="Elipse 2438">
          <a:extLst>
            <a:ext uri="{FF2B5EF4-FFF2-40B4-BE49-F238E27FC236}">
              <a16:creationId xmlns:a16="http://schemas.microsoft.com/office/drawing/2014/main" id="{BD7CFF23-C9E9-414B-B2B1-3573C2486A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0" name="Elipse 2439">
          <a:extLst>
            <a:ext uri="{FF2B5EF4-FFF2-40B4-BE49-F238E27FC236}">
              <a16:creationId xmlns:a16="http://schemas.microsoft.com/office/drawing/2014/main" id="{8300C158-63BD-4259-8F18-275E8943DC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1" name="Elipse 2440">
          <a:extLst>
            <a:ext uri="{FF2B5EF4-FFF2-40B4-BE49-F238E27FC236}">
              <a16:creationId xmlns:a16="http://schemas.microsoft.com/office/drawing/2014/main" id="{EA66F1C1-BF4E-459F-8767-1AEEBE593B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2" name="Elipse 2441">
          <a:extLst>
            <a:ext uri="{FF2B5EF4-FFF2-40B4-BE49-F238E27FC236}">
              <a16:creationId xmlns:a16="http://schemas.microsoft.com/office/drawing/2014/main" id="{AB36F85A-93A1-403B-BB80-00CFDD5F37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3" name="Elipse 2442">
          <a:extLst>
            <a:ext uri="{FF2B5EF4-FFF2-40B4-BE49-F238E27FC236}">
              <a16:creationId xmlns:a16="http://schemas.microsoft.com/office/drawing/2014/main" id="{24991821-0ABF-46AF-99EE-28B9B1F3B0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4" name="Elipse 2443">
          <a:extLst>
            <a:ext uri="{FF2B5EF4-FFF2-40B4-BE49-F238E27FC236}">
              <a16:creationId xmlns:a16="http://schemas.microsoft.com/office/drawing/2014/main" id="{70DF284A-34F3-4F16-928E-B4EE5FF3AD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5" name="Elipse 2444">
          <a:extLst>
            <a:ext uri="{FF2B5EF4-FFF2-40B4-BE49-F238E27FC236}">
              <a16:creationId xmlns:a16="http://schemas.microsoft.com/office/drawing/2014/main" id="{657E5184-A1A3-4825-AB16-D92A3B953F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6" name="Elipse 2445">
          <a:extLst>
            <a:ext uri="{FF2B5EF4-FFF2-40B4-BE49-F238E27FC236}">
              <a16:creationId xmlns:a16="http://schemas.microsoft.com/office/drawing/2014/main" id="{41B56ED6-709B-41EE-AB4A-DF870A3B93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7" name="Elipse 2446">
          <a:extLst>
            <a:ext uri="{FF2B5EF4-FFF2-40B4-BE49-F238E27FC236}">
              <a16:creationId xmlns:a16="http://schemas.microsoft.com/office/drawing/2014/main" id="{218B9887-9BCF-4EB6-9F21-55C20B2476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8" name="Elipse 2447">
          <a:extLst>
            <a:ext uri="{FF2B5EF4-FFF2-40B4-BE49-F238E27FC236}">
              <a16:creationId xmlns:a16="http://schemas.microsoft.com/office/drawing/2014/main" id="{531B91C0-8335-4B17-8074-BFA51D6DEA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49" name="Elipse 2448">
          <a:extLst>
            <a:ext uri="{FF2B5EF4-FFF2-40B4-BE49-F238E27FC236}">
              <a16:creationId xmlns:a16="http://schemas.microsoft.com/office/drawing/2014/main" id="{D740538C-14F3-4699-B0CB-9B470E0E0F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0" name="Elipse 2449">
          <a:extLst>
            <a:ext uri="{FF2B5EF4-FFF2-40B4-BE49-F238E27FC236}">
              <a16:creationId xmlns:a16="http://schemas.microsoft.com/office/drawing/2014/main" id="{139190CA-D524-4927-B2FD-C0A5DB6F38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1" name="Elipse 2450">
          <a:extLst>
            <a:ext uri="{FF2B5EF4-FFF2-40B4-BE49-F238E27FC236}">
              <a16:creationId xmlns:a16="http://schemas.microsoft.com/office/drawing/2014/main" id="{8EB32336-DD2A-45E5-B358-8B1540A9D0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2" name="Elipse 2451">
          <a:extLst>
            <a:ext uri="{FF2B5EF4-FFF2-40B4-BE49-F238E27FC236}">
              <a16:creationId xmlns:a16="http://schemas.microsoft.com/office/drawing/2014/main" id="{633254D7-05C1-4E7C-9F3B-FB92433568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3" name="Elipse 2452">
          <a:extLst>
            <a:ext uri="{FF2B5EF4-FFF2-40B4-BE49-F238E27FC236}">
              <a16:creationId xmlns:a16="http://schemas.microsoft.com/office/drawing/2014/main" id="{94B12E0D-D297-45CF-8571-3AD09DABA9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4" name="Elipse 2453">
          <a:extLst>
            <a:ext uri="{FF2B5EF4-FFF2-40B4-BE49-F238E27FC236}">
              <a16:creationId xmlns:a16="http://schemas.microsoft.com/office/drawing/2014/main" id="{78091FA4-718C-4FF7-B96B-F9CFA7D264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5" name="Elipse 2454">
          <a:extLst>
            <a:ext uri="{FF2B5EF4-FFF2-40B4-BE49-F238E27FC236}">
              <a16:creationId xmlns:a16="http://schemas.microsoft.com/office/drawing/2014/main" id="{0153A77A-0885-4CF4-87DA-3530D6E094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6" name="Elipse 2455">
          <a:extLst>
            <a:ext uri="{FF2B5EF4-FFF2-40B4-BE49-F238E27FC236}">
              <a16:creationId xmlns:a16="http://schemas.microsoft.com/office/drawing/2014/main" id="{606DB46F-E385-4879-9E5B-1D9BCA5C5C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7" name="Elipse 2456">
          <a:extLst>
            <a:ext uri="{FF2B5EF4-FFF2-40B4-BE49-F238E27FC236}">
              <a16:creationId xmlns:a16="http://schemas.microsoft.com/office/drawing/2014/main" id="{CBCDEF30-073D-4DBE-A73D-993835AE6C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8" name="Elipse 2457">
          <a:extLst>
            <a:ext uri="{FF2B5EF4-FFF2-40B4-BE49-F238E27FC236}">
              <a16:creationId xmlns:a16="http://schemas.microsoft.com/office/drawing/2014/main" id="{4679A376-E8D7-40B9-A507-1D451F2601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59" name="Elipse 2458">
          <a:extLst>
            <a:ext uri="{FF2B5EF4-FFF2-40B4-BE49-F238E27FC236}">
              <a16:creationId xmlns:a16="http://schemas.microsoft.com/office/drawing/2014/main" id="{03B18347-07CA-4046-8851-54A42B36A5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0" name="Elipse 2459">
          <a:extLst>
            <a:ext uri="{FF2B5EF4-FFF2-40B4-BE49-F238E27FC236}">
              <a16:creationId xmlns:a16="http://schemas.microsoft.com/office/drawing/2014/main" id="{CCC4DB75-A3A5-47F9-89EF-B5420D3AE5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1" name="Elipse 2460">
          <a:extLst>
            <a:ext uri="{FF2B5EF4-FFF2-40B4-BE49-F238E27FC236}">
              <a16:creationId xmlns:a16="http://schemas.microsoft.com/office/drawing/2014/main" id="{442F6E3A-866C-4213-B9AC-22A09FA931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2" name="Elipse 2461">
          <a:extLst>
            <a:ext uri="{FF2B5EF4-FFF2-40B4-BE49-F238E27FC236}">
              <a16:creationId xmlns:a16="http://schemas.microsoft.com/office/drawing/2014/main" id="{22606F6D-4C6E-4B32-B399-653183F617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3" name="Elipse 2462">
          <a:extLst>
            <a:ext uri="{FF2B5EF4-FFF2-40B4-BE49-F238E27FC236}">
              <a16:creationId xmlns:a16="http://schemas.microsoft.com/office/drawing/2014/main" id="{C6B18B19-805A-4B82-B212-17C7DC4C34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4" name="Elipse 2463">
          <a:extLst>
            <a:ext uri="{FF2B5EF4-FFF2-40B4-BE49-F238E27FC236}">
              <a16:creationId xmlns:a16="http://schemas.microsoft.com/office/drawing/2014/main" id="{5AAC63FE-6207-411B-8287-6E69E36722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5" name="Elipse 2464">
          <a:extLst>
            <a:ext uri="{FF2B5EF4-FFF2-40B4-BE49-F238E27FC236}">
              <a16:creationId xmlns:a16="http://schemas.microsoft.com/office/drawing/2014/main" id="{E94E4ED5-D046-4730-A8D8-B7D99D681A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6" name="Elipse 2465">
          <a:extLst>
            <a:ext uri="{FF2B5EF4-FFF2-40B4-BE49-F238E27FC236}">
              <a16:creationId xmlns:a16="http://schemas.microsoft.com/office/drawing/2014/main" id="{C9664791-966F-454E-836B-9154C016FA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7" name="Elipse 2466">
          <a:extLst>
            <a:ext uri="{FF2B5EF4-FFF2-40B4-BE49-F238E27FC236}">
              <a16:creationId xmlns:a16="http://schemas.microsoft.com/office/drawing/2014/main" id="{6A814FB0-8058-4D88-A42A-5005E049AD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8" name="Elipse 2467">
          <a:extLst>
            <a:ext uri="{FF2B5EF4-FFF2-40B4-BE49-F238E27FC236}">
              <a16:creationId xmlns:a16="http://schemas.microsoft.com/office/drawing/2014/main" id="{F490ED1E-8C58-4E6D-8CCA-2413B0A6C9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69" name="Elipse 2468">
          <a:extLst>
            <a:ext uri="{FF2B5EF4-FFF2-40B4-BE49-F238E27FC236}">
              <a16:creationId xmlns:a16="http://schemas.microsoft.com/office/drawing/2014/main" id="{ECC09E74-1663-413B-B4A2-D2E00F6E66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0" name="Elipse 2469">
          <a:extLst>
            <a:ext uri="{FF2B5EF4-FFF2-40B4-BE49-F238E27FC236}">
              <a16:creationId xmlns:a16="http://schemas.microsoft.com/office/drawing/2014/main" id="{9F8FC1F0-1FBB-428E-A629-59F9654DBD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1" name="Elipse 2470">
          <a:extLst>
            <a:ext uri="{FF2B5EF4-FFF2-40B4-BE49-F238E27FC236}">
              <a16:creationId xmlns:a16="http://schemas.microsoft.com/office/drawing/2014/main" id="{CD10E8AE-E0B7-4707-9467-BC1E54D508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2" name="Elipse 2471">
          <a:extLst>
            <a:ext uri="{FF2B5EF4-FFF2-40B4-BE49-F238E27FC236}">
              <a16:creationId xmlns:a16="http://schemas.microsoft.com/office/drawing/2014/main" id="{8EABC240-2F30-4406-9AE1-FCC6A68D91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3" name="Elipse 2472">
          <a:extLst>
            <a:ext uri="{FF2B5EF4-FFF2-40B4-BE49-F238E27FC236}">
              <a16:creationId xmlns:a16="http://schemas.microsoft.com/office/drawing/2014/main" id="{D87A36E2-B9ED-4F48-9957-4AAD292BA3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4" name="Elipse 2473">
          <a:extLst>
            <a:ext uri="{FF2B5EF4-FFF2-40B4-BE49-F238E27FC236}">
              <a16:creationId xmlns:a16="http://schemas.microsoft.com/office/drawing/2014/main" id="{C7B5FF58-E34E-4B56-9F5E-EED9174A27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5" name="Elipse 2474">
          <a:extLst>
            <a:ext uri="{FF2B5EF4-FFF2-40B4-BE49-F238E27FC236}">
              <a16:creationId xmlns:a16="http://schemas.microsoft.com/office/drawing/2014/main" id="{580A6E85-3898-4BF2-A429-8823D5EAE3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6" name="Elipse 2475">
          <a:extLst>
            <a:ext uri="{FF2B5EF4-FFF2-40B4-BE49-F238E27FC236}">
              <a16:creationId xmlns:a16="http://schemas.microsoft.com/office/drawing/2014/main" id="{97BA0238-2027-455B-9727-7734E9A525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7" name="Elipse 2476">
          <a:extLst>
            <a:ext uri="{FF2B5EF4-FFF2-40B4-BE49-F238E27FC236}">
              <a16:creationId xmlns:a16="http://schemas.microsoft.com/office/drawing/2014/main" id="{A09C9DD7-1ACB-47A4-90F7-00E0ED7E98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8" name="Elipse 2477">
          <a:extLst>
            <a:ext uri="{FF2B5EF4-FFF2-40B4-BE49-F238E27FC236}">
              <a16:creationId xmlns:a16="http://schemas.microsoft.com/office/drawing/2014/main" id="{EBDBE234-5DA6-431A-9499-9963A0284F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79" name="Elipse 2478">
          <a:extLst>
            <a:ext uri="{FF2B5EF4-FFF2-40B4-BE49-F238E27FC236}">
              <a16:creationId xmlns:a16="http://schemas.microsoft.com/office/drawing/2014/main" id="{0C272982-3353-4E19-B31D-B9D568F3CB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0" name="Elipse 2479">
          <a:extLst>
            <a:ext uri="{FF2B5EF4-FFF2-40B4-BE49-F238E27FC236}">
              <a16:creationId xmlns:a16="http://schemas.microsoft.com/office/drawing/2014/main" id="{DE21C996-587F-4E68-9ACB-DB7BB0DB29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1" name="Elipse 2480">
          <a:extLst>
            <a:ext uri="{FF2B5EF4-FFF2-40B4-BE49-F238E27FC236}">
              <a16:creationId xmlns:a16="http://schemas.microsoft.com/office/drawing/2014/main" id="{843972C0-852D-4E1B-9F04-F6F212354B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2" name="Elipse 2481">
          <a:extLst>
            <a:ext uri="{FF2B5EF4-FFF2-40B4-BE49-F238E27FC236}">
              <a16:creationId xmlns:a16="http://schemas.microsoft.com/office/drawing/2014/main" id="{DA971CC1-B8DD-467F-9A83-FBEAE910E8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3" name="Elipse 2482">
          <a:extLst>
            <a:ext uri="{FF2B5EF4-FFF2-40B4-BE49-F238E27FC236}">
              <a16:creationId xmlns:a16="http://schemas.microsoft.com/office/drawing/2014/main" id="{F6D032A1-BD1C-4AF3-9C8C-9106059B89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4" name="Elipse 2483">
          <a:extLst>
            <a:ext uri="{FF2B5EF4-FFF2-40B4-BE49-F238E27FC236}">
              <a16:creationId xmlns:a16="http://schemas.microsoft.com/office/drawing/2014/main" id="{32366870-491D-4F49-99A7-CA787BA3A5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5" name="Elipse 2484">
          <a:extLst>
            <a:ext uri="{FF2B5EF4-FFF2-40B4-BE49-F238E27FC236}">
              <a16:creationId xmlns:a16="http://schemas.microsoft.com/office/drawing/2014/main" id="{AEEC931A-3D42-4425-B596-C6CC7E5C2F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6" name="Elipse 2485">
          <a:extLst>
            <a:ext uri="{FF2B5EF4-FFF2-40B4-BE49-F238E27FC236}">
              <a16:creationId xmlns:a16="http://schemas.microsoft.com/office/drawing/2014/main" id="{54CB5990-039D-4F38-8EE5-1D1CD5F2A0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7" name="Elipse 2486">
          <a:extLst>
            <a:ext uri="{FF2B5EF4-FFF2-40B4-BE49-F238E27FC236}">
              <a16:creationId xmlns:a16="http://schemas.microsoft.com/office/drawing/2014/main" id="{3DF520B4-E46F-48FD-9FB2-3D65501C9D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8" name="Elipse 2487">
          <a:extLst>
            <a:ext uri="{FF2B5EF4-FFF2-40B4-BE49-F238E27FC236}">
              <a16:creationId xmlns:a16="http://schemas.microsoft.com/office/drawing/2014/main" id="{C470ED05-D534-4923-A230-17F36E9C64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89" name="Elipse 2488">
          <a:extLst>
            <a:ext uri="{FF2B5EF4-FFF2-40B4-BE49-F238E27FC236}">
              <a16:creationId xmlns:a16="http://schemas.microsoft.com/office/drawing/2014/main" id="{0B9ED729-970F-4804-BEC1-84E024F701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0" name="Elipse 2489">
          <a:extLst>
            <a:ext uri="{FF2B5EF4-FFF2-40B4-BE49-F238E27FC236}">
              <a16:creationId xmlns:a16="http://schemas.microsoft.com/office/drawing/2014/main" id="{0FC8D938-1B15-47DB-9F19-928B60BCE1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1" name="Elipse 2490">
          <a:extLst>
            <a:ext uri="{FF2B5EF4-FFF2-40B4-BE49-F238E27FC236}">
              <a16:creationId xmlns:a16="http://schemas.microsoft.com/office/drawing/2014/main" id="{E8B3A224-8C92-490E-B259-DDD20269CE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2" name="Elipse 2491">
          <a:extLst>
            <a:ext uri="{FF2B5EF4-FFF2-40B4-BE49-F238E27FC236}">
              <a16:creationId xmlns:a16="http://schemas.microsoft.com/office/drawing/2014/main" id="{17548DAE-989E-46BE-A25C-D767525C5C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3" name="Elipse 2492">
          <a:extLst>
            <a:ext uri="{FF2B5EF4-FFF2-40B4-BE49-F238E27FC236}">
              <a16:creationId xmlns:a16="http://schemas.microsoft.com/office/drawing/2014/main" id="{BE27A42D-0533-4C4D-8A0B-E76303A3A0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4" name="Elipse 2493">
          <a:extLst>
            <a:ext uri="{FF2B5EF4-FFF2-40B4-BE49-F238E27FC236}">
              <a16:creationId xmlns:a16="http://schemas.microsoft.com/office/drawing/2014/main" id="{1881012E-6742-496E-843C-4FF967445A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5" name="Elipse 2494">
          <a:extLst>
            <a:ext uri="{FF2B5EF4-FFF2-40B4-BE49-F238E27FC236}">
              <a16:creationId xmlns:a16="http://schemas.microsoft.com/office/drawing/2014/main" id="{39985FE2-D467-4F49-ADB9-F5633B693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6" name="Elipse 2495">
          <a:extLst>
            <a:ext uri="{FF2B5EF4-FFF2-40B4-BE49-F238E27FC236}">
              <a16:creationId xmlns:a16="http://schemas.microsoft.com/office/drawing/2014/main" id="{7A18F70A-E007-4096-91F0-3C4DF7993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7" name="Elipse 2496">
          <a:extLst>
            <a:ext uri="{FF2B5EF4-FFF2-40B4-BE49-F238E27FC236}">
              <a16:creationId xmlns:a16="http://schemas.microsoft.com/office/drawing/2014/main" id="{AE19A1B4-8836-4B38-A777-64E65C6540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8" name="Elipse 2497">
          <a:extLst>
            <a:ext uri="{FF2B5EF4-FFF2-40B4-BE49-F238E27FC236}">
              <a16:creationId xmlns:a16="http://schemas.microsoft.com/office/drawing/2014/main" id="{E2E3792F-0BC4-4024-BE50-0FAEC455D9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99" name="Elipse 2498">
          <a:extLst>
            <a:ext uri="{FF2B5EF4-FFF2-40B4-BE49-F238E27FC236}">
              <a16:creationId xmlns:a16="http://schemas.microsoft.com/office/drawing/2014/main" id="{F11E6F6F-FEF3-420F-9522-EE3BCCBEB0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0" name="Elipse 2499">
          <a:extLst>
            <a:ext uri="{FF2B5EF4-FFF2-40B4-BE49-F238E27FC236}">
              <a16:creationId xmlns:a16="http://schemas.microsoft.com/office/drawing/2014/main" id="{732350FA-02CE-4DF4-9813-F3A1C86909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1" name="Elipse 2500">
          <a:extLst>
            <a:ext uri="{FF2B5EF4-FFF2-40B4-BE49-F238E27FC236}">
              <a16:creationId xmlns:a16="http://schemas.microsoft.com/office/drawing/2014/main" id="{35CC86CF-8FD6-4B61-89D8-6726C0889C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2" name="Elipse 2501">
          <a:extLst>
            <a:ext uri="{FF2B5EF4-FFF2-40B4-BE49-F238E27FC236}">
              <a16:creationId xmlns:a16="http://schemas.microsoft.com/office/drawing/2014/main" id="{84CA10B2-E3FB-4FA8-AF36-BCA5998D8F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3" name="Elipse 2502">
          <a:extLst>
            <a:ext uri="{FF2B5EF4-FFF2-40B4-BE49-F238E27FC236}">
              <a16:creationId xmlns:a16="http://schemas.microsoft.com/office/drawing/2014/main" id="{33F5BA05-2197-4898-9AAC-827DE90112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4" name="Elipse 2503">
          <a:extLst>
            <a:ext uri="{FF2B5EF4-FFF2-40B4-BE49-F238E27FC236}">
              <a16:creationId xmlns:a16="http://schemas.microsoft.com/office/drawing/2014/main" id="{EAB627AD-16C4-40EB-A834-6690459CCB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5" name="Elipse 2504">
          <a:extLst>
            <a:ext uri="{FF2B5EF4-FFF2-40B4-BE49-F238E27FC236}">
              <a16:creationId xmlns:a16="http://schemas.microsoft.com/office/drawing/2014/main" id="{63F2AE50-CAC3-4D1D-8BCB-F60F676BCD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6" name="Elipse 2505">
          <a:extLst>
            <a:ext uri="{FF2B5EF4-FFF2-40B4-BE49-F238E27FC236}">
              <a16:creationId xmlns:a16="http://schemas.microsoft.com/office/drawing/2014/main" id="{A600F214-9571-4D96-BA4E-D84B884B17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7" name="Elipse 2506">
          <a:extLst>
            <a:ext uri="{FF2B5EF4-FFF2-40B4-BE49-F238E27FC236}">
              <a16:creationId xmlns:a16="http://schemas.microsoft.com/office/drawing/2014/main" id="{E4F95B5A-B7E7-41D5-8C32-3D7DE3DFEE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8" name="Elipse 2507">
          <a:extLst>
            <a:ext uri="{FF2B5EF4-FFF2-40B4-BE49-F238E27FC236}">
              <a16:creationId xmlns:a16="http://schemas.microsoft.com/office/drawing/2014/main" id="{BA0D17C0-500A-4024-836B-95CD4131B9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09" name="Elipse 2508">
          <a:extLst>
            <a:ext uri="{FF2B5EF4-FFF2-40B4-BE49-F238E27FC236}">
              <a16:creationId xmlns:a16="http://schemas.microsoft.com/office/drawing/2014/main" id="{6CCBC3F5-3518-493F-A1F0-691993389E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0" name="Elipse 2509">
          <a:extLst>
            <a:ext uri="{FF2B5EF4-FFF2-40B4-BE49-F238E27FC236}">
              <a16:creationId xmlns:a16="http://schemas.microsoft.com/office/drawing/2014/main" id="{0932756B-5E7E-40C5-8CF3-EFE25E1153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1" name="Elipse 2510">
          <a:extLst>
            <a:ext uri="{FF2B5EF4-FFF2-40B4-BE49-F238E27FC236}">
              <a16:creationId xmlns:a16="http://schemas.microsoft.com/office/drawing/2014/main" id="{9C8A8BF4-2928-4FC4-9E3F-E849C0979E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2" name="Elipse 2511">
          <a:extLst>
            <a:ext uri="{FF2B5EF4-FFF2-40B4-BE49-F238E27FC236}">
              <a16:creationId xmlns:a16="http://schemas.microsoft.com/office/drawing/2014/main" id="{9A3D064E-F04E-4A91-B23F-43CC6894D5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3" name="Elipse 2512">
          <a:extLst>
            <a:ext uri="{FF2B5EF4-FFF2-40B4-BE49-F238E27FC236}">
              <a16:creationId xmlns:a16="http://schemas.microsoft.com/office/drawing/2014/main" id="{A693350B-6B9B-4363-A8CD-2622F203EF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4" name="Elipse 2513">
          <a:extLst>
            <a:ext uri="{FF2B5EF4-FFF2-40B4-BE49-F238E27FC236}">
              <a16:creationId xmlns:a16="http://schemas.microsoft.com/office/drawing/2014/main" id="{03B3D54C-C628-4901-836D-084F13B4AD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5" name="Elipse 2514">
          <a:extLst>
            <a:ext uri="{FF2B5EF4-FFF2-40B4-BE49-F238E27FC236}">
              <a16:creationId xmlns:a16="http://schemas.microsoft.com/office/drawing/2014/main" id="{1409DF44-99F5-4B23-B5BD-399641FB7A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6" name="Elipse 2515">
          <a:extLst>
            <a:ext uri="{FF2B5EF4-FFF2-40B4-BE49-F238E27FC236}">
              <a16:creationId xmlns:a16="http://schemas.microsoft.com/office/drawing/2014/main" id="{C5B98CBD-D842-43E9-BDFE-EB69B2C8F3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7" name="Elipse 2516">
          <a:extLst>
            <a:ext uri="{FF2B5EF4-FFF2-40B4-BE49-F238E27FC236}">
              <a16:creationId xmlns:a16="http://schemas.microsoft.com/office/drawing/2014/main" id="{AE13963B-F400-4463-80A2-CD7E4EE819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8" name="Elipse 2517">
          <a:extLst>
            <a:ext uri="{FF2B5EF4-FFF2-40B4-BE49-F238E27FC236}">
              <a16:creationId xmlns:a16="http://schemas.microsoft.com/office/drawing/2014/main" id="{7DCC4F5E-AFDA-44F2-9F15-A7CBF508A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19" name="Elipse 2518">
          <a:extLst>
            <a:ext uri="{FF2B5EF4-FFF2-40B4-BE49-F238E27FC236}">
              <a16:creationId xmlns:a16="http://schemas.microsoft.com/office/drawing/2014/main" id="{2B45B0B0-9997-426C-90A1-5A46F3633B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0" name="Elipse 2519">
          <a:extLst>
            <a:ext uri="{FF2B5EF4-FFF2-40B4-BE49-F238E27FC236}">
              <a16:creationId xmlns:a16="http://schemas.microsoft.com/office/drawing/2014/main" id="{987A8F2B-0E3A-48B0-91A5-ABDD80B390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1" name="Elipse 2520">
          <a:extLst>
            <a:ext uri="{FF2B5EF4-FFF2-40B4-BE49-F238E27FC236}">
              <a16:creationId xmlns:a16="http://schemas.microsoft.com/office/drawing/2014/main" id="{553E6D23-9D7A-4DC8-A65A-B6AFE01DC4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2" name="Elipse 2521">
          <a:extLst>
            <a:ext uri="{FF2B5EF4-FFF2-40B4-BE49-F238E27FC236}">
              <a16:creationId xmlns:a16="http://schemas.microsoft.com/office/drawing/2014/main" id="{C05D7549-9DE1-44E4-A2BB-27914E863C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3" name="Elipse 2522">
          <a:extLst>
            <a:ext uri="{FF2B5EF4-FFF2-40B4-BE49-F238E27FC236}">
              <a16:creationId xmlns:a16="http://schemas.microsoft.com/office/drawing/2014/main" id="{539BB957-AB06-437A-82CF-DB35DD143C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4" name="Elipse 2523">
          <a:extLst>
            <a:ext uri="{FF2B5EF4-FFF2-40B4-BE49-F238E27FC236}">
              <a16:creationId xmlns:a16="http://schemas.microsoft.com/office/drawing/2014/main" id="{8F5EC7B1-5F48-4380-B1E6-F057161908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5" name="Elipse 2524">
          <a:extLst>
            <a:ext uri="{FF2B5EF4-FFF2-40B4-BE49-F238E27FC236}">
              <a16:creationId xmlns:a16="http://schemas.microsoft.com/office/drawing/2014/main" id="{81B6325B-5145-4500-BD91-4887A1C437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6" name="Elipse 2525">
          <a:extLst>
            <a:ext uri="{FF2B5EF4-FFF2-40B4-BE49-F238E27FC236}">
              <a16:creationId xmlns:a16="http://schemas.microsoft.com/office/drawing/2014/main" id="{7C59643D-6D70-4941-8133-ADB233318E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7" name="Elipse 2526">
          <a:extLst>
            <a:ext uri="{FF2B5EF4-FFF2-40B4-BE49-F238E27FC236}">
              <a16:creationId xmlns:a16="http://schemas.microsoft.com/office/drawing/2014/main" id="{3E438B0C-D941-4EAE-B223-3F382933F9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8" name="Elipse 2527">
          <a:extLst>
            <a:ext uri="{FF2B5EF4-FFF2-40B4-BE49-F238E27FC236}">
              <a16:creationId xmlns:a16="http://schemas.microsoft.com/office/drawing/2014/main" id="{11F7D6E9-8B4D-4CBD-BEC0-97D66C488C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29" name="Elipse 2528">
          <a:extLst>
            <a:ext uri="{FF2B5EF4-FFF2-40B4-BE49-F238E27FC236}">
              <a16:creationId xmlns:a16="http://schemas.microsoft.com/office/drawing/2014/main" id="{14EB7E7B-CF03-4649-A0E3-3EF8FE4829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0" name="Elipse 2529">
          <a:extLst>
            <a:ext uri="{FF2B5EF4-FFF2-40B4-BE49-F238E27FC236}">
              <a16:creationId xmlns:a16="http://schemas.microsoft.com/office/drawing/2014/main" id="{BF008C20-444D-4027-A339-6BC31735ED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1" name="Elipse 2530">
          <a:extLst>
            <a:ext uri="{FF2B5EF4-FFF2-40B4-BE49-F238E27FC236}">
              <a16:creationId xmlns:a16="http://schemas.microsoft.com/office/drawing/2014/main" id="{0F5B1B35-1C30-4DD6-B52C-68FD4315DE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2" name="Elipse 2531">
          <a:extLst>
            <a:ext uri="{FF2B5EF4-FFF2-40B4-BE49-F238E27FC236}">
              <a16:creationId xmlns:a16="http://schemas.microsoft.com/office/drawing/2014/main" id="{8759C15C-F066-469D-9A93-52373E2140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3" name="Elipse 2532">
          <a:extLst>
            <a:ext uri="{FF2B5EF4-FFF2-40B4-BE49-F238E27FC236}">
              <a16:creationId xmlns:a16="http://schemas.microsoft.com/office/drawing/2014/main" id="{41D94E50-9AED-46A0-9E2D-DBEE7DEDBC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4" name="Elipse 2533">
          <a:extLst>
            <a:ext uri="{FF2B5EF4-FFF2-40B4-BE49-F238E27FC236}">
              <a16:creationId xmlns:a16="http://schemas.microsoft.com/office/drawing/2014/main" id="{774D5F1F-CC3B-47FC-9B69-D8EB0F0DFD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5" name="Elipse 2534">
          <a:extLst>
            <a:ext uri="{FF2B5EF4-FFF2-40B4-BE49-F238E27FC236}">
              <a16:creationId xmlns:a16="http://schemas.microsoft.com/office/drawing/2014/main" id="{F4EC858C-6950-454D-B68F-8682E9E0C9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6" name="Elipse 2535">
          <a:extLst>
            <a:ext uri="{FF2B5EF4-FFF2-40B4-BE49-F238E27FC236}">
              <a16:creationId xmlns:a16="http://schemas.microsoft.com/office/drawing/2014/main" id="{EBAE0310-409F-425B-8A6D-0EA182DC07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7" name="Elipse 2536">
          <a:extLst>
            <a:ext uri="{FF2B5EF4-FFF2-40B4-BE49-F238E27FC236}">
              <a16:creationId xmlns:a16="http://schemas.microsoft.com/office/drawing/2014/main" id="{E8A36AB7-A9A7-45FD-BDB0-D9F1308018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8" name="Elipse 2537">
          <a:extLst>
            <a:ext uri="{FF2B5EF4-FFF2-40B4-BE49-F238E27FC236}">
              <a16:creationId xmlns:a16="http://schemas.microsoft.com/office/drawing/2014/main" id="{2E7DDA4F-7F5B-428D-BF6F-D06FA3F437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39" name="Elipse 2538">
          <a:extLst>
            <a:ext uri="{FF2B5EF4-FFF2-40B4-BE49-F238E27FC236}">
              <a16:creationId xmlns:a16="http://schemas.microsoft.com/office/drawing/2014/main" id="{73CA0CCA-4BB2-4B9C-BA9E-68484911C1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0" name="Elipse 2539">
          <a:extLst>
            <a:ext uri="{FF2B5EF4-FFF2-40B4-BE49-F238E27FC236}">
              <a16:creationId xmlns:a16="http://schemas.microsoft.com/office/drawing/2014/main" id="{CFD16488-BB75-4076-B115-836916C6FE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1" name="Elipse 2540">
          <a:extLst>
            <a:ext uri="{FF2B5EF4-FFF2-40B4-BE49-F238E27FC236}">
              <a16:creationId xmlns:a16="http://schemas.microsoft.com/office/drawing/2014/main" id="{400D0DE5-169A-49C6-8B9A-D518FD7527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2" name="Elipse 2541">
          <a:extLst>
            <a:ext uri="{FF2B5EF4-FFF2-40B4-BE49-F238E27FC236}">
              <a16:creationId xmlns:a16="http://schemas.microsoft.com/office/drawing/2014/main" id="{85DE0A4D-CA01-4F86-BD14-ABB53B9BF6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3" name="Elipse 2542">
          <a:extLst>
            <a:ext uri="{FF2B5EF4-FFF2-40B4-BE49-F238E27FC236}">
              <a16:creationId xmlns:a16="http://schemas.microsoft.com/office/drawing/2014/main" id="{6B0DB11E-2A63-4321-843A-7262AE51FD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4" name="Elipse 2543">
          <a:extLst>
            <a:ext uri="{FF2B5EF4-FFF2-40B4-BE49-F238E27FC236}">
              <a16:creationId xmlns:a16="http://schemas.microsoft.com/office/drawing/2014/main" id="{A333BDFD-424E-4BDD-807C-09D9B8C851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5" name="Elipse 2544">
          <a:extLst>
            <a:ext uri="{FF2B5EF4-FFF2-40B4-BE49-F238E27FC236}">
              <a16:creationId xmlns:a16="http://schemas.microsoft.com/office/drawing/2014/main" id="{B5430F90-A2AE-43BD-848D-8C3741F62F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6" name="Elipse 2545">
          <a:extLst>
            <a:ext uri="{FF2B5EF4-FFF2-40B4-BE49-F238E27FC236}">
              <a16:creationId xmlns:a16="http://schemas.microsoft.com/office/drawing/2014/main" id="{04841370-8EAA-4386-BA78-23FE312D36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7" name="Elipse 2546">
          <a:extLst>
            <a:ext uri="{FF2B5EF4-FFF2-40B4-BE49-F238E27FC236}">
              <a16:creationId xmlns:a16="http://schemas.microsoft.com/office/drawing/2014/main" id="{0BB50C42-4E5F-4889-89C5-7F0AD89343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8" name="Elipse 2547">
          <a:extLst>
            <a:ext uri="{FF2B5EF4-FFF2-40B4-BE49-F238E27FC236}">
              <a16:creationId xmlns:a16="http://schemas.microsoft.com/office/drawing/2014/main" id="{E69C4F29-9912-4953-8E49-DFB7532429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49" name="Elipse 2548">
          <a:extLst>
            <a:ext uri="{FF2B5EF4-FFF2-40B4-BE49-F238E27FC236}">
              <a16:creationId xmlns:a16="http://schemas.microsoft.com/office/drawing/2014/main" id="{595B8F22-EA3C-4EFC-B11C-BEF1A40E6F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0" name="Elipse 2549">
          <a:extLst>
            <a:ext uri="{FF2B5EF4-FFF2-40B4-BE49-F238E27FC236}">
              <a16:creationId xmlns:a16="http://schemas.microsoft.com/office/drawing/2014/main" id="{C6FF2156-AB18-4282-AC01-4D5B3E232D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1" name="Elipse 2550">
          <a:extLst>
            <a:ext uri="{FF2B5EF4-FFF2-40B4-BE49-F238E27FC236}">
              <a16:creationId xmlns:a16="http://schemas.microsoft.com/office/drawing/2014/main" id="{A76668C2-DAF0-4464-8128-A1A255EA8A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2" name="Elipse 2551">
          <a:extLst>
            <a:ext uri="{FF2B5EF4-FFF2-40B4-BE49-F238E27FC236}">
              <a16:creationId xmlns:a16="http://schemas.microsoft.com/office/drawing/2014/main" id="{EA67A9DD-B7D4-4C27-9573-5285078F45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3" name="Elipse 2552">
          <a:extLst>
            <a:ext uri="{FF2B5EF4-FFF2-40B4-BE49-F238E27FC236}">
              <a16:creationId xmlns:a16="http://schemas.microsoft.com/office/drawing/2014/main" id="{C942EDFB-D771-4E9E-ADEB-4EDDE70E68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4" name="Elipse 2553">
          <a:extLst>
            <a:ext uri="{FF2B5EF4-FFF2-40B4-BE49-F238E27FC236}">
              <a16:creationId xmlns:a16="http://schemas.microsoft.com/office/drawing/2014/main" id="{230F3C31-FD44-4C5B-8219-EB22365845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5" name="Elipse 2554">
          <a:extLst>
            <a:ext uri="{FF2B5EF4-FFF2-40B4-BE49-F238E27FC236}">
              <a16:creationId xmlns:a16="http://schemas.microsoft.com/office/drawing/2014/main" id="{E206E919-9CC8-492E-A327-58388E42F6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6" name="Elipse 2555">
          <a:extLst>
            <a:ext uri="{FF2B5EF4-FFF2-40B4-BE49-F238E27FC236}">
              <a16:creationId xmlns:a16="http://schemas.microsoft.com/office/drawing/2014/main" id="{00AFAF69-5585-47BC-9192-9D1C7EA884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7" name="Elipse 2556">
          <a:extLst>
            <a:ext uri="{FF2B5EF4-FFF2-40B4-BE49-F238E27FC236}">
              <a16:creationId xmlns:a16="http://schemas.microsoft.com/office/drawing/2014/main" id="{3666422B-9E1F-4DA8-A9D3-B0D954702D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8" name="Elipse 2557">
          <a:extLst>
            <a:ext uri="{FF2B5EF4-FFF2-40B4-BE49-F238E27FC236}">
              <a16:creationId xmlns:a16="http://schemas.microsoft.com/office/drawing/2014/main" id="{45AC2336-FC11-4D9D-AB66-9ACD63F940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59" name="Elipse 2558">
          <a:extLst>
            <a:ext uri="{FF2B5EF4-FFF2-40B4-BE49-F238E27FC236}">
              <a16:creationId xmlns:a16="http://schemas.microsoft.com/office/drawing/2014/main" id="{05CDBD31-F5B0-486F-B27A-61E910DE45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0" name="Elipse 2559">
          <a:extLst>
            <a:ext uri="{FF2B5EF4-FFF2-40B4-BE49-F238E27FC236}">
              <a16:creationId xmlns:a16="http://schemas.microsoft.com/office/drawing/2014/main" id="{5888ADF0-8518-4BF7-9665-1D5F1B66F3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1" name="Elipse 2560">
          <a:extLst>
            <a:ext uri="{FF2B5EF4-FFF2-40B4-BE49-F238E27FC236}">
              <a16:creationId xmlns:a16="http://schemas.microsoft.com/office/drawing/2014/main" id="{C22838DB-EC42-49D7-9B97-F7CAE42625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2" name="Elipse 2561">
          <a:extLst>
            <a:ext uri="{FF2B5EF4-FFF2-40B4-BE49-F238E27FC236}">
              <a16:creationId xmlns:a16="http://schemas.microsoft.com/office/drawing/2014/main" id="{ABA1A056-94E3-44A2-8FBA-01A4910415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3" name="Elipse 2562">
          <a:extLst>
            <a:ext uri="{FF2B5EF4-FFF2-40B4-BE49-F238E27FC236}">
              <a16:creationId xmlns:a16="http://schemas.microsoft.com/office/drawing/2014/main" id="{1BA5D0DD-0B7A-41AC-9637-757B17E996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4" name="Elipse 2563">
          <a:extLst>
            <a:ext uri="{FF2B5EF4-FFF2-40B4-BE49-F238E27FC236}">
              <a16:creationId xmlns:a16="http://schemas.microsoft.com/office/drawing/2014/main" id="{BE79AFB7-D0FD-44BB-9780-10CC569713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5" name="Elipse 2564">
          <a:extLst>
            <a:ext uri="{FF2B5EF4-FFF2-40B4-BE49-F238E27FC236}">
              <a16:creationId xmlns:a16="http://schemas.microsoft.com/office/drawing/2014/main" id="{BA7232FE-C3A2-4B44-B3AB-F2653B7770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6" name="Elipse 2565">
          <a:extLst>
            <a:ext uri="{FF2B5EF4-FFF2-40B4-BE49-F238E27FC236}">
              <a16:creationId xmlns:a16="http://schemas.microsoft.com/office/drawing/2014/main" id="{63B02602-DD37-49F8-8F6F-8A5406308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7" name="Elipse 2566">
          <a:extLst>
            <a:ext uri="{FF2B5EF4-FFF2-40B4-BE49-F238E27FC236}">
              <a16:creationId xmlns:a16="http://schemas.microsoft.com/office/drawing/2014/main" id="{4F530EA9-DA38-4D32-AF2D-1BDA6F1321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8" name="Elipse 2567">
          <a:extLst>
            <a:ext uri="{FF2B5EF4-FFF2-40B4-BE49-F238E27FC236}">
              <a16:creationId xmlns:a16="http://schemas.microsoft.com/office/drawing/2014/main" id="{2122F499-30F1-404B-B578-19AA5438B3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69" name="Elipse 2568">
          <a:extLst>
            <a:ext uri="{FF2B5EF4-FFF2-40B4-BE49-F238E27FC236}">
              <a16:creationId xmlns:a16="http://schemas.microsoft.com/office/drawing/2014/main" id="{8B3BBE04-748D-4040-9384-FD594B1346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0" name="Elipse 2569">
          <a:extLst>
            <a:ext uri="{FF2B5EF4-FFF2-40B4-BE49-F238E27FC236}">
              <a16:creationId xmlns:a16="http://schemas.microsoft.com/office/drawing/2014/main" id="{749D1F3B-EF88-413B-85D4-CB1E519522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1" name="Elipse 2570">
          <a:extLst>
            <a:ext uri="{FF2B5EF4-FFF2-40B4-BE49-F238E27FC236}">
              <a16:creationId xmlns:a16="http://schemas.microsoft.com/office/drawing/2014/main" id="{0E61A4B6-88BB-46D2-B404-0B20583050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2" name="Elipse 2571">
          <a:extLst>
            <a:ext uri="{FF2B5EF4-FFF2-40B4-BE49-F238E27FC236}">
              <a16:creationId xmlns:a16="http://schemas.microsoft.com/office/drawing/2014/main" id="{BB48EEEA-A2BA-4888-8F83-7640FCDE81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3" name="Elipse 2572">
          <a:extLst>
            <a:ext uri="{FF2B5EF4-FFF2-40B4-BE49-F238E27FC236}">
              <a16:creationId xmlns:a16="http://schemas.microsoft.com/office/drawing/2014/main" id="{11F7846E-1EB6-41DE-B01F-11E0FE3929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4" name="Elipse 2573">
          <a:extLst>
            <a:ext uri="{FF2B5EF4-FFF2-40B4-BE49-F238E27FC236}">
              <a16:creationId xmlns:a16="http://schemas.microsoft.com/office/drawing/2014/main" id="{7E999D22-FA68-4335-81C0-34A003203C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5" name="Elipse 2574">
          <a:extLst>
            <a:ext uri="{FF2B5EF4-FFF2-40B4-BE49-F238E27FC236}">
              <a16:creationId xmlns:a16="http://schemas.microsoft.com/office/drawing/2014/main" id="{CBBBC09B-4D7C-4D9A-86C2-E5CB54A4DA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6" name="Elipse 2575">
          <a:extLst>
            <a:ext uri="{FF2B5EF4-FFF2-40B4-BE49-F238E27FC236}">
              <a16:creationId xmlns:a16="http://schemas.microsoft.com/office/drawing/2014/main" id="{BED69957-A77A-417C-B7E3-0609688E9F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7" name="Elipse 2576">
          <a:extLst>
            <a:ext uri="{FF2B5EF4-FFF2-40B4-BE49-F238E27FC236}">
              <a16:creationId xmlns:a16="http://schemas.microsoft.com/office/drawing/2014/main" id="{98E541BD-CED1-410C-887E-9E57081946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8" name="Elipse 2577">
          <a:extLst>
            <a:ext uri="{FF2B5EF4-FFF2-40B4-BE49-F238E27FC236}">
              <a16:creationId xmlns:a16="http://schemas.microsoft.com/office/drawing/2014/main" id="{37A06FB3-4483-407C-AA73-FCA1542D34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79" name="Elipse 2578">
          <a:extLst>
            <a:ext uri="{FF2B5EF4-FFF2-40B4-BE49-F238E27FC236}">
              <a16:creationId xmlns:a16="http://schemas.microsoft.com/office/drawing/2014/main" id="{66DCCC48-D0A9-46E4-BB2F-B4FC3EA645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0" name="Elipse 2579">
          <a:extLst>
            <a:ext uri="{FF2B5EF4-FFF2-40B4-BE49-F238E27FC236}">
              <a16:creationId xmlns:a16="http://schemas.microsoft.com/office/drawing/2014/main" id="{D0E35688-ED55-44EC-85D8-8C6BED9101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1" name="Elipse 2580">
          <a:extLst>
            <a:ext uri="{FF2B5EF4-FFF2-40B4-BE49-F238E27FC236}">
              <a16:creationId xmlns:a16="http://schemas.microsoft.com/office/drawing/2014/main" id="{EAB2F473-F9F0-4227-A46E-50F0C51090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2" name="Elipse 2581">
          <a:extLst>
            <a:ext uri="{FF2B5EF4-FFF2-40B4-BE49-F238E27FC236}">
              <a16:creationId xmlns:a16="http://schemas.microsoft.com/office/drawing/2014/main" id="{DFCAFD48-7815-45C2-B818-9058C8DAF7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3" name="Elipse 2582">
          <a:extLst>
            <a:ext uri="{FF2B5EF4-FFF2-40B4-BE49-F238E27FC236}">
              <a16:creationId xmlns:a16="http://schemas.microsoft.com/office/drawing/2014/main" id="{399DAE78-574C-46C6-9A77-9F4845165B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4" name="Elipse 2583">
          <a:extLst>
            <a:ext uri="{FF2B5EF4-FFF2-40B4-BE49-F238E27FC236}">
              <a16:creationId xmlns:a16="http://schemas.microsoft.com/office/drawing/2014/main" id="{835DB129-F8AE-4A3D-A8DB-684D1C79A4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5" name="Elipse 2584">
          <a:extLst>
            <a:ext uri="{FF2B5EF4-FFF2-40B4-BE49-F238E27FC236}">
              <a16:creationId xmlns:a16="http://schemas.microsoft.com/office/drawing/2014/main" id="{60865C16-7A90-423F-8683-C86D04B63D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6" name="Elipse 2585">
          <a:extLst>
            <a:ext uri="{FF2B5EF4-FFF2-40B4-BE49-F238E27FC236}">
              <a16:creationId xmlns:a16="http://schemas.microsoft.com/office/drawing/2014/main" id="{C9B3ABA7-0420-41DE-A340-CF06E5730B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7" name="Elipse 2586">
          <a:extLst>
            <a:ext uri="{FF2B5EF4-FFF2-40B4-BE49-F238E27FC236}">
              <a16:creationId xmlns:a16="http://schemas.microsoft.com/office/drawing/2014/main" id="{72A5705B-BD37-4609-BF3A-736AEC3248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8" name="Elipse 2587">
          <a:extLst>
            <a:ext uri="{FF2B5EF4-FFF2-40B4-BE49-F238E27FC236}">
              <a16:creationId xmlns:a16="http://schemas.microsoft.com/office/drawing/2014/main" id="{A02E628F-173C-4AF2-8F1F-195CDE1266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89" name="Elipse 2588">
          <a:extLst>
            <a:ext uri="{FF2B5EF4-FFF2-40B4-BE49-F238E27FC236}">
              <a16:creationId xmlns:a16="http://schemas.microsoft.com/office/drawing/2014/main" id="{311F1662-3CA5-48C0-B53B-2694368C86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0" name="Elipse 2589">
          <a:extLst>
            <a:ext uri="{FF2B5EF4-FFF2-40B4-BE49-F238E27FC236}">
              <a16:creationId xmlns:a16="http://schemas.microsoft.com/office/drawing/2014/main" id="{259AEC0C-4217-479E-AB5C-B646BF679D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1" name="Elipse 2590">
          <a:extLst>
            <a:ext uri="{FF2B5EF4-FFF2-40B4-BE49-F238E27FC236}">
              <a16:creationId xmlns:a16="http://schemas.microsoft.com/office/drawing/2014/main" id="{A15055AD-1721-4AFF-9ACA-62DDF7E992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2" name="Elipse 2591">
          <a:extLst>
            <a:ext uri="{FF2B5EF4-FFF2-40B4-BE49-F238E27FC236}">
              <a16:creationId xmlns:a16="http://schemas.microsoft.com/office/drawing/2014/main" id="{F495D3DD-90E5-4999-8CF6-A1FF23D1E4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3" name="Elipse 2592">
          <a:extLst>
            <a:ext uri="{FF2B5EF4-FFF2-40B4-BE49-F238E27FC236}">
              <a16:creationId xmlns:a16="http://schemas.microsoft.com/office/drawing/2014/main" id="{E92CDC61-4177-42D4-AE42-5701D6D929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4" name="Elipse 2593">
          <a:extLst>
            <a:ext uri="{FF2B5EF4-FFF2-40B4-BE49-F238E27FC236}">
              <a16:creationId xmlns:a16="http://schemas.microsoft.com/office/drawing/2014/main" id="{BF59ADF3-48F5-4181-82C4-E50E50083E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5" name="Elipse 2594">
          <a:extLst>
            <a:ext uri="{FF2B5EF4-FFF2-40B4-BE49-F238E27FC236}">
              <a16:creationId xmlns:a16="http://schemas.microsoft.com/office/drawing/2014/main" id="{6E886C92-5E57-45E0-9818-6941A699AF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6" name="Elipse 2595">
          <a:extLst>
            <a:ext uri="{FF2B5EF4-FFF2-40B4-BE49-F238E27FC236}">
              <a16:creationId xmlns:a16="http://schemas.microsoft.com/office/drawing/2014/main" id="{3FC1FF38-1E19-4C45-8C90-4F30B3599F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7" name="Elipse 2596">
          <a:extLst>
            <a:ext uri="{FF2B5EF4-FFF2-40B4-BE49-F238E27FC236}">
              <a16:creationId xmlns:a16="http://schemas.microsoft.com/office/drawing/2014/main" id="{2DA13E55-3802-46BC-9EDB-5CEFC7A60C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8" name="Elipse 2597">
          <a:extLst>
            <a:ext uri="{FF2B5EF4-FFF2-40B4-BE49-F238E27FC236}">
              <a16:creationId xmlns:a16="http://schemas.microsoft.com/office/drawing/2014/main" id="{2F4FDE72-B282-48C1-89AD-0A51E2626F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99" name="Elipse 2598">
          <a:extLst>
            <a:ext uri="{FF2B5EF4-FFF2-40B4-BE49-F238E27FC236}">
              <a16:creationId xmlns:a16="http://schemas.microsoft.com/office/drawing/2014/main" id="{50CB5871-6013-4006-BEBE-8EEF801C5A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0" name="Elipse 2599">
          <a:extLst>
            <a:ext uri="{FF2B5EF4-FFF2-40B4-BE49-F238E27FC236}">
              <a16:creationId xmlns:a16="http://schemas.microsoft.com/office/drawing/2014/main" id="{A1788A8E-1A82-49D6-BD9D-C9E0D2EC08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1" name="Elipse 2600">
          <a:extLst>
            <a:ext uri="{FF2B5EF4-FFF2-40B4-BE49-F238E27FC236}">
              <a16:creationId xmlns:a16="http://schemas.microsoft.com/office/drawing/2014/main" id="{9F33D721-02F7-4A9B-9E50-FEDD82B18B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2" name="Elipse 2601">
          <a:extLst>
            <a:ext uri="{FF2B5EF4-FFF2-40B4-BE49-F238E27FC236}">
              <a16:creationId xmlns:a16="http://schemas.microsoft.com/office/drawing/2014/main" id="{19F6D09C-3E2A-4496-B595-0F39D27D6F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3" name="Elipse 2602">
          <a:extLst>
            <a:ext uri="{FF2B5EF4-FFF2-40B4-BE49-F238E27FC236}">
              <a16:creationId xmlns:a16="http://schemas.microsoft.com/office/drawing/2014/main" id="{DB7E507A-86A8-475A-BAD7-263A382739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4" name="Elipse 2603">
          <a:extLst>
            <a:ext uri="{FF2B5EF4-FFF2-40B4-BE49-F238E27FC236}">
              <a16:creationId xmlns:a16="http://schemas.microsoft.com/office/drawing/2014/main" id="{7EF0E21D-420D-46C2-ADD3-4D0959C9C9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5" name="Elipse 2604">
          <a:extLst>
            <a:ext uri="{FF2B5EF4-FFF2-40B4-BE49-F238E27FC236}">
              <a16:creationId xmlns:a16="http://schemas.microsoft.com/office/drawing/2014/main" id="{DC726643-848A-4CD2-BD99-E976A6F220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6" name="Elipse 2605">
          <a:extLst>
            <a:ext uri="{FF2B5EF4-FFF2-40B4-BE49-F238E27FC236}">
              <a16:creationId xmlns:a16="http://schemas.microsoft.com/office/drawing/2014/main" id="{D0BD6246-5EDF-44B6-A49C-2952F44C54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7" name="Elipse 2606">
          <a:extLst>
            <a:ext uri="{FF2B5EF4-FFF2-40B4-BE49-F238E27FC236}">
              <a16:creationId xmlns:a16="http://schemas.microsoft.com/office/drawing/2014/main" id="{BF48DEFF-5B7D-4D05-91E8-E52036C3A9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8" name="Elipse 2607">
          <a:extLst>
            <a:ext uri="{FF2B5EF4-FFF2-40B4-BE49-F238E27FC236}">
              <a16:creationId xmlns:a16="http://schemas.microsoft.com/office/drawing/2014/main" id="{EC74C68A-B3F1-4222-9EC7-F0479A5C6D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09" name="Elipse 2608">
          <a:extLst>
            <a:ext uri="{FF2B5EF4-FFF2-40B4-BE49-F238E27FC236}">
              <a16:creationId xmlns:a16="http://schemas.microsoft.com/office/drawing/2014/main" id="{02502EBB-C4CE-4BB9-89FC-B48F307569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0" name="Elipse 2609">
          <a:extLst>
            <a:ext uri="{FF2B5EF4-FFF2-40B4-BE49-F238E27FC236}">
              <a16:creationId xmlns:a16="http://schemas.microsoft.com/office/drawing/2014/main" id="{4A63944A-CD30-400F-84E2-E6680AFC25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1" name="Elipse 2610">
          <a:extLst>
            <a:ext uri="{FF2B5EF4-FFF2-40B4-BE49-F238E27FC236}">
              <a16:creationId xmlns:a16="http://schemas.microsoft.com/office/drawing/2014/main" id="{AF1CB1DC-F207-4870-873E-20F5261F88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2" name="Elipse 2611">
          <a:extLst>
            <a:ext uri="{FF2B5EF4-FFF2-40B4-BE49-F238E27FC236}">
              <a16:creationId xmlns:a16="http://schemas.microsoft.com/office/drawing/2014/main" id="{FE10C3C0-101D-4B8A-8AC8-8B2E4CB5F6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3" name="Elipse 2612">
          <a:extLst>
            <a:ext uri="{FF2B5EF4-FFF2-40B4-BE49-F238E27FC236}">
              <a16:creationId xmlns:a16="http://schemas.microsoft.com/office/drawing/2014/main" id="{874C1DAF-3EB7-48BB-90AB-1887551F6B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4" name="Elipse 2613">
          <a:extLst>
            <a:ext uri="{FF2B5EF4-FFF2-40B4-BE49-F238E27FC236}">
              <a16:creationId xmlns:a16="http://schemas.microsoft.com/office/drawing/2014/main" id="{DC3A14A2-ACC1-4FD9-818F-118D7730FF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5" name="Elipse 2614">
          <a:extLst>
            <a:ext uri="{FF2B5EF4-FFF2-40B4-BE49-F238E27FC236}">
              <a16:creationId xmlns:a16="http://schemas.microsoft.com/office/drawing/2014/main" id="{43DD572C-142E-4451-875F-41C2FA83FA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6" name="Elipse 2615">
          <a:extLst>
            <a:ext uri="{FF2B5EF4-FFF2-40B4-BE49-F238E27FC236}">
              <a16:creationId xmlns:a16="http://schemas.microsoft.com/office/drawing/2014/main" id="{13356C4F-02B3-41AD-B144-CE9433A93F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7" name="Elipse 2616">
          <a:extLst>
            <a:ext uri="{FF2B5EF4-FFF2-40B4-BE49-F238E27FC236}">
              <a16:creationId xmlns:a16="http://schemas.microsoft.com/office/drawing/2014/main" id="{B19B7CD7-1878-48B6-B236-7484A1DF77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8" name="Elipse 2617">
          <a:extLst>
            <a:ext uri="{FF2B5EF4-FFF2-40B4-BE49-F238E27FC236}">
              <a16:creationId xmlns:a16="http://schemas.microsoft.com/office/drawing/2014/main" id="{2E33A9F4-785D-4E82-B95A-B0647A5FE8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19" name="Elipse 2618">
          <a:extLst>
            <a:ext uri="{FF2B5EF4-FFF2-40B4-BE49-F238E27FC236}">
              <a16:creationId xmlns:a16="http://schemas.microsoft.com/office/drawing/2014/main" id="{326515E4-225A-4D4A-BBCB-4316841000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0" name="Elipse 2619">
          <a:extLst>
            <a:ext uri="{FF2B5EF4-FFF2-40B4-BE49-F238E27FC236}">
              <a16:creationId xmlns:a16="http://schemas.microsoft.com/office/drawing/2014/main" id="{0BB9A3D5-4A9A-4AEB-9FB3-5FCF75CDF8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1" name="Elipse 2620">
          <a:extLst>
            <a:ext uri="{FF2B5EF4-FFF2-40B4-BE49-F238E27FC236}">
              <a16:creationId xmlns:a16="http://schemas.microsoft.com/office/drawing/2014/main" id="{439F9041-02B9-40E8-B70B-75038DCB3C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2" name="Elipse 2621">
          <a:extLst>
            <a:ext uri="{FF2B5EF4-FFF2-40B4-BE49-F238E27FC236}">
              <a16:creationId xmlns:a16="http://schemas.microsoft.com/office/drawing/2014/main" id="{6055A3F1-3879-4142-BFEF-B2C6C83905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3" name="Elipse 2622">
          <a:extLst>
            <a:ext uri="{FF2B5EF4-FFF2-40B4-BE49-F238E27FC236}">
              <a16:creationId xmlns:a16="http://schemas.microsoft.com/office/drawing/2014/main" id="{3864555E-758B-4084-BDE4-D9E992F018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4" name="Elipse 2623">
          <a:extLst>
            <a:ext uri="{FF2B5EF4-FFF2-40B4-BE49-F238E27FC236}">
              <a16:creationId xmlns:a16="http://schemas.microsoft.com/office/drawing/2014/main" id="{3DB2BC00-1A64-48BE-8C6C-52A3782CC3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5" name="Elipse 2624">
          <a:extLst>
            <a:ext uri="{FF2B5EF4-FFF2-40B4-BE49-F238E27FC236}">
              <a16:creationId xmlns:a16="http://schemas.microsoft.com/office/drawing/2014/main" id="{2935701A-83EB-4309-851A-B8A250A826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6" name="Elipse 2625">
          <a:extLst>
            <a:ext uri="{FF2B5EF4-FFF2-40B4-BE49-F238E27FC236}">
              <a16:creationId xmlns:a16="http://schemas.microsoft.com/office/drawing/2014/main" id="{53FE4788-D35B-4048-9189-38DAEBCAA4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7" name="Elipse 2626">
          <a:extLst>
            <a:ext uri="{FF2B5EF4-FFF2-40B4-BE49-F238E27FC236}">
              <a16:creationId xmlns:a16="http://schemas.microsoft.com/office/drawing/2014/main" id="{50C52A79-0A65-4F64-A686-D17A58F21B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8" name="Elipse 2627">
          <a:extLst>
            <a:ext uri="{FF2B5EF4-FFF2-40B4-BE49-F238E27FC236}">
              <a16:creationId xmlns:a16="http://schemas.microsoft.com/office/drawing/2014/main" id="{4BAF0225-EFB9-4852-AB1F-7C1164894B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29" name="Elipse 2628">
          <a:extLst>
            <a:ext uri="{FF2B5EF4-FFF2-40B4-BE49-F238E27FC236}">
              <a16:creationId xmlns:a16="http://schemas.microsoft.com/office/drawing/2014/main" id="{D5854B5D-C6C3-490A-8DC7-29C731D442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0" name="Elipse 2629">
          <a:extLst>
            <a:ext uri="{FF2B5EF4-FFF2-40B4-BE49-F238E27FC236}">
              <a16:creationId xmlns:a16="http://schemas.microsoft.com/office/drawing/2014/main" id="{A848D07C-5B30-4E4A-84DA-4B4B6D8A24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1" name="Elipse 2630">
          <a:extLst>
            <a:ext uri="{FF2B5EF4-FFF2-40B4-BE49-F238E27FC236}">
              <a16:creationId xmlns:a16="http://schemas.microsoft.com/office/drawing/2014/main" id="{C9F18533-5B77-4C4E-A669-540E150B1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2" name="Elipse 2631">
          <a:extLst>
            <a:ext uri="{FF2B5EF4-FFF2-40B4-BE49-F238E27FC236}">
              <a16:creationId xmlns:a16="http://schemas.microsoft.com/office/drawing/2014/main" id="{81FC144B-C8EB-42F6-8A4A-96B9ACA572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3" name="Elipse 2632">
          <a:extLst>
            <a:ext uri="{FF2B5EF4-FFF2-40B4-BE49-F238E27FC236}">
              <a16:creationId xmlns:a16="http://schemas.microsoft.com/office/drawing/2014/main" id="{7C22FF6F-16C5-43F7-980E-A7BACAF474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4" name="Elipse 2633">
          <a:extLst>
            <a:ext uri="{FF2B5EF4-FFF2-40B4-BE49-F238E27FC236}">
              <a16:creationId xmlns:a16="http://schemas.microsoft.com/office/drawing/2014/main" id="{2086ABAB-28D2-46A5-8A44-E30A099B81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5" name="Elipse 2634">
          <a:extLst>
            <a:ext uri="{FF2B5EF4-FFF2-40B4-BE49-F238E27FC236}">
              <a16:creationId xmlns:a16="http://schemas.microsoft.com/office/drawing/2014/main" id="{F1F685B7-BF69-439A-8BBE-6EB3D98349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6" name="Elipse 2635">
          <a:extLst>
            <a:ext uri="{FF2B5EF4-FFF2-40B4-BE49-F238E27FC236}">
              <a16:creationId xmlns:a16="http://schemas.microsoft.com/office/drawing/2014/main" id="{4C21B7EF-30F5-40C5-B29C-2E812E7546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7" name="Elipse 2636">
          <a:extLst>
            <a:ext uri="{FF2B5EF4-FFF2-40B4-BE49-F238E27FC236}">
              <a16:creationId xmlns:a16="http://schemas.microsoft.com/office/drawing/2014/main" id="{51CE14DE-A5C3-4238-ACCD-B08110DFFA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8" name="Elipse 2637">
          <a:extLst>
            <a:ext uri="{FF2B5EF4-FFF2-40B4-BE49-F238E27FC236}">
              <a16:creationId xmlns:a16="http://schemas.microsoft.com/office/drawing/2014/main" id="{001056B0-A84E-4A25-9392-327AAC3D25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39" name="Elipse 2638">
          <a:extLst>
            <a:ext uri="{FF2B5EF4-FFF2-40B4-BE49-F238E27FC236}">
              <a16:creationId xmlns:a16="http://schemas.microsoft.com/office/drawing/2014/main" id="{0854BAC2-9ECC-43A0-893E-EB78EB144E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0" name="Elipse 2639">
          <a:extLst>
            <a:ext uri="{FF2B5EF4-FFF2-40B4-BE49-F238E27FC236}">
              <a16:creationId xmlns:a16="http://schemas.microsoft.com/office/drawing/2014/main" id="{807286D2-18F1-404C-B6E5-1C458E6A0D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1" name="Elipse 2640">
          <a:extLst>
            <a:ext uri="{FF2B5EF4-FFF2-40B4-BE49-F238E27FC236}">
              <a16:creationId xmlns:a16="http://schemas.microsoft.com/office/drawing/2014/main" id="{8A193C58-6AAF-440E-833E-1091D25221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2" name="Elipse 2641">
          <a:extLst>
            <a:ext uri="{FF2B5EF4-FFF2-40B4-BE49-F238E27FC236}">
              <a16:creationId xmlns:a16="http://schemas.microsoft.com/office/drawing/2014/main" id="{0BFC6389-B6D6-4177-BF74-0FEF7C175A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3" name="Elipse 2642">
          <a:extLst>
            <a:ext uri="{FF2B5EF4-FFF2-40B4-BE49-F238E27FC236}">
              <a16:creationId xmlns:a16="http://schemas.microsoft.com/office/drawing/2014/main" id="{A5DFCE25-F873-4874-9C4B-919E2AF513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4" name="Elipse 2643">
          <a:extLst>
            <a:ext uri="{FF2B5EF4-FFF2-40B4-BE49-F238E27FC236}">
              <a16:creationId xmlns:a16="http://schemas.microsoft.com/office/drawing/2014/main" id="{185FD674-C0BC-4C96-8B1D-B4898B9FE8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5" name="Elipse 2644">
          <a:extLst>
            <a:ext uri="{FF2B5EF4-FFF2-40B4-BE49-F238E27FC236}">
              <a16:creationId xmlns:a16="http://schemas.microsoft.com/office/drawing/2014/main" id="{66ACB80E-266B-4C4F-B6C1-444BD94F86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6" name="Elipse 2645">
          <a:extLst>
            <a:ext uri="{FF2B5EF4-FFF2-40B4-BE49-F238E27FC236}">
              <a16:creationId xmlns:a16="http://schemas.microsoft.com/office/drawing/2014/main" id="{AD601192-230F-4602-882C-5029D76979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7" name="Elipse 2646">
          <a:extLst>
            <a:ext uri="{FF2B5EF4-FFF2-40B4-BE49-F238E27FC236}">
              <a16:creationId xmlns:a16="http://schemas.microsoft.com/office/drawing/2014/main" id="{BEF20005-BBB0-4E11-81B3-C586439A68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8" name="Elipse 2647">
          <a:extLst>
            <a:ext uri="{FF2B5EF4-FFF2-40B4-BE49-F238E27FC236}">
              <a16:creationId xmlns:a16="http://schemas.microsoft.com/office/drawing/2014/main" id="{012FC100-CEC4-4F8E-B5F6-BC3DB33590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49" name="Elipse 2648">
          <a:extLst>
            <a:ext uri="{FF2B5EF4-FFF2-40B4-BE49-F238E27FC236}">
              <a16:creationId xmlns:a16="http://schemas.microsoft.com/office/drawing/2014/main" id="{2ABB5E8E-BCB5-4A12-B0AD-0210D31D3A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0" name="Elipse 2649">
          <a:extLst>
            <a:ext uri="{FF2B5EF4-FFF2-40B4-BE49-F238E27FC236}">
              <a16:creationId xmlns:a16="http://schemas.microsoft.com/office/drawing/2014/main" id="{6A747F7F-9D7F-4003-8A2B-820506D7F7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1" name="Elipse 2650">
          <a:extLst>
            <a:ext uri="{FF2B5EF4-FFF2-40B4-BE49-F238E27FC236}">
              <a16:creationId xmlns:a16="http://schemas.microsoft.com/office/drawing/2014/main" id="{9429BD0C-95EB-4A18-9D45-27F2031B24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2" name="Elipse 2651">
          <a:extLst>
            <a:ext uri="{FF2B5EF4-FFF2-40B4-BE49-F238E27FC236}">
              <a16:creationId xmlns:a16="http://schemas.microsoft.com/office/drawing/2014/main" id="{729D5C51-F37B-45CD-932A-1DA1B03EAD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3" name="Elipse 2652">
          <a:extLst>
            <a:ext uri="{FF2B5EF4-FFF2-40B4-BE49-F238E27FC236}">
              <a16:creationId xmlns:a16="http://schemas.microsoft.com/office/drawing/2014/main" id="{EBB378E5-80E4-4641-AD84-5775B8DE8D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4" name="Elipse 2653">
          <a:extLst>
            <a:ext uri="{FF2B5EF4-FFF2-40B4-BE49-F238E27FC236}">
              <a16:creationId xmlns:a16="http://schemas.microsoft.com/office/drawing/2014/main" id="{E23A833F-1ACC-4CDA-BB89-2EEC79E2E4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5" name="Elipse 2654">
          <a:extLst>
            <a:ext uri="{FF2B5EF4-FFF2-40B4-BE49-F238E27FC236}">
              <a16:creationId xmlns:a16="http://schemas.microsoft.com/office/drawing/2014/main" id="{EEC011D3-5F34-4B0F-B421-6FAAACEE02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6" name="Elipse 2655">
          <a:extLst>
            <a:ext uri="{FF2B5EF4-FFF2-40B4-BE49-F238E27FC236}">
              <a16:creationId xmlns:a16="http://schemas.microsoft.com/office/drawing/2014/main" id="{63D667BF-096E-42B6-B736-817C5B5CA2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7" name="Elipse 2656">
          <a:extLst>
            <a:ext uri="{FF2B5EF4-FFF2-40B4-BE49-F238E27FC236}">
              <a16:creationId xmlns:a16="http://schemas.microsoft.com/office/drawing/2014/main" id="{466DB4EE-C734-4A7B-A5D8-177C0D6F76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8" name="Elipse 2657">
          <a:extLst>
            <a:ext uri="{FF2B5EF4-FFF2-40B4-BE49-F238E27FC236}">
              <a16:creationId xmlns:a16="http://schemas.microsoft.com/office/drawing/2014/main" id="{3D82822D-8167-4C2F-A777-E0B441BC61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59" name="Elipse 2658">
          <a:extLst>
            <a:ext uri="{FF2B5EF4-FFF2-40B4-BE49-F238E27FC236}">
              <a16:creationId xmlns:a16="http://schemas.microsoft.com/office/drawing/2014/main" id="{32205A02-9465-4297-BD48-1FD29DEC9B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0" name="Elipse 2659">
          <a:extLst>
            <a:ext uri="{FF2B5EF4-FFF2-40B4-BE49-F238E27FC236}">
              <a16:creationId xmlns:a16="http://schemas.microsoft.com/office/drawing/2014/main" id="{7F150D4C-B885-42E1-A5E2-259BD8A3B7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1" name="Elipse 2660">
          <a:extLst>
            <a:ext uri="{FF2B5EF4-FFF2-40B4-BE49-F238E27FC236}">
              <a16:creationId xmlns:a16="http://schemas.microsoft.com/office/drawing/2014/main" id="{B487F94B-734D-40E8-A858-F868D6D61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2" name="Elipse 2661">
          <a:extLst>
            <a:ext uri="{FF2B5EF4-FFF2-40B4-BE49-F238E27FC236}">
              <a16:creationId xmlns:a16="http://schemas.microsoft.com/office/drawing/2014/main" id="{D74EA80B-BE13-4AAB-8E9A-00D7BE6529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3" name="Elipse 2662">
          <a:extLst>
            <a:ext uri="{FF2B5EF4-FFF2-40B4-BE49-F238E27FC236}">
              <a16:creationId xmlns:a16="http://schemas.microsoft.com/office/drawing/2014/main" id="{A18DE92C-DB72-48DA-820A-FF272C7F62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4" name="Elipse 2663">
          <a:extLst>
            <a:ext uri="{FF2B5EF4-FFF2-40B4-BE49-F238E27FC236}">
              <a16:creationId xmlns:a16="http://schemas.microsoft.com/office/drawing/2014/main" id="{FACAD5E8-5224-419A-9203-90E558D81A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5" name="Elipse 2664">
          <a:extLst>
            <a:ext uri="{FF2B5EF4-FFF2-40B4-BE49-F238E27FC236}">
              <a16:creationId xmlns:a16="http://schemas.microsoft.com/office/drawing/2014/main" id="{73B858EE-A202-4EA3-A8DE-2D53CBFA9F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6" name="Elipse 2665">
          <a:extLst>
            <a:ext uri="{FF2B5EF4-FFF2-40B4-BE49-F238E27FC236}">
              <a16:creationId xmlns:a16="http://schemas.microsoft.com/office/drawing/2014/main" id="{53CE3C6E-E2EB-471E-A507-868C7C6D6C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7" name="Elipse 2666">
          <a:extLst>
            <a:ext uri="{FF2B5EF4-FFF2-40B4-BE49-F238E27FC236}">
              <a16:creationId xmlns:a16="http://schemas.microsoft.com/office/drawing/2014/main" id="{A0AAF076-B4FA-4600-B9E0-94CB24B137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8" name="Elipse 2667">
          <a:extLst>
            <a:ext uri="{FF2B5EF4-FFF2-40B4-BE49-F238E27FC236}">
              <a16:creationId xmlns:a16="http://schemas.microsoft.com/office/drawing/2014/main" id="{EBCDD0DC-ACD7-4797-B97E-DE060574A6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69" name="Elipse 2668">
          <a:extLst>
            <a:ext uri="{FF2B5EF4-FFF2-40B4-BE49-F238E27FC236}">
              <a16:creationId xmlns:a16="http://schemas.microsoft.com/office/drawing/2014/main" id="{33EF465D-9008-47F3-9259-C27553DCE8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0" name="Elipse 2669">
          <a:extLst>
            <a:ext uri="{FF2B5EF4-FFF2-40B4-BE49-F238E27FC236}">
              <a16:creationId xmlns:a16="http://schemas.microsoft.com/office/drawing/2014/main" id="{533995A8-652C-47B1-81BD-55E8BDE3D5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1" name="Elipse 2670">
          <a:extLst>
            <a:ext uri="{FF2B5EF4-FFF2-40B4-BE49-F238E27FC236}">
              <a16:creationId xmlns:a16="http://schemas.microsoft.com/office/drawing/2014/main" id="{1838AFF8-89E4-4A4B-8DED-EA23872DD8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2" name="Elipse 2671">
          <a:extLst>
            <a:ext uri="{FF2B5EF4-FFF2-40B4-BE49-F238E27FC236}">
              <a16:creationId xmlns:a16="http://schemas.microsoft.com/office/drawing/2014/main" id="{5004B07E-6816-4192-A55C-667E2E466A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3" name="Elipse 2672">
          <a:extLst>
            <a:ext uri="{FF2B5EF4-FFF2-40B4-BE49-F238E27FC236}">
              <a16:creationId xmlns:a16="http://schemas.microsoft.com/office/drawing/2014/main" id="{620E8616-BEF8-4B72-B525-912369CF55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4" name="Elipse 2673">
          <a:extLst>
            <a:ext uri="{FF2B5EF4-FFF2-40B4-BE49-F238E27FC236}">
              <a16:creationId xmlns:a16="http://schemas.microsoft.com/office/drawing/2014/main" id="{8D00F8A2-2CB3-424B-85C3-31E57C1F07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5" name="Elipse 2674">
          <a:extLst>
            <a:ext uri="{FF2B5EF4-FFF2-40B4-BE49-F238E27FC236}">
              <a16:creationId xmlns:a16="http://schemas.microsoft.com/office/drawing/2014/main" id="{851128F6-37B9-4DD2-B035-1986905C68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6" name="Elipse 2675">
          <a:extLst>
            <a:ext uri="{FF2B5EF4-FFF2-40B4-BE49-F238E27FC236}">
              <a16:creationId xmlns:a16="http://schemas.microsoft.com/office/drawing/2014/main" id="{AD5AB355-8B68-4C81-B594-98BFAE75A7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7" name="Elipse 2676">
          <a:extLst>
            <a:ext uri="{FF2B5EF4-FFF2-40B4-BE49-F238E27FC236}">
              <a16:creationId xmlns:a16="http://schemas.microsoft.com/office/drawing/2014/main" id="{5B4FD33D-3BEC-4AB5-A388-6C2762E936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8" name="Elipse 2677">
          <a:extLst>
            <a:ext uri="{FF2B5EF4-FFF2-40B4-BE49-F238E27FC236}">
              <a16:creationId xmlns:a16="http://schemas.microsoft.com/office/drawing/2014/main" id="{304482E0-7CFA-42D3-85EC-8DD5DF504C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79" name="Elipse 2678">
          <a:extLst>
            <a:ext uri="{FF2B5EF4-FFF2-40B4-BE49-F238E27FC236}">
              <a16:creationId xmlns:a16="http://schemas.microsoft.com/office/drawing/2014/main" id="{8397E5EF-80FA-4E2D-84F4-285322C096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0" name="Elipse 2679">
          <a:extLst>
            <a:ext uri="{FF2B5EF4-FFF2-40B4-BE49-F238E27FC236}">
              <a16:creationId xmlns:a16="http://schemas.microsoft.com/office/drawing/2014/main" id="{93676943-6F8B-4925-B66E-3E43E8C6AE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1" name="Elipse 2680">
          <a:extLst>
            <a:ext uri="{FF2B5EF4-FFF2-40B4-BE49-F238E27FC236}">
              <a16:creationId xmlns:a16="http://schemas.microsoft.com/office/drawing/2014/main" id="{3AAF6E2F-CABF-4D06-A2B8-E4E0065A59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2" name="Elipse 2681">
          <a:extLst>
            <a:ext uri="{FF2B5EF4-FFF2-40B4-BE49-F238E27FC236}">
              <a16:creationId xmlns:a16="http://schemas.microsoft.com/office/drawing/2014/main" id="{49F9142C-EBE3-441F-B5B9-20948F1DDE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3" name="Elipse 2682">
          <a:extLst>
            <a:ext uri="{FF2B5EF4-FFF2-40B4-BE49-F238E27FC236}">
              <a16:creationId xmlns:a16="http://schemas.microsoft.com/office/drawing/2014/main" id="{8365733B-39B0-4CCF-A549-E2084F4755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4" name="Elipse 2683">
          <a:extLst>
            <a:ext uri="{FF2B5EF4-FFF2-40B4-BE49-F238E27FC236}">
              <a16:creationId xmlns:a16="http://schemas.microsoft.com/office/drawing/2014/main" id="{FEEDAA14-17B8-490B-A0A6-2B1F842904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5" name="Elipse 2684">
          <a:extLst>
            <a:ext uri="{FF2B5EF4-FFF2-40B4-BE49-F238E27FC236}">
              <a16:creationId xmlns:a16="http://schemas.microsoft.com/office/drawing/2014/main" id="{95F5AD24-BDA8-494A-B004-234AA3595A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6" name="Elipse 2685">
          <a:extLst>
            <a:ext uri="{FF2B5EF4-FFF2-40B4-BE49-F238E27FC236}">
              <a16:creationId xmlns:a16="http://schemas.microsoft.com/office/drawing/2014/main" id="{2898FA17-B4FD-4950-AC21-1EB541452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7" name="Elipse 2686">
          <a:extLst>
            <a:ext uri="{FF2B5EF4-FFF2-40B4-BE49-F238E27FC236}">
              <a16:creationId xmlns:a16="http://schemas.microsoft.com/office/drawing/2014/main" id="{61618887-DE5A-4044-967A-78CF1B6FCA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8" name="Elipse 2687">
          <a:extLst>
            <a:ext uri="{FF2B5EF4-FFF2-40B4-BE49-F238E27FC236}">
              <a16:creationId xmlns:a16="http://schemas.microsoft.com/office/drawing/2014/main" id="{FC793A22-A41E-4D54-92DF-F7041DC409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89" name="Elipse 2688">
          <a:extLst>
            <a:ext uri="{FF2B5EF4-FFF2-40B4-BE49-F238E27FC236}">
              <a16:creationId xmlns:a16="http://schemas.microsoft.com/office/drawing/2014/main" id="{210305C6-4EE2-401B-A18B-651DF65E22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0" name="Elipse 2689">
          <a:extLst>
            <a:ext uri="{FF2B5EF4-FFF2-40B4-BE49-F238E27FC236}">
              <a16:creationId xmlns:a16="http://schemas.microsoft.com/office/drawing/2014/main" id="{3276CA21-12A6-47B2-AA47-DBB07932F4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1" name="Elipse 2690">
          <a:extLst>
            <a:ext uri="{FF2B5EF4-FFF2-40B4-BE49-F238E27FC236}">
              <a16:creationId xmlns:a16="http://schemas.microsoft.com/office/drawing/2014/main" id="{EFD66D68-2421-4E80-BA02-6D87FC228C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2" name="Elipse 2691">
          <a:extLst>
            <a:ext uri="{FF2B5EF4-FFF2-40B4-BE49-F238E27FC236}">
              <a16:creationId xmlns:a16="http://schemas.microsoft.com/office/drawing/2014/main" id="{0F32B9E3-7CBC-433D-8E60-A902CCF0D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3" name="Elipse 2692">
          <a:extLst>
            <a:ext uri="{FF2B5EF4-FFF2-40B4-BE49-F238E27FC236}">
              <a16:creationId xmlns:a16="http://schemas.microsoft.com/office/drawing/2014/main" id="{BEE971B5-6D82-4A9D-8EB2-2343F26C3C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4" name="Elipse 2693">
          <a:extLst>
            <a:ext uri="{FF2B5EF4-FFF2-40B4-BE49-F238E27FC236}">
              <a16:creationId xmlns:a16="http://schemas.microsoft.com/office/drawing/2014/main" id="{10F466BF-BF07-4896-86BF-5AB04DC320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5" name="Elipse 2694">
          <a:extLst>
            <a:ext uri="{FF2B5EF4-FFF2-40B4-BE49-F238E27FC236}">
              <a16:creationId xmlns:a16="http://schemas.microsoft.com/office/drawing/2014/main" id="{180D8CFB-967C-42DF-9F5D-EE32F4A46A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6" name="Elipse 2695">
          <a:extLst>
            <a:ext uri="{FF2B5EF4-FFF2-40B4-BE49-F238E27FC236}">
              <a16:creationId xmlns:a16="http://schemas.microsoft.com/office/drawing/2014/main" id="{3121168E-A841-4657-BBEC-90EE9DE91B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7" name="Elipse 2696">
          <a:extLst>
            <a:ext uri="{FF2B5EF4-FFF2-40B4-BE49-F238E27FC236}">
              <a16:creationId xmlns:a16="http://schemas.microsoft.com/office/drawing/2014/main" id="{7A06E156-FAB2-405D-927F-4C5A0E9E6E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8" name="Elipse 2697">
          <a:extLst>
            <a:ext uri="{FF2B5EF4-FFF2-40B4-BE49-F238E27FC236}">
              <a16:creationId xmlns:a16="http://schemas.microsoft.com/office/drawing/2014/main" id="{F472F3EB-D7F6-4E32-BC56-720D80C2F7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99" name="Elipse 2698">
          <a:extLst>
            <a:ext uri="{FF2B5EF4-FFF2-40B4-BE49-F238E27FC236}">
              <a16:creationId xmlns:a16="http://schemas.microsoft.com/office/drawing/2014/main" id="{71B1878C-7FF4-490A-BD6D-A15EFBB3B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0" name="Elipse 2699">
          <a:extLst>
            <a:ext uri="{FF2B5EF4-FFF2-40B4-BE49-F238E27FC236}">
              <a16:creationId xmlns:a16="http://schemas.microsoft.com/office/drawing/2014/main" id="{31AE3671-BD76-491B-B0B9-E463EECC8F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1" name="Elipse 2700">
          <a:extLst>
            <a:ext uri="{FF2B5EF4-FFF2-40B4-BE49-F238E27FC236}">
              <a16:creationId xmlns:a16="http://schemas.microsoft.com/office/drawing/2014/main" id="{01831B29-1AE3-4B22-9EC0-0732F9CD76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2" name="Elipse 2701">
          <a:extLst>
            <a:ext uri="{FF2B5EF4-FFF2-40B4-BE49-F238E27FC236}">
              <a16:creationId xmlns:a16="http://schemas.microsoft.com/office/drawing/2014/main" id="{6786F719-06AA-4D08-8AEC-F8F3BB27C5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3" name="Elipse 2702">
          <a:extLst>
            <a:ext uri="{FF2B5EF4-FFF2-40B4-BE49-F238E27FC236}">
              <a16:creationId xmlns:a16="http://schemas.microsoft.com/office/drawing/2014/main" id="{6985F9C8-94CD-445F-84E8-FD55A3DDF6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4" name="Elipse 2703">
          <a:extLst>
            <a:ext uri="{FF2B5EF4-FFF2-40B4-BE49-F238E27FC236}">
              <a16:creationId xmlns:a16="http://schemas.microsoft.com/office/drawing/2014/main" id="{1C5456F8-2D90-43FA-BF14-9344EF4FB3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5" name="Elipse 2704">
          <a:extLst>
            <a:ext uri="{FF2B5EF4-FFF2-40B4-BE49-F238E27FC236}">
              <a16:creationId xmlns:a16="http://schemas.microsoft.com/office/drawing/2014/main" id="{AC3CF5A5-80DF-40F1-B22B-6BDEA99748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6" name="Elipse 2705">
          <a:extLst>
            <a:ext uri="{FF2B5EF4-FFF2-40B4-BE49-F238E27FC236}">
              <a16:creationId xmlns:a16="http://schemas.microsoft.com/office/drawing/2014/main" id="{1C7C2765-9025-4D60-BD38-896319A7B4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7" name="Elipse 2706">
          <a:extLst>
            <a:ext uri="{FF2B5EF4-FFF2-40B4-BE49-F238E27FC236}">
              <a16:creationId xmlns:a16="http://schemas.microsoft.com/office/drawing/2014/main" id="{CBAA1021-9451-48D8-8498-BBBE0B6289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8" name="Elipse 2707">
          <a:extLst>
            <a:ext uri="{FF2B5EF4-FFF2-40B4-BE49-F238E27FC236}">
              <a16:creationId xmlns:a16="http://schemas.microsoft.com/office/drawing/2014/main" id="{FB59B1A5-8744-4906-8349-37F62151AD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09" name="Elipse 2708">
          <a:extLst>
            <a:ext uri="{FF2B5EF4-FFF2-40B4-BE49-F238E27FC236}">
              <a16:creationId xmlns:a16="http://schemas.microsoft.com/office/drawing/2014/main" id="{238E9423-227A-4FC6-8674-C2618A6283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0" name="Elipse 2709">
          <a:extLst>
            <a:ext uri="{FF2B5EF4-FFF2-40B4-BE49-F238E27FC236}">
              <a16:creationId xmlns:a16="http://schemas.microsoft.com/office/drawing/2014/main" id="{6939EBA2-DC1C-4181-B8D1-500E2BB62C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1" name="Elipse 2710">
          <a:extLst>
            <a:ext uri="{FF2B5EF4-FFF2-40B4-BE49-F238E27FC236}">
              <a16:creationId xmlns:a16="http://schemas.microsoft.com/office/drawing/2014/main" id="{9F38DD5D-9E2A-4860-A665-66C9B170F0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2" name="Elipse 2711">
          <a:extLst>
            <a:ext uri="{FF2B5EF4-FFF2-40B4-BE49-F238E27FC236}">
              <a16:creationId xmlns:a16="http://schemas.microsoft.com/office/drawing/2014/main" id="{C9DD704E-F184-424F-A663-53D2477A83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3" name="Elipse 2712">
          <a:extLst>
            <a:ext uri="{FF2B5EF4-FFF2-40B4-BE49-F238E27FC236}">
              <a16:creationId xmlns:a16="http://schemas.microsoft.com/office/drawing/2014/main" id="{4C4A4F63-4E4D-4D2E-AA39-FFC8AC0DD4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4" name="Elipse 2713">
          <a:extLst>
            <a:ext uri="{FF2B5EF4-FFF2-40B4-BE49-F238E27FC236}">
              <a16:creationId xmlns:a16="http://schemas.microsoft.com/office/drawing/2014/main" id="{D503579E-649D-4808-B03A-E37C86F214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5" name="Elipse 2714">
          <a:extLst>
            <a:ext uri="{FF2B5EF4-FFF2-40B4-BE49-F238E27FC236}">
              <a16:creationId xmlns:a16="http://schemas.microsoft.com/office/drawing/2014/main" id="{4CB97A04-846B-4056-9F9E-6837BCAAE5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6" name="Elipse 2715">
          <a:extLst>
            <a:ext uri="{FF2B5EF4-FFF2-40B4-BE49-F238E27FC236}">
              <a16:creationId xmlns:a16="http://schemas.microsoft.com/office/drawing/2014/main" id="{0150E19F-CB56-4A42-A720-5297CA0ED2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7" name="Elipse 2716">
          <a:extLst>
            <a:ext uri="{FF2B5EF4-FFF2-40B4-BE49-F238E27FC236}">
              <a16:creationId xmlns:a16="http://schemas.microsoft.com/office/drawing/2014/main" id="{8E4CA57D-A784-4161-879C-7A5C2377D1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8" name="Elipse 2717">
          <a:extLst>
            <a:ext uri="{FF2B5EF4-FFF2-40B4-BE49-F238E27FC236}">
              <a16:creationId xmlns:a16="http://schemas.microsoft.com/office/drawing/2014/main" id="{F2F54233-246B-4181-B407-76DAFBA47C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19" name="Elipse 2718">
          <a:extLst>
            <a:ext uri="{FF2B5EF4-FFF2-40B4-BE49-F238E27FC236}">
              <a16:creationId xmlns:a16="http://schemas.microsoft.com/office/drawing/2014/main" id="{6575AB1A-55C7-4646-934B-BF63B1870E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0" name="Elipse 2719">
          <a:extLst>
            <a:ext uri="{FF2B5EF4-FFF2-40B4-BE49-F238E27FC236}">
              <a16:creationId xmlns:a16="http://schemas.microsoft.com/office/drawing/2014/main" id="{5A0ED279-9622-4506-91E6-7EBBECF725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1" name="Elipse 2720">
          <a:extLst>
            <a:ext uri="{FF2B5EF4-FFF2-40B4-BE49-F238E27FC236}">
              <a16:creationId xmlns:a16="http://schemas.microsoft.com/office/drawing/2014/main" id="{F71F7E5C-1E8E-4C68-AA39-F0D1A2FDEA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2" name="Elipse 2721">
          <a:extLst>
            <a:ext uri="{FF2B5EF4-FFF2-40B4-BE49-F238E27FC236}">
              <a16:creationId xmlns:a16="http://schemas.microsoft.com/office/drawing/2014/main" id="{F74E6331-074F-43EB-BDD9-BE008ED66B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3" name="Elipse 2722">
          <a:extLst>
            <a:ext uri="{FF2B5EF4-FFF2-40B4-BE49-F238E27FC236}">
              <a16:creationId xmlns:a16="http://schemas.microsoft.com/office/drawing/2014/main" id="{CFF5373F-E76A-4EFA-9E98-F5C5780475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4" name="Elipse 2723">
          <a:extLst>
            <a:ext uri="{FF2B5EF4-FFF2-40B4-BE49-F238E27FC236}">
              <a16:creationId xmlns:a16="http://schemas.microsoft.com/office/drawing/2014/main" id="{ACB17869-E344-40C9-8EAE-84AE6BD063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5" name="Elipse 2724">
          <a:extLst>
            <a:ext uri="{FF2B5EF4-FFF2-40B4-BE49-F238E27FC236}">
              <a16:creationId xmlns:a16="http://schemas.microsoft.com/office/drawing/2014/main" id="{63CE9CFD-5E57-4ACB-8BF6-5C75540BE0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6" name="Elipse 2725">
          <a:extLst>
            <a:ext uri="{FF2B5EF4-FFF2-40B4-BE49-F238E27FC236}">
              <a16:creationId xmlns:a16="http://schemas.microsoft.com/office/drawing/2014/main" id="{9F1506D0-98DE-44C6-9344-5EF89AB895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7" name="Elipse 2726">
          <a:extLst>
            <a:ext uri="{FF2B5EF4-FFF2-40B4-BE49-F238E27FC236}">
              <a16:creationId xmlns:a16="http://schemas.microsoft.com/office/drawing/2014/main" id="{D780A642-FDE6-4307-9B1F-101AF68ED4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8" name="Elipse 2727">
          <a:extLst>
            <a:ext uri="{FF2B5EF4-FFF2-40B4-BE49-F238E27FC236}">
              <a16:creationId xmlns:a16="http://schemas.microsoft.com/office/drawing/2014/main" id="{94279AFC-AE84-458A-83CB-B3562F293C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29" name="Elipse 2728">
          <a:extLst>
            <a:ext uri="{FF2B5EF4-FFF2-40B4-BE49-F238E27FC236}">
              <a16:creationId xmlns:a16="http://schemas.microsoft.com/office/drawing/2014/main" id="{2CDC30ED-D349-42A4-B5E8-8FF5FCB404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0" name="Elipse 2729">
          <a:extLst>
            <a:ext uri="{FF2B5EF4-FFF2-40B4-BE49-F238E27FC236}">
              <a16:creationId xmlns:a16="http://schemas.microsoft.com/office/drawing/2014/main" id="{CF58F3A2-944D-4A4A-96BD-E2727AFD62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1" name="Elipse 2730">
          <a:extLst>
            <a:ext uri="{FF2B5EF4-FFF2-40B4-BE49-F238E27FC236}">
              <a16:creationId xmlns:a16="http://schemas.microsoft.com/office/drawing/2014/main" id="{55A5BB70-C765-41D0-A471-4D31850946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2" name="Elipse 2731">
          <a:extLst>
            <a:ext uri="{FF2B5EF4-FFF2-40B4-BE49-F238E27FC236}">
              <a16:creationId xmlns:a16="http://schemas.microsoft.com/office/drawing/2014/main" id="{CD2AB3DE-882C-4FD0-85D3-F66DB629A3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3" name="Elipse 2732">
          <a:extLst>
            <a:ext uri="{FF2B5EF4-FFF2-40B4-BE49-F238E27FC236}">
              <a16:creationId xmlns:a16="http://schemas.microsoft.com/office/drawing/2014/main" id="{485A0047-24CC-4858-9759-10E208D0A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4" name="Elipse 2733">
          <a:extLst>
            <a:ext uri="{FF2B5EF4-FFF2-40B4-BE49-F238E27FC236}">
              <a16:creationId xmlns:a16="http://schemas.microsoft.com/office/drawing/2014/main" id="{6CCD6003-FF96-4C98-9EB2-3142BBA1BE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5" name="Elipse 2734">
          <a:extLst>
            <a:ext uri="{FF2B5EF4-FFF2-40B4-BE49-F238E27FC236}">
              <a16:creationId xmlns:a16="http://schemas.microsoft.com/office/drawing/2014/main" id="{13E0B6BC-5B35-4941-9CEC-7D1E0ADAED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6" name="Elipse 2735">
          <a:extLst>
            <a:ext uri="{FF2B5EF4-FFF2-40B4-BE49-F238E27FC236}">
              <a16:creationId xmlns:a16="http://schemas.microsoft.com/office/drawing/2014/main" id="{957D8DA1-D6EF-4436-81C3-4DD578B1BA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7" name="Elipse 2736">
          <a:extLst>
            <a:ext uri="{FF2B5EF4-FFF2-40B4-BE49-F238E27FC236}">
              <a16:creationId xmlns:a16="http://schemas.microsoft.com/office/drawing/2014/main" id="{65607386-EAAB-4727-BD0C-285EB0E5C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8" name="Elipse 2737">
          <a:extLst>
            <a:ext uri="{FF2B5EF4-FFF2-40B4-BE49-F238E27FC236}">
              <a16:creationId xmlns:a16="http://schemas.microsoft.com/office/drawing/2014/main" id="{C6D7EA22-DAEB-496B-85E7-0392D1831E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39" name="Elipse 2738">
          <a:extLst>
            <a:ext uri="{FF2B5EF4-FFF2-40B4-BE49-F238E27FC236}">
              <a16:creationId xmlns:a16="http://schemas.microsoft.com/office/drawing/2014/main" id="{3C357708-B30C-4F4B-9319-A8B921B6A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0" name="Elipse 2739">
          <a:extLst>
            <a:ext uri="{FF2B5EF4-FFF2-40B4-BE49-F238E27FC236}">
              <a16:creationId xmlns:a16="http://schemas.microsoft.com/office/drawing/2014/main" id="{C61426F8-083F-4B6E-BC26-0CC916BB69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1" name="Elipse 2740">
          <a:extLst>
            <a:ext uri="{FF2B5EF4-FFF2-40B4-BE49-F238E27FC236}">
              <a16:creationId xmlns:a16="http://schemas.microsoft.com/office/drawing/2014/main" id="{86D4124A-F9F5-4A7E-99D0-FAC6B3CCE6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2" name="Elipse 2741">
          <a:extLst>
            <a:ext uri="{FF2B5EF4-FFF2-40B4-BE49-F238E27FC236}">
              <a16:creationId xmlns:a16="http://schemas.microsoft.com/office/drawing/2014/main" id="{D285EECF-21CF-4F04-8946-6A1E3C766B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3" name="Elipse 2742">
          <a:extLst>
            <a:ext uri="{FF2B5EF4-FFF2-40B4-BE49-F238E27FC236}">
              <a16:creationId xmlns:a16="http://schemas.microsoft.com/office/drawing/2014/main" id="{711B5E8D-1524-4184-9152-707D6E5CFA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4" name="Elipse 2743">
          <a:extLst>
            <a:ext uri="{FF2B5EF4-FFF2-40B4-BE49-F238E27FC236}">
              <a16:creationId xmlns:a16="http://schemas.microsoft.com/office/drawing/2014/main" id="{61D9F47D-C5C2-4C1F-8B34-3B97902831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5" name="Elipse 2744">
          <a:extLst>
            <a:ext uri="{FF2B5EF4-FFF2-40B4-BE49-F238E27FC236}">
              <a16:creationId xmlns:a16="http://schemas.microsoft.com/office/drawing/2014/main" id="{0F11FDE6-4A2C-4267-A648-90C9593E5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6" name="Elipse 2745">
          <a:extLst>
            <a:ext uri="{FF2B5EF4-FFF2-40B4-BE49-F238E27FC236}">
              <a16:creationId xmlns:a16="http://schemas.microsoft.com/office/drawing/2014/main" id="{42FA98CA-35D5-4AFE-910B-112C387D91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7" name="Elipse 2746">
          <a:extLst>
            <a:ext uri="{FF2B5EF4-FFF2-40B4-BE49-F238E27FC236}">
              <a16:creationId xmlns:a16="http://schemas.microsoft.com/office/drawing/2014/main" id="{B0E39BBF-D238-42DC-A21A-10733F2D15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8" name="Elipse 2747">
          <a:extLst>
            <a:ext uri="{FF2B5EF4-FFF2-40B4-BE49-F238E27FC236}">
              <a16:creationId xmlns:a16="http://schemas.microsoft.com/office/drawing/2014/main" id="{13192290-52EB-4653-8E5E-3769A950F1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49" name="Elipse 2748">
          <a:extLst>
            <a:ext uri="{FF2B5EF4-FFF2-40B4-BE49-F238E27FC236}">
              <a16:creationId xmlns:a16="http://schemas.microsoft.com/office/drawing/2014/main" id="{9CB1195D-908D-4948-8A7C-CFED4E42E1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0" name="Elipse 2749">
          <a:extLst>
            <a:ext uri="{FF2B5EF4-FFF2-40B4-BE49-F238E27FC236}">
              <a16:creationId xmlns:a16="http://schemas.microsoft.com/office/drawing/2014/main" id="{B2E6CBC1-A656-4119-80D6-16CEF224A4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1" name="Elipse 2750">
          <a:extLst>
            <a:ext uri="{FF2B5EF4-FFF2-40B4-BE49-F238E27FC236}">
              <a16:creationId xmlns:a16="http://schemas.microsoft.com/office/drawing/2014/main" id="{6AE22D83-C7D8-449E-A7F5-0060AB4575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2" name="Elipse 2751">
          <a:extLst>
            <a:ext uri="{FF2B5EF4-FFF2-40B4-BE49-F238E27FC236}">
              <a16:creationId xmlns:a16="http://schemas.microsoft.com/office/drawing/2014/main" id="{F2081C4D-E93A-4F04-BCFD-396AD1B7EA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3" name="Elipse 2752">
          <a:extLst>
            <a:ext uri="{FF2B5EF4-FFF2-40B4-BE49-F238E27FC236}">
              <a16:creationId xmlns:a16="http://schemas.microsoft.com/office/drawing/2014/main" id="{1C653618-7C69-4ADE-9673-CC0CD20C06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4" name="Elipse 2753">
          <a:extLst>
            <a:ext uri="{FF2B5EF4-FFF2-40B4-BE49-F238E27FC236}">
              <a16:creationId xmlns:a16="http://schemas.microsoft.com/office/drawing/2014/main" id="{78BD41A3-090D-4161-BABC-CC841573CE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5" name="Elipse 2754">
          <a:extLst>
            <a:ext uri="{FF2B5EF4-FFF2-40B4-BE49-F238E27FC236}">
              <a16:creationId xmlns:a16="http://schemas.microsoft.com/office/drawing/2014/main" id="{D5D7DCFA-EF49-4377-82C8-C619553C23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6" name="Elipse 2755">
          <a:extLst>
            <a:ext uri="{FF2B5EF4-FFF2-40B4-BE49-F238E27FC236}">
              <a16:creationId xmlns:a16="http://schemas.microsoft.com/office/drawing/2014/main" id="{143C186A-8483-4E25-B9FC-F1F3AA4FD3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7" name="Elipse 2756">
          <a:extLst>
            <a:ext uri="{FF2B5EF4-FFF2-40B4-BE49-F238E27FC236}">
              <a16:creationId xmlns:a16="http://schemas.microsoft.com/office/drawing/2014/main" id="{1A78F568-D000-4DB5-BEBA-1B5D9A89CC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8" name="Elipse 2757">
          <a:extLst>
            <a:ext uri="{FF2B5EF4-FFF2-40B4-BE49-F238E27FC236}">
              <a16:creationId xmlns:a16="http://schemas.microsoft.com/office/drawing/2014/main" id="{CFF138DD-1AA7-4CCA-B39D-A34DD0B273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59" name="Elipse 2758">
          <a:extLst>
            <a:ext uri="{FF2B5EF4-FFF2-40B4-BE49-F238E27FC236}">
              <a16:creationId xmlns:a16="http://schemas.microsoft.com/office/drawing/2014/main" id="{285F238A-A4A4-4769-A20F-52683FB375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0" name="Elipse 2759">
          <a:extLst>
            <a:ext uri="{FF2B5EF4-FFF2-40B4-BE49-F238E27FC236}">
              <a16:creationId xmlns:a16="http://schemas.microsoft.com/office/drawing/2014/main" id="{81D61615-C13D-43A2-A2EA-351D2DCBCE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1" name="Elipse 2760">
          <a:extLst>
            <a:ext uri="{FF2B5EF4-FFF2-40B4-BE49-F238E27FC236}">
              <a16:creationId xmlns:a16="http://schemas.microsoft.com/office/drawing/2014/main" id="{6DA31062-EA6B-4E57-B372-9D1608FF77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2" name="Elipse 2761">
          <a:extLst>
            <a:ext uri="{FF2B5EF4-FFF2-40B4-BE49-F238E27FC236}">
              <a16:creationId xmlns:a16="http://schemas.microsoft.com/office/drawing/2014/main" id="{779B3A72-CDE5-488A-8FCA-6429BFBFC4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3" name="Elipse 2762">
          <a:extLst>
            <a:ext uri="{FF2B5EF4-FFF2-40B4-BE49-F238E27FC236}">
              <a16:creationId xmlns:a16="http://schemas.microsoft.com/office/drawing/2014/main" id="{ED7C1E57-B4F5-446C-8B8D-1A7FA550DC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4" name="Elipse 2763">
          <a:extLst>
            <a:ext uri="{FF2B5EF4-FFF2-40B4-BE49-F238E27FC236}">
              <a16:creationId xmlns:a16="http://schemas.microsoft.com/office/drawing/2014/main" id="{3B9D91E5-478F-49FF-AE5B-D409719DBD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5" name="Elipse 2764">
          <a:extLst>
            <a:ext uri="{FF2B5EF4-FFF2-40B4-BE49-F238E27FC236}">
              <a16:creationId xmlns:a16="http://schemas.microsoft.com/office/drawing/2014/main" id="{B820583B-F14E-49DF-9497-5EA15BEB8C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6" name="Elipse 2765">
          <a:extLst>
            <a:ext uri="{FF2B5EF4-FFF2-40B4-BE49-F238E27FC236}">
              <a16:creationId xmlns:a16="http://schemas.microsoft.com/office/drawing/2014/main" id="{7A7489CF-AD23-40E4-B746-C3F0458DCF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7" name="Elipse 2766">
          <a:extLst>
            <a:ext uri="{FF2B5EF4-FFF2-40B4-BE49-F238E27FC236}">
              <a16:creationId xmlns:a16="http://schemas.microsoft.com/office/drawing/2014/main" id="{3150C342-17A2-45E3-9856-259B294F6E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8" name="Elipse 2767">
          <a:extLst>
            <a:ext uri="{FF2B5EF4-FFF2-40B4-BE49-F238E27FC236}">
              <a16:creationId xmlns:a16="http://schemas.microsoft.com/office/drawing/2014/main" id="{B4C9E50C-0923-4590-9968-BBE54F35E6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69" name="Elipse 2768">
          <a:extLst>
            <a:ext uri="{FF2B5EF4-FFF2-40B4-BE49-F238E27FC236}">
              <a16:creationId xmlns:a16="http://schemas.microsoft.com/office/drawing/2014/main" id="{3E8BDDAD-8BEB-4B13-8E4E-672E5C4B42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0" name="Elipse 2769">
          <a:extLst>
            <a:ext uri="{FF2B5EF4-FFF2-40B4-BE49-F238E27FC236}">
              <a16:creationId xmlns:a16="http://schemas.microsoft.com/office/drawing/2014/main" id="{60046E25-B6CB-4075-A3CC-01CEF61037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1" name="Elipse 2770">
          <a:extLst>
            <a:ext uri="{FF2B5EF4-FFF2-40B4-BE49-F238E27FC236}">
              <a16:creationId xmlns:a16="http://schemas.microsoft.com/office/drawing/2014/main" id="{E23F436A-59DB-4930-A2FC-A7680E9F3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2" name="Elipse 2771">
          <a:extLst>
            <a:ext uri="{FF2B5EF4-FFF2-40B4-BE49-F238E27FC236}">
              <a16:creationId xmlns:a16="http://schemas.microsoft.com/office/drawing/2014/main" id="{5417B8FC-A642-4857-8EC6-68464D8925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3" name="Elipse 2772">
          <a:extLst>
            <a:ext uri="{FF2B5EF4-FFF2-40B4-BE49-F238E27FC236}">
              <a16:creationId xmlns:a16="http://schemas.microsoft.com/office/drawing/2014/main" id="{DD837F89-D092-4214-A0CB-452B47ABF4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4" name="Elipse 2773">
          <a:extLst>
            <a:ext uri="{FF2B5EF4-FFF2-40B4-BE49-F238E27FC236}">
              <a16:creationId xmlns:a16="http://schemas.microsoft.com/office/drawing/2014/main" id="{F1768D5E-A1E4-44FF-8A0D-7D916E4D5D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5" name="Elipse 2774">
          <a:extLst>
            <a:ext uri="{FF2B5EF4-FFF2-40B4-BE49-F238E27FC236}">
              <a16:creationId xmlns:a16="http://schemas.microsoft.com/office/drawing/2014/main" id="{91C9ACA5-42C8-43D6-8F4F-D969244F4D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6" name="Elipse 2775">
          <a:extLst>
            <a:ext uri="{FF2B5EF4-FFF2-40B4-BE49-F238E27FC236}">
              <a16:creationId xmlns:a16="http://schemas.microsoft.com/office/drawing/2014/main" id="{51691045-0343-46EE-9508-34D772180B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7" name="Elipse 2776">
          <a:extLst>
            <a:ext uri="{FF2B5EF4-FFF2-40B4-BE49-F238E27FC236}">
              <a16:creationId xmlns:a16="http://schemas.microsoft.com/office/drawing/2014/main" id="{BB7844DC-CE4B-4490-BFF1-F450527F35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8" name="Elipse 2777">
          <a:extLst>
            <a:ext uri="{FF2B5EF4-FFF2-40B4-BE49-F238E27FC236}">
              <a16:creationId xmlns:a16="http://schemas.microsoft.com/office/drawing/2014/main" id="{C130639D-8250-4D03-9239-E37593013E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79" name="Elipse 2778">
          <a:extLst>
            <a:ext uri="{FF2B5EF4-FFF2-40B4-BE49-F238E27FC236}">
              <a16:creationId xmlns:a16="http://schemas.microsoft.com/office/drawing/2014/main" id="{3208F5B7-90CD-4551-A68F-EC485CD673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0" name="Elipse 2779">
          <a:extLst>
            <a:ext uri="{FF2B5EF4-FFF2-40B4-BE49-F238E27FC236}">
              <a16:creationId xmlns:a16="http://schemas.microsoft.com/office/drawing/2014/main" id="{9F164AC9-E37B-4F1F-BC45-C9509637D6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1" name="Elipse 2780">
          <a:extLst>
            <a:ext uri="{FF2B5EF4-FFF2-40B4-BE49-F238E27FC236}">
              <a16:creationId xmlns:a16="http://schemas.microsoft.com/office/drawing/2014/main" id="{66ADD828-A776-43C8-AB8E-01A47E21F0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2" name="Elipse 2781">
          <a:extLst>
            <a:ext uri="{FF2B5EF4-FFF2-40B4-BE49-F238E27FC236}">
              <a16:creationId xmlns:a16="http://schemas.microsoft.com/office/drawing/2014/main" id="{4203CE19-5AA7-4DC0-BAEE-716EAB1B86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3" name="Elipse 2782">
          <a:extLst>
            <a:ext uri="{FF2B5EF4-FFF2-40B4-BE49-F238E27FC236}">
              <a16:creationId xmlns:a16="http://schemas.microsoft.com/office/drawing/2014/main" id="{9C5E2F98-BC10-4A85-B7A0-E66FFB0649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4" name="Elipse 2783">
          <a:extLst>
            <a:ext uri="{FF2B5EF4-FFF2-40B4-BE49-F238E27FC236}">
              <a16:creationId xmlns:a16="http://schemas.microsoft.com/office/drawing/2014/main" id="{D1DEAA36-82B5-43D0-BD00-F2F0DC5FCB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5" name="Elipse 2784">
          <a:extLst>
            <a:ext uri="{FF2B5EF4-FFF2-40B4-BE49-F238E27FC236}">
              <a16:creationId xmlns:a16="http://schemas.microsoft.com/office/drawing/2014/main" id="{CBFF4F89-2844-4B35-8EC2-6102270DAF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6" name="Elipse 2785">
          <a:extLst>
            <a:ext uri="{FF2B5EF4-FFF2-40B4-BE49-F238E27FC236}">
              <a16:creationId xmlns:a16="http://schemas.microsoft.com/office/drawing/2014/main" id="{28AB74BD-B5C5-4048-A443-9B16F9CB8D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7" name="Elipse 2786">
          <a:extLst>
            <a:ext uri="{FF2B5EF4-FFF2-40B4-BE49-F238E27FC236}">
              <a16:creationId xmlns:a16="http://schemas.microsoft.com/office/drawing/2014/main" id="{FDAE9DED-6349-430C-AF89-44D8F0E7DC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8" name="Elipse 2787">
          <a:extLst>
            <a:ext uri="{FF2B5EF4-FFF2-40B4-BE49-F238E27FC236}">
              <a16:creationId xmlns:a16="http://schemas.microsoft.com/office/drawing/2014/main" id="{725AE037-18E4-458C-9422-E9B289025E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89" name="Elipse 2788">
          <a:extLst>
            <a:ext uri="{FF2B5EF4-FFF2-40B4-BE49-F238E27FC236}">
              <a16:creationId xmlns:a16="http://schemas.microsoft.com/office/drawing/2014/main" id="{5DE6B68A-3DF2-4EC5-9BA3-9C48542079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0" name="Elipse 2789">
          <a:extLst>
            <a:ext uri="{FF2B5EF4-FFF2-40B4-BE49-F238E27FC236}">
              <a16:creationId xmlns:a16="http://schemas.microsoft.com/office/drawing/2014/main" id="{89C058C3-EE34-4A55-9A9D-E14128760D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1" name="Elipse 2790">
          <a:extLst>
            <a:ext uri="{FF2B5EF4-FFF2-40B4-BE49-F238E27FC236}">
              <a16:creationId xmlns:a16="http://schemas.microsoft.com/office/drawing/2014/main" id="{4A85D188-BFD6-40D9-AEAF-9BC9E8C2AA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2" name="Elipse 2791">
          <a:extLst>
            <a:ext uri="{FF2B5EF4-FFF2-40B4-BE49-F238E27FC236}">
              <a16:creationId xmlns:a16="http://schemas.microsoft.com/office/drawing/2014/main" id="{92471944-564E-4758-81F5-6A9B802502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3" name="Elipse 2792">
          <a:extLst>
            <a:ext uri="{FF2B5EF4-FFF2-40B4-BE49-F238E27FC236}">
              <a16:creationId xmlns:a16="http://schemas.microsoft.com/office/drawing/2014/main" id="{47310C5C-D8E6-40C1-9881-84C37B6544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4" name="Elipse 2793">
          <a:extLst>
            <a:ext uri="{FF2B5EF4-FFF2-40B4-BE49-F238E27FC236}">
              <a16:creationId xmlns:a16="http://schemas.microsoft.com/office/drawing/2014/main" id="{9107337D-D50E-433C-8222-8AB5B05C69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5" name="Elipse 2794">
          <a:extLst>
            <a:ext uri="{FF2B5EF4-FFF2-40B4-BE49-F238E27FC236}">
              <a16:creationId xmlns:a16="http://schemas.microsoft.com/office/drawing/2014/main" id="{EAE553BC-1272-4DFA-8C7C-72C22DA530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6" name="Elipse 2795">
          <a:extLst>
            <a:ext uri="{FF2B5EF4-FFF2-40B4-BE49-F238E27FC236}">
              <a16:creationId xmlns:a16="http://schemas.microsoft.com/office/drawing/2014/main" id="{7CA86787-05BC-4FE5-B2DB-C4F1B00271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7" name="Elipse 2796">
          <a:extLst>
            <a:ext uri="{FF2B5EF4-FFF2-40B4-BE49-F238E27FC236}">
              <a16:creationId xmlns:a16="http://schemas.microsoft.com/office/drawing/2014/main" id="{C4E227C7-05BD-4714-B18D-47695567FB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8" name="Elipse 2797">
          <a:extLst>
            <a:ext uri="{FF2B5EF4-FFF2-40B4-BE49-F238E27FC236}">
              <a16:creationId xmlns:a16="http://schemas.microsoft.com/office/drawing/2014/main" id="{D9697966-209A-4447-93DA-50C236544A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99" name="Elipse 2798">
          <a:extLst>
            <a:ext uri="{FF2B5EF4-FFF2-40B4-BE49-F238E27FC236}">
              <a16:creationId xmlns:a16="http://schemas.microsoft.com/office/drawing/2014/main" id="{DAF0B51E-91BD-4BC9-A6B8-4242174DDB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0" name="Elipse 2799">
          <a:extLst>
            <a:ext uri="{FF2B5EF4-FFF2-40B4-BE49-F238E27FC236}">
              <a16:creationId xmlns:a16="http://schemas.microsoft.com/office/drawing/2014/main" id="{C53DA377-88CF-46FF-91D0-D8AB0CCA80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1" name="Elipse 2800">
          <a:extLst>
            <a:ext uri="{FF2B5EF4-FFF2-40B4-BE49-F238E27FC236}">
              <a16:creationId xmlns:a16="http://schemas.microsoft.com/office/drawing/2014/main" id="{7C0577BF-48F3-4488-83E5-CF523566F8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2" name="Elipse 2801">
          <a:extLst>
            <a:ext uri="{FF2B5EF4-FFF2-40B4-BE49-F238E27FC236}">
              <a16:creationId xmlns:a16="http://schemas.microsoft.com/office/drawing/2014/main" id="{B7BCD686-35CB-4965-86DB-317BF80D02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3" name="Elipse 2802">
          <a:extLst>
            <a:ext uri="{FF2B5EF4-FFF2-40B4-BE49-F238E27FC236}">
              <a16:creationId xmlns:a16="http://schemas.microsoft.com/office/drawing/2014/main" id="{AB3D4168-E57C-4228-A63E-685DCDA78B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4" name="Elipse 2803">
          <a:extLst>
            <a:ext uri="{FF2B5EF4-FFF2-40B4-BE49-F238E27FC236}">
              <a16:creationId xmlns:a16="http://schemas.microsoft.com/office/drawing/2014/main" id="{DF49684C-23BF-4323-9420-1B3CA3A623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5" name="Elipse 2804">
          <a:extLst>
            <a:ext uri="{FF2B5EF4-FFF2-40B4-BE49-F238E27FC236}">
              <a16:creationId xmlns:a16="http://schemas.microsoft.com/office/drawing/2014/main" id="{609A2B3E-41EF-4D64-94AD-1D364C8B15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6" name="Elipse 2805">
          <a:extLst>
            <a:ext uri="{FF2B5EF4-FFF2-40B4-BE49-F238E27FC236}">
              <a16:creationId xmlns:a16="http://schemas.microsoft.com/office/drawing/2014/main" id="{A9F8F1C8-52FF-48BB-AD6E-23387B8E99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7" name="Elipse 2806">
          <a:extLst>
            <a:ext uri="{FF2B5EF4-FFF2-40B4-BE49-F238E27FC236}">
              <a16:creationId xmlns:a16="http://schemas.microsoft.com/office/drawing/2014/main" id="{F4B513EB-57F4-486C-AD62-8342FF2CF2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8" name="Elipse 2807">
          <a:extLst>
            <a:ext uri="{FF2B5EF4-FFF2-40B4-BE49-F238E27FC236}">
              <a16:creationId xmlns:a16="http://schemas.microsoft.com/office/drawing/2014/main" id="{D80AF2B4-680D-4012-B864-F6C3A70230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09" name="Elipse 2808">
          <a:extLst>
            <a:ext uri="{FF2B5EF4-FFF2-40B4-BE49-F238E27FC236}">
              <a16:creationId xmlns:a16="http://schemas.microsoft.com/office/drawing/2014/main" id="{53A7E2CD-9D36-41AD-A156-F5F07032C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0" name="Elipse 2809">
          <a:extLst>
            <a:ext uri="{FF2B5EF4-FFF2-40B4-BE49-F238E27FC236}">
              <a16:creationId xmlns:a16="http://schemas.microsoft.com/office/drawing/2014/main" id="{23D31EEA-0C52-4423-B840-3DC08CDBE7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1" name="Elipse 2810">
          <a:extLst>
            <a:ext uri="{FF2B5EF4-FFF2-40B4-BE49-F238E27FC236}">
              <a16:creationId xmlns:a16="http://schemas.microsoft.com/office/drawing/2014/main" id="{5AE6DCF9-D767-4309-B724-7D829A35E9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2" name="Elipse 2811">
          <a:extLst>
            <a:ext uri="{FF2B5EF4-FFF2-40B4-BE49-F238E27FC236}">
              <a16:creationId xmlns:a16="http://schemas.microsoft.com/office/drawing/2014/main" id="{400C0FD3-B658-4ADC-BF23-4714B9487E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3" name="Elipse 2812">
          <a:extLst>
            <a:ext uri="{FF2B5EF4-FFF2-40B4-BE49-F238E27FC236}">
              <a16:creationId xmlns:a16="http://schemas.microsoft.com/office/drawing/2014/main" id="{D25B8334-984B-4304-AECE-A01414954B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4" name="Elipse 2813">
          <a:extLst>
            <a:ext uri="{FF2B5EF4-FFF2-40B4-BE49-F238E27FC236}">
              <a16:creationId xmlns:a16="http://schemas.microsoft.com/office/drawing/2014/main" id="{7433DE24-A698-49A6-A1B4-B69785FE13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5" name="Elipse 2814">
          <a:extLst>
            <a:ext uri="{FF2B5EF4-FFF2-40B4-BE49-F238E27FC236}">
              <a16:creationId xmlns:a16="http://schemas.microsoft.com/office/drawing/2014/main" id="{10918921-CDD6-4E61-AF77-08654329A8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6" name="Elipse 2815">
          <a:extLst>
            <a:ext uri="{FF2B5EF4-FFF2-40B4-BE49-F238E27FC236}">
              <a16:creationId xmlns:a16="http://schemas.microsoft.com/office/drawing/2014/main" id="{262DD067-877C-4448-AA27-A80957E1A2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7" name="Elipse 2816">
          <a:extLst>
            <a:ext uri="{FF2B5EF4-FFF2-40B4-BE49-F238E27FC236}">
              <a16:creationId xmlns:a16="http://schemas.microsoft.com/office/drawing/2014/main" id="{C80A8011-B64F-4F12-B01F-984245FED8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8" name="Elipse 2817">
          <a:extLst>
            <a:ext uri="{FF2B5EF4-FFF2-40B4-BE49-F238E27FC236}">
              <a16:creationId xmlns:a16="http://schemas.microsoft.com/office/drawing/2014/main" id="{26952E97-9674-4E67-B94A-65E9A5446C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19" name="Elipse 2818">
          <a:extLst>
            <a:ext uri="{FF2B5EF4-FFF2-40B4-BE49-F238E27FC236}">
              <a16:creationId xmlns:a16="http://schemas.microsoft.com/office/drawing/2014/main" id="{1321BFB8-440B-4DEB-9FAE-534F89FC0E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0" name="Elipse 2819">
          <a:extLst>
            <a:ext uri="{FF2B5EF4-FFF2-40B4-BE49-F238E27FC236}">
              <a16:creationId xmlns:a16="http://schemas.microsoft.com/office/drawing/2014/main" id="{99E26E5D-F9B1-4067-A83F-D65EBDFD25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1" name="Elipse 2820">
          <a:extLst>
            <a:ext uri="{FF2B5EF4-FFF2-40B4-BE49-F238E27FC236}">
              <a16:creationId xmlns:a16="http://schemas.microsoft.com/office/drawing/2014/main" id="{A04C75B6-E4BE-4477-9C02-4D734901E3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2" name="Elipse 2821">
          <a:extLst>
            <a:ext uri="{FF2B5EF4-FFF2-40B4-BE49-F238E27FC236}">
              <a16:creationId xmlns:a16="http://schemas.microsoft.com/office/drawing/2014/main" id="{3AECE0F7-A29D-429C-A0D8-12B6DD9A1D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3" name="Elipse 2822">
          <a:extLst>
            <a:ext uri="{FF2B5EF4-FFF2-40B4-BE49-F238E27FC236}">
              <a16:creationId xmlns:a16="http://schemas.microsoft.com/office/drawing/2014/main" id="{61F9992C-FC86-4470-914C-C51FC42C45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4" name="Elipse 2823">
          <a:extLst>
            <a:ext uri="{FF2B5EF4-FFF2-40B4-BE49-F238E27FC236}">
              <a16:creationId xmlns:a16="http://schemas.microsoft.com/office/drawing/2014/main" id="{F20F2B55-A6E0-46C9-BF26-A4CDB5E2DA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5" name="Elipse 2824">
          <a:extLst>
            <a:ext uri="{FF2B5EF4-FFF2-40B4-BE49-F238E27FC236}">
              <a16:creationId xmlns:a16="http://schemas.microsoft.com/office/drawing/2014/main" id="{F3404E72-4503-4D66-94B9-57905CED65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6" name="Elipse 2825">
          <a:extLst>
            <a:ext uri="{FF2B5EF4-FFF2-40B4-BE49-F238E27FC236}">
              <a16:creationId xmlns:a16="http://schemas.microsoft.com/office/drawing/2014/main" id="{B72B8446-F07E-481E-8E33-E8E1B236F6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7" name="Elipse 2826">
          <a:extLst>
            <a:ext uri="{FF2B5EF4-FFF2-40B4-BE49-F238E27FC236}">
              <a16:creationId xmlns:a16="http://schemas.microsoft.com/office/drawing/2014/main" id="{99327962-9646-44DB-A8BB-5E4B08749F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8" name="Elipse 2827">
          <a:extLst>
            <a:ext uri="{FF2B5EF4-FFF2-40B4-BE49-F238E27FC236}">
              <a16:creationId xmlns:a16="http://schemas.microsoft.com/office/drawing/2014/main" id="{2F9F4BB0-2866-40EF-B855-9493CE5391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29" name="Elipse 2828">
          <a:extLst>
            <a:ext uri="{FF2B5EF4-FFF2-40B4-BE49-F238E27FC236}">
              <a16:creationId xmlns:a16="http://schemas.microsoft.com/office/drawing/2014/main" id="{6731DDE5-4CC5-4C30-95AF-B0436EA518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0" name="Elipse 2829">
          <a:extLst>
            <a:ext uri="{FF2B5EF4-FFF2-40B4-BE49-F238E27FC236}">
              <a16:creationId xmlns:a16="http://schemas.microsoft.com/office/drawing/2014/main" id="{6604084B-9CDA-4725-9142-350EC35B10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1" name="Elipse 2830">
          <a:extLst>
            <a:ext uri="{FF2B5EF4-FFF2-40B4-BE49-F238E27FC236}">
              <a16:creationId xmlns:a16="http://schemas.microsoft.com/office/drawing/2014/main" id="{958211F4-ED1B-4ACF-81EC-C591EA02C0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2" name="Elipse 2831">
          <a:extLst>
            <a:ext uri="{FF2B5EF4-FFF2-40B4-BE49-F238E27FC236}">
              <a16:creationId xmlns:a16="http://schemas.microsoft.com/office/drawing/2014/main" id="{5BB4F672-C3DA-4ACD-BA54-3A86E54F5E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3" name="Elipse 2832">
          <a:extLst>
            <a:ext uri="{FF2B5EF4-FFF2-40B4-BE49-F238E27FC236}">
              <a16:creationId xmlns:a16="http://schemas.microsoft.com/office/drawing/2014/main" id="{CA280B17-8329-4489-8881-FEEEA4828F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4" name="Elipse 2833">
          <a:extLst>
            <a:ext uri="{FF2B5EF4-FFF2-40B4-BE49-F238E27FC236}">
              <a16:creationId xmlns:a16="http://schemas.microsoft.com/office/drawing/2014/main" id="{DA3DD0A6-EAED-4B82-B9BC-E9F34392F7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5" name="Elipse 2834">
          <a:extLst>
            <a:ext uri="{FF2B5EF4-FFF2-40B4-BE49-F238E27FC236}">
              <a16:creationId xmlns:a16="http://schemas.microsoft.com/office/drawing/2014/main" id="{1EE83AFA-F022-4D8C-862B-643F57C9B7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6" name="Elipse 2835">
          <a:extLst>
            <a:ext uri="{FF2B5EF4-FFF2-40B4-BE49-F238E27FC236}">
              <a16:creationId xmlns:a16="http://schemas.microsoft.com/office/drawing/2014/main" id="{C95D8845-4E6D-4595-9343-D5D36C7347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7" name="Elipse 2836">
          <a:extLst>
            <a:ext uri="{FF2B5EF4-FFF2-40B4-BE49-F238E27FC236}">
              <a16:creationId xmlns:a16="http://schemas.microsoft.com/office/drawing/2014/main" id="{911FAB97-4EDD-4383-9AEE-0628712B87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8" name="Elipse 2837">
          <a:extLst>
            <a:ext uri="{FF2B5EF4-FFF2-40B4-BE49-F238E27FC236}">
              <a16:creationId xmlns:a16="http://schemas.microsoft.com/office/drawing/2014/main" id="{9E2FC935-1F06-495B-8261-5C0B8DD570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39" name="Elipse 2838">
          <a:extLst>
            <a:ext uri="{FF2B5EF4-FFF2-40B4-BE49-F238E27FC236}">
              <a16:creationId xmlns:a16="http://schemas.microsoft.com/office/drawing/2014/main" id="{9E0EC1FE-09BD-466E-8204-97ABCC96AA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0" name="Elipse 2839">
          <a:extLst>
            <a:ext uri="{FF2B5EF4-FFF2-40B4-BE49-F238E27FC236}">
              <a16:creationId xmlns:a16="http://schemas.microsoft.com/office/drawing/2014/main" id="{17183990-5FB9-41FE-A780-F1523D683F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1" name="Elipse 2840">
          <a:extLst>
            <a:ext uri="{FF2B5EF4-FFF2-40B4-BE49-F238E27FC236}">
              <a16:creationId xmlns:a16="http://schemas.microsoft.com/office/drawing/2014/main" id="{51454A00-67F9-43EE-9CE6-D1F0AEF31F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2" name="Elipse 2841">
          <a:extLst>
            <a:ext uri="{FF2B5EF4-FFF2-40B4-BE49-F238E27FC236}">
              <a16:creationId xmlns:a16="http://schemas.microsoft.com/office/drawing/2014/main" id="{6FFCC482-631F-4010-AC82-7DF2137D0C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3" name="Elipse 2842">
          <a:extLst>
            <a:ext uri="{FF2B5EF4-FFF2-40B4-BE49-F238E27FC236}">
              <a16:creationId xmlns:a16="http://schemas.microsoft.com/office/drawing/2014/main" id="{FAD48E00-56C4-425A-94E9-F5C2CB6EB0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4" name="Elipse 2843">
          <a:extLst>
            <a:ext uri="{FF2B5EF4-FFF2-40B4-BE49-F238E27FC236}">
              <a16:creationId xmlns:a16="http://schemas.microsoft.com/office/drawing/2014/main" id="{B6944561-610A-40BF-A5DD-F0B0CB8DA4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5" name="Elipse 2844">
          <a:extLst>
            <a:ext uri="{FF2B5EF4-FFF2-40B4-BE49-F238E27FC236}">
              <a16:creationId xmlns:a16="http://schemas.microsoft.com/office/drawing/2014/main" id="{83ABA1A1-F0CB-493C-9926-5ACABBE556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6" name="Elipse 2845">
          <a:extLst>
            <a:ext uri="{FF2B5EF4-FFF2-40B4-BE49-F238E27FC236}">
              <a16:creationId xmlns:a16="http://schemas.microsoft.com/office/drawing/2014/main" id="{4E1A3BA7-FDF3-464B-8042-CE74E281FD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7" name="Elipse 2846">
          <a:extLst>
            <a:ext uri="{FF2B5EF4-FFF2-40B4-BE49-F238E27FC236}">
              <a16:creationId xmlns:a16="http://schemas.microsoft.com/office/drawing/2014/main" id="{2DA5A073-2962-4FB6-8E1F-A8A3572833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8" name="Elipse 2847">
          <a:extLst>
            <a:ext uri="{FF2B5EF4-FFF2-40B4-BE49-F238E27FC236}">
              <a16:creationId xmlns:a16="http://schemas.microsoft.com/office/drawing/2014/main" id="{2BF22768-0BC7-4C99-8C59-E0AB1B64C8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49" name="Elipse 2848">
          <a:extLst>
            <a:ext uri="{FF2B5EF4-FFF2-40B4-BE49-F238E27FC236}">
              <a16:creationId xmlns:a16="http://schemas.microsoft.com/office/drawing/2014/main" id="{5279E50C-BADD-4B14-9F89-7CADEF46D2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0" name="Elipse 2849">
          <a:extLst>
            <a:ext uri="{FF2B5EF4-FFF2-40B4-BE49-F238E27FC236}">
              <a16:creationId xmlns:a16="http://schemas.microsoft.com/office/drawing/2014/main" id="{9D204E19-C6E7-423C-81F4-2F42002BD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1" name="Elipse 2850">
          <a:extLst>
            <a:ext uri="{FF2B5EF4-FFF2-40B4-BE49-F238E27FC236}">
              <a16:creationId xmlns:a16="http://schemas.microsoft.com/office/drawing/2014/main" id="{268A3BDC-B3BC-45DE-924B-F714C4C532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2" name="Elipse 2851">
          <a:extLst>
            <a:ext uri="{FF2B5EF4-FFF2-40B4-BE49-F238E27FC236}">
              <a16:creationId xmlns:a16="http://schemas.microsoft.com/office/drawing/2014/main" id="{533F5F7C-1658-410A-AE71-345545F6C2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3" name="Elipse 2852">
          <a:extLst>
            <a:ext uri="{FF2B5EF4-FFF2-40B4-BE49-F238E27FC236}">
              <a16:creationId xmlns:a16="http://schemas.microsoft.com/office/drawing/2014/main" id="{E0546984-A373-4E54-A4C0-F2F0D9A518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4" name="Elipse 2853">
          <a:extLst>
            <a:ext uri="{FF2B5EF4-FFF2-40B4-BE49-F238E27FC236}">
              <a16:creationId xmlns:a16="http://schemas.microsoft.com/office/drawing/2014/main" id="{19D9912E-1A57-41EC-9686-146F8D978B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5" name="Elipse 2854">
          <a:extLst>
            <a:ext uri="{FF2B5EF4-FFF2-40B4-BE49-F238E27FC236}">
              <a16:creationId xmlns:a16="http://schemas.microsoft.com/office/drawing/2014/main" id="{C0419F1A-075B-4D65-8CBA-DF6AF50CB3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6" name="Elipse 2855">
          <a:extLst>
            <a:ext uri="{FF2B5EF4-FFF2-40B4-BE49-F238E27FC236}">
              <a16:creationId xmlns:a16="http://schemas.microsoft.com/office/drawing/2014/main" id="{65CAC400-44CC-49B5-B51C-4AD95949C0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7" name="Elipse 2856">
          <a:extLst>
            <a:ext uri="{FF2B5EF4-FFF2-40B4-BE49-F238E27FC236}">
              <a16:creationId xmlns:a16="http://schemas.microsoft.com/office/drawing/2014/main" id="{8F1BF89E-4964-4B0B-8438-2FE8A95D65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8" name="Elipse 2857">
          <a:extLst>
            <a:ext uri="{FF2B5EF4-FFF2-40B4-BE49-F238E27FC236}">
              <a16:creationId xmlns:a16="http://schemas.microsoft.com/office/drawing/2014/main" id="{5E18832F-FDD3-4F7D-B3A2-360538E17D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59" name="Elipse 2858">
          <a:extLst>
            <a:ext uri="{FF2B5EF4-FFF2-40B4-BE49-F238E27FC236}">
              <a16:creationId xmlns:a16="http://schemas.microsoft.com/office/drawing/2014/main" id="{1FDBCC8B-071C-4E73-B42F-49AD434026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0" name="Elipse 2859">
          <a:extLst>
            <a:ext uri="{FF2B5EF4-FFF2-40B4-BE49-F238E27FC236}">
              <a16:creationId xmlns:a16="http://schemas.microsoft.com/office/drawing/2014/main" id="{18CD7BCA-42C1-47E9-BB3A-C755FFC01B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1" name="Elipse 2860">
          <a:extLst>
            <a:ext uri="{FF2B5EF4-FFF2-40B4-BE49-F238E27FC236}">
              <a16:creationId xmlns:a16="http://schemas.microsoft.com/office/drawing/2014/main" id="{38589559-2D52-4903-97A5-DE4BCA62D3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2" name="Elipse 2861">
          <a:extLst>
            <a:ext uri="{FF2B5EF4-FFF2-40B4-BE49-F238E27FC236}">
              <a16:creationId xmlns:a16="http://schemas.microsoft.com/office/drawing/2014/main" id="{FCDD0D97-6381-460C-BDD9-97F5E0C88B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3" name="Elipse 2862">
          <a:extLst>
            <a:ext uri="{FF2B5EF4-FFF2-40B4-BE49-F238E27FC236}">
              <a16:creationId xmlns:a16="http://schemas.microsoft.com/office/drawing/2014/main" id="{1642E777-6702-4443-BB89-B88537CA10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4" name="Elipse 2863">
          <a:extLst>
            <a:ext uri="{FF2B5EF4-FFF2-40B4-BE49-F238E27FC236}">
              <a16:creationId xmlns:a16="http://schemas.microsoft.com/office/drawing/2014/main" id="{A3442ECC-FDB2-44D6-B23B-6F8E77E675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5" name="Elipse 2864">
          <a:extLst>
            <a:ext uri="{FF2B5EF4-FFF2-40B4-BE49-F238E27FC236}">
              <a16:creationId xmlns:a16="http://schemas.microsoft.com/office/drawing/2014/main" id="{79E4BCA0-A196-434E-A4D9-E04C0B0971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6" name="Elipse 2865">
          <a:extLst>
            <a:ext uri="{FF2B5EF4-FFF2-40B4-BE49-F238E27FC236}">
              <a16:creationId xmlns:a16="http://schemas.microsoft.com/office/drawing/2014/main" id="{28382171-1D2D-44BF-9EA5-DF696522D6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7" name="Elipse 2866">
          <a:extLst>
            <a:ext uri="{FF2B5EF4-FFF2-40B4-BE49-F238E27FC236}">
              <a16:creationId xmlns:a16="http://schemas.microsoft.com/office/drawing/2014/main" id="{5472424A-1F9C-4BB7-B2B6-9D3623FA87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8" name="Elipse 2867">
          <a:extLst>
            <a:ext uri="{FF2B5EF4-FFF2-40B4-BE49-F238E27FC236}">
              <a16:creationId xmlns:a16="http://schemas.microsoft.com/office/drawing/2014/main" id="{DA168E5D-AC93-4840-886C-DFD61B00C6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69" name="Elipse 2868">
          <a:extLst>
            <a:ext uri="{FF2B5EF4-FFF2-40B4-BE49-F238E27FC236}">
              <a16:creationId xmlns:a16="http://schemas.microsoft.com/office/drawing/2014/main" id="{8E6529F1-375B-4067-9B46-5D63388163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0" name="Elipse 2869">
          <a:extLst>
            <a:ext uri="{FF2B5EF4-FFF2-40B4-BE49-F238E27FC236}">
              <a16:creationId xmlns:a16="http://schemas.microsoft.com/office/drawing/2014/main" id="{59F24226-75B8-44F7-A3B9-D6C25AF01F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1" name="Elipse 2870">
          <a:extLst>
            <a:ext uri="{FF2B5EF4-FFF2-40B4-BE49-F238E27FC236}">
              <a16:creationId xmlns:a16="http://schemas.microsoft.com/office/drawing/2014/main" id="{0F41092F-9466-403F-B2DC-08E9F24ED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2" name="Elipse 2871">
          <a:extLst>
            <a:ext uri="{FF2B5EF4-FFF2-40B4-BE49-F238E27FC236}">
              <a16:creationId xmlns:a16="http://schemas.microsoft.com/office/drawing/2014/main" id="{CCE3ACE6-CF40-4242-AA02-D6B3B2A3F5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3" name="Elipse 2872">
          <a:extLst>
            <a:ext uri="{FF2B5EF4-FFF2-40B4-BE49-F238E27FC236}">
              <a16:creationId xmlns:a16="http://schemas.microsoft.com/office/drawing/2014/main" id="{4B33D1A5-304B-4823-8005-914E456A21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4" name="Elipse 2873">
          <a:extLst>
            <a:ext uri="{FF2B5EF4-FFF2-40B4-BE49-F238E27FC236}">
              <a16:creationId xmlns:a16="http://schemas.microsoft.com/office/drawing/2014/main" id="{57195626-0132-4D72-8FB8-E096A0EADD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5" name="Elipse 2874">
          <a:extLst>
            <a:ext uri="{FF2B5EF4-FFF2-40B4-BE49-F238E27FC236}">
              <a16:creationId xmlns:a16="http://schemas.microsoft.com/office/drawing/2014/main" id="{30C14BAB-5134-40A6-9399-ABF21C1FFD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6" name="Elipse 2875">
          <a:extLst>
            <a:ext uri="{FF2B5EF4-FFF2-40B4-BE49-F238E27FC236}">
              <a16:creationId xmlns:a16="http://schemas.microsoft.com/office/drawing/2014/main" id="{BCF6F2E6-6BA4-480F-981C-D65C88D713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7" name="Elipse 2876">
          <a:extLst>
            <a:ext uri="{FF2B5EF4-FFF2-40B4-BE49-F238E27FC236}">
              <a16:creationId xmlns:a16="http://schemas.microsoft.com/office/drawing/2014/main" id="{F40A5BD5-64DD-4BAF-A0CD-FCBA775B62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8" name="Elipse 2877">
          <a:extLst>
            <a:ext uri="{FF2B5EF4-FFF2-40B4-BE49-F238E27FC236}">
              <a16:creationId xmlns:a16="http://schemas.microsoft.com/office/drawing/2014/main" id="{4D0AA87F-6BE0-477B-B6AC-DE832896CD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79" name="Elipse 2878">
          <a:extLst>
            <a:ext uri="{FF2B5EF4-FFF2-40B4-BE49-F238E27FC236}">
              <a16:creationId xmlns:a16="http://schemas.microsoft.com/office/drawing/2014/main" id="{857876ED-C724-4E2B-BC71-3012D631E8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0" name="Elipse 2879">
          <a:extLst>
            <a:ext uri="{FF2B5EF4-FFF2-40B4-BE49-F238E27FC236}">
              <a16:creationId xmlns:a16="http://schemas.microsoft.com/office/drawing/2014/main" id="{865A50E2-D95D-4B33-95CD-952F3F6218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1" name="Elipse 2880">
          <a:extLst>
            <a:ext uri="{FF2B5EF4-FFF2-40B4-BE49-F238E27FC236}">
              <a16:creationId xmlns:a16="http://schemas.microsoft.com/office/drawing/2014/main" id="{87D08E1E-3B0D-41E5-9F46-18A7CD46F9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2" name="Elipse 2881">
          <a:extLst>
            <a:ext uri="{FF2B5EF4-FFF2-40B4-BE49-F238E27FC236}">
              <a16:creationId xmlns:a16="http://schemas.microsoft.com/office/drawing/2014/main" id="{78C72038-AA37-4AB0-A2F5-6240A7CCCB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3" name="Elipse 2882">
          <a:extLst>
            <a:ext uri="{FF2B5EF4-FFF2-40B4-BE49-F238E27FC236}">
              <a16:creationId xmlns:a16="http://schemas.microsoft.com/office/drawing/2014/main" id="{E8D5B5BA-1FF3-4840-A790-ED54B2BD0E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4" name="Elipse 2883">
          <a:extLst>
            <a:ext uri="{FF2B5EF4-FFF2-40B4-BE49-F238E27FC236}">
              <a16:creationId xmlns:a16="http://schemas.microsoft.com/office/drawing/2014/main" id="{B5B33087-5207-4FB5-A843-6E46C54B10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5" name="Elipse 2884">
          <a:extLst>
            <a:ext uri="{FF2B5EF4-FFF2-40B4-BE49-F238E27FC236}">
              <a16:creationId xmlns:a16="http://schemas.microsoft.com/office/drawing/2014/main" id="{8DC97BB9-1EEA-4B3B-9409-3BFD63E0C6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6" name="Elipse 2885">
          <a:extLst>
            <a:ext uri="{FF2B5EF4-FFF2-40B4-BE49-F238E27FC236}">
              <a16:creationId xmlns:a16="http://schemas.microsoft.com/office/drawing/2014/main" id="{1E596917-4DCF-4237-8344-6CAD85C337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7" name="Elipse 2886">
          <a:extLst>
            <a:ext uri="{FF2B5EF4-FFF2-40B4-BE49-F238E27FC236}">
              <a16:creationId xmlns:a16="http://schemas.microsoft.com/office/drawing/2014/main" id="{6B6256EE-F5CF-4413-9A85-D09BCA4702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8" name="Elipse 2887">
          <a:extLst>
            <a:ext uri="{FF2B5EF4-FFF2-40B4-BE49-F238E27FC236}">
              <a16:creationId xmlns:a16="http://schemas.microsoft.com/office/drawing/2014/main" id="{525053CC-F0DC-42E0-8B3B-ADFC6395AD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89" name="Elipse 2888">
          <a:extLst>
            <a:ext uri="{FF2B5EF4-FFF2-40B4-BE49-F238E27FC236}">
              <a16:creationId xmlns:a16="http://schemas.microsoft.com/office/drawing/2014/main" id="{8135C197-9419-4B91-88B7-4470F771A6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0" name="Elipse 2889">
          <a:extLst>
            <a:ext uri="{FF2B5EF4-FFF2-40B4-BE49-F238E27FC236}">
              <a16:creationId xmlns:a16="http://schemas.microsoft.com/office/drawing/2014/main" id="{3F78CE76-63CE-4AD2-9613-1F80806CBC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1" name="Elipse 2890">
          <a:extLst>
            <a:ext uri="{FF2B5EF4-FFF2-40B4-BE49-F238E27FC236}">
              <a16:creationId xmlns:a16="http://schemas.microsoft.com/office/drawing/2014/main" id="{93CFE925-74D4-4CD9-9634-BFD9283334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2" name="Elipse 2891">
          <a:extLst>
            <a:ext uri="{FF2B5EF4-FFF2-40B4-BE49-F238E27FC236}">
              <a16:creationId xmlns:a16="http://schemas.microsoft.com/office/drawing/2014/main" id="{00C8A6C1-7B65-4563-B91D-634430FFF2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3" name="Elipse 2892">
          <a:extLst>
            <a:ext uri="{FF2B5EF4-FFF2-40B4-BE49-F238E27FC236}">
              <a16:creationId xmlns:a16="http://schemas.microsoft.com/office/drawing/2014/main" id="{B1DD48FE-934C-49A3-A9DC-37305A549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4" name="Elipse 2893">
          <a:extLst>
            <a:ext uri="{FF2B5EF4-FFF2-40B4-BE49-F238E27FC236}">
              <a16:creationId xmlns:a16="http://schemas.microsoft.com/office/drawing/2014/main" id="{2573E08A-BF11-40C6-966A-23E81E3D79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5" name="Elipse 2894">
          <a:extLst>
            <a:ext uri="{FF2B5EF4-FFF2-40B4-BE49-F238E27FC236}">
              <a16:creationId xmlns:a16="http://schemas.microsoft.com/office/drawing/2014/main" id="{C8F8797D-3547-43D7-B6DA-2445AF37C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6" name="Elipse 2895">
          <a:extLst>
            <a:ext uri="{FF2B5EF4-FFF2-40B4-BE49-F238E27FC236}">
              <a16:creationId xmlns:a16="http://schemas.microsoft.com/office/drawing/2014/main" id="{58B6A04A-DC2D-4118-B4DD-205BF37E50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7" name="Elipse 2896">
          <a:extLst>
            <a:ext uri="{FF2B5EF4-FFF2-40B4-BE49-F238E27FC236}">
              <a16:creationId xmlns:a16="http://schemas.microsoft.com/office/drawing/2014/main" id="{AB58AF88-FAC0-4F5B-8F65-BD2BFF36EA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8" name="Elipse 2897">
          <a:extLst>
            <a:ext uri="{FF2B5EF4-FFF2-40B4-BE49-F238E27FC236}">
              <a16:creationId xmlns:a16="http://schemas.microsoft.com/office/drawing/2014/main" id="{1F6293A8-F654-4186-86B5-F14A4AC0DC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99" name="Elipse 2898">
          <a:extLst>
            <a:ext uri="{FF2B5EF4-FFF2-40B4-BE49-F238E27FC236}">
              <a16:creationId xmlns:a16="http://schemas.microsoft.com/office/drawing/2014/main" id="{9BDBC8FA-78F0-4496-B0C5-57BC8DB213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0" name="Elipse 2899">
          <a:extLst>
            <a:ext uri="{FF2B5EF4-FFF2-40B4-BE49-F238E27FC236}">
              <a16:creationId xmlns:a16="http://schemas.microsoft.com/office/drawing/2014/main" id="{289B15EE-AF19-466B-8EB1-DD630B6261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1" name="Elipse 2900">
          <a:extLst>
            <a:ext uri="{FF2B5EF4-FFF2-40B4-BE49-F238E27FC236}">
              <a16:creationId xmlns:a16="http://schemas.microsoft.com/office/drawing/2014/main" id="{5D33301E-0590-4E9B-AAD5-AC24BA4B0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2" name="Elipse 2901">
          <a:extLst>
            <a:ext uri="{FF2B5EF4-FFF2-40B4-BE49-F238E27FC236}">
              <a16:creationId xmlns:a16="http://schemas.microsoft.com/office/drawing/2014/main" id="{58E8B486-3EEB-407A-B242-423066802E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3" name="Elipse 2902">
          <a:extLst>
            <a:ext uri="{FF2B5EF4-FFF2-40B4-BE49-F238E27FC236}">
              <a16:creationId xmlns:a16="http://schemas.microsoft.com/office/drawing/2014/main" id="{8806369B-7F0C-4969-9A74-5CE0C40787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4" name="Elipse 2903">
          <a:extLst>
            <a:ext uri="{FF2B5EF4-FFF2-40B4-BE49-F238E27FC236}">
              <a16:creationId xmlns:a16="http://schemas.microsoft.com/office/drawing/2014/main" id="{0F11312E-7CA7-4EC8-8184-801310A3AB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5" name="Elipse 2904">
          <a:extLst>
            <a:ext uri="{FF2B5EF4-FFF2-40B4-BE49-F238E27FC236}">
              <a16:creationId xmlns:a16="http://schemas.microsoft.com/office/drawing/2014/main" id="{34E7910F-A171-4C91-B70E-38E1851A53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6" name="Elipse 2905">
          <a:extLst>
            <a:ext uri="{FF2B5EF4-FFF2-40B4-BE49-F238E27FC236}">
              <a16:creationId xmlns:a16="http://schemas.microsoft.com/office/drawing/2014/main" id="{F9719889-EA65-4929-8FB1-9E94DD16E3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7" name="Elipse 2906">
          <a:extLst>
            <a:ext uri="{FF2B5EF4-FFF2-40B4-BE49-F238E27FC236}">
              <a16:creationId xmlns:a16="http://schemas.microsoft.com/office/drawing/2014/main" id="{BA7137C5-A1A8-46A4-9181-BBB8679FB9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8" name="Elipse 2907">
          <a:extLst>
            <a:ext uri="{FF2B5EF4-FFF2-40B4-BE49-F238E27FC236}">
              <a16:creationId xmlns:a16="http://schemas.microsoft.com/office/drawing/2014/main" id="{E4F875BA-30BC-48B5-BB9D-19A1C0C5C7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09" name="Elipse 2908">
          <a:extLst>
            <a:ext uri="{FF2B5EF4-FFF2-40B4-BE49-F238E27FC236}">
              <a16:creationId xmlns:a16="http://schemas.microsoft.com/office/drawing/2014/main" id="{2737A495-3784-486B-91BB-71157EDD3A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0" name="Elipse 2909">
          <a:extLst>
            <a:ext uri="{FF2B5EF4-FFF2-40B4-BE49-F238E27FC236}">
              <a16:creationId xmlns:a16="http://schemas.microsoft.com/office/drawing/2014/main" id="{2714D7A5-11AC-4C3B-B187-09D340F286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1" name="Elipse 2910">
          <a:extLst>
            <a:ext uri="{FF2B5EF4-FFF2-40B4-BE49-F238E27FC236}">
              <a16:creationId xmlns:a16="http://schemas.microsoft.com/office/drawing/2014/main" id="{D32B3F93-58FF-4AC6-862E-15178AE919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2" name="Elipse 2911">
          <a:extLst>
            <a:ext uri="{FF2B5EF4-FFF2-40B4-BE49-F238E27FC236}">
              <a16:creationId xmlns:a16="http://schemas.microsoft.com/office/drawing/2014/main" id="{01BA6984-9807-497E-BC7F-D1108690C4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3" name="Elipse 2912">
          <a:extLst>
            <a:ext uri="{FF2B5EF4-FFF2-40B4-BE49-F238E27FC236}">
              <a16:creationId xmlns:a16="http://schemas.microsoft.com/office/drawing/2014/main" id="{6E4A033B-2C0F-4FDB-8865-4DD6EE4879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4" name="Elipse 2913">
          <a:extLst>
            <a:ext uri="{FF2B5EF4-FFF2-40B4-BE49-F238E27FC236}">
              <a16:creationId xmlns:a16="http://schemas.microsoft.com/office/drawing/2014/main" id="{58EE937D-2EE9-41FF-9680-99759E3836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5" name="Elipse 2914">
          <a:extLst>
            <a:ext uri="{FF2B5EF4-FFF2-40B4-BE49-F238E27FC236}">
              <a16:creationId xmlns:a16="http://schemas.microsoft.com/office/drawing/2014/main" id="{F01FD2E0-2D2F-4914-A027-6E947D5B94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6" name="Elipse 2915">
          <a:extLst>
            <a:ext uri="{FF2B5EF4-FFF2-40B4-BE49-F238E27FC236}">
              <a16:creationId xmlns:a16="http://schemas.microsoft.com/office/drawing/2014/main" id="{A988F864-A874-4DF6-9733-02CF6EDB3A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7" name="Elipse 2916">
          <a:extLst>
            <a:ext uri="{FF2B5EF4-FFF2-40B4-BE49-F238E27FC236}">
              <a16:creationId xmlns:a16="http://schemas.microsoft.com/office/drawing/2014/main" id="{6B417003-7782-4A85-B791-F8E52E3CAA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8" name="Elipse 2917">
          <a:extLst>
            <a:ext uri="{FF2B5EF4-FFF2-40B4-BE49-F238E27FC236}">
              <a16:creationId xmlns:a16="http://schemas.microsoft.com/office/drawing/2014/main" id="{A03A758E-52A2-43F4-961C-C4010BC9FA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19" name="Elipse 2918">
          <a:extLst>
            <a:ext uri="{FF2B5EF4-FFF2-40B4-BE49-F238E27FC236}">
              <a16:creationId xmlns:a16="http://schemas.microsoft.com/office/drawing/2014/main" id="{BD1D6E58-A7C9-4740-B0A9-5DE04EB3E4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0" name="Elipse 2919">
          <a:extLst>
            <a:ext uri="{FF2B5EF4-FFF2-40B4-BE49-F238E27FC236}">
              <a16:creationId xmlns:a16="http://schemas.microsoft.com/office/drawing/2014/main" id="{7DB9488A-4A43-4FAA-B213-A668A110D6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1" name="Elipse 2920">
          <a:extLst>
            <a:ext uri="{FF2B5EF4-FFF2-40B4-BE49-F238E27FC236}">
              <a16:creationId xmlns:a16="http://schemas.microsoft.com/office/drawing/2014/main" id="{079E5047-8A2D-419C-95A6-FEC07E536B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2" name="Elipse 2921">
          <a:extLst>
            <a:ext uri="{FF2B5EF4-FFF2-40B4-BE49-F238E27FC236}">
              <a16:creationId xmlns:a16="http://schemas.microsoft.com/office/drawing/2014/main" id="{40C04BFB-48EE-40D4-BA96-17B1AC26D3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3" name="Elipse 2922">
          <a:extLst>
            <a:ext uri="{FF2B5EF4-FFF2-40B4-BE49-F238E27FC236}">
              <a16:creationId xmlns:a16="http://schemas.microsoft.com/office/drawing/2014/main" id="{264357DB-C2D5-4F8D-9836-1980910D78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4" name="Elipse 2923">
          <a:extLst>
            <a:ext uri="{FF2B5EF4-FFF2-40B4-BE49-F238E27FC236}">
              <a16:creationId xmlns:a16="http://schemas.microsoft.com/office/drawing/2014/main" id="{DB8CAD02-2F31-4161-93C2-6F8E15B1F5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5" name="Elipse 2924">
          <a:extLst>
            <a:ext uri="{FF2B5EF4-FFF2-40B4-BE49-F238E27FC236}">
              <a16:creationId xmlns:a16="http://schemas.microsoft.com/office/drawing/2014/main" id="{782EC21E-3166-490E-A0D6-7B795BBFF6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6" name="Elipse 2925">
          <a:extLst>
            <a:ext uri="{FF2B5EF4-FFF2-40B4-BE49-F238E27FC236}">
              <a16:creationId xmlns:a16="http://schemas.microsoft.com/office/drawing/2014/main" id="{381C35ED-39DD-4D15-B9BA-CD93F3C62B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7" name="Elipse 2926">
          <a:extLst>
            <a:ext uri="{FF2B5EF4-FFF2-40B4-BE49-F238E27FC236}">
              <a16:creationId xmlns:a16="http://schemas.microsoft.com/office/drawing/2014/main" id="{ED25B01B-941C-44C5-BE08-A271BC1CAD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8" name="Elipse 2927">
          <a:extLst>
            <a:ext uri="{FF2B5EF4-FFF2-40B4-BE49-F238E27FC236}">
              <a16:creationId xmlns:a16="http://schemas.microsoft.com/office/drawing/2014/main" id="{9ECCA28E-CD82-41A3-A03B-84AA9B5283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29" name="Elipse 2928">
          <a:extLst>
            <a:ext uri="{FF2B5EF4-FFF2-40B4-BE49-F238E27FC236}">
              <a16:creationId xmlns:a16="http://schemas.microsoft.com/office/drawing/2014/main" id="{93EF5B5D-C2CB-482A-A217-74361C3162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0" name="Elipse 2929">
          <a:extLst>
            <a:ext uri="{FF2B5EF4-FFF2-40B4-BE49-F238E27FC236}">
              <a16:creationId xmlns:a16="http://schemas.microsoft.com/office/drawing/2014/main" id="{3767E1CF-A19C-442C-A641-F2D96DF80E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1" name="Elipse 2930">
          <a:extLst>
            <a:ext uri="{FF2B5EF4-FFF2-40B4-BE49-F238E27FC236}">
              <a16:creationId xmlns:a16="http://schemas.microsoft.com/office/drawing/2014/main" id="{F35DF009-1EE5-4E06-8593-2AB4647EE1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2" name="Elipse 2931">
          <a:extLst>
            <a:ext uri="{FF2B5EF4-FFF2-40B4-BE49-F238E27FC236}">
              <a16:creationId xmlns:a16="http://schemas.microsoft.com/office/drawing/2014/main" id="{E3FA54D1-A7A4-4EFE-A65F-4CD1B7FF9E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3" name="Elipse 2932">
          <a:extLst>
            <a:ext uri="{FF2B5EF4-FFF2-40B4-BE49-F238E27FC236}">
              <a16:creationId xmlns:a16="http://schemas.microsoft.com/office/drawing/2014/main" id="{C5345C8F-C2C0-4689-9BC9-B413C0B66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4" name="Elipse 2933">
          <a:extLst>
            <a:ext uri="{FF2B5EF4-FFF2-40B4-BE49-F238E27FC236}">
              <a16:creationId xmlns:a16="http://schemas.microsoft.com/office/drawing/2014/main" id="{9D24BAE3-06C4-4C47-B016-F3D887F42F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5" name="Elipse 2934">
          <a:extLst>
            <a:ext uri="{FF2B5EF4-FFF2-40B4-BE49-F238E27FC236}">
              <a16:creationId xmlns:a16="http://schemas.microsoft.com/office/drawing/2014/main" id="{FE50CD3A-6FF2-49D4-A24A-F5981D219F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6" name="Elipse 2935">
          <a:extLst>
            <a:ext uri="{FF2B5EF4-FFF2-40B4-BE49-F238E27FC236}">
              <a16:creationId xmlns:a16="http://schemas.microsoft.com/office/drawing/2014/main" id="{AA30EBE5-1C88-4E98-97A5-8E90F03B70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7" name="Elipse 2936">
          <a:extLst>
            <a:ext uri="{FF2B5EF4-FFF2-40B4-BE49-F238E27FC236}">
              <a16:creationId xmlns:a16="http://schemas.microsoft.com/office/drawing/2014/main" id="{D8CB377C-6B80-478F-BB16-66C17319E4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8" name="Elipse 2937">
          <a:extLst>
            <a:ext uri="{FF2B5EF4-FFF2-40B4-BE49-F238E27FC236}">
              <a16:creationId xmlns:a16="http://schemas.microsoft.com/office/drawing/2014/main" id="{C077B334-93F8-4690-AF3E-3B1EEE6879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39" name="Elipse 2938">
          <a:extLst>
            <a:ext uri="{FF2B5EF4-FFF2-40B4-BE49-F238E27FC236}">
              <a16:creationId xmlns:a16="http://schemas.microsoft.com/office/drawing/2014/main" id="{31891EAC-3A99-4EC0-BFA5-16683EB400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0" name="Elipse 2939">
          <a:extLst>
            <a:ext uri="{FF2B5EF4-FFF2-40B4-BE49-F238E27FC236}">
              <a16:creationId xmlns:a16="http://schemas.microsoft.com/office/drawing/2014/main" id="{6D3B0B60-B520-45EE-9BF2-9E7AC87C0B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1" name="Elipse 2940">
          <a:extLst>
            <a:ext uri="{FF2B5EF4-FFF2-40B4-BE49-F238E27FC236}">
              <a16:creationId xmlns:a16="http://schemas.microsoft.com/office/drawing/2014/main" id="{87BCC923-F681-4AEB-8419-44BC480EE5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2" name="Elipse 2941">
          <a:extLst>
            <a:ext uri="{FF2B5EF4-FFF2-40B4-BE49-F238E27FC236}">
              <a16:creationId xmlns:a16="http://schemas.microsoft.com/office/drawing/2014/main" id="{3D4699D0-0997-44E1-A762-900BD511FA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3" name="Elipse 2942">
          <a:extLst>
            <a:ext uri="{FF2B5EF4-FFF2-40B4-BE49-F238E27FC236}">
              <a16:creationId xmlns:a16="http://schemas.microsoft.com/office/drawing/2014/main" id="{00943AE6-7DBC-44C8-8988-07415A4975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4" name="Elipse 2943">
          <a:extLst>
            <a:ext uri="{FF2B5EF4-FFF2-40B4-BE49-F238E27FC236}">
              <a16:creationId xmlns:a16="http://schemas.microsoft.com/office/drawing/2014/main" id="{9FC24E4D-B845-4F15-9ECB-69D66598D4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5" name="Elipse 2944">
          <a:extLst>
            <a:ext uri="{FF2B5EF4-FFF2-40B4-BE49-F238E27FC236}">
              <a16:creationId xmlns:a16="http://schemas.microsoft.com/office/drawing/2014/main" id="{27C7A567-D851-4303-9501-064CB7CDB2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6" name="Elipse 2945">
          <a:extLst>
            <a:ext uri="{FF2B5EF4-FFF2-40B4-BE49-F238E27FC236}">
              <a16:creationId xmlns:a16="http://schemas.microsoft.com/office/drawing/2014/main" id="{E508B01F-FC6C-49F9-8EBB-64197E5F6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7" name="Elipse 2946">
          <a:extLst>
            <a:ext uri="{FF2B5EF4-FFF2-40B4-BE49-F238E27FC236}">
              <a16:creationId xmlns:a16="http://schemas.microsoft.com/office/drawing/2014/main" id="{7A7AC01E-9E0D-4A53-8A7E-78DDB6A255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8" name="Elipse 2947">
          <a:extLst>
            <a:ext uri="{FF2B5EF4-FFF2-40B4-BE49-F238E27FC236}">
              <a16:creationId xmlns:a16="http://schemas.microsoft.com/office/drawing/2014/main" id="{2C2BF929-CF79-4BB1-A297-091A7737C0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49" name="Elipse 2948">
          <a:extLst>
            <a:ext uri="{FF2B5EF4-FFF2-40B4-BE49-F238E27FC236}">
              <a16:creationId xmlns:a16="http://schemas.microsoft.com/office/drawing/2014/main" id="{66321028-5447-4869-9D1F-A6981236F7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0" name="Elipse 2949">
          <a:extLst>
            <a:ext uri="{FF2B5EF4-FFF2-40B4-BE49-F238E27FC236}">
              <a16:creationId xmlns:a16="http://schemas.microsoft.com/office/drawing/2014/main" id="{6AEA9CD7-3C0E-419D-8E5C-A5723816A0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1" name="Elipse 2950">
          <a:extLst>
            <a:ext uri="{FF2B5EF4-FFF2-40B4-BE49-F238E27FC236}">
              <a16:creationId xmlns:a16="http://schemas.microsoft.com/office/drawing/2014/main" id="{EE50699F-E4E5-4CF8-AAC2-52AD805AEB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2" name="Elipse 2951">
          <a:extLst>
            <a:ext uri="{FF2B5EF4-FFF2-40B4-BE49-F238E27FC236}">
              <a16:creationId xmlns:a16="http://schemas.microsoft.com/office/drawing/2014/main" id="{D655F9E7-3FC8-4B71-B1FD-CCF17F6E49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3" name="Elipse 2952">
          <a:extLst>
            <a:ext uri="{FF2B5EF4-FFF2-40B4-BE49-F238E27FC236}">
              <a16:creationId xmlns:a16="http://schemas.microsoft.com/office/drawing/2014/main" id="{A56C28E5-CD4A-4BC9-9C5E-772856CD9A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4" name="Elipse 2953">
          <a:extLst>
            <a:ext uri="{FF2B5EF4-FFF2-40B4-BE49-F238E27FC236}">
              <a16:creationId xmlns:a16="http://schemas.microsoft.com/office/drawing/2014/main" id="{512E3578-ABBB-4D67-8E11-50F81E94EB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5" name="Elipse 2954">
          <a:extLst>
            <a:ext uri="{FF2B5EF4-FFF2-40B4-BE49-F238E27FC236}">
              <a16:creationId xmlns:a16="http://schemas.microsoft.com/office/drawing/2014/main" id="{9C0268AF-61BA-45EC-B684-486CDB6A96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6" name="Elipse 2955">
          <a:extLst>
            <a:ext uri="{FF2B5EF4-FFF2-40B4-BE49-F238E27FC236}">
              <a16:creationId xmlns:a16="http://schemas.microsoft.com/office/drawing/2014/main" id="{219B0F0E-28A2-4CD9-92F3-4150A3AC44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7" name="Elipse 2956">
          <a:extLst>
            <a:ext uri="{FF2B5EF4-FFF2-40B4-BE49-F238E27FC236}">
              <a16:creationId xmlns:a16="http://schemas.microsoft.com/office/drawing/2014/main" id="{A045861C-40F1-42ED-9C6D-94EE5CF74F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8" name="Elipse 2957">
          <a:extLst>
            <a:ext uri="{FF2B5EF4-FFF2-40B4-BE49-F238E27FC236}">
              <a16:creationId xmlns:a16="http://schemas.microsoft.com/office/drawing/2014/main" id="{2FCF88D3-A7C4-4AD6-84DF-823FD35305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59" name="Elipse 2958">
          <a:extLst>
            <a:ext uri="{FF2B5EF4-FFF2-40B4-BE49-F238E27FC236}">
              <a16:creationId xmlns:a16="http://schemas.microsoft.com/office/drawing/2014/main" id="{C02BC590-2888-4CE3-BBC2-30CB695066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0" name="Elipse 2959">
          <a:extLst>
            <a:ext uri="{FF2B5EF4-FFF2-40B4-BE49-F238E27FC236}">
              <a16:creationId xmlns:a16="http://schemas.microsoft.com/office/drawing/2014/main" id="{8A9C427E-FB17-4DCE-87DF-F1C416F115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1" name="Elipse 2960">
          <a:extLst>
            <a:ext uri="{FF2B5EF4-FFF2-40B4-BE49-F238E27FC236}">
              <a16:creationId xmlns:a16="http://schemas.microsoft.com/office/drawing/2014/main" id="{8C971599-7D2C-4450-81DC-D7366512F2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2" name="Elipse 2961">
          <a:extLst>
            <a:ext uri="{FF2B5EF4-FFF2-40B4-BE49-F238E27FC236}">
              <a16:creationId xmlns:a16="http://schemas.microsoft.com/office/drawing/2014/main" id="{6BED09B6-12F4-4A47-8A7D-8D241DF81B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3" name="Elipse 2962">
          <a:extLst>
            <a:ext uri="{FF2B5EF4-FFF2-40B4-BE49-F238E27FC236}">
              <a16:creationId xmlns:a16="http://schemas.microsoft.com/office/drawing/2014/main" id="{76C3398D-2135-443F-B8B4-3B5391A7CB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4" name="Elipse 2963">
          <a:extLst>
            <a:ext uri="{FF2B5EF4-FFF2-40B4-BE49-F238E27FC236}">
              <a16:creationId xmlns:a16="http://schemas.microsoft.com/office/drawing/2014/main" id="{039C0A5B-97C7-4A5C-BD63-EF27D859D3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5" name="Elipse 2964">
          <a:extLst>
            <a:ext uri="{FF2B5EF4-FFF2-40B4-BE49-F238E27FC236}">
              <a16:creationId xmlns:a16="http://schemas.microsoft.com/office/drawing/2014/main" id="{2DBF89AD-9C67-48D3-888E-99A1F269EA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6" name="Elipse 2965">
          <a:extLst>
            <a:ext uri="{FF2B5EF4-FFF2-40B4-BE49-F238E27FC236}">
              <a16:creationId xmlns:a16="http://schemas.microsoft.com/office/drawing/2014/main" id="{49C4B4EA-CF4B-4FF8-9A57-99A354F5B3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7" name="Elipse 2966">
          <a:extLst>
            <a:ext uri="{FF2B5EF4-FFF2-40B4-BE49-F238E27FC236}">
              <a16:creationId xmlns:a16="http://schemas.microsoft.com/office/drawing/2014/main" id="{2ECC085C-C844-4EA9-975F-23C790D58C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8" name="Elipse 2967">
          <a:extLst>
            <a:ext uri="{FF2B5EF4-FFF2-40B4-BE49-F238E27FC236}">
              <a16:creationId xmlns:a16="http://schemas.microsoft.com/office/drawing/2014/main" id="{FB490849-B9CC-4F8E-B846-8CCBA4255A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69" name="Elipse 2968">
          <a:extLst>
            <a:ext uri="{FF2B5EF4-FFF2-40B4-BE49-F238E27FC236}">
              <a16:creationId xmlns:a16="http://schemas.microsoft.com/office/drawing/2014/main" id="{C883F33C-C11E-43E9-B921-6427C03876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0" name="Elipse 2969">
          <a:extLst>
            <a:ext uri="{FF2B5EF4-FFF2-40B4-BE49-F238E27FC236}">
              <a16:creationId xmlns:a16="http://schemas.microsoft.com/office/drawing/2014/main" id="{C226AB1C-ECA8-4554-9C31-2166E8EC45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1" name="Elipse 2970">
          <a:extLst>
            <a:ext uri="{FF2B5EF4-FFF2-40B4-BE49-F238E27FC236}">
              <a16:creationId xmlns:a16="http://schemas.microsoft.com/office/drawing/2014/main" id="{2BA50787-8C5E-4701-99FE-D2860F542E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2" name="Elipse 2971">
          <a:extLst>
            <a:ext uri="{FF2B5EF4-FFF2-40B4-BE49-F238E27FC236}">
              <a16:creationId xmlns:a16="http://schemas.microsoft.com/office/drawing/2014/main" id="{B43F4BB0-51E4-4373-A19C-AEA6F96A21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3" name="Elipse 2972">
          <a:extLst>
            <a:ext uri="{FF2B5EF4-FFF2-40B4-BE49-F238E27FC236}">
              <a16:creationId xmlns:a16="http://schemas.microsoft.com/office/drawing/2014/main" id="{3A7A5A20-E853-4B49-98C8-ACF8013267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4" name="Elipse 2973">
          <a:extLst>
            <a:ext uri="{FF2B5EF4-FFF2-40B4-BE49-F238E27FC236}">
              <a16:creationId xmlns:a16="http://schemas.microsoft.com/office/drawing/2014/main" id="{4B30AA18-15BF-4721-AB3F-B92D4A46E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5" name="Elipse 2974">
          <a:extLst>
            <a:ext uri="{FF2B5EF4-FFF2-40B4-BE49-F238E27FC236}">
              <a16:creationId xmlns:a16="http://schemas.microsoft.com/office/drawing/2014/main" id="{7C42EE33-2647-4B81-8968-D7632C920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6" name="Elipse 2975">
          <a:extLst>
            <a:ext uri="{FF2B5EF4-FFF2-40B4-BE49-F238E27FC236}">
              <a16:creationId xmlns:a16="http://schemas.microsoft.com/office/drawing/2014/main" id="{606E93F9-445C-46F3-868F-302DEBCE36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7" name="Elipse 2976">
          <a:extLst>
            <a:ext uri="{FF2B5EF4-FFF2-40B4-BE49-F238E27FC236}">
              <a16:creationId xmlns:a16="http://schemas.microsoft.com/office/drawing/2014/main" id="{1A218E52-4542-4EB6-971B-874354D20D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8" name="Elipse 2977">
          <a:extLst>
            <a:ext uri="{FF2B5EF4-FFF2-40B4-BE49-F238E27FC236}">
              <a16:creationId xmlns:a16="http://schemas.microsoft.com/office/drawing/2014/main" id="{509E54E8-0E62-4552-8300-52444831BB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79" name="Elipse 2978">
          <a:extLst>
            <a:ext uri="{FF2B5EF4-FFF2-40B4-BE49-F238E27FC236}">
              <a16:creationId xmlns:a16="http://schemas.microsoft.com/office/drawing/2014/main" id="{F3DFBD34-F9A9-422F-BF78-3EF7255830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0" name="Elipse 2979">
          <a:extLst>
            <a:ext uri="{FF2B5EF4-FFF2-40B4-BE49-F238E27FC236}">
              <a16:creationId xmlns:a16="http://schemas.microsoft.com/office/drawing/2014/main" id="{A8A88970-69FE-4448-972C-2CCFCF5DF2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1" name="Elipse 2980">
          <a:extLst>
            <a:ext uri="{FF2B5EF4-FFF2-40B4-BE49-F238E27FC236}">
              <a16:creationId xmlns:a16="http://schemas.microsoft.com/office/drawing/2014/main" id="{36CB0FE0-46CE-4CE6-AE95-FBA5EB2CAB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2" name="Elipse 2981">
          <a:extLst>
            <a:ext uri="{FF2B5EF4-FFF2-40B4-BE49-F238E27FC236}">
              <a16:creationId xmlns:a16="http://schemas.microsoft.com/office/drawing/2014/main" id="{2181ED1B-1B15-41A4-8CDF-7CFCB32369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3" name="Elipse 2982">
          <a:extLst>
            <a:ext uri="{FF2B5EF4-FFF2-40B4-BE49-F238E27FC236}">
              <a16:creationId xmlns:a16="http://schemas.microsoft.com/office/drawing/2014/main" id="{FFBB968F-DFBE-4134-8E3E-B7FA3D4A81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4" name="Elipse 2983">
          <a:extLst>
            <a:ext uri="{FF2B5EF4-FFF2-40B4-BE49-F238E27FC236}">
              <a16:creationId xmlns:a16="http://schemas.microsoft.com/office/drawing/2014/main" id="{8465DEEF-A139-48F8-BCD2-FB10521CF5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5" name="Elipse 2984">
          <a:extLst>
            <a:ext uri="{FF2B5EF4-FFF2-40B4-BE49-F238E27FC236}">
              <a16:creationId xmlns:a16="http://schemas.microsoft.com/office/drawing/2014/main" id="{27835CAE-3AAB-48D0-A020-BCAB86C0EE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6" name="Elipse 2985">
          <a:extLst>
            <a:ext uri="{FF2B5EF4-FFF2-40B4-BE49-F238E27FC236}">
              <a16:creationId xmlns:a16="http://schemas.microsoft.com/office/drawing/2014/main" id="{A9FB8A31-7E60-42D8-81D1-53B220BE31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7" name="Elipse 2986">
          <a:extLst>
            <a:ext uri="{FF2B5EF4-FFF2-40B4-BE49-F238E27FC236}">
              <a16:creationId xmlns:a16="http://schemas.microsoft.com/office/drawing/2014/main" id="{B14254DF-C6C1-489A-B56D-831C49C702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8" name="Elipse 2987">
          <a:extLst>
            <a:ext uri="{FF2B5EF4-FFF2-40B4-BE49-F238E27FC236}">
              <a16:creationId xmlns:a16="http://schemas.microsoft.com/office/drawing/2014/main" id="{DFCDA10D-3564-4378-9C18-60809EA9CC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89" name="Elipse 2988">
          <a:extLst>
            <a:ext uri="{FF2B5EF4-FFF2-40B4-BE49-F238E27FC236}">
              <a16:creationId xmlns:a16="http://schemas.microsoft.com/office/drawing/2014/main" id="{B56C3A82-C79F-44AA-80CB-D42CB90BB5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0" name="Elipse 2989">
          <a:extLst>
            <a:ext uri="{FF2B5EF4-FFF2-40B4-BE49-F238E27FC236}">
              <a16:creationId xmlns:a16="http://schemas.microsoft.com/office/drawing/2014/main" id="{5002FB61-680F-40D7-90DE-E64110A750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1" name="Elipse 2990">
          <a:extLst>
            <a:ext uri="{FF2B5EF4-FFF2-40B4-BE49-F238E27FC236}">
              <a16:creationId xmlns:a16="http://schemas.microsoft.com/office/drawing/2014/main" id="{0A57CA25-61B0-4544-9935-09107AE385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2" name="Elipse 2991">
          <a:extLst>
            <a:ext uri="{FF2B5EF4-FFF2-40B4-BE49-F238E27FC236}">
              <a16:creationId xmlns:a16="http://schemas.microsoft.com/office/drawing/2014/main" id="{458F3EDF-E15A-4D6C-89ED-1AB0A1AE4B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3" name="Elipse 2992">
          <a:extLst>
            <a:ext uri="{FF2B5EF4-FFF2-40B4-BE49-F238E27FC236}">
              <a16:creationId xmlns:a16="http://schemas.microsoft.com/office/drawing/2014/main" id="{5C65E95D-4894-4479-9C44-35D16302D2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4" name="Elipse 2993">
          <a:extLst>
            <a:ext uri="{FF2B5EF4-FFF2-40B4-BE49-F238E27FC236}">
              <a16:creationId xmlns:a16="http://schemas.microsoft.com/office/drawing/2014/main" id="{FB967381-6161-406D-9A5E-DDCF4C66A6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5" name="Elipse 2994">
          <a:extLst>
            <a:ext uri="{FF2B5EF4-FFF2-40B4-BE49-F238E27FC236}">
              <a16:creationId xmlns:a16="http://schemas.microsoft.com/office/drawing/2014/main" id="{9C114B41-EA2A-49D2-90DD-53D6779762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6" name="Elipse 2995">
          <a:extLst>
            <a:ext uri="{FF2B5EF4-FFF2-40B4-BE49-F238E27FC236}">
              <a16:creationId xmlns:a16="http://schemas.microsoft.com/office/drawing/2014/main" id="{1F133388-B66F-45CB-A377-D1BD84ACF7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7" name="Elipse 2996">
          <a:extLst>
            <a:ext uri="{FF2B5EF4-FFF2-40B4-BE49-F238E27FC236}">
              <a16:creationId xmlns:a16="http://schemas.microsoft.com/office/drawing/2014/main" id="{395B9BE0-2DDF-4B36-ADEC-7EBD54BBC3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8" name="Elipse 2997">
          <a:extLst>
            <a:ext uri="{FF2B5EF4-FFF2-40B4-BE49-F238E27FC236}">
              <a16:creationId xmlns:a16="http://schemas.microsoft.com/office/drawing/2014/main" id="{127D1C18-678A-4370-8853-C6363148F5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99" name="Elipse 2998">
          <a:extLst>
            <a:ext uri="{FF2B5EF4-FFF2-40B4-BE49-F238E27FC236}">
              <a16:creationId xmlns:a16="http://schemas.microsoft.com/office/drawing/2014/main" id="{C7D5E1EA-7594-43F2-8DC6-9A3A8B9761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0" name="Elipse 2999">
          <a:extLst>
            <a:ext uri="{FF2B5EF4-FFF2-40B4-BE49-F238E27FC236}">
              <a16:creationId xmlns:a16="http://schemas.microsoft.com/office/drawing/2014/main" id="{6AD882F0-ACC1-4AA5-91EA-96F53DE47C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1" name="Elipse 3000">
          <a:extLst>
            <a:ext uri="{FF2B5EF4-FFF2-40B4-BE49-F238E27FC236}">
              <a16:creationId xmlns:a16="http://schemas.microsoft.com/office/drawing/2014/main" id="{8AAD4FC7-C5FF-4887-848C-8C3A678978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2" name="Elipse 3001">
          <a:extLst>
            <a:ext uri="{FF2B5EF4-FFF2-40B4-BE49-F238E27FC236}">
              <a16:creationId xmlns:a16="http://schemas.microsoft.com/office/drawing/2014/main" id="{CA82F9D7-A7E8-4EA8-9C6F-5D1FC9422F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3" name="Elipse 3002">
          <a:extLst>
            <a:ext uri="{FF2B5EF4-FFF2-40B4-BE49-F238E27FC236}">
              <a16:creationId xmlns:a16="http://schemas.microsoft.com/office/drawing/2014/main" id="{3B6772C4-25B3-4FFB-9141-C23ED03664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4" name="Elipse 3003">
          <a:extLst>
            <a:ext uri="{FF2B5EF4-FFF2-40B4-BE49-F238E27FC236}">
              <a16:creationId xmlns:a16="http://schemas.microsoft.com/office/drawing/2014/main" id="{33E2B3CA-4A9E-42D3-865F-3A76B1579E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5" name="Elipse 3004">
          <a:extLst>
            <a:ext uri="{FF2B5EF4-FFF2-40B4-BE49-F238E27FC236}">
              <a16:creationId xmlns:a16="http://schemas.microsoft.com/office/drawing/2014/main" id="{031A6251-CB01-41CF-B279-712E997AAA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6" name="Elipse 3005">
          <a:extLst>
            <a:ext uri="{FF2B5EF4-FFF2-40B4-BE49-F238E27FC236}">
              <a16:creationId xmlns:a16="http://schemas.microsoft.com/office/drawing/2014/main" id="{684DEC78-8447-41B1-8ADB-3FCD2AF3BB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7" name="Elipse 3006">
          <a:extLst>
            <a:ext uri="{FF2B5EF4-FFF2-40B4-BE49-F238E27FC236}">
              <a16:creationId xmlns:a16="http://schemas.microsoft.com/office/drawing/2014/main" id="{7A0B94C9-C7F6-463E-B3E7-0B90D563DF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8" name="Elipse 3007">
          <a:extLst>
            <a:ext uri="{FF2B5EF4-FFF2-40B4-BE49-F238E27FC236}">
              <a16:creationId xmlns:a16="http://schemas.microsoft.com/office/drawing/2014/main" id="{BF4C5CB5-CAFA-40E1-AA55-83410624DE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09" name="Elipse 3008">
          <a:extLst>
            <a:ext uri="{FF2B5EF4-FFF2-40B4-BE49-F238E27FC236}">
              <a16:creationId xmlns:a16="http://schemas.microsoft.com/office/drawing/2014/main" id="{422DBE52-15AC-4414-BA77-8158B5BB4E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0" name="Elipse 3009">
          <a:extLst>
            <a:ext uri="{FF2B5EF4-FFF2-40B4-BE49-F238E27FC236}">
              <a16:creationId xmlns:a16="http://schemas.microsoft.com/office/drawing/2014/main" id="{7044815B-E56E-4D1D-916D-C2C3292AE9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1" name="Elipse 3010">
          <a:extLst>
            <a:ext uri="{FF2B5EF4-FFF2-40B4-BE49-F238E27FC236}">
              <a16:creationId xmlns:a16="http://schemas.microsoft.com/office/drawing/2014/main" id="{997CAEBC-0454-447E-986E-05C18476EC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2" name="Elipse 3011">
          <a:extLst>
            <a:ext uri="{FF2B5EF4-FFF2-40B4-BE49-F238E27FC236}">
              <a16:creationId xmlns:a16="http://schemas.microsoft.com/office/drawing/2014/main" id="{BE6B9318-8B54-4FA2-A935-448C5CE9F7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3" name="Elipse 3012">
          <a:extLst>
            <a:ext uri="{FF2B5EF4-FFF2-40B4-BE49-F238E27FC236}">
              <a16:creationId xmlns:a16="http://schemas.microsoft.com/office/drawing/2014/main" id="{34946702-BF5C-4427-ABD6-3410DF50C0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4" name="Elipse 3013">
          <a:extLst>
            <a:ext uri="{FF2B5EF4-FFF2-40B4-BE49-F238E27FC236}">
              <a16:creationId xmlns:a16="http://schemas.microsoft.com/office/drawing/2014/main" id="{B007584C-C8CE-4126-9D89-312F9B8A6B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5" name="Elipse 3014">
          <a:extLst>
            <a:ext uri="{FF2B5EF4-FFF2-40B4-BE49-F238E27FC236}">
              <a16:creationId xmlns:a16="http://schemas.microsoft.com/office/drawing/2014/main" id="{2122D904-8340-4A8E-A135-4348C313D7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6" name="Elipse 3015">
          <a:extLst>
            <a:ext uri="{FF2B5EF4-FFF2-40B4-BE49-F238E27FC236}">
              <a16:creationId xmlns:a16="http://schemas.microsoft.com/office/drawing/2014/main" id="{D6CB7CA1-31C7-46A5-99AA-81D6372AD7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7" name="Elipse 3016">
          <a:extLst>
            <a:ext uri="{FF2B5EF4-FFF2-40B4-BE49-F238E27FC236}">
              <a16:creationId xmlns:a16="http://schemas.microsoft.com/office/drawing/2014/main" id="{D41EAA0E-141B-483A-BC3C-5250930C24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8" name="Elipse 3017">
          <a:extLst>
            <a:ext uri="{FF2B5EF4-FFF2-40B4-BE49-F238E27FC236}">
              <a16:creationId xmlns:a16="http://schemas.microsoft.com/office/drawing/2014/main" id="{A828FB68-628D-4F8C-A9B3-E4F1DA7C6D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19" name="Elipse 3018">
          <a:extLst>
            <a:ext uri="{FF2B5EF4-FFF2-40B4-BE49-F238E27FC236}">
              <a16:creationId xmlns:a16="http://schemas.microsoft.com/office/drawing/2014/main" id="{4234E81F-2EBC-452D-A38C-5E7433AF63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0" name="Elipse 3019">
          <a:extLst>
            <a:ext uri="{FF2B5EF4-FFF2-40B4-BE49-F238E27FC236}">
              <a16:creationId xmlns:a16="http://schemas.microsoft.com/office/drawing/2014/main" id="{1559067C-E289-4BD6-9D5D-407CE5E677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1" name="Elipse 3020">
          <a:extLst>
            <a:ext uri="{FF2B5EF4-FFF2-40B4-BE49-F238E27FC236}">
              <a16:creationId xmlns:a16="http://schemas.microsoft.com/office/drawing/2014/main" id="{D16619D8-591D-46F6-9B98-5C1307092C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2" name="Elipse 3021">
          <a:extLst>
            <a:ext uri="{FF2B5EF4-FFF2-40B4-BE49-F238E27FC236}">
              <a16:creationId xmlns:a16="http://schemas.microsoft.com/office/drawing/2014/main" id="{EC6F5F9D-E421-48CC-B7E2-785DA5263D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3" name="Elipse 3022">
          <a:extLst>
            <a:ext uri="{FF2B5EF4-FFF2-40B4-BE49-F238E27FC236}">
              <a16:creationId xmlns:a16="http://schemas.microsoft.com/office/drawing/2014/main" id="{C420BFFF-013A-44FE-99AD-1B062FB0EB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4" name="Elipse 3023">
          <a:extLst>
            <a:ext uri="{FF2B5EF4-FFF2-40B4-BE49-F238E27FC236}">
              <a16:creationId xmlns:a16="http://schemas.microsoft.com/office/drawing/2014/main" id="{44522C74-1866-4AB7-A3EE-FCBB77B4C3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5" name="Elipse 3024">
          <a:extLst>
            <a:ext uri="{FF2B5EF4-FFF2-40B4-BE49-F238E27FC236}">
              <a16:creationId xmlns:a16="http://schemas.microsoft.com/office/drawing/2014/main" id="{C7521425-594C-418F-A01A-C1D6A61874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6" name="Elipse 3025">
          <a:extLst>
            <a:ext uri="{FF2B5EF4-FFF2-40B4-BE49-F238E27FC236}">
              <a16:creationId xmlns:a16="http://schemas.microsoft.com/office/drawing/2014/main" id="{BDC4A96F-71FD-4BBF-BBC2-6DEBE09365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7" name="Elipse 3026">
          <a:extLst>
            <a:ext uri="{FF2B5EF4-FFF2-40B4-BE49-F238E27FC236}">
              <a16:creationId xmlns:a16="http://schemas.microsoft.com/office/drawing/2014/main" id="{80358623-59CF-4274-A6AF-23398E958A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8" name="Elipse 3027">
          <a:extLst>
            <a:ext uri="{FF2B5EF4-FFF2-40B4-BE49-F238E27FC236}">
              <a16:creationId xmlns:a16="http://schemas.microsoft.com/office/drawing/2014/main" id="{97F367A8-3ABA-40E2-88AE-867BDF37CA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29" name="Elipse 3028">
          <a:extLst>
            <a:ext uri="{FF2B5EF4-FFF2-40B4-BE49-F238E27FC236}">
              <a16:creationId xmlns:a16="http://schemas.microsoft.com/office/drawing/2014/main" id="{93C93C60-9DC2-4291-87C3-5822E09E7C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0" name="Elipse 3029">
          <a:extLst>
            <a:ext uri="{FF2B5EF4-FFF2-40B4-BE49-F238E27FC236}">
              <a16:creationId xmlns:a16="http://schemas.microsoft.com/office/drawing/2014/main" id="{7CCAB806-2F62-4C3E-83ED-10440846D8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1" name="Elipse 3030">
          <a:extLst>
            <a:ext uri="{FF2B5EF4-FFF2-40B4-BE49-F238E27FC236}">
              <a16:creationId xmlns:a16="http://schemas.microsoft.com/office/drawing/2014/main" id="{E6DB8884-CF89-4A19-900A-B5FF34507A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2" name="Elipse 3031">
          <a:extLst>
            <a:ext uri="{FF2B5EF4-FFF2-40B4-BE49-F238E27FC236}">
              <a16:creationId xmlns:a16="http://schemas.microsoft.com/office/drawing/2014/main" id="{BADFF021-125C-4565-A62C-983D534D40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3" name="Elipse 3032">
          <a:extLst>
            <a:ext uri="{FF2B5EF4-FFF2-40B4-BE49-F238E27FC236}">
              <a16:creationId xmlns:a16="http://schemas.microsoft.com/office/drawing/2014/main" id="{8EF34F6B-A400-442C-B7FC-6EFBD19F94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4" name="Elipse 3033">
          <a:extLst>
            <a:ext uri="{FF2B5EF4-FFF2-40B4-BE49-F238E27FC236}">
              <a16:creationId xmlns:a16="http://schemas.microsoft.com/office/drawing/2014/main" id="{1CFD58D9-6558-4643-A741-A1A50EE028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5" name="Elipse 3034">
          <a:extLst>
            <a:ext uri="{FF2B5EF4-FFF2-40B4-BE49-F238E27FC236}">
              <a16:creationId xmlns:a16="http://schemas.microsoft.com/office/drawing/2014/main" id="{677BA3CA-EB21-4964-BF28-D38B965217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6" name="Elipse 3035">
          <a:extLst>
            <a:ext uri="{FF2B5EF4-FFF2-40B4-BE49-F238E27FC236}">
              <a16:creationId xmlns:a16="http://schemas.microsoft.com/office/drawing/2014/main" id="{0D94E236-F8E8-4A70-8E20-B333B966F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7" name="Elipse 3036">
          <a:extLst>
            <a:ext uri="{FF2B5EF4-FFF2-40B4-BE49-F238E27FC236}">
              <a16:creationId xmlns:a16="http://schemas.microsoft.com/office/drawing/2014/main" id="{17EB95FC-1927-4077-977B-DC1FB4A00E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8" name="Elipse 3037">
          <a:extLst>
            <a:ext uri="{FF2B5EF4-FFF2-40B4-BE49-F238E27FC236}">
              <a16:creationId xmlns:a16="http://schemas.microsoft.com/office/drawing/2014/main" id="{4937C51E-B3AA-4810-AD50-6B6BC2598C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39" name="Elipse 3038">
          <a:extLst>
            <a:ext uri="{FF2B5EF4-FFF2-40B4-BE49-F238E27FC236}">
              <a16:creationId xmlns:a16="http://schemas.microsoft.com/office/drawing/2014/main" id="{3842AC84-B4B0-4517-9F43-4DD27AD14D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0" name="Elipse 3039">
          <a:extLst>
            <a:ext uri="{FF2B5EF4-FFF2-40B4-BE49-F238E27FC236}">
              <a16:creationId xmlns:a16="http://schemas.microsoft.com/office/drawing/2014/main" id="{1DC81100-C22A-4ABA-92D1-7D1046F173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1" name="Elipse 3040">
          <a:extLst>
            <a:ext uri="{FF2B5EF4-FFF2-40B4-BE49-F238E27FC236}">
              <a16:creationId xmlns:a16="http://schemas.microsoft.com/office/drawing/2014/main" id="{432F6B0F-D111-4FF0-A2EA-417999B64D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2" name="Elipse 3041">
          <a:extLst>
            <a:ext uri="{FF2B5EF4-FFF2-40B4-BE49-F238E27FC236}">
              <a16:creationId xmlns:a16="http://schemas.microsoft.com/office/drawing/2014/main" id="{43046126-E003-4D5E-B7CC-2EB81DAF8C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3" name="Elipse 3042">
          <a:extLst>
            <a:ext uri="{FF2B5EF4-FFF2-40B4-BE49-F238E27FC236}">
              <a16:creationId xmlns:a16="http://schemas.microsoft.com/office/drawing/2014/main" id="{7C8E9743-D5C4-4FE7-AADD-E4FA5137A3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4" name="Elipse 3043">
          <a:extLst>
            <a:ext uri="{FF2B5EF4-FFF2-40B4-BE49-F238E27FC236}">
              <a16:creationId xmlns:a16="http://schemas.microsoft.com/office/drawing/2014/main" id="{4E3EDFD2-DEBE-4F7D-9A70-D094CBCF1E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5" name="Elipse 3044">
          <a:extLst>
            <a:ext uri="{FF2B5EF4-FFF2-40B4-BE49-F238E27FC236}">
              <a16:creationId xmlns:a16="http://schemas.microsoft.com/office/drawing/2014/main" id="{32FCB3C5-D011-4CF4-A48A-D2557D2561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6" name="Elipse 3045">
          <a:extLst>
            <a:ext uri="{FF2B5EF4-FFF2-40B4-BE49-F238E27FC236}">
              <a16:creationId xmlns:a16="http://schemas.microsoft.com/office/drawing/2014/main" id="{8438C8EC-F8F3-4A1C-A575-17C9E23EB5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7" name="Elipse 3046">
          <a:extLst>
            <a:ext uri="{FF2B5EF4-FFF2-40B4-BE49-F238E27FC236}">
              <a16:creationId xmlns:a16="http://schemas.microsoft.com/office/drawing/2014/main" id="{237D4FB8-35CB-4317-8E18-36F3D5AD93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8" name="Elipse 3047">
          <a:extLst>
            <a:ext uri="{FF2B5EF4-FFF2-40B4-BE49-F238E27FC236}">
              <a16:creationId xmlns:a16="http://schemas.microsoft.com/office/drawing/2014/main" id="{9472D791-CB75-4783-AC08-E3BFD15F0A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49" name="Elipse 3048">
          <a:extLst>
            <a:ext uri="{FF2B5EF4-FFF2-40B4-BE49-F238E27FC236}">
              <a16:creationId xmlns:a16="http://schemas.microsoft.com/office/drawing/2014/main" id="{A4FE64DE-83C7-4B4A-9AF7-0F76F6D07B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0" name="Elipse 3049">
          <a:extLst>
            <a:ext uri="{FF2B5EF4-FFF2-40B4-BE49-F238E27FC236}">
              <a16:creationId xmlns:a16="http://schemas.microsoft.com/office/drawing/2014/main" id="{B977AA98-B5BA-4EAC-BBC3-E8D4C63A1B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1" name="Elipse 3050">
          <a:extLst>
            <a:ext uri="{FF2B5EF4-FFF2-40B4-BE49-F238E27FC236}">
              <a16:creationId xmlns:a16="http://schemas.microsoft.com/office/drawing/2014/main" id="{D53B294D-DAD9-487C-AD01-E125890071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2" name="Elipse 3051">
          <a:extLst>
            <a:ext uri="{FF2B5EF4-FFF2-40B4-BE49-F238E27FC236}">
              <a16:creationId xmlns:a16="http://schemas.microsoft.com/office/drawing/2014/main" id="{960C12D6-082B-451F-B13B-8F69439A5F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3" name="Elipse 3052">
          <a:extLst>
            <a:ext uri="{FF2B5EF4-FFF2-40B4-BE49-F238E27FC236}">
              <a16:creationId xmlns:a16="http://schemas.microsoft.com/office/drawing/2014/main" id="{3BB1E4E3-6D82-4065-9E6D-F383CA3733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4" name="Elipse 3053">
          <a:extLst>
            <a:ext uri="{FF2B5EF4-FFF2-40B4-BE49-F238E27FC236}">
              <a16:creationId xmlns:a16="http://schemas.microsoft.com/office/drawing/2014/main" id="{6676AEAD-E842-4379-B012-600B79682C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5" name="Elipse 3054">
          <a:extLst>
            <a:ext uri="{FF2B5EF4-FFF2-40B4-BE49-F238E27FC236}">
              <a16:creationId xmlns:a16="http://schemas.microsoft.com/office/drawing/2014/main" id="{4E97B4B2-25E7-4194-87BB-CE7337BBA3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6" name="Elipse 3055">
          <a:extLst>
            <a:ext uri="{FF2B5EF4-FFF2-40B4-BE49-F238E27FC236}">
              <a16:creationId xmlns:a16="http://schemas.microsoft.com/office/drawing/2014/main" id="{EC51D755-BEEC-4FA9-BBC0-FE2F5C6598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7" name="Elipse 3056">
          <a:extLst>
            <a:ext uri="{FF2B5EF4-FFF2-40B4-BE49-F238E27FC236}">
              <a16:creationId xmlns:a16="http://schemas.microsoft.com/office/drawing/2014/main" id="{371D102D-5C75-45C8-AE89-BD91CA6A5B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8" name="Elipse 3057">
          <a:extLst>
            <a:ext uri="{FF2B5EF4-FFF2-40B4-BE49-F238E27FC236}">
              <a16:creationId xmlns:a16="http://schemas.microsoft.com/office/drawing/2014/main" id="{95D10DCB-752B-4244-8AD8-395FE9E474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59" name="Elipse 3058">
          <a:extLst>
            <a:ext uri="{FF2B5EF4-FFF2-40B4-BE49-F238E27FC236}">
              <a16:creationId xmlns:a16="http://schemas.microsoft.com/office/drawing/2014/main" id="{23886762-D359-4AA5-A71F-43FB75F3CB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0" name="Elipse 3059">
          <a:extLst>
            <a:ext uri="{FF2B5EF4-FFF2-40B4-BE49-F238E27FC236}">
              <a16:creationId xmlns:a16="http://schemas.microsoft.com/office/drawing/2014/main" id="{FC86C0F9-E8C8-46B6-A287-76FEE1282B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1" name="Elipse 3060">
          <a:extLst>
            <a:ext uri="{FF2B5EF4-FFF2-40B4-BE49-F238E27FC236}">
              <a16:creationId xmlns:a16="http://schemas.microsoft.com/office/drawing/2014/main" id="{A70F657B-5F3F-4C02-824B-5819F416CE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2" name="Elipse 3061">
          <a:extLst>
            <a:ext uri="{FF2B5EF4-FFF2-40B4-BE49-F238E27FC236}">
              <a16:creationId xmlns:a16="http://schemas.microsoft.com/office/drawing/2014/main" id="{2D4D7B0E-47B1-4778-8699-9DCD48B213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3" name="Elipse 3062">
          <a:extLst>
            <a:ext uri="{FF2B5EF4-FFF2-40B4-BE49-F238E27FC236}">
              <a16:creationId xmlns:a16="http://schemas.microsoft.com/office/drawing/2014/main" id="{C6244735-D077-4E4C-A72F-A6B430F847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4" name="Elipse 3063">
          <a:extLst>
            <a:ext uri="{FF2B5EF4-FFF2-40B4-BE49-F238E27FC236}">
              <a16:creationId xmlns:a16="http://schemas.microsoft.com/office/drawing/2014/main" id="{D499D00D-7ABF-4CFD-B4D6-124A309371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5" name="Elipse 3064">
          <a:extLst>
            <a:ext uri="{FF2B5EF4-FFF2-40B4-BE49-F238E27FC236}">
              <a16:creationId xmlns:a16="http://schemas.microsoft.com/office/drawing/2014/main" id="{3F7B88AA-4F70-46ED-92F3-DA78367006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6" name="Elipse 3065">
          <a:extLst>
            <a:ext uri="{FF2B5EF4-FFF2-40B4-BE49-F238E27FC236}">
              <a16:creationId xmlns:a16="http://schemas.microsoft.com/office/drawing/2014/main" id="{FA1BA2FA-7D0C-46C5-95FE-6484297510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7" name="Elipse 3066">
          <a:extLst>
            <a:ext uri="{FF2B5EF4-FFF2-40B4-BE49-F238E27FC236}">
              <a16:creationId xmlns:a16="http://schemas.microsoft.com/office/drawing/2014/main" id="{039B2DAA-7E80-43F5-84F3-7FCA0E5B43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8" name="Elipse 3067">
          <a:extLst>
            <a:ext uri="{FF2B5EF4-FFF2-40B4-BE49-F238E27FC236}">
              <a16:creationId xmlns:a16="http://schemas.microsoft.com/office/drawing/2014/main" id="{A3D7F475-238F-4017-BFF1-954A2B7ABC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69" name="Elipse 3068">
          <a:extLst>
            <a:ext uri="{FF2B5EF4-FFF2-40B4-BE49-F238E27FC236}">
              <a16:creationId xmlns:a16="http://schemas.microsoft.com/office/drawing/2014/main" id="{95F9A8A8-D440-4910-AFAB-3176D0ADB7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0" name="Elipse 3069">
          <a:extLst>
            <a:ext uri="{FF2B5EF4-FFF2-40B4-BE49-F238E27FC236}">
              <a16:creationId xmlns:a16="http://schemas.microsoft.com/office/drawing/2014/main" id="{612C72C4-89B8-4294-92B2-13EEC672CB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1" name="Elipse 3070">
          <a:extLst>
            <a:ext uri="{FF2B5EF4-FFF2-40B4-BE49-F238E27FC236}">
              <a16:creationId xmlns:a16="http://schemas.microsoft.com/office/drawing/2014/main" id="{45A26C28-A01A-4471-BEB2-FE6760F779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2" name="Elipse 3071">
          <a:extLst>
            <a:ext uri="{FF2B5EF4-FFF2-40B4-BE49-F238E27FC236}">
              <a16:creationId xmlns:a16="http://schemas.microsoft.com/office/drawing/2014/main" id="{18BCA185-DC15-48CE-A54F-EFBF1E8054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3" name="Elipse 3072">
          <a:extLst>
            <a:ext uri="{FF2B5EF4-FFF2-40B4-BE49-F238E27FC236}">
              <a16:creationId xmlns:a16="http://schemas.microsoft.com/office/drawing/2014/main" id="{24938482-1D20-4D72-BB89-AD5BEE17F7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4" name="Elipse 3073">
          <a:extLst>
            <a:ext uri="{FF2B5EF4-FFF2-40B4-BE49-F238E27FC236}">
              <a16:creationId xmlns:a16="http://schemas.microsoft.com/office/drawing/2014/main" id="{41E46B1A-AAA4-4016-A3EB-6F0582A2A1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5" name="Elipse 3074">
          <a:extLst>
            <a:ext uri="{FF2B5EF4-FFF2-40B4-BE49-F238E27FC236}">
              <a16:creationId xmlns:a16="http://schemas.microsoft.com/office/drawing/2014/main" id="{B0A156C1-9955-4E28-9B25-591ECFFA45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6" name="Elipse 3075">
          <a:extLst>
            <a:ext uri="{FF2B5EF4-FFF2-40B4-BE49-F238E27FC236}">
              <a16:creationId xmlns:a16="http://schemas.microsoft.com/office/drawing/2014/main" id="{DA98B9B3-06D0-4FD9-9531-2CF1EC88DC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7" name="Elipse 3076">
          <a:extLst>
            <a:ext uri="{FF2B5EF4-FFF2-40B4-BE49-F238E27FC236}">
              <a16:creationId xmlns:a16="http://schemas.microsoft.com/office/drawing/2014/main" id="{CD7D8C31-37C0-4DF7-B4BC-38C098F338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8" name="Elipse 3077">
          <a:extLst>
            <a:ext uri="{FF2B5EF4-FFF2-40B4-BE49-F238E27FC236}">
              <a16:creationId xmlns:a16="http://schemas.microsoft.com/office/drawing/2014/main" id="{ABAB2042-0787-4302-AA93-9D5586A976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79" name="Elipse 3078">
          <a:extLst>
            <a:ext uri="{FF2B5EF4-FFF2-40B4-BE49-F238E27FC236}">
              <a16:creationId xmlns:a16="http://schemas.microsoft.com/office/drawing/2014/main" id="{EB8ED0CD-0174-40BC-B40B-6E11192909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0" name="Elipse 3079">
          <a:extLst>
            <a:ext uri="{FF2B5EF4-FFF2-40B4-BE49-F238E27FC236}">
              <a16:creationId xmlns:a16="http://schemas.microsoft.com/office/drawing/2014/main" id="{ED8A1942-39DE-4355-8A84-44E26184E0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1" name="Elipse 3080">
          <a:extLst>
            <a:ext uri="{FF2B5EF4-FFF2-40B4-BE49-F238E27FC236}">
              <a16:creationId xmlns:a16="http://schemas.microsoft.com/office/drawing/2014/main" id="{2CC991A9-3FAF-4E16-9DEB-F0BAF38999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2" name="Elipse 3081">
          <a:extLst>
            <a:ext uri="{FF2B5EF4-FFF2-40B4-BE49-F238E27FC236}">
              <a16:creationId xmlns:a16="http://schemas.microsoft.com/office/drawing/2014/main" id="{05743117-21F0-4A9F-877D-6F92DF0D51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3" name="Elipse 3082">
          <a:extLst>
            <a:ext uri="{FF2B5EF4-FFF2-40B4-BE49-F238E27FC236}">
              <a16:creationId xmlns:a16="http://schemas.microsoft.com/office/drawing/2014/main" id="{82068FE8-6983-4CF7-B8C0-47B3770F93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4" name="Elipse 3083">
          <a:extLst>
            <a:ext uri="{FF2B5EF4-FFF2-40B4-BE49-F238E27FC236}">
              <a16:creationId xmlns:a16="http://schemas.microsoft.com/office/drawing/2014/main" id="{D7401425-21DC-4341-8985-AB42BE17BF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5" name="Elipse 3084">
          <a:extLst>
            <a:ext uri="{FF2B5EF4-FFF2-40B4-BE49-F238E27FC236}">
              <a16:creationId xmlns:a16="http://schemas.microsoft.com/office/drawing/2014/main" id="{886BBBAB-67A2-4E1F-9CC0-3B6D1FB014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6" name="Elipse 3085">
          <a:extLst>
            <a:ext uri="{FF2B5EF4-FFF2-40B4-BE49-F238E27FC236}">
              <a16:creationId xmlns:a16="http://schemas.microsoft.com/office/drawing/2014/main" id="{AE8B90D9-29F6-48FF-986F-197AE62D8C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7" name="Elipse 3086">
          <a:extLst>
            <a:ext uri="{FF2B5EF4-FFF2-40B4-BE49-F238E27FC236}">
              <a16:creationId xmlns:a16="http://schemas.microsoft.com/office/drawing/2014/main" id="{A244E5CA-9FBA-41F2-B530-72CA76EB4D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8" name="Elipse 3087">
          <a:extLst>
            <a:ext uri="{FF2B5EF4-FFF2-40B4-BE49-F238E27FC236}">
              <a16:creationId xmlns:a16="http://schemas.microsoft.com/office/drawing/2014/main" id="{2C236ED6-142C-4B60-B5A9-C7159D1798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89" name="Elipse 3088">
          <a:extLst>
            <a:ext uri="{FF2B5EF4-FFF2-40B4-BE49-F238E27FC236}">
              <a16:creationId xmlns:a16="http://schemas.microsoft.com/office/drawing/2014/main" id="{A675A98B-7D50-4605-9861-E18F2FE491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0" name="Elipse 3089">
          <a:extLst>
            <a:ext uri="{FF2B5EF4-FFF2-40B4-BE49-F238E27FC236}">
              <a16:creationId xmlns:a16="http://schemas.microsoft.com/office/drawing/2014/main" id="{107B24F4-1140-4DDC-AD0B-3032A11777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1" name="Elipse 3090">
          <a:extLst>
            <a:ext uri="{FF2B5EF4-FFF2-40B4-BE49-F238E27FC236}">
              <a16:creationId xmlns:a16="http://schemas.microsoft.com/office/drawing/2014/main" id="{1789F9D8-9E2B-41BC-9024-2EEAA31FA8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2" name="Elipse 3091">
          <a:extLst>
            <a:ext uri="{FF2B5EF4-FFF2-40B4-BE49-F238E27FC236}">
              <a16:creationId xmlns:a16="http://schemas.microsoft.com/office/drawing/2014/main" id="{1DA2BB0F-69D9-469E-9F33-832D91C904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3" name="Elipse 3092">
          <a:extLst>
            <a:ext uri="{FF2B5EF4-FFF2-40B4-BE49-F238E27FC236}">
              <a16:creationId xmlns:a16="http://schemas.microsoft.com/office/drawing/2014/main" id="{3CE97748-415F-4A11-856D-8363F7AD95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4" name="Elipse 3093">
          <a:extLst>
            <a:ext uri="{FF2B5EF4-FFF2-40B4-BE49-F238E27FC236}">
              <a16:creationId xmlns:a16="http://schemas.microsoft.com/office/drawing/2014/main" id="{DC57533B-2743-43BD-83F3-1697618BBF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5" name="Elipse 3094">
          <a:extLst>
            <a:ext uri="{FF2B5EF4-FFF2-40B4-BE49-F238E27FC236}">
              <a16:creationId xmlns:a16="http://schemas.microsoft.com/office/drawing/2014/main" id="{29352310-7B48-4578-9FF2-9E17BD7050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6" name="Elipse 3095">
          <a:extLst>
            <a:ext uri="{FF2B5EF4-FFF2-40B4-BE49-F238E27FC236}">
              <a16:creationId xmlns:a16="http://schemas.microsoft.com/office/drawing/2014/main" id="{742DE637-F939-4A05-B42D-9A4E95D7CD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7" name="Elipse 3096">
          <a:extLst>
            <a:ext uri="{FF2B5EF4-FFF2-40B4-BE49-F238E27FC236}">
              <a16:creationId xmlns:a16="http://schemas.microsoft.com/office/drawing/2014/main" id="{05F89E3B-948F-433F-AF02-2280C5F48B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8" name="Elipse 3097">
          <a:extLst>
            <a:ext uri="{FF2B5EF4-FFF2-40B4-BE49-F238E27FC236}">
              <a16:creationId xmlns:a16="http://schemas.microsoft.com/office/drawing/2014/main" id="{6C40EF18-8DF5-46AB-8E80-08BBE1A8A0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99" name="Elipse 3098">
          <a:extLst>
            <a:ext uri="{FF2B5EF4-FFF2-40B4-BE49-F238E27FC236}">
              <a16:creationId xmlns:a16="http://schemas.microsoft.com/office/drawing/2014/main" id="{86A4A998-8D2B-4E69-836B-6EEF62EC73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0" name="Elipse 3099">
          <a:extLst>
            <a:ext uri="{FF2B5EF4-FFF2-40B4-BE49-F238E27FC236}">
              <a16:creationId xmlns:a16="http://schemas.microsoft.com/office/drawing/2014/main" id="{555D547B-FAE0-406E-84AB-B1B9B9CDBF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1" name="Elipse 3100">
          <a:extLst>
            <a:ext uri="{FF2B5EF4-FFF2-40B4-BE49-F238E27FC236}">
              <a16:creationId xmlns:a16="http://schemas.microsoft.com/office/drawing/2014/main" id="{057BA02F-CB6C-4180-8B88-A27A631B14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2" name="Elipse 3101">
          <a:extLst>
            <a:ext uri="{FF2B5EF4-FFF2-40B4-BE49-F238E27FC236}">
              <a16:creationId xmlns:a16="http://schemas.microsoft.com/office/drawing/2014/main" id="{FABE5E70-C313-4964-B1A9-D143EE23C4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3" name="Elipse 3102">
          <a:extLst>
            <a:ext uri="{FF2B5EF4-FFF2-40B4-BE49-F238E27FC236}">
              <a16:creationId xmlns:a16="http://schemas.microsoft.com/office/drawing/2014/main" id="{2C8EC2E5-D3B2-4456-9EB3-0921D1D5D8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4" name="Elipse 3103">
          <a:extLst>
            <a:ext uri="{FF2B5EF4-FFF2-40B4-BE49-F238E27FC236}">
              <a16:creationId xmlns:a16="http://schemas.microsoft.com/office/drawing/2014/main" id="{5AB6B50D-B2EC-4EDB-92E8-0FA942114D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5" name="Elipse 3104">
          <a:extLst>
            <a:ext uri="{FF2B5EF4-FFF2-40B4-BE49-F238E27FC236}">
              <a16:creationId xmlns:a16="http://schemas.microsoft.com/office/drawing/2014/main" id="{909AA253-022F-484B-B378-E81F4EE543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6" name="Elipse 3105">
          <a:extLst>
            <a:ext uri="{FF2B5EF4-FFF2-40B4-BE49-F238E27FC236}">
              <a16:creationId xmlns:a16="http://schemas.microsoft.com/office/drawing/2014/main" id="{3BE6C715-7249-4569-8AF7-22536BA6DA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7" name="Elipse 3106">
          <a:extLst>
            <a:ext uri="{FF2B5EF4-FFF2-40B4-BE49-F238E27FC236}">
              <a16:creationId xmlns:a16="http://schemas.microsoft.com/office/drawing/2014/main" id="{CD7B058C-7A66-437E-84E3-413D69DF9C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8" name="Elipse 3107">
          <a:extLst>
            <a:ext uri="{FF2B5EF4-FFF2-40B4-BE49-F238E27FC236}">
              <a16:creationId xmlns:a16="http://schemas.microsoft.com/office/drawing/2014/main" id="{FFFD2F2F-C97A-42E5-A0CB-9F51175367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09" name="Elipse 3108">
          <a:extLst>
            <a:ext uri="{FF2B5EF4-FFF2-40B4-BE49-F238E27FC236}">
              <a16:creationId xmlns:a16="http://schemas.microsoft.com/office/drawing/2014/main" id="{CB516F20-A6D1-413F-BD09-D663DD25EE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0" name="Elipse 3109">
          <a:extLst>
            <a:ext uri="{FF2B5EF4-FFF2-40B4-BE49-F238E27FC236}">
              <a16:creationId xmlns:a16="http://schemas.microsoft.com/office/drawing/2014/main" id="{234D59DB-1CD5-49AB-97D0-E904E7B997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1" name="Elipse 3110">
          <a:extLst>
            <a:ext uri="{FF2B5EF4-FFF2-40B4-BE49-F238E27FC236}">
              <a16:creationId xmlns:a16="http://schemas.microsoft.com/office/drawing/2014/main" id="{184C3417-1927-40DD-99A5-3DDF69A036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2" name="Elipse 3111">
          <a:extLst>
            <a:ext uri="{FF2B5EF4-FFF2-40B4-BE49-F238E27FC236}">
              <a16:creationId xmlns:a16="http://schemas.microsoft.com/office/drawing/2014/main" id="{CA952A38-D265-4038-8060-991BB8FFE3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3" name="Elipse 3112">
          <a:extLst>
            <a:ext uri="{FF2B5EF4-FFF2-40B4-BE49-F238E27FC236}">
              <a16:creationId xmlns:a16="http://schemas.microsoft.com/office/drawing/2014/main" id="{1329AB2E-D39A-4B74-BA6B-A1CE322B9D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4" name="Elipse 3113">
          <a:extLst>
            <a:ext uri="{FF2B5EF4-FFF2-40B4-BE49-F238E27FC236}">
              <a16:creationId xmlns:a16="http://schemas.microsoft.com/office/drawing/2014/main" id="{0E9205E9-471A-4F34-9652-299AE1F7F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5" name="Elipse 3114">
          <a:extLst>
            <a:ext uri="{FF2B5EF4-FFF2-40B4-BE49-F238E27FC236}">
              <a16:creationId xmlns:a16="http://schemas.microsoft.com/office/drawing/2014/main" id="{F8883476-0260-4292-80AD-0C9FAB15CD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6" name="Elipse 3115">
          <a:extLst>
            <a:ext uri="{FF2B5EF4-FFF2-40B4-BE49-F238E27FC236}">
              <a16:creationId xmlns:a16="http://schemas.microsoft.com/office/drawing/2014/main" id="{594FC64D-326D-4593-9842-C1C8B6572E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7" name="Elipse 3116">
          <a:extLst>
            <a:ext uri="{FF2B5EF4-FFF2-40B4-BE49-F238E27FC236}">
              <a16:creationId xmlns:a16="http://schemas.microsoft.com/office/drawing/2014/main" id="{D7BDFB02-4248-4A08-9205-3FFCF57665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8" name="Elipse 3117">
          <a:extLst>
            <a:ext uri="{FF2B5EF4-FFF2-40B4-BE49-F238E27FC236}">
              <a16:creationId xmlns:a16="http://schemas.microsoft.com/office/drawing/2014/main" id="{57F560CB-8386-4486-AC66-60888F3564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19" name="Elipse 3118">
          <a:extLst>
            <a:ext uri="{FF2B5EF4-FFF2-40B4-BE49-F238E27FC236}">
              <a16:creationId xmlns:a16="http://schemas.microsoft.com/office/drawing/2014/main" id="{3AC42F7E-2955-40BC-AFD9-460DF5DAAA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0" name="Elipse 3119">
          <a:extLst>
            <a:ext uri="{FF2B5EF4-FFF2-40B4-BE49-F238E27FC236}">
              <a16:creationId xmlns:a16="http://schemas.microsoft.com/office/drawing/2014/main" id="{638DD29E-0BCF-46E8-9E2B-DFC9BB8C7E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1" name="Elipse 3120">
          <a:extLst>
            <a:ext uri="{FF2B5EF4-FFF2-40B4-BE49-F238E27FC236}">
              <a16:creationId xmlns:a16="http://schemas.microsoft.com/office/drawing/2014/main" id="{85EB32DF-4340-4784-A2E5-E9C45D0D12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2" name="Elipse 3121">
          <a:extLst>
            <a:ext uri="{FF2B5EF4-FFF2-40B4-BE49-F238E27FC236}">
              <a16:creationId xmlns:a16="http://schemas.microsoft.com/office/drawing/2014/main" id="{E6B9C37A-0462-4D5C-B8AB-2A97AB579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3" name="Elipse 3122">
          <a:extLst>
            <a:ext uri="{FF2B5EF4-FFF2-40B4-BE49-F238E27FC236}">
              <a16:creationId xmlns:a16="http://schemas.microsoft.com/office/drawing/2014/main" id="{6A672558-E854-4C2D-806B-BE57A6A7C9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4" name="Elipse 3123">
          <a:extLst>
            <a:ext uri="{FF2B5EF4-FFF2-40B4-BE49-F238E27FC236}">
              <a16:creationId xmlns:a16="http://schemas.microsoft.com/office/drawing/2014/main" id="{13028799-D019-49AA-B171-9D44ABCE08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5" name="Elipse 3124">
          <a:extLst>
            <a:ext uri="{FF2B5EF4-FFF2-40B4-BE49-F238E27FC236}">
              <a16:creationId xmlns:a16="http://schemas.microsoft.com/office/drawing/2014/main" id="{A12B9360-5BDE-42BE-A3D0-8E313DD02A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6" name="Elipse 3125">
          <a:extLst>
            <a:ext uri="{FF2B5EF4-FFF2-40B4-BE49-F238E27FC236}">
              <a16:creationId xmlns:a16="http://schemas.microsoft.com/office/drawing/2014/main" id="{65493B30-B40F-47FD-9017-A1A765D245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7" name="Elipse 3126">
          <a:extLst>
            <a:ext uri="{FF2B5EF4-FFF2-40B4-BE49-F238E27FC236}">
              <a16:creationId xmlns:a16="http://schemas.microsoft.com/office/drawing/2014/main" id="{78733FC6-B61B-4BCD-8D47-8BBE6E209B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8" name="Elipse 3127">
          <a:extLst>
            <a:ext uri="{FF2B5EF4-FFF2-40B4-BE49-F238E27FC236}">
              <a16:creationId xmlns:a16="http://schemas.microsoft.com/office/drawing/2014/main" id="{AD5BE64D-87D5-40A1-9506-E75ACB5337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29" name="Elipse 3128">
          <a:extLst>
            <a:ext uri="{FF2B5EF4-FFF2-40B4-BE49-F238E27FC236}">
              <a16:creationId xmlns:a16="http://schemas.microsoft.com/office/drawing/2014/main" id="{2692A5DC-95D5-407D-8F0E-B00CF6583F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0" name="Elipse 3129">
          <a:extLst>
            <a:ext uri="{FF2B5EF4-FFF2-40B4-BE49-F238E27FC236}">
              <a16:creationId xmlns:a16="http://schemas.microsoft.com/office/drawing/2014/main" id="{A140B760-82D6-4941-8A48-45EE8A693F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1" name="Elipse 3130">
          <a:extLst>
            <a:ext uri="{FF2B5EF4-FFF2-40B4-BE49-F238E27FC236}">
              <a16:creationId xmlns:a16="http://schemas.microsoft.com/office/drawing/2014/main" id="{E87DBB73-390B-4A72-A377-265CA3E294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2" name="Elipse 3131">
          <a:extLst>
            <a:ext uri="{FF2B5EF4-FFF2-40B4-BE49-F238E27FC236}">
              <a16:creationId xmlns:a16="http://schemas.microsoft.com/office/drawing/2014/main" id="{45E4ADDF-83F2-4BA3-905F-7F934F810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3" name="Elipse 3132">
          <a:extLst>
            <a:ext uri="{FF2B5EF4-FFF2-40B4-BE49-F238E27FC236}">
              <a16:creationId xmlns:a16="http://schemas.microsoft.com/office/drawing/2014/main" id="{C455C93C-06C2-4CC6-8B7D-BD2C17DAB9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4" name="Elipse 3133">
          <a:extLst>
            <a:ext uri="{FF2B5EF4-FFF2-40B4-BE49-F238E27FC236}">
              <a16:creationId xmlns:a16="http://schemas.microsoft.com/office/drawing/2014/main" id="{A4F96C8E-273E-4CAC-9432-6E34ABE147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5" name="Elipse 3134">
          <a:extLst>
            <a:ext uri="{FF2B5EF4-FFF2-40B4-BE49-F238E27FC236}">
              <a16:creationId xmlns:a16="http://schemas.microsoft.com/office/drawing/2014/main" id="{C480D533-5962-4A28-AC43-EB11625213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6" name="Elipse 3135">
          <a:extLst>
            <a:ext uri="{FF2B5EF4-FFF2-40B4-BE49-F238E27FC236}">
              <a16:creationId xmlns:a16="http://schemas.microsoft.com/office/drawing/2014/main" id="{750D0FF8-77C2-47A5-8BBD-3BF444336B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7" name="Elipse 3136">
          <a:extLst>
            <a:ext uri="{FF2B5EF4-FFF2-40B4-BE49-F238E27FC236}">
              <a16:creationId xmlns:a16="http://schemas.microsoft.com/office/drawing/2014/main" id="{03D8DB8F-D7B7-4797-AEE3-719A1EEDF5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8" name="Elipse 3137">
          <a:extLst>
            <a:ext uri="{FF2B5EF4-FFF2-40B4-BE49-F238E27FC236}">
              <a16:creationId xmlns:a16="http://schemas.microsoft.com/office/drawing/2014/main" id="{417F21F8-E37C-4FF5-A9A8-3853849C6D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39" name="Elipse 3138">
          <a:extLst>
            <a:ext uri="{FF2B5EF4-FFF2-40B4-BE49-F238E27FC236}">
              <a16:creationId xmlns:a16="http://schemas.microsoft.com/office/drawing/2014/main" id="{9C6AA6F1-8CFF-48D2-A512-520EB52127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0" name="Elipse 3139">
          <a:extLst>
            <a:ext uri="{FF2B5EF4-FFF2-40B4-BE49-F238E27FC236}">
              <a16:creationId xmlns:a16="http://schemas.microsoft.com/office/drawing/2014/main" id="{6543F8BB-538C-438A-A4C0-88FD625AA3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1" name="Elipse 3140">
          <a:extLst>
            <a:ext uri="{FF2B5EF4-FFF2-40B4-BE49-F238E27FC236}">
              <a16:creationId xmlns:a16="http://schemas.microsoft.com/office/drawing/2014/main" id="{D8663AC7-75FA-401A-87F9-F63F07E642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2" name="Elipse 3141">
          <a:extLst>
            <a:ext uri="{FF2B5EF4-FFF2-40B4-BE49-F238E27FC236}">
              <a16:creationId xmlns:a16="http://schemas.microsoft.com/office/drawing/2014/main" id="{067DFBBE-B1F7-406E-96ED-1955F9EF1F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3" name="Elipse 3142">
          <a:extLst>
            <a:ext uri="{FF2B5EF4-FFF2-40B4-BE49-F238E27FC236}">
              <a16:creationId xmlns:a16="http://schemas.microsoft.com/office/drawing/2014/main" id="{558250D3-8081-4941-9F32-D8F366ABEB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4" name="Elipse 3143">
          <a:extLst>
            <a:ext uri="{FF2B5EF4-FFF2-40B4-BE49-F238E27FC236}">
              <a16:creationId xmlns:a16="http://schemas.microsoft.com/office/drawing/2014/main" id="{2AC03365-3574-4364-9624-C1E4EF2E85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5" name="Elipse 3144">
          <a:extLst>
            <a:ext uri="{FF2B5EF4-FFF2-40B4-BE49-F238E27FC236}">
              <a16:creationId xmlns:a16="http://schemas.microsoft.com/office/drawing/2014/main" id="{8C26BDE6-64DC-4D02-A2E7-5928AF2BE0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6" name="Elipse 3145">
          <a:extLst>
            <a:ext uri="{FF2B5EF4-FFF2-40B4-BE49-F238E27FC236}">
              <a16:creationId xmlns:a16="http://schemas.microsoft.com/office/drawing/2014/main" id="{46D34423-09F1-4CDF-BBBE-B1F3BA4B5D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7" name="Elipse 3146">
          <a:extLst>
            <a:ext uri="{FF2B5EF4-FFF2-40B4-BE49-F238E27FC236}">
              <a16:creationId xmlns:a16="http://schemas.microsoft.com/office/drawing/2014/main" id="{4E2F51B5-4029-498C-A212-590733B91A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8" name="Elipse 3147">
          <a:extLst>
            <a:ext uri="{FF2B5EF4-FFF2-40B4-BE49-F238E27FC236}">
              <a16:creationId xmlns:a16="http://schemas.microsoft.com/office/drawing/2014/main" id="{95740BB0-3124-4E0E-A398-B094F25C37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49" name="Elipse 3148">
          <a:extLst>
            <a:ext uri="{FF2B5EF4-FFF2-40B4-BE49-F238E27FC236}">
              <a16:creationId xmlns:a16="http://schemas.microsoft.com/office/drawing/2014/main" id="{0457744E-F896-423A-AD76-84BE531699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0" name="Elipse 3149">
          <a:extLst>
            <a:ext uri="{FF2B5EF4-FFF2-40B4-BE49-F238E27FC236}">
              <a16:creationId xmlns:a16="http://schemas.microsoft.com/office/drawing/2014/main" id="{1FA60FB0-42E6-44A6-A4CD-F32475ACB1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1" name="Elipse 3150">
          <a:extLst>
            <a:ext uri="{FF2B5EF4-FFF2-40B4-BE49-F238E27FC236}">
              <a16:creationId xmlns:a16="http://schemas.microsoft.com/office/drawing/2014/main" id="{74281244-6ECC-4822-BD3D-44C9642049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2" name="Elipse 3151">
          <a:extLst>
            <a:ext uri="{FF2B5EF4-FFF2-40B4-BE49-F238E27FC236}">
              <a16:creationId xmlns:a16="http://schemas.microsoft.com/office/drawing/2014/main" id="{3FF61EB2-6B36-4E0C-B281-E11AA44809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3" name="Elipse 3152">
          <a:extLst>
            <a:ext uri="{FF2B5EF4-FFF2-40B4-BE49-F238E27FC236}">
              <a16:creationId xmlns:a16="http://schemas.microsoft.com/office/drawing/2014/main" id="{A6A04CDC-983D-4E01-9F31-BA7AE47AA9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4" name="Elipse 3153">
          <a:extLst>
            <a:ext uri="{FF2B5EF4-FFF2-40B4-BE49-F238E27FC236}">
              <a16:creationId xmlns:a16="http://schemas.microsoft.com/office/drawing/2014/main" id="{8E58A82A-C841-4CCC-9A3C-6EBBC073E2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5" name="Elipse 3154">
          <a:extLst>
            <a:ext uri="{FF2B5EF4-FFF2-40B4-BE49-F238E27FC236}">
              <a16:creationId xmlns:a16="http://schemas.microsoft.com/office/drawing/2014/main" id="{11C46B7D-B696-4C9A-B057-E85BE41E5F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6" name="Elipse 3155">
          <a:extLst>
            <a:ext uri="{FF2B5EF4-FFF2-40B4-BE49-F238E27FC236}">
              <a16:creationId xmlns:a16="http://schemas.microsoft.com/office/drawing/2014/main" id="{F2CB3B23-CB3A-4AEA-B72B-983C423C33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7" name="Elipse 3156">
          <a:extLst>
            <a:ext uri="{FF2B5EF4-FFF2-40B4-BE49-F238E27FC236}">
              <a16:creationId xmlns:a16="http://schemas.microsoft.com/office/drawing/2014/main" id="{9559C573-1FF4-49F0-B4D4-D5069D5A30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8" name="Elipse 3157">
          <a:extLst>
            <a:ext uri="{FF2B5EF4-FFF2-40B4-BE49-F238E27FC236}">
              <a16:creationId xmlns:a16="http://schemas.microsoft.com/office/drawing/2014/main" id="{2803EF40-8CFA-4779-BA36-9158241004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59" name="Elipse 3158">
          <a:extLst>
            <a:ext uri="{FF2B5EF4-FFF2-40B4-BE49-F238E27FC236}">
              <a16:creationId xmlns:a16="http://schemas.microsoft.com/office/drawing/2014/main" id="{06B362D6-3C55-4250-AA1A-AE590CBB76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0" name="Elipse 3159">
          <a:extLst>
            <a:ext uri="{FF2B5EF4-FFF2-40B4-BE49-F238E27FC236}">
              <a16:creationId xmlns:a16="http://schemas.microsoft.com/office/drawing/2014/main" id="{BAE246F4-697B-4AB1-A3D4-13CBD69D21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1" name="Elipse 3160">
          <a:extLst>
            <a:ext uri="{FF2B5EF4-FFF2-40B4-BE49-F238E27FC236}">
              <a16:creationId xmlns:a16="http://schemas.microsoft.com/office/drawing/2014/main" id="{179FD9DA-74AB-4350-813D-4C54C4EFD4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2" name="Elipse 3161">
          <a:extLst>
            <a:ext uri="{FF2B5EF4-FFF2-40B4-BE49-F238E27FC236}">
              <a16:creationId xmlns:a16="http://schemas.microsoft.com/office/drawing/2014/main" id="{BEA37834-B8DC-42C3-9DD7-1FD89220A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3" name="Elipse 3162">
          <a:extLst>
            <a:ext uri="{FF2B5EF4-FFF2-40B4-BE49-F238E27FC236}">
              <a16:creationId xmlns:a16="http://schemas.microsoft.com/office/drawing/2014/main" id="{3E71A949-E8BD-463B-B234-A1C2A75707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4" name="Elipse 3163">
          <a:extLst>
            <a:ext uri="{FF2B5EF4-FFF2-40B4-BE49-F238E27FC236}">
              <a16:creationId xmlns:a16="http://schemas.microsoft.com/office/drawing/2014/main" id="{4899B80E-2F37-48BD-9969-5B1C5ECEC2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5" name="Elipse 3164">
          <a:extLst>
            <a:ext uri="{FF2B5EF4-FFF2-40B4-BE49-F238E27FC236}">
              <a16:creationId xmlns:a16="http://schemas.microsoft.com/office/drawing/2014/main" id="{B15207A2-06E0-47D0-92F6-71787E6DEE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6" name="Elipse 3165">
          <a:extLst>
            <a:ext uri="{FF2B5EF4-FFF2-40B4-BE49-F238E27FC236}">
              <a16:creationId xmlns:a16="http://schemas.microsoft.com/office/drawing/2014/main" id="{8E8E0985-CACC-431D-BB1F-B79892DACB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7" name="Elipse 3166">
          <a:extLst>
            <a:ext uri="{FF2B5EF4-FFF2-40B4-BE49-F238E27FC236}">
              <a16:creationId xmlns:a16="http://schemas.microsoft.com/office/drawing/2014/main" id="{467CB2D0-D121-488A-8DED-052EE58A78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8" name="Elipse 3167">
          <a:extLst>
            <a:ext uri="{FF2B5EF4-FFF2-40B4-BE49-F238E27FC236}">
              <a16:creationId xmlns:a16="http://schemas.microsoft.com/office/drawing/2014/main" id="{69C7A38D-9DCD-40DA-86B2-2040F065B5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69" name="Elipse 3168">
          <a:extLst>
            <a:ext uri="{FF2B5EF4-FFF2-40B4-BE49-F238E27FC236}">
              <a16:creationId xmlns:a16="http://schemas.microsoft.com/office/drawing/2014/main" id="{E95B8A82-4E96-4595-AF0D-1CBCB3F925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0" name="Elipse 3169">
          <a:extLst>
            <a:ext uri="{FF2B5EF4-FFF2-40B4-BE49-F238E27FC236}">
              <a16:creationId xmlns:a16="http://schemas.microsoft.com/office/drawing/2014/main" id="{6D586048-56DF-4614-9D78-BD0E096DB9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1" name="Elipse 3170">
          <a:extLst>
            <a:ext uri="{FF2B5EF4-FFF2-40B4-BE49-F238E27FC236}">
              <a16:creationId xmlns:a16="http://schemas.microsoft.com/office/drawing/2014/main" id="{01CA361B-EB80-47AB-AB1C-27F088ACB0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2" name="Elipse 3171">
          <a:extLst>
            <a:ext uri="{FF2B5EF4-FFF2-40B4-BE49-F238E27FC236}">
              <a16:creationId xmlns:a16="http://schemas.microsoft.com/office/drawing/2014/main" id="{0282538A-F7ED-4816-9B5A-74AB63E21F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3" name="Elipse 3172">
          <a:extLst>
            <a:ext uri="{FF2B5EF4-FFF2-40B4-BE49-F238E27FC236}">
              <a16:creationId xmlns:a16="http://schemas.microsoft.com/office/drawing/2014/main" id="{15FFB0B6-5B86-4C85-8D94-8075B6023B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4" name="Elipse 3173">
          <a:extLst>
            <a:ext uri="{FF2B5EF4-FFF2-40B4-BE49-F238E27FC236}">
              <a16:creationId xmlns:a16="http://schemas.microsoft.com/office/drawing/2014/main" id="{B7C7E8B8-F979-48A3-890D-AF59EA29D8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5" name="Elipse 3174">
          <a:extLst>
            <a:ext uri="{FF2B5EF4-FFF2-40B4-BE49-F238E27FC236}">
              <a16:creationId xmlns:a16="http://schemas.microsoft.com/office/drawing/2014/main" id="{AE6B3370-A4A1-4D8C-9ED6-65526697CB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6" name="Elipse 3175">
          <a:extLst>
            <a:ext uri="{FF2B5EF4-FFF2-40B4-BE49-F238E27FC236}">
              <a16:creationId xmlns:a16="http://schemas.microsoft.com/office/drawing/2014/main" id="{FF140CAE-DC62-415D-8AED-A1429C9D1F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7" name="Elipse 3176">
          <a:extLst>
            <a:ext uri="{FF2B5EF4-FFF2-40B4-BE49-F238E27FC236}">
              <a16:creationId xmlns:a16="http://schemas.microsoft.com/office/drawing/2014/main" id="{9B77C8F0-9606-44F7-8743-FD4AB975A6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8" name="Elipse 3177">
          <a:extLst>
            <a:ext uri="{FF2B5EF4-FFF2-40B4-BE49-F238E27FC236}">
              <a16:creationId xmlns:a16="http://schemas.microsoft.com/office/drawing/2014/main" id="{BA68B649-1E45-49AE-A6E2-22EC92CB0D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79" name="Elipse 3178">
          <a:extLst>
            <a:ext uri="{FF2B5EF4-FFF2-40B4-BE49-F238E27FC236}">
              <a16:creationId xmlns:a16="http://schemas.microsoft.com/office/drawing/2014/main" id="{871D4591-710A-4DCF-8DAC-9EADB881F3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0" name="Elipse 3179">
          <a:extLst>
            <a:ext uri="{FF2B5EF4-FFF2-40B4-BE49-F238E27FC236}">
              <a16:creationId xmlns:a16="http://schemas.microsoft.com/office/drawing/2014/main" id="{0D042E71-BF6D-466C-8E0D-C4B9A0C8A7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1" name="Elipse 3180">
          <a:extLst>
            <a:ext uri="{FF2B5EF4-FFF2-40B4-BE49-F238E27FC236}">
              <a16:creationId xmlns:a16="http://schemas.microsoft.com/office/drawing/2014/main" id="{05BF9260-3828-42FF-983B-DDA641B887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2" name="Elipse 3181">
          <a:extLst>
            <a:ext uri="{FF2B5EF4-FFF2-40B4-BE49-F238E27FC236}">
              <a16:creationId xmlns:a16="http://schemas.microsoft.com/office/drawing/2014/main" id="{E3E34218-FED7-4F97-AE4F-93755F50D4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3" name="Elipse 3182">
          <a:extLst>
            <a:ext uri="{FF2B5EF4-FFF2-40B4-BE49-F238E27FC236}">
              <a16:creationId xmlns:a16="http://schemas.microsoft.com/office/drawing/2014/main" id="{949E67FF-74A5-4D35-BFC4-C905D8F24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4" name="Elipse 3183">
          <a:extLst>
            <a:ext uri="{FF2B5EF4-FFF2-40B4-BE49-F238E27FC236}">
              <a16:creationId xmlns:a16="http://schemas.microsoft.com/office/drawing/2014/main" id="{B961FD97-BBA3-4D29-A41A-04F35A07E7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5" name="Elipse 3184">
          <a:extLst>
            <a:ext uri="{FF2B5EF4-FFF2-40B4-BE49-F238E27FC236}">
              <a16:creationId xmlns:a16="http://schemas.microsoft.com/office/drawing/2014/main" id="{519C24F6-1571-487C-A8D8-56C8D06672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6" name="Elipse 3185">
          <a:extLst>
            <a:ext uri="{FF2B5EF4-FFF2-40B4-BE49-F238E27FC236}">
              <a16:creationId xmlns:a16="http://schemas.microsoft.com/office/drawing/2014/main" id="{C3DAF116-B166-46B5-8DAC-25B0F0AE25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7" name="Elipse 3186">
          <a:extLst>
            <a:ext uri="{FF2B5EF4-FFF2-40B4-BE49-F238E27FC236}">
              <a16:creationId xmlns:a16="http://schemas.microsoft.com/office/drawing/2014/main" id="{7C318873-8FDE-406D-B9D6-3756CD40DE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8" name="Elipse 3187">
          <a:extLst>
            <a:ext uri="{FF2B5EF4-FFF2-40B4-BE49-F238E27FC236}">
              <a16:creationId xmlns:a16="http://schemas.microsoft.com/office/drawing/2014/main" id="{75415F1D-F32F-4FEB-952F-BFF56EA165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89" name="Elipse 3188">
          <a:extLst>
            <a:ext uri="{FF2B5EF4-FFF2-40B4-BE49-F238E27FC236}">
              <a16:creationId xmlns:a16="http://schemas.microsoft.com/office/drawing/2014/main" id="{A6577FED-411E-46F7-9F05-2735F3FE0D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0" name="Elipse 3189">
          <a:extLst>
            <a:ext uri="{FF2B5EF4-FFF2-40B4-BE49-F238E27FC236}">
              <a16:creationId xmlns:a16="http://schemas.microsoft.com/office/drawing/2014/main" id="{75CCA8F5-0031-4FED-B566-A6C9C3ABB4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1" name="Elipse 3190">
          <a:extLst>
            <a:ext uri="{FF2B5EF4-FFF2-40B4-BE49-F238E27FC236}">
              <a16:creationId xmlns:a16="http://schemas.microsoft.com/office/drawing/2014/main" id="{66CF5DC3-1D25-499B-960B-46CA7B6560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2" name="Elipse 3191">
          <a:extLst>
            <a:ext uri="{FF2B5EF4-FFF2-40B4-BE49-F238E27FC236}">
              <a16:creationId xmlns:a16="http://schemas.microsoft.com/office/drawing/2014/main" id="{C265C9C9-0FB3-4B9F-850F-36D103DCC5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3" name="Elipse 3192">
          <a:extLst>
            <a:ext uri="{FF2B5EF4-FFF2-40B4-BE49-F238E27FC236}">
              <a16:creationId xmlns:a16="http://schemas.microsoft.com/office/drawing/2014/main" id="{41EA874B-B365-4D45-935B-DB62CB9BBD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4" name="Elipse 3193">
          <a:extLst>
            <a:ext uri="{FF2B5EF4-FFF2-40B4-BE49-F238E27FC236}">
              <a16:creationId xmlns:a16="http://schemas.microsoft.com/office/drawing/2014/main" id="{F2C693BF-8D33-4355-AACE-3BD5553A71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5" name="Elipse 3194">
          <a:extLst>
            <a:ext uri="{FF2B5EF4-FFF2-40B4-BE49-F238E27FC236}">
              <a16:creationId xmlns:a16="http://schemas.microsoft.com/office/drawing/2014/main" id="{C8C4706D-1884-46DA-9F2E-00D1380954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6" name="Elipse 3195">
          <a:extLst>
            <a:ext uri="{FF2B5EF4-FFF2-40B4-BE49-F238E27FC236}">
              <a16:creationId xmlns:a16="http://schemas.microsoft.com/office/drawing/2014/main" id="{CB58EB9E-5659-4925-9C16-DB927F492A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7" name="Elipse 3196">
          <a:extLst>
            <a:ext uri="{FF2B5EF4-FFF2-40B4-BE49-F238E27FC236}">
              <a16:creationId xmlns:a16="http://schemas.microsoft.com/office/drawing/2014/main" id="{1CAF3542-2018-494B-AFB9-FED753172F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8" name="Elipse 3197">
          <a:extLst>
            <a:ext uri="{FF2B5EF4-FFF2-40B4-BE49-F238E27FC236}">
              <a16:creationId xmlns:a16="http://schemas.microsoft.com/office/drawing/2014/main" id="{2499ADB8-30EB-4056-B6CC-AD7B8EBA89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99" name="Elipse 3198">
          <a:extLst>
            <a:ext uri="{FF2B5EF4-FFF2-40B4-BE49-F238E27FC236}">
              <a16:creationId xmlns:a16="http://schemas.microsoft.com/office/drawing/2014/main" id="{D6C231D0-27C3-465D-9276-66AB85F8D5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0" name="Elipse 3199">
          <a:extLst>
            <a:ext uri="{FF2B5EF4-FFF2-40B4-BE49-F238E27FC236}">
              <a16:creationId xmlns:a16="http://schemas.microsoft.com/office/drawing/2014/main" id="{5A0CB486-D3E2-4D55-9679-E35EA0237E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1" name="Elipse 3200">
          <a:extLst>
            <a:ext uri="{FF2B5EF4-FFF2-40B4-BE49-F238E27FC236}">
              <a16:creationId xmlns:a16="http://schemas.microsoft.com/office/drawing/2014/main" id="{B077F563-3947-4EB8-BAD2-D6E24D47FC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2" name="Elipse 3201">
          <a:extLst>
            <a:ext uri="{FF2B5EF4-FFF2-40B4-BE49-F238E27FC236}">
              <a16:creationId xmlns:a16="http://schemas.microsoft.com/office/drawing/2014/main" id="{803FF005-BABE-46E0-A159-B21EB9E97F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3" name="Elipse 3202">
          <a:extLst>
            <a:ext uri="{FF2B5EF4-FFF2-40B4-BE49-F238E27FC236}">
              <a16:creationId xmlns:a16="http://schemas.microsoft.com/office/drawing/2014/main" id="{886C95A1-84AF-4C3A-8CF5-2FDAE9BF63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4" name="Elipse 3203">
          <a:extLst>
            <a:ext uri="{FF2B5EF4-FFF2-40B4-BE49-F238E27FC236}">
              <a16:creationId xmlns:a16="http://schemas.microsoft.com/office/drawing/2014/main" id="{EA1112EE-0795-4511-82E1-C9133BDFF0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5" name="Elipse 3204">
          <a:extLst>
            <a:ext uri="{FF2B5EF4-FFF2-40B4-BE49-F238E27FC236}">
              <a16:creationId xmlns:a16="http://schemas.microsoft.com/office/drawing/2014/main" id="{FB4263A0-5814-49DA-BFE8-B8DE21DFD7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6" name="Elipse 3205">
          <a:extLst>
            <a:ext uri="{FF2B5EF4-FFF2-40B4-BE49-F238E27FC236}">
              <a16:creationId xmlns:a16="http://schemas.microsoft.com/office/drawing/2014/main" id="{8A32B862-1632-4B46-BF58-344FD27063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7" name="Elipse 3206">
          <a:extLst>
            <a:ext uri="{FF2B5EF4-FFF2-40B4-BE49-F238E27FC236}">
              <a16:creationId xmlns:a16="http://schemas.microsoft.com/office/drawing/2014/main" id="{000E7C8B-E0F1-490E-AD37-AC97981F93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8" name="Elipse 3207">
          <a:extLst>
            <a:ext uri="{FF2B5EF4-FFF2-40B4-BE49-F238E27FC236}">
              <a16:creationId xmlns:a16="http://schemas.microsoft.com/office/drawing/2014/main" id="{C752EBD9-F7A4-423E-86A8-A215E27BD9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09" name="Elipse 3208">
          <a:extLst>
            <a:ext uri="{FF2B5EF4-FFF2-40B4-BE49-F238E27FC236}">
              <a16:creationId xmlns:a16="http://schemas.microsoft.com/office/drawing/2014/main" id="{2BDAD658-8CA3-4584-80F6-9AAA2E0234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0" name="Elipse 3209">
          <a:extLst>
            <a:ext uri="{FF2B5EF4-FFF2-40B4-BE49-F238E27FC236}">
              <a16:creationId xmlns:a16="http://schemas.microsoft.com/office/drawing/2014/main" id="{3F5AF090-1A5A-4223-A13A-BFE117D568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1" name="Elipse 3210">
          <a:extLst>
            <a:ext uri="{FF2B5EF4-FFF2-40B4-BE49-F238E27FC236}">
              <a16:creationId xmlns:a16="http://schemas.microsoft.com/office/drawing/2014/main" id="{7ACA9DDC-91B4-4937-AAC0-EF99E294D8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2" name="Elipse 3211">
          <a:extLst>
            <a:ext uri="{FF2B5EF4-FFF2-40B4-BE49-F238E27FC236}">
              <a16:creationId xmlns:a16="http://schemas.microsoft.com/office/drawing/2014/main" id="{D135DF59-94DE-4BE2-8D9F-B1F3ECA29E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3" name="Elipse 3212">
          <a:extLst>
            <a:ext uri="{FF2B5EF4-FFF2-40B4-BE49-F238E27FC236}">
              <a16:creationId xmlns:a16="http://schemas.microsoft.com/office/drawing/2014/main" id="{7791ED94-A249-4EC4-8AB6-02F2B9E301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4" name="Elipse 3213">
          <a:extLst>
            <a:ext uri="{FF2B5EF4-FFF2-40B4-BE49-F238E27FC236}">
              <a16:creationId xmlns:a16="http://schemas.microsoft.com/office/drawing/2014/main" id="{0EA55A78-3F3D-4035-9914-28E654D9F5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5" name="Elipse 3214">
          <a:extLst>
            <a:ext uri="{FF2B5EF4-FFF2-40B4-BE49-F238E27FC236}">
              <a16:creationId xmlns:a16="http://schemas.microsoft.com/office/drawing/2014/main" id="{BCFE61A0-1AE2-4B13-954C-E564B52DC7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6" name="Elipse 3215">
          <a:extLst>
            <a:ext uri="{FF2B5EF4-FFF2-40B4-BE49-F238E27FC236}">
              <a16:creationId xmlns:a16="http://schemas.microsoft.com/office/drawing/2014/main" id="{30A7BF5F-B0D5-4FD1-9610-C5D8301608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7" name="Elipse 3216">
          <a:extLst>
            <a:ext uri="{FF2B5EF4-FFF2-40B4-BE49-F238E27FC236}">
              <a16:creationId xmlns:a16="http://schemas.microsoft.com/office/drawing/2014/main" id="{3DE61DF1-11B8-4AB1-941B-748E8E2E49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8" name="Elipse 3217">
          <a:extLst>
            <a:ext uri="{FF2B5EF4-FFF2-40B4-BE49-F238E27FC236}">
              <a16:creationId xmlns:a16="http://schemas.microsoft.com/office/drawing/2014/main" id="{91507360-282D-4E63-827C-4EB6D1D333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19" name="Elipse 3218">
          <a:extLst>
            <a:ext uri="{FF2B5EF4-FFF2-40B4-BE49-F238E27FC236}">
              <a16:creationId xmlns:a16="http://schemas.microsoft.com/office/drawing/2014/main" id="{C146579C-ABD4-4E4F-9BD6-C5DBECC2E9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0" name="Elipse 3219">
          <a:extLst>
            <a:ext uri="{FF2B5EF4-FFF2-40B4-BE49-F238E27FC236}">
              <a16:creationId xmlns:a16="http://schemas.microsoft.com/office/drawing/2014/main" id="{83CD3B02-575D-4413-8A2D-FD4ADA913C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1" name="Elipse 3220">
          <a:extLst>
            <a:ext uri="{FF2B5EF4-FFF2-40B4-BE49-F238E27FC236}">
              <a16:creationId xmlns:a16="http://schemas.microsoft.com/office/drawing/2014/main" id="{F304FAD3-B199-4DED-AC6F-088B1F480E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2" name="Elipse 3221">
          <a:extLst>
            <a:ext uri="{FF2B5EF4-FFF2-40B4-BE49-F238E27FC236}">
              <a16:creationId xmlns:a16="http://schemas.microsoft.com/office/drawing/2014/main" id="{5B6D02EC-06CD-443A-B1E4-8B006ADE12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3" name="Elipse 3222">
          <a:extLst>
            <a:ext uri="{FF2B5EF4-FFF2-40B4-BE49-F238E27FC236}">
              <a16:creationId xmlns:a16="http://schemas.microsoft.com/office/drawing/2014/main" id="{B5336728-7918-418E-B796-EA136A60C8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4" name="Elipse 3223">
          <a:extLst>
            <a:ext uri="{FF2B5EF4-FFF2-40B4-BE49-F238E27FC236}">
              <a16:creationId xmlns:a16="http://schemas.microsoft.com/office/drawing/2014/main" id="{46591FF9-16D8-4CA9-A479-2E632EF987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5" name="Elipse 3224">
          <a:extLst>
            <a:ext uri="{FF2B5EF4-FFF2-40B4-BE49-F238E27FC236}">
              <a16:creationId xmlns:a16="http://schemas.microsoft.com/office/drawing/2014/main" id="{E33BCCE1-947C-42F8-892A-D38990E60C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6" name="Elipse 3225">
          <a:extLst>
            <a:ext uri="{FF2B5EF4-FFF2-40B4-BE49-F238E27FC236}">
              <a16:creationId xmlns:a16="http://schemas.microsoft.com/office/drawing/2014/main" id="{C346A270-CC77-45FF-898F-A58A90A5EB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7" name="Elipse 3226">
          <a:extLst>
            <a:ext uri="{FF2B5EF4-FFF2-40B4-BE49-F238E27FC236}">
              <a16:creationId xmlns:a16="http://schemas.microsoft.com/office/drawing/2014/main" id="{E315D2CB-B427-4E75-89F0-28E9BD615C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8" name="Elipse 3227">
          <a:extLst>
            <a:ext uri="{FF2B5EF4-FFF2-40B4-BE49-F238E27FC236}">
              <a16:creationId xmlns:a16="http://schemas.microsoft.com/office/drawing/2014/main" id="{72AB2FC4-99DA-4DC1-ADEF-4478775166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29" name="Elipse 3228">
          <a:extLst>
            <a:ext uri="{FF2B5EF4-FFF2-40B4-BE49-F238E27FC236}">
              <a16:creationId xmlns:a16="http://schemas.microsoft.com/office/drawing/2014/main" id="{9B0F0578-5C6F-4705-AAA7-3BA3873663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0" name="Elipse 3229">
          <a:extLst>
            <a:ext uri="{FF2B5EF4-FFF2-40B4-BE49-F238E27FC236}">
              <a16:creationId xmlns:a16="http://schemas.microsoft.com/office/drawing/2014/main" id="{ED32DBAA-DFF3-41F2-95B9-9049E4F577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1" name="Elipse 3230">
          <a:extLst>
            <a:ext uri="{FF2B5EF4-FFF2-40B4-BE49-F238E27FC236}">
              <a16:creationId xmlns:a16="http://schemas.microsoft.com/office/drawing/2014/main" id="{5261A185-F261-4CA0-B3A9-E12AE33E8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2" name="Elipse 3231">
          <a:extLst>
            <a:ext uri="{FF2B5EF4-FFF2-40B4-BE49-F238E27FC236}">
              <a16:creationId xmlns:a16="http://schemas.microsoft.com/office/drawing/2014/main" id="{75F8627C-42E4-4324-B39F-63014F57A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3" name="Elipse 3232">
          <a:extLst>
            <a:ext uri="{FF2B5EF4-FFF2-40B4-BE49-F238E27FC236}">
              <a16:creationId xmlns:a16="http://schemas.microsoft.com/office/drawing/2014/main" id="{2FB0CD83-C3F2-4091-BFA9-2522D88754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4" name="Elipse 3233">
          <a:extLst>
            <a:ext uri="{FF2B5EF4-FFF2-40B4-BE49-F238E27FC236}">
              <a16:creationId xmlns:a16="http://schemas.microsoft.com/office/drawing/2014/main" id="{F324AA87-4FBF-4541-8FF6-2EE1C38D09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5" name="Elipse 3234">
          <a:extLst>
            <a:ext uri="{FF2B5EF4-FFF2-40B4-BE49-F238E27FC236}">
              <a16:creationId xmlns:a16="http://schemas.microsoft.com/office/drawing/2014/main" id="{2F9D94F8-EABE-4DB5-BF36-37C0FD4FAE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6" name="Elipse 3235">
          <a:extLst>
            <a:ext uri="{FF2B5EF4-FFF2-40B4-BE49-F238E27FC236}">
              <a16:creationId xmlns:a16="http://schemas.microsoft.com/office/drawing/2014/main" id="{CA2AB100-5F55-4C4D-B8B1-2C84FAAA27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7" name="Elipse 3236">
          <a:extLst>
            <a:ext uri="{FF2B5EF4-FFF2-40B4-BE49-F238E27FC236}">
              <a16:creationId xmlns:a16="http://schemas.microsoft.com/office/drawing/2014/main" id="{E8392652-5829-4A8A-AD0F-ABD5F9D678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8" name="Elipse 3237">
          <a:extLst>
            <a:ext uri="{FF2B5EF4-FFF2-40B4-BE49-F238E27FC236}">
              <a16:creationId xmlns:a16="http://schemas.microsoft.com/office/drawing/2014/main" id="{7527679B-7684-408D-A900-8D9FDB0994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39" name="Elipse 3238">
          <a:extLst>
            <a:ext uri="{FF2B5EF4-FFF2-40B4-BE49-F238E27FC236}">
              <a16:creationId xmlns:a16="http://schemas.microsoft.com/office/drawing/2014/main" id="{8161DCFB-F851-42F1-8654-E15283050F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0" name="Elipse 3239">
          <a:extLst>
            <a:ext uri="{FF2B5EF4-FFF2-40B4-BE49-F238E27FC236}">
              <a16:creationId xmlns:a16="http://schemas.microsoft.com/office/drawing/2014/main" id="{375D17A9-1865-4A0A-9C3E-C1AB3E3BD0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1" name="Elipse 3240">
          <a:extLst>
            <a:ext uri="{FF2B5EF4-FFF2-40B4-BE49-F238E27FC236}">
              <a16:creationId xmlns:a16="http://schemas.microsoft.com/office/drawing/2014/main" id="{ED9097BD-B316-4EEF-AB5C-9D02647B72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2" name="Elipse 3241">
          <a:extLst>
            <a:ext uri="{FF2B5EF4-FFF2-40B4-BE49-F238E27FC236}">
              <a16:creationId xmlns:a16="http://schemas.microsoft.com/office/drawing/2014/main" id="{A6CB15BF-9E64-47C5-9413-D3C92171C8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3" name="Elipse 3242">
          <a:extLst>
            <a:ext uri="{FF2B5EF4-FFF2-40B4-BE49-F238E27FC236}">
              <a16:creationId xmlns:a16="http://schemas.microsoft.com/office/drawing/2014/main" id="{161D1E16-6E0B-4B25-AF9D-13A8AA3460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4" name="Elipse 3243">
          <a:extLst>
            <a:ext uri="{FF2B5EF4-FFF2-40B4-BE49-F238E27FC236}">
              <a16:creationId xmlns:a16="http://schemas.microsoft.com/office/drawing/2014/main" id="{D480AA82-91A1-497C-BF19-7595DB5457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5" name="Elipse 3244">
          <a:extLst>
            <a:ext uri="{FF2B5EF4-FFF2-40B4-BE49-F238E27FC236}">
              <a16:creationId xmlns:a16="http://schemas.microsoft.com/office/drawing/2014/main" id="{F35EC3A7-F940-4BC7-AEB8-CA9CA10ACF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6" name="Elipse 3245">
          <a:extLst>
            <a:ext uri="{FF2B5EF4-FFF2-40B4-BE49-F238E27FC236}">
              <a16:creationId xmlns:a16="http://schemas.microsoft.com/office/drawing/2014/main" id="{8D614BF5-F00A-49A8-96C0-940CCBD340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7" name="Elipse 3246">
          <a:extLst>
            <a:ext uri="{FF2B5EF4-FFF2-40B4-BE49-F238E27FC236}">
              <a16:creationId xmlns:a16="http://schemas.microsoft.com/office/drawing/2014/main" id="{AAE282B2-435C-467F-BCFA-B0584FB111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8" name="Elipse 3247">
          <a:extLst>
            <a:ext uri="{FF2B5EF4-FFF2-40B4-BE49-F238E27FC236}">
              <a16:creationId xmlns:a16="http://schemas.microsoft.com/office/drawing/2014/main" id="{704C5CB6-4CC1-4A1F-A783-ED5D9871AD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49" name="Elipse 3248">
          <a:extLst>
            <a:ext uri="{FF2B5EF4-FFF2-40B4-BE49-F238E27FC236}">
              <a16:creationId xmlns:a16="http://schemas.microsoft.com/office/drawing/2014/main" id="{E6E02786-306C-49DD-9AD4-3AA5368A93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0" name="Elipse 3249">
          <a:extLst>
            <a:ext uri="{FF2B5EF4-FFF2-40B4-BE49-F238E27FC236}">
              <a16:creationId xmlns:a16="http://schemas.microsoft.com/office/drawing/2014/main" id="{2AFC0613-D21D-45C2-88F6-2A114AD7F5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1" name="Elipse 3250">
          <a:extLst>
            <a:ext uri="{FF2B5EF4-FFF2-40B4-BE49-F238E27FC236}">
              <a16:creationId xmlns:a16="http://schemas.microsoft.com/office/drawing/2014/main" id="{2AD9105B-47B9-4892-B4AB-8260E15138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2" name="Elipse 3251">
          <a:extLst>
            <a:ext uri="{FF2B5EF4-FFF2-40B4-BE49-F238E27FC236}">
              <a16:creationId xmlns:a16="http://schemas.microsoft.com/office/drawing/2014/main" id="{21EF5141-433D-4256-A00F-9039652A2F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3" name="Elipse 3252">
          <a:extLst>
            <a:ext uri="{FF2B5EF4-FFF2-40B4-BE49-F238E27FC236}">
              <a16:creationId xmlns:a16="http://schemas.microsoft.com/office/drawing/2014/main" id="{ADDBF4D6-A7C1-498D-9762-513605872D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4" name="Elipse 3253">
          <a:extLst>
            <a:ext uri="{FF2B5EF4-FFF2-40B4-BE49-F238E27FC236}">
              <a16:creationId xmlns:a16="http://schemas.microsoft.com/office/drawing/2014/main" id="{E14C926C-FBAF-4600-A5F2-F5BDBA7FC6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5" name="Elipse 3254">
          <a:extLst>
            <a:ext uri="{FF2B5EF4-FFF2-40B4-BE49-F238E27FC236}">
              <a16:creationId xmlns:a16="http://schemas.microsoft.com/office/drawing/2014/main" id="{8BE7C64C-7BEB-4F4C-AB7C-C02B6D8012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6" name="Elipse 3255">
          <a:extLst>
            <a:ext uri="{FF2B5EF4-FFF2-40B4-BE49-F238E27FC236}">
              <a16:creationId xmlns:a16="http://schemas.microsoft.com/office/drawing/2014/main" id="{33BA8E23-3B32-4ABE-B6A1-97C9C13EFD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7" name="Elipse 3256">
          <a:extLst>
            <a:ext uri="{FF2B5EF4-FFF2-40B4-BE49-F238E27FC236}">
              <a16:creationId xmlns:a16="http://schemas.microsoft.com/office/drawing/2014/main" id="{237CA5E1-B735-45BD-A87C-7552949324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8" name="Elipse 3257">
          <a:extLst>
            <a:ext uri="{FF2B5EF4-FFF2-40B4-BE49-F238E27FC236}">
              <a16:creationId xmlns:a16="http://schemas.microsoft.com/office/drawing/2014/main" id="{3071A71D-925E-4648-991B-5FDD9B5017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59" name="Elipse 3258">
          <a:extLst>
            <a:ext uri="{FF2B5EF4-FFF2-40B4-BE49-F238E27FC236}">
              <a16:creationId xmlns:a16="http://schemas.microsoft.com/office/drawing/2014/main" id="{15992A5F-F55A-4974-B0BC-369E7F1E8E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0" name="Elipse 3259">
          <a:extLst>
            <a:ext uri="{FF2B5EF4-FFF2-40B4-BE49-F238E27FC236}">
              <a16:creationId xmlns:a16="http://schemas.microsoft.com/office/drawing/2014/main" id="{4B6BB15A-CB76-4A2A-9F64-A9B0AFA465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1" name="Elipse 3260">
          <a:extLst>
            <a:ext uri="{FF2B5EF4-FFF2-40B4-BE49-F238E27FC236}">
              <a16:creationId xmlns:a16="http://schemas.microsoft.com/office/drawing/2014/main" id="{0E1A3C7D-F6C8-4B45-BBED-9BB7A73A2C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2" name="Elipse 3261">
          <a:extLst>
            <a:ext uri="{FF2B5EF4-FFF2-40B4-BE49-F238E27FC236}">
              <a16:creationId xmlns:a16="http://schemas.microsoft.com/office/drawing/2014/main" id="{1C613453-C795-4CB2-B7D6-35FDA9B8EF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3" name="Elipse 3262">
          <a:extLst>
            <a:ext uri="{FF2B5EF4-FFF2-40B4-BE49-F238E27FC236}">
              <a16:creationId xmlns:a16="http://schemas.microsoft.com/office/drawing/2014/main" id="{92F5D63F-8E0B-4C9D-9380-6A13D7390A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4" name="Elipse 3263">
          <a:extLst>
            <a:ext uri="{FF2B5EF4-FFF2-40B4-BE49-F238E27FC236}">
              <a16:creationId xmlns:a16="http://schemas.microsoft.com/office/drawing/2014/main" id="{AD019DD7-119B-4DCD-8C8F-EF0C5217BC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5" name="Elipse 3264">
          <a:extLst>
            <a:ext uri="{FF2B5EF4-FFF2-40B4-BE49-F238E27FC236}">
              <a16:creationId xmlns:a16="http://schemas.microsoft.com/office/drawing/2014/main" id="{04B0B5BD-279B-404C-ACB2-01AB68D270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6" name="Elipse 3265">
          <a:extLst>
            <a:ext uri="{FF2B5EF4-FFF2-40B4-BE49-F238E27FC236}">
              <a16:creationId xmlns:a16="http://schemas.microsoft.com/office/drawing/2014/main" id="{C3D0909E-F4D4-4522-AF94-87E1FA34E3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7" name="Elipse 3266">
          <a:extLst>
            <a:ext uri="{FF2B5EF4-FFF2-40B4-BE49-F238E27FC236}">
              <a16:creationId xmlns:a16="http://schemas.microsoft.com/office/drawing/2014/main" id="{5A44AB4F-7B24-4EAE-A0BD-46879E283E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8" name="Elipse 3267">
          <a:extLst>
            <a:ext uri="{FF2B5EF4-FFF2-40B4-BE49-F238E27FC236}">
              <a16:creationId xmlns:a16="http://schemas.microsoft.com/office/drawing/2014/main" id="{8AB86F89-3684-48F7-937B-2F5606144E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69" name="Elipse 3268">
          <a:extLst>
            <a:ext uri="{FF2B5EF4-FFF2-40B4-BE49-F238E27FC236}">
              <a16:creationId xmlns:a16="http://schemas.microsoft.com/office/drawing/2014/main" id="{9EA88714-D889-4CEB-AFBB-D6D1BAA786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0" name="Elipse 3269">
          <a:extLst>
            <a:ext uri="{FF2B5EF4-FFF2-40B4-BE49-F238E27FC236}">
              <a16:creationId xmlns:a16="http://schemas.microsoft.com/office/drawing/2014/main" id="{01DFF907-4C41-47AC-B9EF-75A6534B52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1" name="Elipse 3270">
          <a:extLst>
            <a:ext uri="{FF2B5EF4-FFF2-40B4-BE49-F238E27FC236}">
              <a16:creationId xmlns:a16="http://schemas.microsoft.com/office/drawing/2014/main" id="{E28F28F8-4A94-49FE-A262-D7C1B48CE8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2" name="Elipse 3271">
          <a:extLst>
            <a:ext uri="{FF2B5EF4-FFF2-40B4-BE49-F238E27FC236}">
              <a16:creationId xmlns:a16="http://schemas.microsoft.com/office/drawing/2014/main" id="{BF145550-3FAE-4257-BED1-74F9C9D45B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3" name="Elipse 3272">
          <a:extLst>
            <a:ext uri="{FF2B5EF4-FFF2-40B4-BE49-F238E27FC236}">
              <a16:creationId xmlns:a16="http://schemas.microsoft.com/office/drawing/2014/main" id="{0C63C2CA-CDF5-4AEA-8469-40A0EA54A2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4" name="Elipse 3273">
          <a:extLst>
            <a:ext uri="{FF2B5EF4-FFF2-40B4-BE49-F238E27FC236}">
              <a16:creationId xmlns:a16="http://schemas.microsoft.com/office/drawing/2014/main" id="{86261016-8240-4812-B0BA-6DA18E9D96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5" name="Elipse 3274">
          <a:extLst>
            <a:ext uri="{FF2B5EF4-FFF2-40B4-BE49-F238E27FC236}">
              <a16:creationId xmlns:a16="http://schemas.microsoft.com/office/drawing/2014/main" id="{7D8C1AAC-F2D4-4E6B-A8E3-9C0BC2592E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6" name="Elipse 3275">
          <a:extLst>
            <a:ext uri="{FF2B5EF4-FFF2-40B4-BE49-F238E27FC236}">
              <a16:creationId xmlns:a16="http://schemas.microsoft.com/office/drawing/2014/main" id="{51526358-F1BE-4FD6-9E7A-F26E34D331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7" name="Elipse 3276">
          <a:extLst>
            <a:ext uri="{FF2B5EF4-FFF2-40B4-BE49-F238E27FC236}">
              <a16:creationId xmlns:a16="http://schemas.microsoft.com/office/drawing/2014/main" id="{2B9EF8B6-7D9D-480D-9856-F5EDC10454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8" name="Elipse 3277">
          <a:extLst>
            <a:ext uri="{FF2B5EF4-FFF2-40B4-BE49-F238E27FC236}">
              <a16:creationId xmlns:a16="http://schemas.microsoft.com/office/drawing/2014/main" id="{5BFC6182-9EAE-42C5-9029-E176CFF14D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79" name="Elipse 3278">
          <a:extLst>
            <a:ext uri="{FF2B5EF4-FFF2-40B4-BE49-F238E27FC236}">
              <a16:creationId xmlns:a16="http://schemas.microsoft.com/office/drawing/2014/main" id="{EE60532D-323F-4673-B710-9E6250532E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0" name="Elipse 3279">
          <a:extLst>
            <a:ext uri="{FF2B5EF4-FFF2-40B4-BE49-F238E27FC236}">
              <a16:creationId xmlns:a16="http://schemas.microsoft.com/office/drawing/2014/main" id="{111AB008-F050-4524-814C-876701CDB2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1" name="Elipse 3280">
          <a:extLst>
            <a:ext uri="{FF2B5EF4-FFF2-40B4-BE49-F238E27FC236}">
              <a16:creationId xmlns:a16="http://schemas.microsoft.com/office/drawing/2014/main" id="{B4854F4E-11B5-4022-8D24-BBD387EDED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2" name="Elipse 3281">
          <a:extLst>
            <a:ext uri="{FF2B5EF4-FFF2-40B4-BE49-F238E27FC236}">
              <a16:creationId xmlns:a16="http://schemas.microsoft.com/office/drawing/2014/main" id="{6D058A7F-7CAA-4BAA-8F14-5E7F72D63C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3" name="Elipse 3282">
          <a:extLst>
            <a:ext uri="{FF2B5EF4-FFF2-40B4-BE49-F238E27FC236}">
              <a16:creationId xmlns:a16="http://schemas.microsoft.com/office/drawing/2014/main" id="{814A6F3D-3821-4A25-99A1-257E8062F9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4" name="Elipse 3283">
          <a:extLst>
            <a:ext uri="{FF2B5EF4-FFF2-40B4-BE49-F238E27FC236}">
              <a16:creationId xmlns:a16="http://schemas.microsoft.com/office/drawing/2014/main" id="{A824C1B8-E148-4C3D-BD69-10D303777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5" name="Elipse 3284">
          <a:extLst>
            <a:ext uri="{FF2B5EF4-FFF2-40B4-BE49-F238E27FC236}">
              <a16:creationId xmlns:a16="http://schemas.microsoft.com/office/drawing/2014/main" id="{A0466D9F-4437-4956-A5E5-BA1590DE3E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6" name="Elipse 3285">
          <a:extLst>
            <a:ext uri="{FF2B5EF4-FFF2-40B4-BE49-F238E27FC236}">
              <a16:creationId xmlns:a16="http://schemas.microsoft.com/office/drawing/2014/main" id="{C6AD8C04-A747-499B-8252-703599E0A3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7" name="Elipse 3286">
          <a:extLst>
            <a:ext uri="{FF2B5EF4-FFF2-40B4-BE49-F238E27FC236}">
              <a16:creationId xmlns:a16="http://schemas.microsoft.com/office/drawing/2014/main" id="{FB507B48-6F98-4256-8B6C-F18EC6216C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8" name="Elipse 3287">
          <a:extLst>
            <a:ext uri="{FF2B5EF4-FFF2-40B4-BE49-F238E27FC236}">
              <a16:creationId xmlns:a16="http://schemas.microsoft.com/office/drawing/2014/main" id="{56153EA7-7D93-48AD-A0AC-A96050B1A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89" name="Elipse 3288">
          <a:extLst>
            <a:ext uri="{FF2B5EF4-FFF2-40B4-BE49-F238E27FC236}">
              <a16:creationId xmlns:a16="http://schemas.microsoft.com/office/drawing/2014/main" id="{F576B0C4-DF0F-4594-AEA4-F0BD3ED543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0" name="Elipse 3289">
          <a:extLst>
            <a:ext uri="{FF2B5EF4-FFF2-40B4-BE49-F238E27FC236}">
              <a16:creationId xmlns:a16="http://schemas.microsoft.com/office/drawing/2014/main" id="{6FC40A31-FD2D-4726-8959-8618E60AA3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1" name="Elipse 3290">
          <a:extLst>
            <a:ext uri="{FF2B5EF4-FFF2-40B4-BE49-F238E27FC236}">
              <a16:creationId xmlns:a16="http://schemas.microsoft.com/office/drawing/2014/main" id="{C6435220-A5DE-42B8-81EA-735ADFECAD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2" name="Elipse 3291">
          <a:extLst>
            <a:ext uri="{FF2B5EF4-FFF2-40B4-BE49-F238E27FC236}">
              <a16:creationId xmlns:a16="http://schemas.microsoft.com/office/drawing/2014/main" id="{A094C60A-4BD0-46E9-973F-962DE6AA9A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3" name="Elipse 3292">
          <a:extLst>
            <a:ext uri="{FF2B5EF4-FFF2-40B4-BE49-F238E27FC236}">
              <a16:creationId xmlns:a16="http://schemas.microsoft.com/office/drawing/2014/main" id="{29108F4F-5EE0-4286-9A86-B3B48C7334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4" name="Elipse 3293">
          <a:extLst>
            <a:ext uri="{FF2B5EF4-FFF2-40B4-BE49-F238E27FC236}">
              <a16:creationId xmlns:a16="http://schemas.microsoft.com/office/drawing/2014/main" id="{43E062DF-DEC7-4F7F-8721-3C86BB8E81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5" name="Elipse 3294">
          <a:extLst>
            <a:ext uri="{FF2B5EF4-FFF2-40B4-BE49-F238E27FC236}">
              <a16:creationId xmlns:a16="http://schemas.microsoft.com/office/drawing/2014/main" id="{BCF40AB8-8C87-4F84-947C-2FF6D548A2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6" name="Elipse 3295">
          <a:extLst>
            <a:ext uri="{FF2B5EF4-FFF2-40B4-BE49-F238E27FC236}">
              <a16:creationId xmlns:a16="http://schemas.microsoft.com/office/drawing/2014/main" id="{AF44E015-A6E6-4D91-85C4-5CEEC9C6E0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7" name="Elipse 3296">
          <a:extLst>
            <a:ext uri="{FF2B5EF4-FFF2-40B4-BE49-F238E27FC236}">
              <a16:creationId xmlns:a16="http://schemas.microsoft.com/office/drawing/2014/main" id="{C478F7BB-A823-4EDB-B049-B0D026C591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8" name="Elipse 3297">
          <a:extLst>
            <a:ext uri="{FF2B5EF4-FFF2-40B4-BE49-F238E27FC236}">
              <a16:creationId xmlns:a16="http://schemas.microsoft.com/office/drawing/2014/main" id="{F7BFC885-F6A7-4ED1-BCD6-7EA47977A3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99" name="Elipse 3298">
          <a:extLst>
            <a:ext uri="{FF2B5EF4-FFF2-40B4-BE49-F238E27FC236}">
              <a16:creationId xmlns:a16="http://schemas.microsoft.com/office/drawing/2014/main" id="{48A3D53F-B90F-4F97-B3BC-BCC1FFB1AF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0" name="Elipse 3299">
          <a:extLst>
            <a:ext uri="{FF2B5EF4-FFF2-40B4-BE49-F238E27FC236}">
              <a16:creationId xmlns:a16="http://schemas.microsoft.com/office/drawing/2014/main" id="{B76A32DF-0F0E-493B-8FD1-9609CC8BC3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1" name="Elipse 3300">
          <a:extLst>
            <a:ext uri="{FF2B5EF4-FFF2-40B4-BE49-F238E27FC236}">
              <a16:creationId xmlns:a16="http://schemas.microsoft.com/office/drawing/2014/main" id="{3C548E1C-9E8D-4B30-B6CD-610CFD04AA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2" name="Elipse 3301">
          <a:extLst>
            <a:ext uri="{FF2B5EF4-FFF2-40B4-BE49-F238E27FC236}">
              <a16:creationId xmlns:a16="http://schemas.microsoft.com/office/drawing/2014/main" id="{438EE874-C6FE-4B70-BC5B-9C85A1A91A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3" name="Elipse 3302">
          <a:extLst>
            <a:ext uri="{FF2B5EF4-FFF2-40B4-BE49-F238E27FC236}">
              <a16:creationId xmlns:a16="http://schemas.microsoft.com/office/drawing/2014/main" id="{D8F9AAE2-1319-4BFA-AEAE-CF5B3CC6CA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4" name="Elipse 3303">
          <a:extLst>
            <a:ext uri="{FF2B5EF4-FFF2-40B4-BE49-F238E27FC236}">
              <a16:creationId xmlns:a16="http://schemas.microsoft.com/office/drawing/2014/main" id="{FCC62A49-3C33-48E4-A9EC-455350FFDA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5" name="Elipse 3304">
          <a:extLst>
            <a:ext uri="{FF2B5EF4-FFF2-40B4-BE49-F238E27FC236}">
              <a16:creationId xmlns:a16="http://schemas.microsoft.com/office/drawing/2014/main" id="{35E5E554-DEA5-449A-A1C7-D8401ACB7F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6" name="Elipse 3305">
          <a:extLst>
            <a:ext uri="{FF2B5EF4-FFF2-40B4-BE49-F238E27FC236}">
              <a16:creationId xmlns:a16="http://schemas.microsoft.com/office/drawing/2014/main" id="{E61D2B18-10CD-4F2A-8DAF-CB772D0DF6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7" name="Elipse 3306">
          <a:extLst>
            <a:ext uri="{FF2B5EF4-FFF2-40B4-BE49-F238E27FC236}">
              <a16:creationId xmlns:a16="http://schemas.microsoft.com/office/drawing/2014/main" id="{2A023741-E083-46C4-81BF-3AB8D1142B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8" name="Elipse 3307">
          <a:extLst>
            <a:ext uri="{FF2B5EF4-FFF2-40B4-BE49-F238E27FC236}">
              <a16:creationId xmlns:a16="http://schemas.microsoft.com/office/drawing/2014/main" id="{E58276E6-9654-4B58-91B1-DEE5BF8808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09" name="Elipse 3308">
          <a:extLst>
            <a:ext uri="{FF2B5EF4-FFF2-40B4-BE49-F238E27FC236}">
              <a16:creationId xmlns:a16="http://schemas.microsoft.com/office/drawing/2014/main" id="{1B511E09-7AEF-478E-ADC2-8D4EAA6625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0" name="Elipse 3309">
          <a:extLst>
            <a:ext uri="{FF2B5EF4-FFF2-40B4-BE49-F238E27FC236}">
              <a16:creationId xmlns:a16="http://schemas.microsoft.com/office/drawing/2014/main" id="{321AD5D9-325E-4EB5-9B46-EE4EA20096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1" name="Elipse 3310">
          <a:extLst>
            <a:ext uri="{FF2B5EF4-FFF2-40B4-BE49-F238E27FC236}">
              <a16:creationId xmlns:a16="http://schemas.microsoft.com/office/drawing/2014/main" id="{9E3013F8-2C96-46B8-BD7F-408DD804AD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2" name="Elipse 3311">
          <a:extLst>
            <a:ext uri="{FF2B5EF4-FFF2-40B4-BE49-F238E27FC236}">
              <a16:creationId xmlns:a16="http://schemas.microsoft.com/office/drawing/2014/main" id="{D1B63078-AA2F-4B2C-BDAD-7D99CD246C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3" name="Elipse 3312">
          <a:extLst>
            <a:ext uri="{FF2B5EF4-FFF2-40B4-BE49-F238E27FC236}">
              <a16:creationId xmlns:a16="http://schemas.microsoft.com/office/drawing/2014/main" id="{9AEF48DB-3ABD-4A43-B158-9F6D191D84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4" name="Elipse 3313">
          <a:extLst>
            <a:ext uri="{FF2B5EF4-FFF2-40B4-BE49-F238E27FC236}">
              <a16:creationId xmlns:a16="http://schemas.microsoft.com/office/drawing/2014/main" id="{F2CF209E-3343-4D18-8CAD-A3A4E066B9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5" name="Elipse 3314">
          <a:extLst>
            <a:ext uri="{FF2B5EF4-FFF2-40B4-BE49-F238E27FC236}">
              <a16:creationId xmlns:a16="http://schemas.microsoft.com/office/drawing/2014/main" id="{75AD260A-6A5D-4054-A16F-6CA0891621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6" name="Elipse 3315">
          <a:extLst>
            <a:ext uri="{FF2B5EF4-FFF2-40B4-BE49-F238E27FC236}">
              <a16:creationId xmlns:a16="http://schemas.microsoft.com/office/drawing/2014/main" id="{885D1DC3-421C-40C4-B1BC-33124F94B7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7" name="Elipse 3316">
          <a:extLst>
            <a:ext uri="{FF2B5EF4-FFF2-40B4-BE49-F238E27FC236}">
              <a16:creationId xmlns:a16="http://schemas.microsoft.com/office/drawing/2014/main" id="{19C35A39-D732-4488-AD89-AE4AD00035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8" name="Elipse 3317">
          <a:extLst>
            <a:ext uri="{FF2B5EF4-FFF2-40B4-BE49-F238E27FC236}">
              <a16:creationId xmlns:a16="http://schemas.microsoft.com/office/drawing/2014/main" id="{11A83510-74F0-4184-BDCB-4159B3E324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19" name="Elipse 3318">
          <a:extLst>
            <a:ext uri="{FF2B5EF4-FFF2-40B4-BE49-F238E27FC236}">
              <a16:creationId xmlns:a16="http://schemas.microsoft.com/office/drawing/2014/main" id="{F9D4310B-08AD-4B4E-B292-1C53E84BF2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0" name="Elipse 3319">
          <a:extLst>
            <a:ext uri="{FF2B5EF4-FFF2-40B4-BE49-F238E27FC236}">
              <a16:creationId xmlns:a16="http://schemas.microsoft.com/office/drawing/2014/main" id="{B98629D0-E544-4F3E-A6B7-AF515ECE9B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1" name="Elipse 3320">
          <a:extLst>
            <a:ext uri="{FF2B5EF4-FFF2-40B4-BE49-F238E27FC236}">
              <a16:creationId xmlns:a16="http://schemas.microsoft.com/office/drawing/2014/main" id="{1C28B341-71FC-4C59-B4B9-EDAA992AC8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2" name="Elipse 3321">
          <a:extLst>
            <a:ext uri="{FF2B5EF4-FFF2-40B4-BE49-F238E27FC236}">
              <a16:creationId xmlns:a16="http://schemas.microsoft.com/office/drawing/2014/main" id="{77B86808-097C-408B-9A89-2249A49772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3" name="Elipse 3322">
          <a:extLst>
            <a:ext uri="{FF2B5EF4-FFF2-40B4-BE49-F238E27FC236}">
              <a16:creationId xmlns:a16="http://schemas.microsoft.com/office/drawing/2014/main" id="{E3F9FCEF-DDE0-4D04-9907-86FE748B7B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4" name="Elipse 3323">
          <a:extLst>
            <a:ext uri="{FF2B5EF4-FFF2-40B4-BE49-F238E27FC236}">
              <a16:creationId xmlns:a16="http://schemas.microsoft.com/office/drawing/2014/main" id="{C5B90189-096A-473C-B7C9-9994A65E3A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5" name="Elipse 3324">
          <a:extLst>
            <a:ext uri="{FF2B5EF4-FFF2-40B4-BE49-F238E27FC236}">
              <a16:creationId xmlns:a16="http://schemas.microsoft.com/office/drawing/2014/main" id="{14D6EF1C-E0A8-4CB3-93ED-84B3E2AE21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6" name="Elipse 3325">
          <a:extLst>
            <a:ext uri="{FF2B5EF4-FFF2-40B4-BE49-F238E27FC236}">
              <a16:creationId xmlns:a16="http://schemas.microsoft.com/office/drawing/2014/main" id="{4A0A316C-6672-4782-A3E5-002A4895D4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7" name="Elipse 3326">
          <a:extLst>
            <a:ext uri="{FF2B5EF4-FFF2-40B4-BE49-F238E27FC236}">
              <a16:creationId xmlns:a16="http://schemas.microsoft.com/office/drawing/2014/main" id="{2DF428C9-9D7A-4949-935C-0522A5379B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8" name="Elipse 3327">
          <a:extLst>
            <a:ext uri="{FF2B5EF4-FFF2-40B4-BE49-F238E27FC236}">
              <a16:creationId xmlns:a16="http://schemas.microsoft.com/office/drawing/2014/main" id="{CCAA7581-EE60-40B8-92C6-F00BFA8C2D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29" name="Elipse 3328">
          <a:extLst>
            <a:ext uri="{FF2B5EF4-FFF2-40B4-BE49-F238E27FC236}">
              <a16:creationId xmlns:a16="http://schemas.microsoft.com/office/drawing/2014/main" id="{18D721F3-3CEB-4A08-B2D3-D637F4AC88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0" name="Elipse 3329">
          <a:extLst>
            <a:ext uri="{FF2B5EF4-FFF2-40B4-BE49-F238E27FC236}">
              <a16:creationId xmlns:a16="http://schemas.microsoft.com/office/drawing/2014/main" id="{294AE71B-BDC8-436A-9AD1-D18417CE8B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1" name="Elipse 3330">
          <a:extLst>
            <a:ext uri="{FF2B5EF4-FFF2-40B4-BE49-F238E27FC236}">
              <a16:creationId xmlns:a16="http://schemas.microsoft.com/office/drawing/2014/main" id="{01C91918-A9DB-4355-AFA8-61F6CA9C5E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2" name="Elipse 3331">
          <a:extLst>
            <a:ext uri="{FF2B5EF4-FFF2-40B4-BE49-F238E27FC236}">
              <a16:creationId xmlns:a16="http://schemas.microsoft.com/office/drawing/2014/main" id="{91E3B2B8-37AB-478A-AA60-3E55DD51AE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3" name="Elipse 3332">
          <a:extLst>
            <a:ext uri="{FF2B5EF4-FFF2-40B4-BE49-F238E27FC236}">
              <a16:creationId xmlns:a16="http://schemas.microsoft.com/office/drawing/2014/main" id="{2FF114FB-EC07-4CC4-91FD-F89776F40C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4" name="Elipse 3333">
          <a:extLst>
            <a:ext uri="{FF2B5EF4-FFF2-40B4-BE49-F238E27FC236}">
              <a16:creationId xmlns:a16="http://schemas.microsoft.com/office/drawing/2014/main" id="{B3B05640-67F3-4C4B-95BF-8B0EC95D55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5" name="Elipse 3334">
          <a:extLst>
            <a:ext uri="{FF2B5EF4-FFF2-40B4-BE49-F238E27FC236}">
              <a16:creationId xmlns:a16="http://schemas.microsoft.com/office/drawing/2014/main" id="{D1CF9C48-3DAB-49B7-9146-E72A6DAD6C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6" name="Elipse 3335">
          <a:extLst>
            <a:ext uri="{FF2B5EF4-FFF2-40B4-BE49-F238E27FC236}">
              <a16:creationId xmlns:a16="http://schemas.microsoft.com/office/drawing/2014/main" id="{744A5634-3147-43F4-B617-6DA851BC4F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7" name="Elipse 3336">
          <a:extLst>
            <a:ext uri="{FF2B5EF4-FFF2-40B4-BE49-F238E27FC236}">
              <a16:creationId xmlns:a16="http://schemas.microsoft.com/office/drawing/2014/main" id="{7F044218-090F-48E4-8C13-F706CC68E2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8" name="Elipse 3337">
          <a:extLst>
            <a:ext uri="{FF2B5EF4-FFF2-40B4-BE49-F238E27FC236}">
              <a16:creationId xmlns:a16="http://schemas.microsoft.com/office/drawing/2014/main" id="{39CCC6DD-99D3-4193-99F5-2C69BB6E46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39" name="Elipse 3338">
          <a:extLst>
            <a:ext uri="{FF2B5EF4-FFF2-40B4-BE49-F238E27FC236}">
              <a16:creationId xmlns:a16="http://schemas.microsoft.com/office/drawing/2014/main" id="{6828EDDF-14E4-455F-AC93-98F6E938F9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0" name="Elipse 3339">
          <a:extLst>
            <a:ext uri="{FF2B5EF4-FFF2-40B4-BE49-F238E27FC236}">
              <a16:creationId xmlns:a16="http://schemas.microsoft.com/office/drawing/2014/main" id="{412230DE-72F0-4BEC-B8DF-6F69F0D64D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1" name="Elipse 3340">
          <a:extLst>
            <a:ext uri="{FF2B5EF4-FFF2-40B4-BE49-F238E27FC236}">
              <a16:creationId xmlns:a16="http://schemas.microsoft.com/office/drawing/2014/main" id="{44EA94E4-684B-4DEC-A8BF-51E0B8F286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2" name="Elipse 3341">
          <a:extLst>
            <a:ext uri="{FF2B5EF4-FFF2-40B4-BE49-F238E27FC236}">
              <a16:creationId xmlns:a16="http://schemas.microsoft.com/office/drawing/2014/main" id="{EB8DE819-AD30-41B1-A1C8-196BD3EB25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3" name="Elipse 3342">
          <a:extLst>
            <a:ext uri="{FF2B5EF4-FFF2-40B4-BE49-F238E27FC236}">
              <a16:creationId xmlns:a16="http://schemas.microsoft.com/office/drawing/2014/main" id="{63C585E4-B7F4-4BCA-A1BF-762202285B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4" name="Elipse 3343">
          <a:extLst>
            <a:ext uri="{FF2B5EF4-FFF2-40B4-BE49-F238E27FC236}">
              <a16:creationId xmlns:a16="http://schemas.microsoft.com/office/drawing/2014/main" id="{8AEE0FD3-B4BF-443B-8C40-C2BD97829C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5" name="Elipse 3344">
          <a:extLst>
            <a:ext uri="{FF2B5EF4-FFF2-40B4-BE49-F238E27FC236}">
              <a16:creationId xmlns:a16="http://schemas.microsoft.com/office/drawing/2014/main" id="{F5209623-8B13-42BC-903A-C6E7D54639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6" name="Elipse 3345">
          <a:extLst>
            <a:ext uri="{FF2B5EF4-FFF2-40B4-BE49-F238E27FC236}">
              <a16:creationId xmlns:a16="http://schemas.microsoft.com/office/drawing/2014/main" id="{53B95E14-B28C-44D2-98F2-A2EF56A450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7" name="Elipse 3346">
          <a:extLst>
            <a:ext uri="{FF2B5EF4-FFF2-40B4-BE49-F238E27FC236}">
              <a16:creationId xmlns:a16="http://schemas.microsoft.com/office/drawing/2014/main" id="{F0F45233-5043-4940-84F2-D3329C435E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8" name="Elipse 3347">
          <a:extLst>
            <a:ext uri="{FF2B5EF4-FFF2-40B4-BE49-F238E27FC236}">
              <a16:creationId xmlns:a16="http://schemas.microsoft.com/office/drawing/2014/main" id="{7CFE112B-7CF0-439A-BCF6-1B50C27B9F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49" name="Elipse 3348">
          <a:extLst>
            <a:ext uri="{FF2B5EF4-FFF2-40B4-BE49-F238E27FC236}">
              <a16:creationId xmlns:a16="http://schemas.microsoft.com/office/drawing/2014/main" id="{97BB4B0A-2DB6-44CB-BDDB-79EB426EBF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0" name="Elipse 3349">
          <a:extLst>
            <a:ext uri="{FF2B5EF4-FFF2-40B4-BE49-F238E27FC236}">
              <a16:creationId xmlns:a16="http://schemas.microsoft.com/office/drawing/2014/main" id="{8CFF185E-9514-4079-98A7-499A37E6E8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1" name="Elipse 3350">
          <a:extLst>
            <a:ext uri="{FF2B5EF4-FFF2-40B4-BE49-F238E27FC236}">
              <a16:creationId xmlns:a16="http://schemas.microsoft.com/office/drawing/2014/main" id="{BCE99BBC-B6FD-4746-882D-11561119AF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2" name="Elipse 3351">
          <a:extLst>
            <a:ext uri="{FF2B5EF4-FFF2-40B4-BE49-F238E27FC236}">
              <a16:creationId xmlns:a16="http://schemas.microsoft.com/office/drawing/2014/main" id="{A2527A07-C3A2-4F2E-87F6-DF4A489A65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3" name="Elipse 3352">
          <a:extLst>
            <a:ext uri="{FF2B5EF4-FFF2-40B4-BE49-F238E27FC236}">
              <a16:creationId xmlns:a16="http://schemas.microsoft.com/office/drawing/2014/main" id="{002360DA-DF0F-4ACD-9015-865D73E8B8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4" name="Elipse 3353">
          <a:extLst>
            <a:ext uri="{FF2B5EF4-FFF2-40B4-BE49-F238E27FC236}">
              <a16:creationId xmlns:a16="http://schemas.microsoft.com/office/drawing/2014/main" id="{2124A83F-D640-4AEF-97E7-0AE67C0B5A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5" name="Elipse 3354">
          <a:extLst>
            <a:ext uri="{FF2B5EF4-FFF2-40B4-BE49-F238E27FC236}">
              <a16:creationId xmlns:a16="http://schemas.microsoft.com/office/drawing/2014/main" id="{28E0619E-FD07-4FC1-9FD8-A83A3FD8C2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6" name="Elipse 3355">
          <a:extLst>
            <a:ext uri="{FF2B5EF4-FFF2-40B4-BE49-F238E27FC236}">
              <a16:creationId xmlns:a16="http://schemas.microsoft.com/office/drawing/2014/main" id="{D06C3E6D-11F6-4316-B8DA-511B761527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7" name="Elipse 3356">
          <a:extLst>
            <a:ext uri="{FF2B5EF4-FFF2-40B4-BE49-F238E27FC236}">
              <a16:creationId xmlns:a16="http://schemas.microsoft.com/office/drawing/2014/main" id="{07A48A81-071E-4D63-B575-55BA8F0F70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8" name="Elipse 3357">
          <a:extLst>
            <a:ext uri="{FF2B5EF4-FFF2-40B4-BE49-F238E27FC236}">
              <a16:creationId xmlns:a16="http://schemas.microsoft.com/office/drawing/2014/main" id="{187E9967-7412-4641-8A05-C48F208482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59" name="Elipse 3358">
          <a:extLst>
            <a:ext uri="{FF2B5EF4-FFF2-40B4-BE49-F238E27FC236}">
              <a16:creationId xmlns:a16="http://schemas.microsoft.com/office/drawing/2014/main" id="{767D72F4-19E4-4CDF-A5B3-7C49E53686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0" name="Elipse 3359">
          <a:extLst>
            <a:ext uri="{FF2B5EF4-FFF2-40B4-BE49-F238E27FC236}">
              <a16:creationId xmlns:a16="http://schemas.microsoft.com/office/drawing/2014/main" id="{1436F935-D58F-49D6-B7C8-86DBB3E51C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1" name="Elipse 3360">
          <a:extLst>
            <a:ext uri="{FF2B5EF4-FFF2-40B4-BE49-F238E27FC236}">
              <a16:creationId xmlns:a16="http://schemas.microsoft.com/office/drawing/2014/main" id="{E9EC6048-B596-4585-A021-F94BE76934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2" name="Elipse 3361">
          <a:extLst>
            <a:ext uri="{FF2B5EF4-FFF2-40B4-BE49-F238E27FC236}">
              <a16:creationId xmlns:a16="http://schemas.microsoft.com/office/drawing/2014/main" id="{BA450B9A-FC97-42D3-BC2E-A32F3282C8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3" name="Elipse 3362">
          <a:extLst>
            <a:ext uri="{FF2B5EF4-FFF2-40B4-BE49-F238E27FC236}">
              <a16:creationId xmlns:a16="http://schemas.microsoft.com/office/drawing/2014/main" id="{F03B18FA-3476-44CB-8E5E-CF1C666FE3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4" name="Elipse 3363">
          <a:extLst>
            <a:ext uri="{FF2B5EF4-FFF2-40B4-BE49-F238E27FC236}">
              <a16:creationId xmlns:a16="http://schemas.microsoft.com/office/drawing/2014/main" id="{2960A1D1-E63A-4C0C-8E3C-7B10EA549A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5" name="Elipse 3364">
          <a:extLst>
            <a:ext uri="{FF2B5EF4-FFF2-40B4-BE49-F238E27FC236}">
              <a16:creationId xmlns:a16="http://schemas.microsoft.com/office/drawing/2014/main" id="{6DB8D36D-FF5E-4FE4-A092-5113009DC2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6" name="Elipse 3365">
          <a:extLst>
            <a:ext uri="{FF2B5EF4-FFF2-40B4-BE49-F238E27FC236}">
              <a16:creationId xmlns:a16="http://schemas.microsoft.com/office/drawing/2014/main" id="{6D8B1DAE-612D-4AB4-B671-E8CFDE13FF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7" name="Elipse 3366">
          <a:extLst>
            <a:ext uri="{FF2B5EF4-FFF2-40B4-BE49-F238E27FC236}">
              <a16:creationId xmlns:a16="http://schemas.microsoft.com/office/drawing/2014/main" id="{05F8212F-327D-4483-BF81-6C64E0D236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8" name="Elipse 3367">
          <a:extLst>
            <a:ext uri="{FF2B5EF4-FFF2-40B4-BE49-F238E27FC236}">
              <a16:creationId xmlns:a16="http://schemas.microsoft.com/office/drawing/2014/main" id="{B4D573F9-1688-4C31-B431-1093027719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69" name="Elipse 3368">
          <a:extLst>
            <a:ext uri="{FF2B5EF4-FFF2-40B4-BE49-F238E27FC236}">
              <a16:creationId xmlns:a16="http://schemas.microsoft.com/office/drawing/2014/main" id="{73129773-7882-4BFE-BA03-3CC15B3BC8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0" name="Elipse 3369">
          <a:extLst>
            <a:ext uri="{FF2B5EF4-FFF2-40B4-BE49-F238E27FC236}">
              <a16:creationId xmlns:a16="http://schemas.microsoft.com/office/drawing/2014/main" id="{5B36AFEC-BEB8-4F8D-92B5-64E534C244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1" name="Elipse 3370">
          <a:extLst>
            <a:ext uri="{FF2B5EF4-FFF2-40B4-BE49-F238E27FC236}">
              <a16:creationId xmlns:a16="http://schemas.microsoft.com/office/drawing/2014/main" id="{F49CBBB8-7472-4077-BA10-AD74079932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2" name="Elipse 3371">
          <a:extLst>
            <a:ext uri="{FF2B5EF4-FFF2-40B4-BE49-F238E27FC236}">
              <a16:creationId xmlns:a16="http://schemas.microsoft.com/office/drawing/2014/main" id="{101145A2-4FEC-48FF-81A2-60EDBE95ED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3" name="Elipse 3372">
          <a:extLst>
            <a:ext uri="{FF2B5EF4-FFF2-40B4-BE49-F238E27FC236}">
              <a16:creationId xmlns:a16="http://schemas.microsoft.com/office/drawing/2014/main" id="{8D85E3BD-8021-4504-8CBE-B2453CDA9E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4" name="Elipse 3373">
          <a:extLst>
            <a:ext uri="{FF2B5EF4-FFF2-40B4-BE49-F238E27FC236}">
              <a16:creationId xmlns:a16="http://schemas.microsoft.com/office/drawing/2014/main" id="{955D3898-1C98-4B04-A633-DBDE954900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5" name="Elipse 3374">
          <a:extLst>
            <a:ext uri="{FF2B5EF4-FFF2-40B4-BE49-F238E27FC236}">
              <a16:creationId xmlns:a16="http://schemas.microsoft.com/office/drawing/2014/main" id="{585D9F42-0458-43CB-B91A-C3C7E69F7F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6" name="Elipse 3375">
          <a:extLst>
            <a:ext uri="{FF2B5EF4-FFF2-40B4-BE49-F238E27FC236}">
              <a16:creationId xmlns:a16="http://schemas.microsoft.com/office/drawing/2014/main" id="{39E9B223-0F9F-4B60-AD4E-88E500B9AC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7" name="Elipse 3376">
          <a:extLst>
            <a:ext uri="{FF2B5EF4-FFF2-40B4-BE49-F238E27FC236}">
              <a16:creationId xmlns:a16="http://schemas.microsoft.com/office/drawing/2014/main" id="{13391F91-8A02-46AB-8824-D817E92416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8" name="Elipse 3377">
          <a:extLst>
            <a:ext uri="{FF2B5EF4-FFF2-40B4-BE49-F238E27FC236}">
              <a16:creationId xmlns:a16="http://schemas.microsoft.com/office/drawing/2014/main" id="{42B77284-7A54-4182-9188-8DF02FE42B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79" name="Elipse 3378">
          <a:extLst>
            <a:ext uri="{FF2B5EF4-FFF2-40B4-BE49-F238E27FC236}">
              <a16:creationId xmlns:a16="http://schemas.microsoft.com/office/drawing/2014/main" id="{3503E5A5-44C6-4C27-AC0A-8ABCEC01DE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0" name="Elipse 3379">
          <a:extLst>
            <a:ext uri="{FF2B5EF4-FFF2-40B4-BE49-F238E27FC236}">
              <a16:creationId xmlns:a16="http://schemas.microsoft.com/office/drawing/2014/main" id="{F541C315-FA9E-4D78-B0D0-57C4465A66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1" name="Elipse 3380">
          <a:extLst>
            <a:ext uri="{FF2B5EF4-FFF2-40B4-BE49-F238E27FC236}">
              <a16:creationId xmlns:a16="http://schemas.microsoft.com/office/drawing/2014/main" id="{3935138D-90CD-41FE-8DBC-09D1A5D6B0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2" name="Elipse 3381">
          <a:extLst>
            <a:ext uri="{FF2B5EF4-FFF2-40B4-BE49-F238E27FC236}">
              <a16:creationId xmlns:a16="http://schemas.microsoft.com/office/drawing/2014/main" id="{EDD8A179-7452-4D6E-9F70-FB14FBFD4F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3" name="Elipse 3382">
          <a:extLst>
            <a:ext uri="{FF2B5EF4-FFF2-40B4-BE49-F238E27FC236}">
              <a16:creationId xmlns:a16="http://schemas.microsoft.com/office/drawing/2014/main" id="{AE87596B-7C08-41DC-B92A-8A8767A7BA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4" name="Elipse 3383">
          <a:extLst>
            <a:ext uri="{FF2B5EF4-FFF2-40B4-BE49-F238E27FC236}">
              <a16:creationId xmlns:a16="http://schemas.microsoft.com/office/drawing/2014/main" id="{849A32AC-4DB0-49E4-92C8-869E3BB150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5" name="Elipse 3384">
          <a:extLst>
            <a:ext uri="{FF2B5EF4-FFF2-40B4-BE49-F238E27FC236}">
              <a16:creationId xmlns:a16="http://schemas.microsoft.com/office/drawing/2014/main" id="{AB78EDF2-F122-4488-8FF6-9A18CF3A64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6" name="Elipse 3385">
          <a:extLst>
            <a:ext uri="{FF2B5EF4-FFF2-40B4-BE49-F238E27FC236}">
              <a16:creationId xmlns:a16="http://schemas.microsoft.com/office/drawing/2014/main" id="{078F6B6E-EB56-46D4-9216-B3D475171E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7" name="Elipse 3386">
          <a:extLst>
            <a:ext uri="{FF2B5EF4-FFF2-40B4-BE49-F238E27FC236}">
              <a16:creationId xmlns:a16="http://schemas.microsoft.com/office/drawing/2014/main" id="{404BDF02-3EAF-4BF8-B2AE-EC4E449A1E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8" name="Elipse 3387">
          <a:extLst>
            <a:ext uri="{FF2B5EF4-FFF2-40B4-BE49-F238E27FC236}">
              <a16:creationId xmlns:a16="http://schemas.microsoft.com/office/drawing/2014/main" id="{64C6DFC5-61B9-41C3-A817-2DCA6C465C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89" name="Elipse 3388">
          <a:extLst>
            <a:ext uri="{FF2B5EF4-FFF2-40B4-BE49-F238E27FC236}">
              <a16:creationId xmlns:a16="http://schemas.microsoft.com/office/drawing/2014/main" id="{C35E2887-D2E7-40D5-BA9D-E4581853E1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0" name="Elipse 3389">
          <a:extLst>
            <a:ext uri="{FF2B5EF4-FFF2-40B4-BE49-F238E27FC236}">
              <a16:creationId xmlns:a16="http://schemas.microsoft.com/office/drawing/2014/main" id="{1973657F-B6DD-4104-81C5-B09F2C7A92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1" name="Elipse 3390">
          <a:extLst>
            <a:ext uri="{FF2B5EF4-FFF2-40B4-BE49-F238E27FC236}">
              <a16:creationId xmlns:a16="http://schemas.microsoft.com/office/drawing/2014/main" id="{D439C167-34D7-43A1-88A1-9BF5F9BADC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2" name="Elipse 3391">
          <a:extLst>
            <a:ext uri="{FF2B5EF4-FFF2-40B4-BE49-F238E27FC236}">
              <a16:creationId xmlns:a16="http://schemas.microsoft.com/office/drawing/2014/main" id="{1E5D938E-4019-4FD2-AED5-06E50282BE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3" name="Elipse 3392">
          <a:extLst>
            <a:ext uri="{FF2B5EF4-FFF2-40B4-BE49-F238E27FC236}">
              <a16:creationId xmlns:a16="http://schemas.microsoft.com/office/drawing/2014/main" id="{33D134F0-652F-4DBB-8112-046161512A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4" name="Elipse 3393">
          <a:extLst>
            <a:ext uri="{FF2B5EF4-FFF2-40B4-BE49-F238E27FC236}">
              <a16:creationId xmlns:a16="http://schemas.microsoft.com/office/drawing/2014/main" id="{65D4A282-3EAF-4503-90F3-68DB27CC54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5" name="Elipse 3394">
          <a:extLst>
            <a:ext uri="{FF2B5EF4-FFF2-40B4-BE49-F238E27FC236}">
              <a16:creationId xmlns:a16="http://schemas.microsoft.com/office/drawing/2014/main" id="{CCA8D4D8-80B2-42FF-8F5C-95B99CCEE6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6" name="Elipse 3395">
          <a:extLst>
            <a:ext uri="{FF2B5EF4-FFF2-40B4-BE49-F238E27FC236}">
              <a16:creationId xmlns:a16="http://schemas.microsoft.com/office/drawing/2014/main" id="{129A7301-F13D-4652-8E5C-9E1CB29217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7" name="Elipse 3396">
          <a:extLst>
            <a:ext uri="{FF2B5EF4-FFF2-40B4-BE49-F238E27FC236}">
              <a16:creationId xmlns:a16="http://schemas.microsoft.com/office/drawing/2014/main" id="{04550F71-8175-45A5-8D3C-0D51F378DD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8" name="Elipse 3397">
          <a:extLst>
            <a:ext uri="{FF2B5EF4-FFF2-40B4-BE49-F238E27FC236}">
              <a16:creationId xmlns:a16="http://schemas.microsoft.com/office/drawing/2014/main" id="{22EE8D6C-0001-4BD0-BFD3-981C9E9AB7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99" name="Elipse 3398">
          <a:extLst>
            <a:ext uri="{FF2B5EF4-FFF2-40B4-BE49-F238E27FC236}">
              <a16:creationId xmlns:a16="http://schemas.microsoft.com/office/drawing/2014/main" id="{A9DF574E-29D2-4D22-AC80-DC0330DF6E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0" name="Elipse 3399">
          <a:extLst>
            <a:ext uri="{FF2B5EF4-FFF2-40B4-BE49-F238E27FC236}">
              <a16:creationId xmlns:a16="http://schemas.microsoft.com/office/drawing/2014/main" id="{E1EC5C3C-3A30-42ED-8EFD-12D310ECF5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1" name="Elipse 3400">
          <a:extLst>
            <a:ext uri="{FF2B5EF4-FFF2-40B4-BE49-F238E27FC236}">
              <a16:creationId xmlns:a16="http://schemas.microsoft.com/office/drawing/2014/main" id="{AB2EE5A0-5278-4344-A342-DD0DC1E57D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2" name="Elipse 3401">
          <a:extLst>
            <a:ext uri="{FF2B5EF4-FFF2-40B4-BE49-F238E27FC236}">
              <a16:creationId xmlns:a16="http://schemas.microsoft.com/office/drawing/2014/main" id="{5D93B86E-EC82-4F5A-9639-F1597F7176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3" name="Elipse 3402">
          <a:extLst>
            <a:ext uri="{FF2B5EF4-FFF2-40B4-BE49-F238E27FC236}">
              <a16:creationId xmlns:a16="http://schemas.microsoft.com/office/drawing/2014/main" id="{5F84C237-102B-4504-AD6A-156A925118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4" name="Elipse 3403">
          <a:extLst>
            <a:ext uri="{FF2B5EF4-FFF2-40B4-BE49-F238E27FC236}">
              <a16:creationId xmlns:a16="http://schemas.microsoft.com/office/drawing/2014/main" id="{1DB51622-E89B-423C-987F-69B0CF62F8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5" name="Elipse 3404">
          <a:extLst>
            <a:ext uri="{FF2B5EF4-FFF2-40B4-BE49-F238E27FC236}">
              <a16:creationId xmlns:a16="http://schemas.microsoft.com/office/drawing/2014/main" id="{C081FB01-0470-4747-BC4A-5A824A2B63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6" name="Elipse 3405">
          <a:extLst>
            <a:ext uri="{FF2B5EF4-FFF2-40B4-BE49-F238E27FC236}">
              <a16:creationId xmlns:a16="http://schemas.microsoft.com/office/drawing/2014/main" id="{ED344B15-6912-4C71-8B12-2B26F85140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7" name="Elipse 3406">
          <a:extLst>
            <a:ext uri="{FF2B5EF4-FFF2-40B4-BE49-F238E27FC236}">
              <a16:creationId xmlns:a16="http://schemas.microsoft.com/office/drawing/2014/main" id="{6F461143-80A1-4AAC-9939-45935CC5CC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8" name="Elipse 3407">
          <a:extLst>
            <a:ext uri="{FF2B5EF4-FFF2-40B4-BE49-F238E27FC236}">
              <a16:creationId xmlns:a16="http://schemas.microsoft.com/office/drawing/2014/main" id="{2C693E6A-A6D0-4714-A4AF-8FB694B5EC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09" name="Elipse 3408">
          <a:extLst>
            <a:ext uri="{FF2B5EF4-FFF2-40B4-BE49-F238E27FC236}">
              <a16:creationId xmlns:a16="http://schemas.microsoft.com/office/drawing/2014/main" id="{9DB1486E-7044-4D56-8651-1FCA57C9AC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0" name="Elipse 3409">
          <a:extLst>
            <a:ext uri="{FF2B5EF4-FFF2-40B4-BE49-F238E27FC236}">
              <a16:creationId xmlns:a16="http://schemas.microsoft.com/office/drawing/2014/main" id="{98A8DB1B-F96E-41B0-937F-8394AAFD6C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1" name="Elipse 3410">
          <a:extLst>
            <a:ext uri="{FF2B5EF4-FFF2-40B4-BE49-F238E27FC236}">
              <a16:creationId xmlns:a16="http://schemas.microsoft.com/office/drawing/2014/main" id="{602B77BD-ACF1-4FCD-A56C-E16E3E0D2D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2" name="Elipse 3411">
          <a:extLst>
            <a:ext uri="{FF2B5EF4-FFF2-40B4-BE49-F238E27FC236}">
              <a16:creationId xmlns:a16="http://schemas.microsoft.com/office/drawing/2014/main" id="{0CF6235A-5079-46D0-B9F9-7462BB8E97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3" name="Elipse 3412">
          <a:extLst>
            <a:ext uri="{FF2B5EF4-FFF2-40B4-BE49-F238E27FC236}">
              <a16:creationId xmlns:a16="http://schemas.microsoft.com/office/drawing/2014/main" id="{C006228F-DE87-4AF7-A822-A61CFC5078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4" name="Elipse 3413">
          <a:extLst>
            <a:ext uri="{FF2B5EF4-FFF2-40B4-BE49-F238E27FC236}">
              <a16:creationId xmlns:a16="http://schemas.microsoft.com/office/drawing/2014/main" id="{235B8FB1-BDB2-4628-A0B7-0425015D6B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5" name="Elipse 3414">
          <a:extLst>
            <a:ext uri="{FF2B5EF4-FFF2-40B4-BE49-F238E27FC236}">
              <a16:creationId xmlns:a16="http://schemas.microsoft.com/office/drawing/2014/main" id="{50EF6DAF-1F50-47DF-9B58-7BA32721CB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6" name="Elipse 3415">
          <a:extLst>
            <a:ext uri="{FF2B5EF4-FFF2-40B4-BE49-F238E27FC236}">
              <a16:creationId xmlns:a16="http://schemas.microsoft.com/office/drawing/2014/main" id="{467FC365-0022-4B29-9049-F80FD9B7F9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7" name="Elipse 3416">
          <a:extLst>
            <a:ext uri="{FF2B5EF4-FFF2-40B4-BE49-F238E27FC236}">
              <a16:creationId xmlns:a16="http://schemas.microsoft.com/office/drawing/2014/main" id="{2C0FB056-F64D-4C3F-844E-46FF2387A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8" name="Elipse 3417">
          <a:extLst>
            <a:ext uri="{FF2B5EF4-FFF2-40B4-BE49-F238E27FC236}">
              <a16:creationId xmlns:a16="http://schemas.microsoft.com/office/drawing/2014/main" id="{31CA1EF6-CD1F-4EE4-B009-38834F7A92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19" name="Elipse 3418">
          <a:extLst>
            <a:ext uri="{FF2B5EF4-FFF2-40B4-BE49-F238E27FC236}">
              <a16:creationId xmlns:a16="http://schemas.microsoft.com/office/drawing/2014/main" id="{BFBAE990-1D26-4163-A939-DCF1D2AD46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0" name="Elipse 3419">
          <a:extLst>
            <a:ext uri="{FF2B5EF4-FFF2-40B4-BE49-F238E27FC236}">
              <a16:creationId xmlns:a16="http://schemas.microsoft.com/office/drawing/2014/main" id="{FA0DCDC6-0A58-4AA6-BC26-65B61EDDC5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1" name="Elipse 3420">
          <a:extLst>
            <a:ext uri="{FF2B5EF4-FFF2-40B4-BE49-F238E27FC236}">
              <a16:creationId xmlns:a16="http://schemas.microsoft.com/office/drawing/2014/main" id="{7F42A98D-2460-4047-9FAA-7E0846E4B7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2" name="Elipse 3421">
          <a:extLst>
            <a:ext uri="{FF2B5EF4-FFF2-40B4-BE49-F238E27FC236}">
              <a16:creationId xmlns:a16="http://schemas.microsoft.com/office/drawing/2014/main" id="{B3575870-38EE-4178-B09D-2AECEEC7BA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3" name="Elipse 3422">
          <a:extLst>
            <a:ext uri="{FF2B5EF4-FFF2-40B4-BE49-F238E27FC236}">
              <a16:creationId xmlns:a16="http://schemas.microsoft.com/office/drawing/2014/main" id="{A062895A-8EEB-4504-8706-6E26BD0D03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4" name="Elipse 3423">
          <a:extLst>
            <a:ext uri="{FF2B5EF4-FFF2-40B4-BE49-F238E27FC236}">
              <a16:creationId xmlns:a16="http://schemas.microsoft.com/office/drawing/2014/main" id="{E6CBE40C-0AA8-49C5-9026-97AD3A2404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5" name="Elipse 3424">
          <a:extLst>
            <a:ext uri="{FF2B5EF4-FFF2-40B4-BE49-F238E27FC236}">
              <a16:creationId xmlns:a16="http://schemas.microsoft.com/office/drawing/2014/main" id="{D10E0BB7-D4BC-4AFB-B4BA-E2AEEC02F9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6" name="Elipse 3425">
          <a:extLst>
            <a:ext uri="{FF2B5EF4-FFF2-40B4-BE49-F238E27FC236}">
              <a16:creationId xmlns:a16="http://schemas.microsoft.com/office/drawing/2014/main" id="{CD03ACD6-9853-4A67-A508-7ED026AF45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7" name="Elipse 3426">
          <a:extLst>
            <a:ext uri="{FF2B5EF4-FFF2-40B4-BE49-F238E27FC236}">
              <a16:creationId xmlns:a16="http://schemas.microsoft.com/office/drawing/2014/main" id="{7072F09C-69DF-4F05-A3DF-FD909FA12A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8" name="Elipse 3427">
          <a:extLst>
            <a:ext uri="{FF2B5EF4-FFF2-40B4-BE49-F238E27FC236}">
              <a16:creationId xmlns:a16="http://schemas.microsoft.com/office/drawing/2014/main" id="{845AEB8C-6662-436A-AEFE-A5F9F55879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29" name="Elipse 3428">
          <a:extLst>
            <a:ext uri="{FF2B5EF4-FFF2-40B4-BE49-F238E27FC236}">
              <a16:creationId xmlns:a16="http://schemas.microsoft.com/office/drawing/2014/main" id="{D0C73137-B66C-42E2-BAE9-30DF496D73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0" name="Elipse 3429">
          <a:extLst>
            <a:ext uri="{FF2B5EF4-FFF2-40B4-BE49-F238E27FC236}">
              <a16:creationId xmlns:a16="http://schemas.microsoft.com/office/drawing/2014/main" id="{0A009D9F-F931-4BDE-B04D-E83366EE60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1" name="Elipse 3430">
          <a:extLst>
            <a:ext uri="{FF2B5EF4-FFF2-40B4-BE49-F238E27FC236}">
              <a16:creationId xmlns:a16="http://schemas.microsoft.com/office/drawing/2014/main" id="{5BA9D258-C206-4083-8EF7-618F3D8004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2" name="Elipse 3431">
          <a:extLst>
            <a:ext uri="{FF2B5EF4-FFF2-40B4-BE49-F238E27FC236}">
              <a16:creationId xmlns:a16="http://schemas.microsoft.com/office/drawing/2014/main" id="{CC759308-3F31-4EED-8DB3-A1A4382102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3" name="Elipse 3432">
          <a:extLst>
            <a:ext uri="{FF2B5EF4-FFF2-40B4-BE49-F238E27FC236}">
              <a16:creationId xmlns:a16="http://schemas.microsoft.com/office/drawing/2014/main" id="{ABFEDBC0-D4B4-4630-941D-48B295640D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4" name="Elipse 3433">
          <a:extLst>
            <a:ext uri="{FF2B5EF4-FFF2-40B4-BE49-F238E27FC236}">
              <a16:creationId xmlns:a16="http://schemas.microsoft.com/office/drawing/2014/main" id="{115DE16E-7D0B-4287-A623-1895C86F18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5" name="Elipse 3434">
          <a:extLst>
            <a:ext uri="{FF2B5EF4-FFF2-40B4-BE49-F238E27FC236}">
              <a16:creationId xmlns:a16="http://schemas.microsoft.com/office/drawing/2014/main" id="{A8726999-5C6D-4CCB-8112-60682A9051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6" name="Elipse 3435">
          <a:extLst>
            <a:ext uri="{FF2B5EF4-FFF2-40B4-BE49-F238E27FC236}">
              <a16:creationId xmlns:a16="http://schemas.microsoft.com/office/drawing/2014/main" id="{91C3019E-6AE1-4755-A87E-9A51A3B865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7" name="Elipse 3436">
          <a:extLst>
            <a:ext uri="{FF2B5EF4-FFF2-40B4-BE49-F238E27FC236}">
              <a16:creationId xmlns:a16="http://schemas.microsoft.com/office/drawing/2014/main" id="{08453BC4-832B-4B6A-9FF9-911757E46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8" name="Elipse 3437">
          <a:extLst>
            <a:ext uri="{FF2B5EF4-FFF2-40B4-BE49-F238E27FC236}">
              <a16:creationId xmlns:a16="http://schemas.microsoft.com/office/drawing/2014/main" id="{EAAA7362-040B-4FCC-B0C2-AED19A633A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39" name="Elipse 3438">
          <a:extLst>
            <a:ext uri="{FF2B5EF4-FFF2-40B4-BE49-F238E27FC236}">
              <a16:creationId xmlns:a16="http://schemas.microsoft.com/office/drawing/2014/main" id="{70A6CFDB-792F-4AEF-8E46-AB8A8B993D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0" name="Elipse 3439">
          <a:extLst>
            <a:ext uri="{FF2B5EF4-FFF2-40B4-BE49-F238E27FC236}">
              <a16:creationId xmlns:a16="http://schemas.microsoft.com/office/drawing/2014/main" id="{50F2C759-BF81-4587-9005-3D6D3260FA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1" name="Elipse 3440">
          <a:extLst>
            <a:ext uri="{FF2B5EF4-FFF2-40B4-BE49-F238E27FC236}">
              <a16:creationId xmlns:a16="http://schemas.microsoft.com/office/drawing/2014/main" id="{27FA4E65-11A0-4A0C-81CB-4AAD6A3FB8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2" name="Elipse 3441">
          <a:extLst>
            <a:ext uri="{FF2B5EF4-FFF2-40B4-BE49-F238E27FC236}">
              <a16:creationId xmlns:a16="http://schemas.microsoft.com/office/drawing/2014/main" id="{007856BC-8A8E-4E3F-8CF7-56CE10220D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3" name="Elipse 3442">
          <a:extLst>
            <a:ext uri="{FF2B5EF4-FFF2-40B4-BE49-F238E27FC236}">
              <a16:creationId xmlns:a16="http://schemas.microsoft.com/office/drawing/2014/main" id="{23568B15-BC88-4B4F-8A5E-55C2FB311A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4" name="Elipse 3443">
          <a:extLst>
            <a:ext uri="{FF2B5EF4-FFF2-40B4-BE49-F238E27FC236}">
              <a16:creationId xmlns:a16="http://schemas.microsoft.com/office/drawing/2014/main" id="{6663A1F0-4BF6-4070-929B-54D6F2AD21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5" name="Elipse 3444">
          <a:extLst>
            <a:ext uri="{FF2B5EF4-FFF2-40B4-BE49-F238E27FC236}">
              <a16:creationId xmlns:a16="http://schemas.microsoft.com/office/drawing/2014/main" id="{B9A3B95F-4D06-4F1D-942C-5BEC7BD744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6" name="Elipse 3445">
          <a:extLst>
            <a:ext uri="{FF2B5EF4-FFF2-40B4-BE49-F238E27FC236}">
              <a16:creationId xmlns:a16="http://schemas.microsoft.com/office/drawing/2014/main" id="{42B7F49F-0F06-4FEE-92B0-501B5F76DE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7" name="Elipse 3446">
          <a:extLst>
            <a:ext uri="{FF2B5EF4-FFF2-40B4-BE49-F238E27FC236}">
              <a16:creationId xmlns:a16="http://schemas.microsoft.com/office/drawing/2014/main" id="{9645A34F-AABA-4B59-99C1-BD87E94656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8" name="Elipse 3447">
          <a:extLst>
            <a:ext uri="{FF2B5EF4-FFF2-40B4-BE49-F238E27FC236}">
              <a16:creationId xmlns:a16="http://schemas.microsoft.com/office/drawing/2014/main" id="{70AC0F71-96A6-4B07-A4CC-9B831ABF25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49" name="Elipse 3448">
          <a:extLst>
            <a:ext uri="{FF2B5EF4-FFF2-40B4-BE49-F238E27FC236}">
              <a16:creationId xmlns:a16="http://schemas.microsoft.com/office/drawing/2014/main" id="{AFF57B6E-65A8-423F-B83A-80939AC611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0" name="Elipse 3449">
          <a:extLst>
            <a:ext uri="{FF2B5EF4-FFF2-40B4-BE49-F238E27FC236}">
              <a16:creationId xmlns:a16="http://schemas.microsoft.com/office/drawing/2014/main" id="{FDC6C684-DB0F-42F9-AF55-58E7A7BC3B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1" name="Elipse 3450">
          <a:extLst>
            <a:ext uri="{FF2B5EF4-FFF2-40B4-BE49-F238E27FC236}">
              <a16:creationId xmlns:a16="http://schemas.microsoft.com/office/drawing/2014/main" id="{3B1EA92C-8F27-4E54-BF8D-1D65BEF675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2" name="Elipse 3451">
          <a:extLst>
            <a:ext uri="{FF2B5EF4-FFF2-40B4-BE49-F238E27FC236}">
              <a16:creationId xmlns:a16="http://schemas.microsoft.com/office/drawing/2014/main" id="{21E29FFE-DBDD-41C2-9B0B-73E66B93E1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3" name="Elipse 3452">
          <a:extLst>
            <a:ext uri="{FF2B5EF4-FFF2-40B4-BE49-F238E27FC236}">
              <a16:creationId xmlns:a16="http://schemas.microsoft.com/office/drawing/2014/main" id="{37F2CD90-A241-46C4-94BD-E4B41F3050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4" name="Elipse 3453">
          <a:extLst>
            <a:ext uri="{FF2B5EF4-FFF2-40B4-BE49-F238E27FC236}">
              <a16:creationId xmlns:a16="http://schemas.microsoft.com/office/drawing/2014/main" id="{F9A0562B-6647-405A-A0D8-7F48F9066D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5" name="Elipse 3454">
          <a:extLst>
            <a:ext uri="{FF2B5EF4-FFF2-40B4-BE49-F238E27FC236}">
              <a16:creationId xmlns:a16="http://schemas.microsoft.com/office/drawing/2014/main" id="{DE24EAEC-0086-4CFC-89C9-E176786A71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6" name="Elipse 3455">
          <a:extLst>
            <a:ext uri="{FF2B5EF4-FFF2-40B4-BE49-F238E27FC236}">
              <a16:creationId xmlns:a16="http://schemas.microsoft.com/office/drawing/2014/main" id="{004D50BA-6983-4C3A-B756-8F0C0B3819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7" name="Elipse 3456">
          <a:extLst>
            <a:ext uri="{FF2B5EF4-FFF2-40B4-BE49-F238E27FC236}">
              <a16:creationId xmlns:a16="http://schemas.microsoft.com/office/drawing/2014/main" id="{C289A820-5B91-4861-B16E-C768061446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8" name="Elipse 3457">
          <a:extLst>
            <a:ext uri="{FF2B5EF4-FFF2-40B4-BE49-F238E27FC236}">
              <a16:creationId xmlns:a16="http://schemas.microsoft.com/office/drawing/2014/main" id="{223DEDA5-5F01-4D01-A83D-FE7019B190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59" name="Elipse 3458">
          <a:extLst>
            <a:ext uri="{FF2B5EF4-FFF2-40B4-BE49-F238E27FC236}">
              <a16:creationId xmlns:a16="http://schemas.microsoft.com/office/drawing/2014/main" id="{D57232C4-9E45-42BE-8FD0-2F6647FE88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0" name="Elipse 3459">
          <a:extLst>
            <a:ext uri="{FF2B5EF4-FFF2-40B4-BE49-F238E27FC236}">
              <a16:creationId xmlns:a16="http://schemas.microsoft.com/office/drawing/2014/main" id="{B3CB47C5-FE76-4F26-8EDC-2969FEFA5A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1" name="Elipse 3460">
          <a:extLst>
            <a:ext uri="{FF2B5EF4-FFF2-40B4-BE49-F238E27FC236}">
              <a16:creationId xmlns:a16="http://schemas.microsoft.com/office/drawing/2014/main" id="{BBA9367A-6AF2-4612-A6D6-1878538104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2" name="Elipse 3461">
          <a:extLst>
            <a:ext uri="{FF2B5EF4-FFF2-40B4-BE49-F238E27FC236}">
              <a16:creationId xmlns:a16="http://schemas.microsoft.com/office/drawing/2014/main" id="{79E79E51-45ED-4F6E-BCC6-6EDB99FF8A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3" name="Elipse 3462">
          <a:extLst>
            <a:ext uri="{FF2B5EF4-FFF2-40B4-BE49-F238E27FC236}">
              <a16:creationId xmlns:a16="http://schemas.microsoft.com/office/drawing/2014/main" id="{D96FE197-8677-4FB8-8753-DA6C965B1B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4" name="Elipse 3463">
          <a:extLst>
            <a:ext uri="{FF2B5EF4-FFF2-40B4-BE49-F238E27FC236}">
              <a16:creationId xmlns:a16="http://schemas.microsoft.com/office/drawing/2014/main" id="{04A867C5-D397-427E-B271-4EB8C90047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5" name="Elipse 3464">
          <a:extLst>
            <a:ext uri="{FF2B5EF4-FFF2-40B4-BE49-F238E27FC236}">
              <a16:creationId xmlns:a16="http://schemas.microsoft.com/office/drawing/2014/main" id="{E5BAB072-2420-468D-A43D-E3D6553D83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6" name="Elipse 3465">
          <a:extLst>
            <a:ext uri="{FF2B5EF4-FFF2-40B4-BE49-F238E27FC236}">
              <a16:creationId xmlns:a16="http://schemas.microsoft.com/office/drawing/2014/main" id="{FAA40D0D-FA8E-4B8C-BA50-D9ABFD3DFD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7" name="Elipse 3466">
          <a:extLst>
            <a:ext uri="{FF2B5EF4-FFF2-40B4-BE49-F238E27FC236}">
              <a16:creationId xmlns:a16="http://schemas.microsoft.com/office/drawing/2014/main" id="{B8020634-FDD4-415F-93B1-618C76A5BB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8" name="Elipse 3467">
          <a:extLst>
            <a:ext uri="{FF2B5EF4-FFF2-40B4-BE49-F238E27FC236}">
              <a16:creationId xmlns:a16="http://schemas.microsoft.com/office/drawing/2014/main" id="{0FA05301-09F7-4681-918D-9E3489E707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69" name="Elipse 3468">
          <a:extLst>
            <a:ext uri="{FF2B5EF4-FFF2-40B4-BE49-F238E27FC236}">
              <a16:creationId xmlns:a16="http://schemas.microsoft.com/office/drawing/2014/main" id="{A16B1FA3-DE72-4D39-A7C1-87D25C06FC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0" name="Elipse 3469">
          <a:extLst>
            <a:ext uri="{FF2B5EF4-FFF2-40B4-BE49-F238E27FC236}">
              <a16:creationId xmlns:a16="http://schemas.microsoft.com/office/drawing/2014/main" id="{B75E79A0-3BBB-4C75-B20E-3835B66CD2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1" name="Elipse 3470">
          <a:extLst>
            <a:ext uri="{FF2B5EF4-FFF2-40B4-BE49-F238E27FC236}">
              <a16:creationId xmlns:a16="http://schemas.microsoft.com/office/drawing/2014/main" id="{08A5CECA-7664-401C-9FFE-2EA1B8672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2" name="Elipse 3471">
          <a:extLst>
            <a:ext uri="{FF2B5EF4-FFF2-40B4-BE49-F238E27FC236}">
              <a16:creationId xmlns:a16="http://schemas.microsoft.com/office/drawing/2014/main" id="{5C0C18D1-4C56-41DF-A279-147F09F2C0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3" name="Elipse 3472">
          <a:extLst>
            <a:ext uri="{FF2B5EF4-FFF2-40B4-BE49-F238E27FC236}">
              <a16:creationId xmlns:a16="http://schemas.microsoft.com/office/drawing/2014/main" id="{2B6699E0-BBA4-4EC3-9EF1-AED925185F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4" name="Elipse 3473">
          <a:extLst>
            <a:ext uri="{FF2B5EF4-FFF2-40B4-BE49-F238E27FC236}">
              <a16:creationId xmlns:a16="http://schemas.microsoft.com/office/drawing/2014/main" id="{2CDBAA09-FD4E-4E17-BDEB-A23084C7C0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5" name="Elipse 3474">
          <a:extLst>
            <a:ext uri="{FF2B5EF4-FFF2-40B4-BE49-F238E27FC236}">
              <a16:creationId xmlns:a16="http://schemas.microsoft.com/office/drawing/2014/main" id="{23DFF75E-8EBB-4DED-96FF-865025ABDB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6" name="Elipse 3475">
          <a:extLst>
            <a:ext uri="{FF2B5EF4-FFF2-40B4-BE49-F238E27FC236}">
              <a16:creationId xmlns:a16="http://schemas.microsoft.com/office/drawing/2014/main" id="{893FCB92-8E18-4A84-B139-B3F819FB10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7" name="Elipse 3476">
          <a:extLst>
            <a:ext uri="{FF2B5EF4-FFF2-40B4-BE49-F238E27FC236}">
              <a16:creationId xmlns:a16="http://schemas.microsoft.com/office/drawing/2014/main" id="{D5105680-7C5B-4AFA-BC43-5B47CE78B8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8" name="Elipse 3477">
          <a:extLst>
            <a:ext uri="{FF2B5EF4-FFF2-40B4-BE49-F238E27FC236}">
              <a16:creationId xmlns:a16="http://schemas.microsoft.com/office/drawing/2014/main" id="{CD49FF58-7A51-4C7B-944A-735CF106C8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79" name="Elipse 3478">
          <a:extLst>
            <a:ext uri="{FF2B5EF4-FFF2-40B4-BE49-F238E27FC236}">
              <a16:creationId xmlns:a16="http://schemas.microsoft.com/office/drawing/2014/main" id="{7DD82579-29D0-478F-B46E-B2CD54F84C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0" name="Elipse 3479">
          <a:extLst>
            <a:ext uri="{FF2B5EF4-FFF2-40B4-BE49-F238E27FC236}">
              <a16:creationId xmlns:a16="http://schemas.microsoft.com/office/drawing/2014/main" id="{8825BDE9-7512-4D97-8AD9-D85E862F75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1" name="Elipse 3480">
          <a:extLst>
            <a:ext uri="{FF2B5EF4-FFF2-40B4-BE49-F238E27FC236}">
              <a16:creationId xmlns:a16="http://schemas.microsoft.com/office/drawing/2014/main" id="{805C4E22-E281-48F4-8131-43857C8E0B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2" name="Elipse 3481">
          <a:extLst>
            <a:ext uri="{FF2B5EF4-FFF2-40B4-BE49-F238E27FC236}">
              <a16:creationId xmlns:a16="http://schemas.microsoft.com/office/drawing/2014/main" id="{4390A829-2CB6-4DF6-8825-5467A07E17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3" name="Elipse 3482">
          <a:extLst>
            <a:ext uri="{FF2B5EF4-FFF2-40B4-BE49-F238E27FC236}">
              <a16:creationId xmlns:a16="http://schemas.microsoft.com/office/drawing/2014/main" id="{5C63F3FB-3B9C-4E87-B56B-B2D44E8D76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4" name="Elipse 3483">
          <a:extLst>
            <a:ext uri="{FF2B5EF4-FFF2-40B4-BE49-F238E27FC236}">
              <a16:creationId xmlns:a16="http://schemas.microsoft.com/office/drawing/2014/main" id="{A1C061D3-82A5-4AFE-9FB2-AB90F69C31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5" name="Elipse 3484">
          <a:extLst>
            <a:ext uri="{FF2B5EF4-FFF2-40B4-BE49-F238E27FC236}">
              <a16:creationId xmlns:a16="http://schemas.microsoft.com/office/drawing/2014/main" id="{6FF688C1-8393-408B-B0A3-DEB2F3BF63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6" name="Elipse 3485">
          <a:extLst>
            <a:ext uri="{FF2B5EF4-FFF2-40B4-BE49-F238E27FC236}">
              <a16:creationId xmlns:a16="http://schemas.microsoft.com/office/drawing/2014/main" id="{BB7BD1BA-47B0-47E5-8684-33096557C3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7" name="Elipse 3486">
          <a:extLst>
            <a:ext uri="{FF2B5EF4-FFF2-40B4-BE49-F238E27FC236}">
              <a16:creationId xmlns:a16="http://schemas.microsoft.com/office/drawing/2014/main" id="{6D123CDA-EB2C-45CC-A292-AE98030E7A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8" name="Elipse 3487">
          <a:extLst>
            <a:ext uri="{FF2B5EF4-FFF2-40B4-BE49-F238E27FC236}">
              <a16:creationId xmlns:a16="http://schemas.microsoft.com/office/drawing/2014/main" id="{3F1AA0EF-0A30-4B29-A334-F6A5D835FD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89" name="Elipse 3488">
          <a:extLst>
            <a:ext uri="{FF2B5EF4-FFF2-40B4-BE49-F238E27FC236}">
              <a16:creationId xmlns:a16="http://schemas.microsoft.com/office/drawing/2014/main" id="{9D761313-FD6B-41E3-AE42-D0DB8B06C9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0" name="Elipse 3489">
          <a:extLst>
            <a:ext uri="{FF2B5EF4-FFF2-40B4-BE49-F238E27FC236}">
              <a16:creationId xmlns:a16="http://schemas.microsoft.com/office/drawing/2014/main" id="{FAAC8362-AB98-41DA-9755-9CF6A77921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1" name="Elipse 3490">
          <a:extLst>
            <a:ext uri="{FF2B5EF4-FFF2-40B4-BE49-F238E27FC236}">
              <a16:creationId xmlns:a16="http://schemas.microsoft.com/office/drawing/2014/main" id="{86D25BAC-4F5A-4DBB-9385-49D9FB687D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2" name="Elipse 3491">
          <a:extLst>
            <a:ext uri="{FF2B5EF4-FFF2-40B4-BE49-F238E27FC236}">
              <a16:creationId xmlns:a16="http://schemas.microsoft.com/office/drawing/2014/main" id="{9E5CB1E0-A1A5-4B05-B881-B2255EFFAE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3" name="Elipse 3492">
          <a:extLst>
            <a:ext uri="{FF2B5EF4-FFF2-40B4-BE49-F238E27FC236}">
              <a16:creationId xmlns:a16="http://schemas.microsoft.com/office/drawing/2014/main" id="{E84F879B-3EF3-42EF-A4CE-D033DA2F78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4" name="Elipse 3493">
          <a:extLst>
            <a:ext uri="{FF2B5EF4-FFF2-40B4-BE49-F238E27FC236}">
              <a16:creationId xmlns:a16="http://schemas.microsoft.com/office/drawing/2014/main" id="{EA864BB8-B6C5-4E30-9472-95479FCE8B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5" name="Elipse 3494">
          <a:extLst>
            <a:ext uri="{FF2B5EF4-FFF2-40B4-BE49-F238E27FC236}">
              <a16:creationId xmlns:a16="http://schemas.microsoft.com/office/drawing/2014/main" id="{A2F7C834-90B0-4DEB-9995-1DD01C072C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6" name="Elipse 3495">
          <a:extLst>
            <a:ext uri="{FF2B5EF4-FFF2-40B4-BE49-F238E27FC236}">
              <a16:creationId xmlns:a16="http://schemas.microsoft.com/office/drawing/2014/main" id="{81082374-4F58-4A53-AA5B-AEBE530D45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7" name="Elipse 3496">
          <a:extLst>
            <a:ext uri="{FF2B5EF4-FFF2-40B4-BE49-F238E27FC236}">
              <a16:creationId xmlns:a16="http://schemas.microsoft.com/office/drawing/2014/main" id="{1F50022B-45F0-47BC-8A48-F082180115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8" name="Elipse 3497">
          <a:extLst>
            <a:ext uri="{FF2B5EF4-FFF2-40B4-BE49-F238E27FC236}">
              <a16:creationId xmlns:a16="http://schemas.microsoft.com/office/drawing/2014/main" id="{47670D84-D4C5-4F9C-B59C-2525F90831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499" name="Elipse 3498">
          <a:extLst>
            <a:ext uri="{FF2B5EF4-FFF2-40B4-BE49-F238E27FC236}">
              <a16:creationId xmlns:a16="http://schemas.microsoft.com/office/drawing/2014/main" id="{F663BF80-AB45-4397-960C-849370DD77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0" name="Elipse 3499">
          <a:extLst>
            <a:ext uri="{FF2B5EF4-FFF2-40B4-BE49-F238E27FC236}">
              <a16:creationId xmlns:a16="http://schemas.microsoft.com/office/drawing/2014/main" id="{1DEAACAF-6A76-4532-A52B-12935A734D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1" name="Elipse 3500">
          <a:extLst>
            <a:ext uri="{FF2B5EF4-FFF2-40B4-BE49-F238E27FC236}">
              <a16:creationId xmlns:a16="http://schemas.microsoft.com/office/drawing/2014/main" id="{17D31D47-9051-40A7-A6E2-CAE68A3DB6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2" name="Elipse 3501">
          <a:extLst>
            <a:ext uri="{FF2B5EF4-FFF2-40B4-BE49-F238E27FC236}">
              <a16:creationId xmlns:a16="http://schemas.microsoft.com/office/drawing/2014/main" id="{493691E3-9D70-437A-A357-48F34CF8A7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3" name="Elipse 3502">
          <a:extLst>
            <a:ext uri="{FF2B5EF4-FFF2-40B4-BE49-F238E27FC236}">
              <a16:creationId xmlns:a16="http://schemas.microsoft.com/office/drawing/2014/main" id="{62B974E7-909E-4F77-A97A-67C0D98A87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4" name="Elipse 3503">
          <a:extLst>
            <a:ext uri="{FF2B5EF4-FFF2-40B4-BE49-F238E27FC236}">
              <a16:creationId xmlns:a16="http://schemas.microsoft.com/office/drawing/2014/main" id="{46785953-BAC8-43A2-9F78-F26FEEC2E8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5" name="Elipse 3504">
          <a:extLst>
            <a:ext uri="{FF2B5EF4-FFF2-40B4-BE49-F238E27FC236}">
              <a16:creationId xmlns:a16="http://schemas.microsoft.com/office/drawing/2014/main" id="{FA323ABA-FB77-4577-83C4-046DDCB5A5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6" name="Elipse 3505">
          <a:extLst>
            <a:ext uri="{FF2B5EF4-FFF2-40B4-BE49-F238E27FC236}">
              <a16:creationId xmlns:a16="http://schemas.microsoft.com/office/drawing/2014/main" id="{55172DEF-B90D-4E96-B0FC-D92C83F8D2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7" name="Elipse 3506">
          <a:extLst>
            <a:ext uri="{FF2B5EF4-FFF2-40B4-BE49-F238E27FC236}">
              <a16:creationId xmlns:a16="http://schemas.microsoft.com/office/drawing/2014/main" id="{C9CA279E-1B22-4D38-A5F0-6DBE890CA1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8" name="Elipse 3507">
          <a:extLst>
            <a:ext uri="{FF2B5EF4-FFF2-40B4-BE49-F238E27FC236}">
              <a16:creationId xmlns:a16="http://schemas.microsoft.com/office/drawing/2014/main" id="{67C0E17C-F55F-4AE2-A0C8-76C5AE7271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09" name="Elipse 3508">
          <a:extLst>
            <a:ext uri="{FF2B5EF4-FFF2-40B4-BE49-F238E27FC236}">
              <a16:creationId xmlns:a16="http://schemas.microsoft.com/office/drawing/2014/main" id="{4C8B82E5-18C6-44E3-9703-E76486278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0" name="Elipse 3509">
          <a:extLst>
            <a:ext uri="{FF2B5EF4-FFF2-40B4-BE49-F238E27FC236}">
              <a16:creationId xmlns:a16="http://schemas.microsoft.com/office/drawing/2014/main" id="{477FDD18-ABFF-4760-944E-D0684E943A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1" name="Elipse 3510">
          <a:extLst>
            <a:ext uri="{FF2B5EF4-FFF2-40B4-BE49-F238E27FC236}">
              <a16:creationId xmlns:a16="http://schemas.microsoft.com/office/drawing/2014/main" id="{820B0A03-DF2E-4A62-8535-45D79F5C96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2" name="Elipse 3511">
          <a:extLst>
            <a:ext uri="{FF2B5EF4-FFF2-40B4-BE49-F238E27FC236}">
              <a16:creationId xmlns:a16="http://schemas.microsoft.com/office/drawing/2014/main" id="{302E31DD-0931-4B2D-B7FC-FEA27FA6DC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3" name="Elipse 3512">
          <a:extLst>
            <a:ext uri="{FF2B5EF4-FFF2-40B4-BE49-F238E27FC236}">
              <a16:creationId xmlns:a16="http://schemas.microsoft.com/office/drawing/2014/main" id="{CB2B48C2-8AD1-4E5E-A24A-7063197423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4" name="Elipse 3513">
          <a:extLst>
            <a:ext uri="{FF2B5EF4-FFF2-40B4-BE49-F238E27FC236}">
              <a16:creationId xmlns:a16="http://schemas.microsoft.com/office/drawing/2014/main" id="{9D97B760-614E-4DE9-A815-AD54BF39BB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5" name="Elipse 3514">
          <a:extLst>
            <a:ext uri="{FF2B5EF4-FFF2-40B4-BE49-F238E27FC236}">
              <a16:creationId xmlns:a16="http://schemas.microsoft.com/office/drawing/2014/main" id="{29513922-7108-4FEF-A243-29055E9DCF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6" name="Elipse 3515">
          <a:extLst>
            <a:ext uri="{FF2B5EF4-FFF2-40B4-BE49-F238E27FC236}">
              <a16:creationId xmlns:a16="http://schemas.microsoft.com/office/drawing/2014/main" id="{7CB914D5-1CFD-468E-9266-FB0734ADD3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7" name="Elipse 3516">
          <a:extLst>
            <a:ext uri="{FF2B5EF4-FFF2-40B4-BE49-F238E27FC236}">
              <a16:creationId xmlns:a16="http://schemas.microsoft.com/office/drawing/2014/main" id="{632CAE60-5AEC-4A51-A754-1E44DF4F65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8" name="Elipse 3517">
          <a:extLst>
            <a:ext uri="{FF2B5EF4-FFF2-40B4-BE49-F238E27FC236}">
              <a16:creationId xmlns:a16="http://schemas.microsoft.com/office/drawing/2014/main" id="{9122913A-A7AD-478A-974D-DE11536D48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19" name="Elipse 3518">
          <a:extLst>
            <a:ext uri="{FF2B5EF4-FFF2-40B4-BE49-F238E27FC236}">
              <a16:creationId xmlns:a16="http://schemas.microsoft.com/office/drawing/2014/main" id="{3DF1B165-EB2B-4665-8616-028D5CE298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0" name="Elipse 3519">
          <a:extLst>
            <a:ext uri="{FF2B5EF4-FFF2-40B4-BE49-F238E27FC236}">
              <a16:creationId xmlns:a16="http://schemas.microsoft.com/office/drawing/2014/main" id="{249E4382-8C03-41A0-9620-231A86E49B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1" name="Elipse 3520">
          <a:extLst>
            <a:ext uri="{FF2B5EF4-FFF2-40B4-BE49-F238E27FC236}">
              <a16:creationId xmlns:a16="http://schemas.microsoft.com/office/drawing/2014/main" id="{66455853-3B5B-4D09-ABEC-2CDB067E91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2" name="Elipse 3521">
          <a:extLst>
            <a:ext uri="{FF2B5EF4-FFF2-40B4-BE49-F238E27FC236}">
              <a16:creationId xmlns:a16="http://schemas.microsoft.com/office/drawing/2014/main" id="{0F759FFA-A940-4064-B7A7-9ACE5AB8F8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3" name="Elipse 3522">
          <a:extLst>
            <a:ext uri="{FF2B5EF4-FFF2-40B4-BE49-F238E27FC236}">
              <a16:creationId xmlns:a16="http://schemas.microsoft.com/office/drawing/2014/main" id="{7C4B21ED-D1D4-4EDC-A40A-D06782DD46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4" name="Elipse 3523">
          <a:extLst>
            <a:ext uri="{FF2B5EF4-FFF2-40B4-BE49-F238E27FC236}">
              <a16:creationId xmlns:a16="http://schemas.microsoft.com/office/drawing/2014/main" id="{6F483616-8167-48E8-AA72-2DFE438BEB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5" name="Elipse 3524">
          <a:extLst>
            <a:ext uri="{FF2B5EF4-FFF2-40B4-BE49-F238E27FC236}">
              <a16:creationId xmlns:a16="http://schemas.microsoft.com/office/drawing/2014/main" id="{2F551A49-B04C-43AE-9608-D299315AF6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6" name="Elipse 3525">
          <a:extLst>
            <a:ext uri="{FF2B5EF4-FFF2-40B4-BE49-F238E27FC236}">
              <a16:creationId xmlns:a16="http://schemas.microsoft.com/office/drawing/2014/main" id="{711CB399-B6CC-4C65-9040-8E08E4E84D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7" name="Elipse 3526">
          <a:extLst>
            <a:ext uri="{FF2B5EF4-FFF2-40B4-BE49-F238E27FC236}">
              <a16:creationId xmlns:a16="http://schemas.microsoft.com/office/drawing/2014/main" id="{BF78C36E-1664-4084-A763-4715462CFF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8" name="Elipse 3527">
          <a:extLst>
            <a:ext uri="{FF2B5EF4-FFF2-40B4-BE49-F238E27FC236}">
              <a16:creationId xmlns:a16="http://schemas.microsoft.com/office/drawing/2014/main" id="{01F25A48-4C00-45A5-8DCA-565E29554B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29" name="Elipse 3528">
          <a:extLst>
            <a:ext uri="{FF2B5EF4-FFF2-40B4-BE49-F238E27FC236}">
              <a16:creationId xmlns:a16="http://schemas.microsoft.com/office/drawing/2014/main" id="{E6A77CAE-1F4D-47EA-843C-D1CFDB83FC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0" name="Elipse 3529">
          <a:extLst>
            <a:ext uri="{FF2B5EF4-FFF2-40B4-BE49-F238E27FC236}">
              <a16:creationId xmlns:a16="http://schemas.microsoft.com/office/drawing/2014/main" id="{A84F374F-E77E-4AC7-9A7F-848AD73D89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1" name="Elipse 3530">
          <a:extLst>
            <a:ext uri="{FF2B5EF4-FFF2-40B4-BE49-F238E27FC236}">
              <a16:creationId xmlns:a16="http://schemas.microsoft.com/office/drawing/2014/main" id="{BEB11FB4-5BF2-47B0-A01B-0F60C319E0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2" name="Elipse 3531">
          <a:extLst>
            <a:ext uri="{FF2B5EF4-FFF2-40B4-BE49-F238E27FC236}">
              <a16:creationId xmlns:a16="http://schemas.microsoft.com/office/drawing/2014/main" id="{77C39A2E-1188-4E70-9E8A-A4FAC595AD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3" name="Elipse 3532">
          <a:extLst>
            <a:ext uri="{FF2B5EF4-FFF2-40B4-BE49-F238E27FC236}">
              <a16:creationId xmlns:a16="http://schemas.microsoft.com/office/drawing/2014/main" id="{E88AA594-B097-4E94-8591-F61DE74C5B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4" name="Elipse 3533">
          <a:extLst>
            <a:ext uri="{FF2B5EF4-FFF2-40B4-BE49-F238E27FC236}">
              <a16:creationId xmlns:a16="http://schemas.microsoft.com/office/drawing/2014/main" id="{6580E154-87F1-4C02-B6EA-BCB7EB47AB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5" name="Elipse 3534">
          <a:extLst>
            <a:ext uri="{FF2B5EF4-FFF2-40B4-BE49-F238E27FC236}">
              <a16:creationId xmlns:a16="http://schemas.microsoft.com/office/drawing/2014/main" id="{494546C4-B03E-4B43-9CBE-DEF36534F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6" name="Elipse 3535">
          <a:extLst>
            <a:ext uri="{FF2B5EF4-FFF2-40B4-BE49-F238E27FC236}">
              <a16:creationId xmlns:a16="http://schemas.microsoft.com/office/drawing/2014/main" id="{7BE10E4A-D89B-4886-A93D-A7800F43E1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7" name="Elipse 3536">
          <a:extLst>
            <a:ext uri="{FF2B5EF4-FFF2-40B4-BE49-F238E27FC236}">
              <a16:creationId xmlns:a16="http://schemas.microsoft.com/office/drawing/2014/main" id="{A85C7972-AFA1-4BCD-B916-CDDA965478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8" name="Elipse 3537">
          <a:extLst>
            <a:ext uri="{FF2B5EF4-FFF2-40B4-BE49-F238E27FC236}">
              <a16:creationId xmlns:a16="http://schemas.microsoft.com/office/drawing/2014/main" id="{4E8D90CB-FDCD-4AFA-B5A6-54BB01ABEA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39" name="Elipse 3538">
          <a:extLst>
            <a:ext uri="{FF2B5EF4-FFF2-40B4-BE49-F238E27FC236}">
              <a16:creationId xmlns:a16="http://schemas.microsoft.com/office/drawing/2014/main" id="{3FECDBBE-F806-41B0-B3CA-4D7F27446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0" name="Elipse 3539">
          <a:extLst>
            <a:ext uri="{FF2B5EF4-FFF2-40B4-BE49-F238E27FC236}">
              <a16:creationId xmlns:a16="http://schemas.microsoft.com/office/drawing/2014/main" id="{991D9146-037C-4FA6-B723-B1C41F41C9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1" name="Elipse 3540">
          <a:extLst>
            <a:ext uri="{FF2B5EF4-FFF2-40B4-BE49-F238E27FC236}">
              <a16:creationId xmlns:a16="http://schemas.microsoft.com/office/drawing/2014/main" id="{92C623F8-D27B-4497-9EA4-03D03559E1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2" name="Elipse 3541">
          <a:extLst>
            <a:ext uri="{FF2B5EF4-FFF2-40B4-BE49-F238E27FC236}">
              <a16:creationId xmlns:a16="http://schemas.microsoft.com/office/drawing/2014/main" id="{256E8D1E-750A-45F3-BDE0-BA7BE18B06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3" name="Elipse 3542">
          <a:extLst>
            <a:ext uri="{FF2B5EF4-FFF2-40B4-BE49-F238E27FC236}">
              <a16:creationId xmlns:a16="http://schemas.microsoft.com/office/drawing/2014/main" id="{DB8E55CB-171B-4A8B-97CC-A49BD48343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4" name="Elipse 3543">
          <a:extLst>
            <a:ext uri="{FF2B5EF4-FFF2-40B4-BE49-F238E27FC236}">
              <a16:creationId xmlns:a16="http://schemas.microsoft.com/office/drawing/2014/main" id="{17995BE6-4F7C-4AC5-9F17-5FD9CFE0F3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5" name="Elipse 3544">
          <a:extLst>
            <a:ext uri="{FF2B5EF4-FFF2-40B4-BE49-F238E27FC236}">
              <a16:creationId xmlns:a16="http://schemas.microsoft.com/office/drawing/2014/main" id="{97F5B123-4F3A-43A3-99AC-D4BBDF9F2B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6" name="Elipse 3545">
          <a:extLst>
            <a:ext uri="{FF2B5EF4-FFF2-40B4-BE49-F238E27FC236}">
              <a16:creationId xmlns:a16="http://schemas.microsoft.com/office/drawing/2014/main" id="{1C7CF2F5-321D-42FC-BBD4-BD999E0636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7" name="Elipse 3546">
          <a:extLst>
            <a:ext uri="{FF2B5EF4-FFF2-40B4-BE49-F238E27FC236}">
              <a16:creationId xmlns:a16="http://schemas.microsoft.com/office/drawing/2014/main" id="{C1181446-E6CB-40B6-88A2-D9C2C72D8E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8" name="Elipse 3547">
          <a:extLst>
            <a:ext uri="{FF2B5EF4-FFF2-40B4-BE49-F238E27FC236}">
              <a16:creationId xmlns:a16="http://schemas.microsoft.com/office/drawing/2014/main" id="{2A81C019-8B85-49A2-8FF0-191F0258FE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49" name="Elipse 3548">
          <a:extLst>
            <a:ext uri="{FF2B5EF4-FFF2-40B4-BE49-F238E27FC236}">
              <a16:creationId xmlns:a16="http://schemas.microsoft.com/office/drawing/2014/main" id="{99B9CF77-8985-4779-8B3F-BECD3B8075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0" name="Elipse 3549">
          <a:extLst>
            <a:ext uri="{FF2B5EF4-FFF2-40B4-BE49-F238E27FC236}">
              <a16:creationId xmlns:a16="http://schemas.microsoft.com/office/drawing/2014/main" id="{368405A6-ADD5-4C70-889F-372E73C70C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1" name="Elipse 3550">
          <a:extLst>
            <a:ext uri="{FF2B5EF4-FFF2-40B4-BE49-F238E27FC236}">
              <a16:creationId xmlns:a16="http://schemas.microsoft.com/office/drawing/2014/main" id="{1DC2A298-2914-49ED-8D58-91E9B0F220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2" name="Elipse 3551">
          <a:extLst>
            <a:ext uri="{FF2B5EF4-FFF2-40B4-BE49-F238E27FC236}">
              <a16:creationId xmlns:a16="http://schemas.microsoft.com/office/drawing/2014/main" id="{F1684ABD-9FD6-476B-A8D0-7713CB2F6B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3" name="Elipse 3552">
          <a:extLst>
            <a:ext uri="{FF2B5EF4-FFF2-40B4-BE49-F238E27FC236}">
              <a16:creationId xmlns:a16="http://schemas.microsoft.com/office/drawing/2014/main" id="{1ABB8EC9-F204-40F0-AC3D-D576469D66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4" name="Elipse 3553">
          <a:extLst>
            <a:ext uri="{FF2B5EF4-FFF2-40B4-BE49-F238E27FC236}">
              <a16:creationId xmlns:a16="http://schemas.microsoft.com/office/drawing/2014/main" id="{CA9BC06F-736B-4F94-8C1C-DE95410744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5" name="Elipse 3554">
          <a:extLst>
            <a:ext uri="{FF2B5EF4-FFF2-40B4-BE49-F238E27FC236}">
              <a16:creationId xmlns:a16="http://schemas.microsoft.com/office/drawing/2014/main" id="{8A32C31D-A9C0-45E7-9717-4FD3E16014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6" name="Elipse 3555">
          <a:extLst>
            <a:ext uri="{FF2B5EF4-FFF2-40B4-BE49-F238E27FC236}">
              <a16:creationId xmlns:a16="http://schemas.microsoft.com/office/drawing/2014/main" id="{24CF2CEF-C172-4C17-A2F6-B4325DC7DB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7" name="Elipse 3556">
          <a:extLst>
            <a:ext uri="{FF2B5EF4-FFF2-40B4-BE49-F238E27FC236}">
              <a16:creationId xmlns:a16="http://schemas.microsoft.com/office/drawing/2014/main" id="{772F10A9-98FA-46C7-835F-FC0267024C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8" name="Elipse 3557">
          <a:extLst>
            <a:ext uri="{FF2B5EF4-FFF2-40B4-BE49-F238E27FC236}">
              <a16:creationId xmlns:a16="http://schemas.microsoft.com/office/drawing/2014/main" id="{4C229933-BB51-4717-B00C-CBC576A144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59" name="Elipse 3558">
          <a:extLst>
            <a:ext uri="{FF2B5EF4-FFF2-40B4-BE49-F238E27FC236}">
              <a16:creationId xmlns:a16="http://schemas.microsoft.com/office/drawing/2014/main" id="{863451E2-D27C-40DD-9ABD-EC97B7DCDC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0" name="Elipse 3559">
          <a:extLst>
            <a:ext uri="{FF2B5EF4-FFF2-40B4-BE49-F238E27FC236}">
              <a16:creationId xmlns:a16="http://schemas.microsoft.com/office/drawing/2014/main" id="{869170B4-5AAC-4053-B06B-6F4CCFD441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1" name="Elipse 3560">
          <a:extLst>
            <a:ext uri="{FF2B5EF4-FFF2-40B4-BE49-F238E27FC236}">
              <a16:creationId xmlns:a16="http://schemas.microsoft.com/office/drawing/2014/main" id="{FF974E1E-6FB4-492E-BF41-054C516CD6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2" name="Elipse 3561">
          <a:extLst>
            <a:ext uri="{FF2B5EF4-FFF2-40B4-BE49-F238E27FC236}">
              <a16:creationId xmlns:a16="http://schemas.microsoft.com/office/drawing/2014/main" id="{4B35326F-EF86-4C08-AB5F-9E5CC07458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3" name="Elipse 3562">
          <a:extLst>
            <a:ext uri="{FF2B5EF4-FFF2-40B4-BE49-F238E27FC236}">
              <a16:creationId xmlns:a16="http://schemas.microsoft.com/office/drawing/2014/main" id="{09A6E098-56EA-4953-BBBF-DED3B2981A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4" name="Elipse 3563">
          <a:extLst>
            <a:ext uri="{FF2B5EF4-FFF2-40B4-BE49-F238E27FC236}">
              <a16:creationId xmlns:a16="http://schemas.microsoft.com/office/drawing/2014/main" id="{9E2A0440-48BB-40CA-B79E-96979143A7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5" name="Elipse 3564">
          <a:extLst>
            <a:ext uri="{FF2B5EF4-FFF2-40B4-BE49-F238E27FC236}">
              <a16:creationId xmlns:a16="http://schemas.microsoft.com/office/drawing/2014/main" id="{004103D4-8651-429E-8BA5-8242771434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6" name="Elipse 3565">
          <a:extLst>
            <a:ext uri="{FF2B5EF4-FFF2-40B4-BE49-F238E27FC236}">
              <a16:creationId xmlns:a16="http://schemas.microsoft.com/office/drawing/2014/main" id="{A47010B6-47AB-429E-AD9E-B275B60140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7" name="Elipse 3566">
          <a:extLst>
            <a:ext uri="{FF2B5EF4-FFF2-40B4-BE49-F238E27FC236}">
              <a16:creationId xmlns:a16="http://schemas.microsoft.com/office/drawing/2014/main" id="{249EF07D-99EC-4CC0-9B2F-EACADC6E6D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8" name="Elipse 3567">
          <a:extLst>
            <a:ext uri="{FF2B5EF4-FFF2-40B4-BE49-F238E27FC236}">
              <a16:creationId xmlns:a16="http://schemas.microsoft.com/office/drawing/2014/main" id="{BBDF4689-482E-4FE4-87C7-C08D7886E2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69" name="Elipse 3568">
          <a:extLst>
            <a:ext uri="{FF2B5EF4-FFF2-40B4-BE49-F238E27FC236}">
              <a16:creationId xmlns:a16="http://schemas.microsoft.com/office/drawing/2014/main" id="{B4911D80-76CE-4C9F-BB61-41D957C8C6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0" name="Elipse 3569">
          <a:extLst>
            <a:ext uri="{FF2B5EF4-FFF2-40B4-BE49-F238E27FC236}">
              <a16:creationId xmlns:a16="http://schemas.microsoft.com/office/drawing/2014/main" id="{5F66747A-ADB0-4064-B9EA-97BF7F577B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1" name="Elipse 3570">
          <a:extLst>
            <a:ext uri="{FF2B5EF4-FFF2-40B4-BE49-F238E27FC236}">
              <a16:creationId xmlns:a16="http://schemas.microsoft.com/office/drawing/2014/main" id="{C757C042-DB46-4C9C-A90D-69F529E397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2" name="Elipse 3571">
          <a:extLst>
            <a:ext uri="{FF2B5EF4-FFF2-40B4-BE49-F238E27FC236}">
              <a16:creationId xmlns:a16="http://schemas.microsoft.com/office/drawing/2014/main" id="{2E7108F1-74E9-404A-9DCF-E82975674B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3" name="Elipse 3572">
          <a:extLst>
            <a:ext uri="{FF2B5EF4-FFF2-40B4-BE49-F238E27FC236}">
              <a16:creationId xmlns:a16="http://schemas.microsoft.com/office/drawing/2014/main" id="{145DD6A4-E868-4FAF-B59C-28B1B9D41C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4" name="Elipse 3573">
          <a:extLst>
            <a:ext uri="{FF2B5EF4-FFF2-40B4-BE49-F238E27FC236}">
              <a16:creationId xmlns:a16="http://schemas.microsoft.com/office/drawing/2014/main" id="{98BC71BA-73B4-4232-A047-8118485908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5" name="Elipse 3574">
          <a:extLst>
            <a:ext uri="{FF2B5EF4-FFF2-40B4-BE49-F238E27FC236}">
              <a16:creationId xmlns:a16="http://schemas.microsoft.com/office/drawing/2014/main" id="{7AA4F6B6-402D-4518-97E1-8FC588C53E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6" name="Elipse 3575">
          <a:extLst>
            <a:ext uri="{FF2B5EF4-FFF2-40B4-BE49-F238E27FC236}">
              <a16:creationId xmlns:a16="http://schemas.microsoft.com/office/drawing/2014/main" id="{C295D88F-6A59-4385-91E7-BA99AFD942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7" name="Elipse 3576">
          <a:extLst>
            <a:ext uri="{FF2B5EF4-FFF2-40B4-BE49-F238E27FC236}">
              <a16:creationId xmlns:a16="http://schemas.microsoft.com/office/drawing/2014/main" id="{2F05E745-CD82-4934-A583-3AAF38F6BF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8" name="Elipse 3577">
          <a:extLst>
            <a:ext uri="{FF2B5EF4-FFF2-40B4-BE49-F238E27FC236}">
              <a16:creationId xmlns:a16="http://schemas.microsoft.com/office/drawing/2014/main" id="{298376D9-7840-4EF9-9153-4250825B0F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79" name="Elipse 3578">
          <a:extLst>
            <a:ext uri="{FF2B5EF4-FFF2-40B4-BE49-F238E27FC236}">
              <a16:creationId xmlns:a16="http://schemas.microsoft.com/office/drawing/2014/main" id="{31EDABE0-C6B1-4855-8323-7ABEA9254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0" name="Elipse 3579">
          <a:extLst>
            <a:ext uri="{FF2B5EF4-FFF2-40B4-BE49-F238E27FC236}">
              <a16:creationId xmlns:a16="http://schemas.microsoft.com/office/drawing/2014/main" id="{7F66A472-11F4-4795-84CD-212B0CB2E5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1" name="Elipse 3580">
          <a:extLst>
            <a:ext uri="{FF2B5EF4-FFF2-40B4-BE49-F238E27FC236}">
              <a16:creationId xmlns:a16="http://schemas.microsoft.com/office/drawing/2014/main" id="{29816B57-F7DC-4135-B8B1-A22DEC72B5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2" name="Elipse 3581">
          <a:extLst>
            <a:ext uri="{FF2B5EF4-FFF2-40B4-BE49-F238E27FC236}">
              <a16:creationId xmlns:a16="http://schemas.microsoft.com/office/drawing/2014/main" id="{0C66641D-10B0-4584-9417-225568C192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3" name="Elipse 3582">
          <a:extLst>
            <a:ext uri="{FF2B5EF4-FFF2-40B4-BE49-F238E27FC236}">
              <a16:creationId xmlns:a16="http://schemas.microsoft.com/office/drawing/2014/main" id="{956F1999-4DEF-4F67-871F-B19F660874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4" name="Elipse 3583">
          <a:extLst>
            <a:ext uri="{FF2B5EF4-FFF2-40B4-BE49-F238E27FC236}">
              <a16:creationId xmlns:a16="http://schemas.microsoft.com/office/drawing/2014/main" id="{0D6C2CFB-33B5-4AFD-81DD-D9F82FF8A0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5" name="Elipse 3584">
          <a:extLst>
            <a:ext uri="{FF2B5EF4-FFF2-40B4-BE49-F238E27FC236}">
              <a16:creationId xmlns:a16="http://schemas.microsoft.com/office/drawing/2014/main" id="{0A103FC2-B3DE-4AE0-8EA0-5E87004DC2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6" name="Elipse 3585">
          <a:extLst>
            <a:ext uri="{FF2B5EF4-FFF2-40B4-BE49-F238E27FC236}">
              <a16:creationId xmlns:a16="http://schemas.microsoft.com/office/drawing/2014/main" id="{DEFF641F-20AA-4CFD-86D5-BB771CAE39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7" name="Elipse 3586">
          <a:extLst>
            <a:ext uri="{FF2B5EF4-FFF2-40B4-BE49-F238E27FC236}">
              <a16:creationId xmlns:a16="http://schemas.microsoft.com/office/drawing/2014/main" id="{CE5A4CDE-14ED-4E92-AEDD-7A0FC53016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8" name="Elipse 3587">
          <a:extLst>
            <a:ext uri="{FF2B5EF4-FFF2-40B4-BE49-F238E27FC236}">
              <a16:creationId xmlns:a16="http://schemas.microsoft.com/office/drawing/2014/main" id="{DA964C33-B6D1-44AD-AE3C-74DEAD667D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89" name="Elipse 3588">
          <a:extLst>
            <a:ext uri="{FF2B5EF4-FFF2-40B4-BE49-F238E27FC236}">
              <a16:creationId xmlns:a16="http://schemas.microsoft.com/office/drawing/2014/main" id="{E8D56F3D-704D-434E-903E-6576449F98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0" name="Elipse 3589">
          <a:extLst>
            <a:ext uri="{FF2B5EF4-FFF2-40B4-BE49-F238E27FC236}">
              <a16:creationId xmlns:a16="http://schemas.microsoft.com/office/drawing/2014/main" id="{1DC26FA0-BE48-4575-945B-366854548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1" name="Elipse 3590">
          <a:extLst>
            <a:ext uri="{FF2B5EF4-FFF2-40B4-BE49-F238E27FC236}">
              <a16:creationId xmlns:a16="http://schemas.microsoft.com/office/drawing/2014/main" id="{0B795346-B7E2-4734-9A9C-78CDFFD094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2" name="Elipse 3591">
          <a:extLst>
            <a:ext uri="{FF2B5EF4-FFF2-40B4-BE49-F238E27FC236}">
              <a16:creationId xmlns:a16="http://schemas.microsoft.com/office/drawing/2014/main" id="{2CF68A46-9063-45AD-A3E3-ED2A410B00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3" name="Elipse 3592">
          <a:extLst>
            <a:ext uri="{FF2B5EF4-FFF2-40B4-BE49-F238E27FC236}">
              <a16:creationId xmlns:a16="http://schemas.microsoft.com/office/drawing/2014/main" id="{41005897-6C4B-4F5D-AC64-3B9FA7EC36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4" name="Elipse 3593">
          <a:extLst>
            <a:ext uri="{FF2B5EF4-FFF2-40B4-BE49-F238E27FC236}">
              <a16:creationId xmlns:a16="http://schemas.microsoft.com/office/drawing/2014/main" id="{F719DF93-284E-4223-8D74-AC87C1EC33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5" name="Elipse 3594">
          <a:extLst>
            <a:ext uri="{FF2B5EF4-FFF2-40B4-BE49-F238E27FC236}">
              <a16:creationId xmlns:a16="http://schemas.microsoft.com/office/drawing/2014/main" id="{01442008-E390-4682-91B3-D0FAA3967C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6" name="Elipse 3595">
          <a:extLst>
            <a:ext uri="{FF2B5EF4-FFF2-40B4-BE49-F238E27FC236}">
              <a16:creationId xmlns:a16="http://schemas.microsoft.com/office/drawing/2014/main" id="{929A33F3-81CC-4DD5-B72A-8539805D6F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7" name="Elipse 3596">
          <a:extLst>
            <a:ext uri="{FF2B5EF4-FFF2-40B4-BE49-F238E27FC236}">
              <a16:creationId xmlns:a16="http://schemas.microsoft.com/office/drawing/2014/main" id="{299FE2C4-4B91-44DF-8F6B-467B7A21B0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8" name="Elipse 3597">
          <a:extLst>
            <a:ext uri="{FF2B5EF4-FFF2-40B4-BE49-F238E27FC236}">
              <a16:creationId xmlns:a16="http://schemas.microsoft.com/office/drawing/2014/main" id="{26FDEAF4-8EBB-4B35-8924-2B053D2F1B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599" name="Elipse 3598">
          <a:extLst>
            <a:ext uri="{FF2B5EF4-FFF2-40B4-BE49-F238E27FC236}">
              <a16:creationId xmlns:a16="http://schemas.microsoft.com/office/drawing/2014/main" id="{1008C44D-6D46-4384-8750-2811366CE7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0" name="Elipse 3599">
          <a:extLst>
            <a:ext uri="{FF2B5EF4-FFF2-40B4-BE49-F238E27FC236}">
              <a16:creationId xmlns:a16="http://schemas.microsoft.com/office/drawing/2014/main" id="{877E508A-DB85-4B64-BA8E-38FE3CA98A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1" name="Elipse 3600">
          <a:extLst>
            <a:ext uri="{FF2B5EF4-FFF2-40B4-BE49-F238E27FC236}">
              <a16:creationId xmlns:a16="http://schemas.microsoft.com/office/drawing/2014/main" id="{1AA134D3-F813-4B60-A5A2-509362F5AB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2" name="Elipse 3601">
          <a:extLst>
            <a:ext uri="{FF2B5EF4-FFF2-40B4-BE49-F238E27FC236}">
              <a16:creationId xmlns:a16="http://schemas.microsoft.com/office/drawing/2014/main" id="{435E475B-DBA4-43AB-83F3-405541F11D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3" name="Elipse 3602">
          <a:extLst>
            <a:ext uri="{FF2B5EF4-FFF2-40B4-BE49-F238E27FC236}">
              <a16:creationId xmlns:a16="http://schemas.microsoft.com/office/drawing/2014/main" id="{1F993A54-ADAB-429B-AA3F-F29E2B2A12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4" name="Elipse 3603">
          <a:extLst>
            <a:ext uri="{FF2B5EF4-FFF2-40B4-BE49-F238E27FC236}">
              <a16:creationId xmlns:a16="http://schemas.microsoft.com/office/drawing/2014/main" id="{736EAB21-3060-42A8-850C-0A3629F25F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5" name="Elipse 3604">
          <a:extLst>
            <a:ext uri="{FF2B5EF4-FFF2-40B4-BE49-F238E27FC236}">
              <a16:creationId xmlns:a16="http://schemas.microsoft.com/office/drawing/2014/main" id="{FAAC74BD-88D3-43B3-974E-A39CB74FF4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6" name="Elipse 3605">
          <a:extLst>
            <a:ext uri="{FF2B5EF4-FFF2-40B4-BE49-F238E27FC236}">
              <a16:creationId xmlns:a16="http://schemas.microsoft.com/office/drawing/2014/main" id="{5C8196D0-FB81-4E2B-82E2-ADC7421A36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7" name="Elipse 3606">
          <a:extLst>
            <a:ext uri="{FF2B5EF4-FFF2-40B4-BE49-F238E27FC236}">
              <a16:creationId xmlns:a16="http://schemas.microsoft.com/office/drawing/2014/main" id="{329AA5A1-03E7-483F-A241-B23FB98156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8" name="Elipse 3607">
          <a:extLst>
            <a:ext uri="{FF2B5EF4-FFF2-40B4-BE49-F238E27FC236}">
              <a16:creationId xmlns:a16="http://schemas.microsoft.com/office/drawing/2014/main" id="{26553942-2E4F-4AFF-B38E-00B03765E3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09" name="Elipse 3608">
          <a:extLst>
            <a:ext uri="{FF2B5EF4-FFF2-40B4-BE49-F238E27FC236}">
              <a16:creationId xmlns:a16="http://schemas.microsoft.com/office/drawing/2014/main" id="{82ED5106-30EF-4D4C-9F94-47BC091FF2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0" name="Elipse 3609">
          <a:extLst>
            <a:ext uri="{FF2B5EF4-FFF2-40B4-BE49-F238E27FC236}">
              <a16:creationId xmlns:a16="http://schemas.microsoft.com/office/drawing/2014/main" id="{BBB9EFD9-0BD5-4038-9DB7-B128FA3449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1" name="Elipse 3610">
          <a:extLst>
            <a:ext uri="{FF2B5EF4-FFF2-40B4-BE49-F238E27FC236}">
              <a16:creationId xmlns:a16="http://schemas.microsoft.com/office/drawing/2014/main" id="{20343C16-933D-44FF-BFA4-C535B29EB9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2" name="Elipse 3611">
          <a:extLst>
            <a:ext uri="{FF2B5EF4-FFF2-40B4-BE49-F238E27FC236}">
              <a16:creationId xmlns:a16="http://schemas.microsoft.com/office/drawing/2014/main" id="{A6B19E35-3FE4-4800-9561-D878C4E7FD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3" name="Elipse 3612">
          <a:extLst>
            <a:ext uri="{FF2B5EF4-FFF2-40B4-BE49-F238E27FC236}">
              <a16:creationId xmlns:a16="http://schemas.microsoft.com/office/drawing/2014/main" id="{26DA0419-D261-44FE-B3D4-1A04C9227C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4" name="Elipse 3613">
          <a:extLst>
            <a:ext uri="{FF2B5EF4-FFF2-40B4-BE49-F238E27FC236}">
              <a16:creationId xmlns:a16="http://schemas.microsoft.com/office/drawing/2014/main" id="{58538A5D-2CF6-4A87-998B-4887A6D3EE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5" name="Elipse 3614">
          <a:extLst>
            <a:ext uri="{FF2B5EF4-FFF2-40B4-BE49-F238E27FC236}">
              <a16:creationId xmlns:a16="http://schemas.microsoft.com/office/drawing/2014/main" id="{CCE535B8-9716-4B8D-854B-A4B4F83FCE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6" name="Elipse 3615">
          <a:extLst>
            <a:ext uri="{FF2B5EF4-FFF2-40B4-BE49-F238E27FC236}">
              <a16:creationId xmlns:a16="http://schemas.microsoft.com/office/drawing/2014/main" id="{CE6C154C-DF95-4C3D-8B6C-9D54A76289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7" name="Elipse 3616">
          <a:extLst>
            <a:ext uri="{FF2B5EF4-FFF2-40B4-BE49-F238E27FC236}">
              <a16:creationId xmlns:a16="http://schemas.microsoft.com/office/drawing/2014/main" id="{AC42A6A5-F4F0-4C9A-98D3-063FBBBD02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8" name="Elipse 3617">
          <a:extLst>
            <a:ext uri="{FF2B5EF4-FFF2-40B4-BE49-F238E27FC236}">
              <a16:creationId xmlns:a16="http://schemas.microsoft.com/office/drawing/2014/main" id="{9CEF40FD-4B73-4A16-94E7-042729C8BF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19" name="Elipse 3618">
          <a:extLst>
            <a:ext uri="{FF2B5EF4-FFF2-40B4-BE49-F238E27FC236}">
              <a16:creationId xmlns:a16="http://schemas.microsoft.com/office/drawing/2014/main" id="{B7192EDC-8775-48D9-B423-5F26B04BFF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0" name="Elipse 3619">
          <a:extLst>
            <a:ext uri="{FF2B5EF4-FFF2-40B4-BE49-F238E27FC236}">
              <a16:creationId xmlns:a16="http://schemas.microsoft.com/office/drawing/2014/main" id="{DDCC8C9D-7E07-495E-8E44-FAB4433BCB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1" name="Elipse 3620">
          <a:extLst>
            <a:ext uri="{FF2B5EF4-FFF2-40B4-BE49-F238E27FC236}">
              <a16:creationId xmlns:a16="http://schemas.microsoft.com/office/drawing/2014/main" id="{27AA53AD-0489-4382-BC03-C9DEB540AB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2" name="Elipse 3621">
          <a:extLst>
            <a:ext uri="{FF2B5EF4-FFF2-40B4-BE49-F238E27FC236}">
              <a16:creationId xmlns:a16="http://schemas.microsoft.com/office/drawing/2014/main" id="{9E83D670-0DC2-43F7-A342-368FE06DDF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3" name="Elipse 3622">
          <a:extLst>
            <a:ext uri="{FF2B5EF4-FFF2-40B4-BE49-F238E27FC236}">
              <a16:creationId xmlns:a16="http://schemas.microsoft.com/office/drawing/2014/main" id="{8F237777-4737-4E0B-AF9B-089ABA5DEC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4" name="Elipse 3623">
          <a:extLst>
            <a:ext uri="{FF2B5EF4-FFF2-40B4-BE49-F238E27FC236}">
              <a16:creationId xmlns:a16="http://schemas.microsoft.com/office/drawing/2014/main" id="{B84A4D55-41A6-466A-A760-6305A9492C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5" name="Elipse 3624">
          <a:extLst>
            <a:ext uri="{FF2B5EF4-FFF2-40B4-BE49-F238E27FC236}">
              <a16:creationId xmlns:a16="http://schemas.microsoft.com/office/drawing/2014/main" id="{7EDB0AA3-0877-4989-98C3-2D6E5BB2B0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6" name="Elipse 3625">
          <a:extLst>
            <a:ext uri="{FF2B5EF4-FFF2-40B4-BE49-F238E27FC236}">
              <a16:creationId xmlns:a16="http://schemas.microsoft.com/office/drawing/2014/main" id="{70CEC958-C570-4F37-AE8D-E0FF955D31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7" name="Elipse 3626">
          <a:extLst>
            <a:ext uri="{FF2B5EF4-FFF2-40B4-BE49-F238E27FC236}">
              <a16:creationId xmlns:a16="http://schemas.microsoft.com/office/drawing/2014/main" id="{EA2D09E2-D12C-41E6-8206-A7507D0DF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8" name="Elipse 3627">
          <a:extLst>
            <a:ext uri="{FF2B5EF4-FFF2-40B4-BE49-F238E27FC236}">
              <a16:creationId xmlns:a16="http://schemas.microsoft.com/office/drawing/2014/main" id="{76BF1D9B-62D2-4D26-8631-D77B9D2560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29" name="Elipse 3628">
          <a:extLst>
            <a:ext uri="{FF2B5EF4-FFF2-40B4-BE49-F238E27FC236}">
              <a16:creationId xmlns:a16="http://schemas.microsoft.com/office/drawing/2014/main" id="{D0DB6BEB-60FF-444A-89B5-06D8585401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0" name="Elipse 3629">
          <a:extLst>
            <a:ext uri="{FF2B5EF4-FFF2-40B4-BE49-F238E27FC236}">
              <a16:creationId xmlns:a16="http://schemas.microsoft.com/office/drawing/2014/main" id="{DFA3AB6D-C5C6-450E-870F-90155908F9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1" name="Elipse 3630">
          <a:extLst>
            <a:ext uri="{FF2B5EF4-FFF2-40B4-BE49-F238E27FC236}">
              <a16:creationId xmlns:a16="http://schemas.microsoft.com/office/drawing/2014/main" id="{1306B0EF-1B62-42D9-9785-050333886E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2" name="Elipse 3631">
          <a:extLst>
            <a:ext uri="{FF2B5EF4-FFF2-40B4-BE49-F238E27FC236}">
              <a16:creationId xmlns:a16="http://schemas.microsoft.com/office/drawing/2014/main" id="{89B07F24-A3B7-4D67-BE72-9EFBC90C3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3" name="Elipse 3632">
          <a:extLst>
            <a:ext uri="{FF2B5EF4-FFF2-40B4-BE49-F238E27FC236}">
              <a16:creationId xmlns:a16="http://schemas.microsoft.com/office/drawing/2014/main" id="{75B9C901-81F6-402B-9AC4-E299A425F8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4" name="Elipse 3633">
          <a:extLst>
            <a:ext uri="{FF2B5EF4-FFF2-40B4-BE49-F238E27FC236}">
              <a16:creationId xmlns:a16="http://schemas.microsoft.com/office/drawing/2014/main" id="{4BD7CEB6-C669-4836-8C1C-31E1C54139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5" name="Elipse 3634">
          <a:extLst>
            <a:ext uri="{FF2B5EF4-FFF2-40B4-BE49-F238E27FC236}">
              <a16:creationId xmlns:a16="http://schemas.microsoft.com/office/drawing/2014/main" id="{C94AD39B-9FAF-4306-8402-553D7BF383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6" name="Elipse 3635">
          <a:extLst>
            <a:ext uri="{FF2B5EF4-FFF2-40B4-BE49-F238E27FC236}">
              <a16:creationId xmlns:a16="http://schemas.microsoft.com/office/drawing/2014/main" id="{A11AB59D-BD4A-47B6-A73F-88F46A4FA8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7" name="Elipse 3636">
          <a:extLst>
            <a:ext uri="{FF2B5EF4-FFF2-40B4-BE49-F238E27FC236}">
              <a16:creationId xmlns:a16="http://schemas.microsoft.com/office/drawing/2014/main" id="{44C61BF6-345D-4DE5-9D0C-F3467DA08E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8" name="Elipse 3637">
          <a:extLst>
            <a:ext uri="{FF2B5EF4-FFF2-40B4-BE49-F238E27FC236}">
              <a16:creationId xmlns:a16="http://schemas.microsoft.com/office/drawing/2014/main" id="{BB7AE130-B207-4F16-8388-47BA72EB24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39" name="Elipse 3638">
          <a:extLst>
            <a:ext uri="{FF2B5EF4-FFF2-40B4-BE49-F238E27FC236}">
              <a16:creationId xmlns:a16="http://schemas.microsoft.com/office/drawing/2014/main" id="{11E22655-F09B-44C3-B015-5AF0BCC258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0" name="Elipse 3639">
          <a:extLst>
            <a:ext uri="{FF2B5EF4-FFF2-40B4-BE49-F238E27FC236}">
              <a16:creationId xmlns:a16="http://schemas.microsoft.com/office/drawing/2014/main" id="{F2DCA33A-CB03-4907-8BBA-92F5F3852E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1" name="Elipse 3640">
          <a:extLst>
            <a:ext uri="{FF2B5EF4-FFF2-40B4-BE49-F238E27FC236}">
              <a16:creationId xmlns:a16="http://schemas.microsoft.com/office/drawing/2014/main" id="{DDFFE62A-0505-49EC-9067-075BC54FEA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2" name="Elipse 3641">
          <a:extLst>
            <a:ext uri="{FF2B5EF4-FFF2-40B4-BE49-F238E27FC236}">
              <a16:creationId xmlns:a16="http://schemas.microsoft.com/office/drawing/2014/main" id="{254F33BD-4F59-4DFB-96B8-880EF4D8B2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3" name="Elipse 3642">
          <a:extLst>
            <a:ext uri="{FF2B5EF4-FFF2-40B4-BE49-F238E27FC236}">
              <a16:creationId xmlns:a16="http://schemas.microsoft.com/office/drawing/2014/main" id="{22FA1F3B-E575-4769-944E-AB5458B304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4" name="Elipse 3643">
          <a:extLst>
            <a:ext uri="{FF2B5EF4-FFF2-40B4-BE49-F238E27FC236}">
              <a16:creationId xmlns:a16="http://schemas.microsoft.com/office/drawing/2014/main" id="{4D756BF8-4293-4945-87F3-47ACDA225E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5" name="Elipse 3644">
          <a:extLst>
            <a:ext uri="{FF2B5EF4-FFF2-40B4-BE49-F238E27FC236}">
              <a16:creationId xmlns:a16="http://schemas.microsoft.com/office/drawing/2014/main" id="{1D5BC32F-2713-4850-A471-41C092245C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6" name="Elipse 3645">
          <a:extLst>
            <a:ext uri="{FF2B5EF4-FFF2-40B4-BE49-F238E27FC236}">
              <a16:creationId xmlns:a16="http://schemas.microsoft.com/office/drawing/2014/main" id="{550287C6-E4AA-4A57-B787-5B4CB81AFF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7" name="Elipse 3646">
          <a:extLst>
            <a:ext uri="{FF2B5EF4-FFF2-40B4-BE49-F238E27FC236}">
              <a16:creationId xmlns:a16="http://schemas.microsoft.com/office/drawing/2014/main" id="{1F30E3C1-1AD7-4102-8EF3-A9EDAEA863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8" name="Elipse 3647">
          <a:extLst>
            <a:ext uri="{FF2B5EF4-FFF2-40B4-BE49-F238E27FC236}">
              <a16:creationId xmlns:a16="http://schemas.microsoft.com/office/drawing/2014/main" id="{7DC427A4-9C57-4DA7-8E65-BB882618AF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49" name="Elipse 3648">
          <a:extLst>
            <a:ext uri="{FF2B5EF4-FFF2-40B4-BE49-F238E27FC236}">
              <a16:creationId xmlns:a16="http://schemas.microsoft.com/office/drawing/2014/main" id="{5F81A426-34CD-4339-B05A-013216029B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0" name="Elipse 3649">
          <a:extLst>
            <a:ext uri="{FF2B5EF4-FFF2-40B4-BE49-F238E27FC236}">
              <a16:creationId xmlns:a16="http://schemas.microsoft.com/office/drawing/2014/main" id="{9C9E66A4-35B9-480E-B270-B74B0C7F8E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1" name="Elipse 3650">
          <a:extLst>
            <a:ext uri="{FF2B5EF4-FFF2-40B4-BE49-F238E27FC236}">
              <a16:creationId xmlns:a16="http://schemas.microsoft.com/office/drawing/2014/main" id="{5D4DC63F-4920-4BE4-9765-8C3B9A14BB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2" name="Elipse 3651">
          <a:extLst>
            <a:ext uri="{FF2B5EF4-FFF2-40B4-BE49-F238E27FC236}">
              <a16:creationId xmlns:a16="http://schemas.microsoft.com/office/drawing/2014/main" id="{29E7BC1C-6174-4577-BAD7-3F0FBE1C18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3" name="Elipse 3652">
          <a:extLst>
            <a:ext uri="{FF2B5EF4-FFF2-40B4-BE49-F238E27FC236}">
              <a16:creationId xmlns:a16="http://schemas.microsoft.com/office/drawing/2014/main" id="{23E7FBDD-FC83-4C00-84C9-74735D897A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4" name="Elipse 3653">
          <a:extLst>
            <a:ext uri="{FF2B5EF4-FFF2-40B4-BE49-F238E27FC236}">
              <a16:creationId xmlns:a16="http://schemas.microsoft.com/office/drawing/2014/main" id="{49F944E7-0648-470F-B4AA-5965A9E684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5" name="Elipse 3654">
          <a:extLst>
            <a:ext uri="{FF2B5EF4-FFF2-40B4-BE49-F238E27FC236}">
              <a16:creationId xmlns:a16="http://schemas.microsoft.com/office/drawing/2014/main" id="{EAB0244A-DFA2-4078-A808-1F951663F8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6" name="Elipse 3655">
          <a:extLst>
            <a:ext uri="{FF2B5EF4-FFF2-40B4-BE49-F238E27FC236}">
              <a16:creationId xmlns:a16="http://schemas.microsoft.com/office/drawing/2014/main" id="{DCF82CC4-CFD2-4FEF-A611-DC73EA6CDA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7" name="Elipse 3656">
          <a:extLst>
            <a:ext uri="{FF2B5EF4-FFF2-40B4-BE49-F238E27FC236}">
              <a16:creationId xmlns:a16="http://schemas.microsoft.com/office/drawing/2014/main" id="{50C21A7A-B113-4C64-BC6B-19121D4216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8" name="Elipse 3657">
          <a:extLst>
            <a:ext uri="{FF2B5EF4-FFF2-40B4-BE49-F238E27FC236}">
              <a16:creationId xmlns:a16="http://schemas.microsoft.com/office/drawing/2014/main" id="{9DB74C88-85CD-4453-B9F7-D562A5AB10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59" name="Elipse 3658">
          <a:extLst>
            <a:ext uri="{FF2B5EF4-FFF2-40B4-BE49-F238E27FC236}">
              <a16:creationId xmlns:a16="http://schemas.microsoft.com/office/drawing/2014/main" id="{25E622A2-3B02-4931-95DF-B0E3BD9658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0" name="Elipse 3659">
          <a:extLst>
            <a:ext uri="{FF2B5EF4-FFF2-40B4-BE49-F238E27FC236}">
              <a16:creationId xmlns:a16="http://schemas.microsoft.com/office/drawing/2014/main" id="{AE2CEE68-EB38-4F7D-9AF5-0E33F9A478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1" name="Elipse 3660">
          <a:extLst>
            <a:ext uri="{FF2B5EF4-FFF2-40B4-BE49-F238E27FC236}">
              <a16:creationId xmlns:a16="http://schemas.microsoft.com/office/drawing/2014/main" id="{4711B6B5-DC53-4DD0-942B-BC81D18F20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2" name="Elipse 3661">
          <a:extLst>
            <a:ext uri="{FF2B5EF4-FFF2-40B4-BE49-F238E27FC236}">
              <a16:creationId xmlns:a16="http://schemas.microsoft.com/office/drawing/2014/main" id="{888F7FC5-21DB-493F-804D-D03AA2DB10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3" name="Elipse 3662">
          <a:extLst>
            <a:ext uri="{FF2B5EF4-FFF2-40B4-BE49-F238E27FC236}">
              <a16:creationId xmlns:a16="http://schemas.microsoft.com/office/drawing/2014/main" id="{3247CFC9-795D-4698-8CA1-C8A50D8BBC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4" name="Elipse 3663">
          <a:extLst>
            <a:ext uri="{FF2B5EF4-FFF2-40B4-BE49-F238E27FC236}">
              <a16:creationId xmlns:a16="http://schemas.microsoft.com/office/drawing/2014/main" id="{AA44AA72-7063-482B-8E4C-922553A584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5" name="Elipse 3664">
          <a:extLst>
            <a:ext uri="{FF2B5EF4-FFF2-40B4-BE49-F238E27FC236}">
              <a16:creationId xmlns:a16="http://schemas.microsoft.com/office/drawing/2014/main" id="{FEE5B06D-7612-494F-B407-3D2218DB44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6" name="Elipse 3665">
          <a:extLst>
            <a:ext uri="{FF2B5EF4-FFF2-40B4-BE49-F238E27FC236}">
              <a16:creationId xmlns:a16="http://schemas.microsoft.com/office/drawing/2014/main" id="{67683936-790E-4960-8A0E-065E27F929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7" name="Elipse 3666">
          <a:extLst>
            <a:ext uri="{FF2B5EF4-FFF2-40B4-BE49-F238E27FC236}">
              <a16:creationId xmlns:a16="http://schemas.microsoft.com/office/drawing/2014/main" id="{F7ADEC57-5385-4109-AE38-4DC38B1E0E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8" name="Elipse 3667">
          <a:extLst>
            <a:ext uri="{FF2B5EF4-FFF2-40B4-BE49-F238E27FC236}">
              <a16:creationId xmlns:a16="http://schemas.microsoft.com/office/drawing/2014/main" id="{16F11124-E06A-406A-986E-3F72CA9B90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69" name="Elipse 3668">
          <a:extLst>
            <a:ext uri="{FF2B5EF4-FFF2-40B4-BE49-F238E27FC236}">
              <a16:creationId xmlns:a16="http://schemas.microsoft.com/office/drawing/2014/main" id="{E831B5FC-287C-4A75-9C79-39FEFFD5E4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0" name="Elipse 3669">
          <a:extLst>
            <a:ext uri="{FF2B5EF4-FFF2-40B4-BE49-F238E27FC236}">
              <a16:creationId xmlns:a16="http://schemas.microsoft.com/office/drawing/2014/main" id="{DD26A585-8374-497A-8E27-BA0DB2187F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1" name="Elipse 3670">
          <a:extLst>
            <a:ext uri="{FF2B5EF4-FFF2-40B4-BE49-F238E27FC236}">
              <a16:creationId xmlns:a16="http://schemas.microsoft.com/office/drawing/2014/main" id="{CDE93535-E68F-432B-9613-91DEB8A9AF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2" name="Elipse 3671">
          <a:extLst>
            <a:ext uri="{FF2B5EF4-FFF2-40B4-BE49-F238E27FC236}">
              <a16:creationId xmlns:a16="http://schemas.microsoft.com/office/drawing/2014/main" id="{5926CDA2-5BC7-496C-8512-7228FD25B7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3" name="Elipse 3672">
          <a:extLst>
            <a:ext uri="{FF2B5EF4-FFF2-40B4-BE49-F238E27FC236}">
              <a16:creationId xmlns:a16="http://schemas.microsoft.com/office/drawing/2014/main" id="{F0FA0D48-2501-451F-B03B-B762E18165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4" name="Elipse 3673">
          <a:extLst>
            <a:ext uri="{FF2B5EF4-FFF2-40B4-BE49-F238E27FC236}">
              <a16:creationId xmlns:a16="http://schemas.microsoft.com/office/drawing/2014/main" id="{6BBE9ECB-64CE-4DBC-B154-897B5DFEB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5" name="Elipse 3674">
          <a:extLst>
            <a:ext uri="{FF2B5EF4-FFF2-40B4-BE49-F238E27FC236}">
              <a16:creationId xmlns:a16="http://schemas.microsoft.com/office/drawing/2014/main" id="{B69780DD-3A12-4657-BB6A-737C7DE58F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6" name="Elipse 3675">
          <a:extLst>
            <a:ext uri="{FF2B5EF4-FFF2-40B4-BE49-F238E27FC236}">
              <a16:creationId xmlns:a16="http://schemas.microsoft.com/office/drawing/2014/main" id="{C88304AF-D6D0-4C21-B48B-D5F4891C52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7" name="Elipse 3676">
          <a:extLst>
            <a:ext uri="{FF2B5EF4-FFF2-40B4-BE49-F238E27FC236}">
              <a16:creationId xmlns:a16="http://schemas.microsoft.com/office/drawing/2014/main" id="{35477DF8-B35B-4FA0-9744-1455D6B8D8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8" name="Elipse 3677">
          <a:extLst>
            <a:ext uri="{FF2B5EF4-FFF2-40B4-BE49-F238E27FC236}">
              <a16:creationId xmlns:a16="http://schemas.microsoft.com/office/drawing/2014/main" id="{9CA5D519-D104-4CB3-BD64-C75DFED1DF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79" name="Elipse 3678">
          <a:extLst>
            <a:ext uri="{FF2B5EF4-FFF2-40B4-BE49-F238E27FC236}">
              <a16:creationId xmlns:a16="http://schemas.microsoft.com/office/drawing/2014/main" id="{0E410677-B426-476A-853C-B6322E9AB0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0" name="Elipse 3679">
          <a:extLst>
            <a:ext uri="{FF2B5EF4-FFF2-40B4-BE49-F238E27FC236}">
              <a16:creationId xmlns:a16="http://schemas.microsoft.com/office/drawing/2014/main" id="{99C32238-84C3-4E60-8B19-69087E73CC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1" name="Elipse 3680">
          <a:extLst>
            <a:ext uri="{FF2B5EF4-FFF2-40B4-BE49-F238E27FC236}">
              <a16:creationId xmlns:a16="http://schemas.microsoft.com/office/drawing/2014/main" id="{2CD7E9B6-EB8B-4A2A-853F-78F8278641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2" name="Elipse 3681">
          <a:extLst>
            <a:ext uri="{FF2B5EF4-FFF2-40B4-BE49-F238E27FC236}">
              <a16:creationId xmlns:a16="http://schemas.microsoft.com/office/drawing/2014/main" id="{172E7FAC-EFE1-4F6F-A90F-4B64887CFC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3" name="Elipse 3682">
          <a:extLst>
            <a:ext uri="{FF2B5EF4-FFF2-40B4-BE49-F238E27FC236}">
              <a16:creationId xmlns:a16="http://schemas.microsoft.com/office/drawing/2014/main" id="{2F72DE5F-6126-4250-8F4B-5ACFF287C7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4" name="Elipse 3683">
          <a:extLst>
            <a:ext uri="{FF2B5EF4-FFF2-40B4-BE49-F238E27FC236}">
              <a16:creationId xmlns:a16="http://schemas.microsoft.com/office/drawing/2014/main" id="{C3EF0BA1-8633-436E-ADC2-6A3BD85C6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5" name="Elipse 3684">
          <a:extLst>
            <a:ext uri="{FF2B5EF4-FFF2-40B4-BE49-F238E27FC236}">
              <a16:creationId xmlns:a16="http://schemas.microsoft.com/office/drawing/2014/main" id="{364D9A96-609D-49A9-B3D1-35A0997D1D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6" name="Elipse 3685">
          <a:extLst>
            <a:ext uri="{FF2B5EF4-FFF2-40B4-BE49-F238E27FC236}">
              <a16:creationId xmlns:a16="http://schemas.microsoft.com/office/drawing/2014/main" id="{BD424771-CE68-44B9-B65A-AE7795495A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7" name="Elipse 3686">
          <a:extLst>
            <a:ext uri="{FF2B5EF4-FFF2-40B4-BE49-F238E27FC236}">
              <a16:creationId xmlns:a16="http://schemas.microsoft.com/office/drawing/2014/main" id="{CB08B199-6E44-4516-A4CF-6E00907E52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8" name="Elipse 3687">
          <a:extLst>
            <a:ext uri="{FF2B5EF4-FFF2-40B4-BE49-F238E27FC236}">
              <a16:creationId xmlns:a16="http://schemas.microsoft.com/office/drawing/2014/main" id="{96F7F7E6-66F9-47CF-B672-940443E387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89" name="Elipse 3688">
          <a:extLst>
            <a:ext uri="{FF2B5EF4-FFF2-40B4-BE49-F238E27FC236}">
              <a16:creationId xmlns:a16="http://schemas.microsoft.com/office/drawing/2014/main" id="{6164D893-CD2F-41CC-9AFF-7B089591DE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0" name="Elipse 3689">
          <a:extLst>
            <a:ext uri="{FF2B5EF4-FFF2-40B4-BE49-F238E27FC236}">
              <a16:creationId xmlns:a16="http://schemas.microsoft.com/office/drawing/2014/main" id="{42B97C58-0E84-422A-B587-4046C4E849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1" name="Elipse 3690">
          <a:extLst>
            <a:ext uri="{FF2B5EF4-FFF2-40B4-BE49-F238E27FC236}">
              <a16:creationId xmlns:a16="http://schemas.microsoft.com/office/drawing/2014/main" id="{32643608-B058-4D02-9D83-A48CF9FA1B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2" name="Elipse 3691">
          <a:extLst>
            <a:ext uri="{FF2B5EF4-FFF2-40B4-BE49-F238E27FC236}">
              <a16:creationId xmlns:a16="http://schemas.microsoft.com/office/drawing/2014/main" id="{0CE22D70-19A1-499B-9646-87D448BD70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3" name="Elipse 3692">
          <a:extLst>
            <a:ext uri="{FF2B5EF4-FFF2-40B4-BE49-F238E27FC236}">
              <a16:creationId xmlns:a16="http://schemas.microsoft.com/office/drawing/2014/main" id="{063ABB3C-581B-4C34-8956-98D7500839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4" name="Elipse 3693">
          <a:extLst>
            <a:ext uri="{FF2B5EF4-FFF2-40B4-BE49-F238E27FC236}">
              <a16:creationId xmlns:a16="http://schemas.microsoft.com/office/drawing/2014/main" id="{DFE95C85-FD87-4589-950D-7C189048CC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5" name="Elipse 3694">
          <a:extLst>
            <a:ext uri="{FF2B5EF4-FFF2-40B4-BE49-F238E27FC236}">
              <a16:creationId xmlns:a16="http://schemas.microsoft.com/office/drawing/2014/main" id="{B8124324-F80C-4F81-8413-0E0CA1F68C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6" name="Elipse 3695">
          <a:extLst>
            <a:ext uri="{FF2B5EF4-FFF2-40B4-BE49-F238E27FC236}">
              <a16:creationId xmlns:a16="http://schemas.microsoft.com/office/drawing/2014/main" id="{EDB1ED7E-00C0-4DA9-9AE1-F285608A51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7" name="Elipse 3696">
          <a:extLst>
            <a:ext uri="{FF2B5EF4-FFF2-40B4-BE49-F238E27FC236}">
              <a16:creationId xmlns:a16="http://schemas.microsoft.com/office/drawing/2014/main" id="{A8A67339-5599-4BE2-B0F0-AEE04B6B4F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8" name="Elipse 3697">
          <a:extLst>
            <a:ext uri="{FF2B5EF4-FFF2-40B4-BE49-F238E27FC236}">
              <a16:creationId xmlns:a16="http://schemas.microsoft.com/office/drawing/2014/main" id="{52E356B1-8E6F-4A28-B631-B28FB58DFA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699" name="Elipse 3698">
          <a:extLst>
            <a:ext uri="{FF2B5EF4-FFF2-40B4-BE49-F238E27FC236}">
              <a16:creationId xmlns:a16="http://schemas.microsoft.com/office/drawing/2014/main" id="{B524419B-4063-4973-AA66-A6E8835B1F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0" name="Elipse 3699">
          <a:extLst>
            <a:ext uri="{FF2B5EF4-FFF2-40B4-BE49-F238E27FC236}">
              <a16:creationId xmlns:a16="http://schemas.microsoft.com/office/drawing/2014/main" id="{94347132-B014-4488-A3D3-29A20C4B40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1" name="Elipse 3700">
          <a:extLst>
            <a:ext uri="{FF2B5EF4-FFF2-40B4-BE49-F238E27FC236}">
              <a16:creationId xmlns:a16="http://schemas.microsoft.com/office/drawing/2014/main" id="{BCDC7A94-8D00-42BE-AAB6-2DF5EE1BAE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2" name="Elipse 3701">
          <a:extLst>
            <a:ext uri="{FF2B5EF4-FFF2-40B4-BE49-F238E27FC236}">
              <a16:creationId xmlns:a16="http://schemas.microsoft.com/office/drawing/2014/main" id="{79900A2B-5A4A-43AB-8DF4-C5D84E94B9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3" name="Elipse 3702">
          <a:extLst>
            <a:ext uri="{FF2B5EF4-FFF2-40B4-BE49-F238E27FC236}">
              <a16:creationId xmlns:a16="http://schemas.microsoft.com/office/drawing/2014/main" id="{6D6884FE-C024-4727-8B66-6AAD8521B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4" name="Elipse 3703">
          <a:extLst>
            <a:ext uri="{FF2B5EF4-FFF2-40B4-BE49-F238E27FC236}">
              <a16:creationId xmlns:a16="http://schemas.microsoft.com/office/drawing/2014/main" id="{728123EC-3C92-4219-9EB7-DC96559924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5" name="Elipse 3704">
          <a:extLst>
            <a:ext uri="{FF2B5EF4-FFF2-40B4-BE49-F238E27FC236}">
              <a16:creationId xmlns:a16="http://schemas.microsoft.com/office/drawing/2014/main" id="{813A201E-C645-44DF-AC66-EB8EF0962D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6" name="Elipse 3705">
          <a:extLst>
            <a:ext uri="{FF2B5EF4-FFF2-40B4-BE49-F238E27FC236}">
              <a16:creationId xmlns:a16="http://schemas.microsoft.com/office/drawing/2014/main" id="{30261C9C-008D-4E64-964D-91C3980C86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7" name="Elipse 3706">
          <a:extLst>
            <a:ext uri="{FF2B5EF4-FFF2-40B4-BE49-F238E27FC236}">
              <a16:creationId xmlns:a16="http://schemas.microsoft.com/office/drawing/2014/main" id="{24DD25BF-B696-4C59-8233-A468770FF2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8" name="Elipse 3707">
          <a:extLst>
            <a:ext uri="{FF2B5EF4-FFF2-40B4-BE49-F238E27FC236}">
              <a16:creationId xmlns:a16="http://schemas.microsoft.com/office/drawing/2014/main" id="{EB43F04D-2AD6-42F7-BDD2-3843BFBBA5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09" name="Elipse 3708">
          <a:extLst>
            <a:ext uri="{FF2B5EF4-FFF2-40B4-BE49-F238E27FC236}">
              <a16:creationId xmlns:a16="http://schemas.microsoft.com/office/drawing/2014/main" id="{85AE7D4A-B210-443A-8430-EA4F893679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0" name="Elipse 3709">
          <a:extLst>
            <a:ext uri="{FF2B5EF4-FFF2-40B4-BE49-F238E27FC236}">
              <a16:creationId xmlns:a16="http://schemas.microsoft.com/office/drawing/2014/main" id="{3758702C-938D-42DA-81BD-2838B36205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1" name="Elipse 3710">
          <a:extLst>
            <a:ext uri="{FF2B5EF4-FFF2-40B4-BE49-F238E27FC236}">
              <a16:creationId xmlns:a16="http://schemas.microsoft.com/office/drawing/2014/main" id="{184A6A72-09B1-436E-B978-9DE6A6E426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2" name="Elipse 3711">
          <a:extLst>
            <a:ext uri="{FF2B5EF4-FFF2-40B4-BE49-F238E27FC236}">
              <a16:creationId xmlns:a16="http://schemas.microsoft.com/office/drawing/2014/main" id="{6E84F22B-9405-4044-A656-C32391E0E7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3" name="Elipse 3712">
          <a:extLst>
            <a:ext uri="{FF2B5EF4-FFF2-40B4-BE49-F238E27FC236}">
              <a16:creationId xmlns:a16="http://schemas.microsoft.com/office/drawing/2014/main" id="{5B2FAF4E-C361-42DD-94ED-52A29848AA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4" name="Elipse 3713">
          <a:extLst>
            <a:ext uri="{FF2B5EF4-FFF2-40B4-BE49-F238E27FC236}">
              <a16:creationId xmlns:a16="http://schemas.microsoft.com/office/drawing/2014/main" id="{BF271721-C162-44DA-9EF9-F1CA0418A9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5" name="Elipse 3714">
          <a:extLst>
            <a:ext uri="{FF2B5EF4-FFF2-40B4-BE49-F238E27FC236}">
              <a16:creationId xmlns:a16="http://schemas.microsoft.com/office/drawing/2014/main" id="{33B231E8-48B7-4451-B17B-5ED826EE0E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6" name="Elipse 3715">
          <a:extLst>
            <a:ext uri="{FF2B5EF4-FFF2-40B4-BE49-F238E27FC236}">
              <a16:creationId xmlns:a16="http://schemas.microsoft.com/office/drawing/2014/main" id="{B343F463-5A45-492B-9B82-75E7C3FF36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7" name="Elipse 3716">
          <a:extLst>
            <a:ext uri="{FF2B5EF4-FFF2-40B4-BE49-F238E27FC236}">
              <a16:creationId xmlns:a16="http://schemas.microsoft.com/office/drawing/2014/main" id="{3B20750E-6145-4DFF-BAAF-D76882379C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8" name="Elipse 3717">
          <a:extLst>
            <a:ext uri="{FF2B5EF4-FFF2-40B4-BE49-F238E27FC236}">
              <a16:creationId xmlns:a16="http://schemas.microsoft.com/office/drawing/2014/main" id="{C7489331-D21E-4853-9531-46DADF5512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19" name="Elipse 3718">
          <a:extLst>
            <a:ext uri="{FF2B5EF4-FFF2-40B4-BE49-F238E27FC236}">
              <a16:creationId xmlns:a16="http://schemas.microsoft.com/office/drawing/2014/main" id="{00A2C64D-08E7-466B-B20A-9FA98E2DB0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0" name="Elipse 3719">
          <a:extLst>
            <a:ext uri="{FF2B5EF4-FFF2-40B4-BE49-F238E27FC236}">
              <a16:creationId xmlns:a16="http://schemas.microsoft.com/office/drawing/2014/main" id="{3F1EC89D-21F2-4D58-9385-4C48596890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1" name="Elipse 3720">
          <a:extLst>
            <a:ext uri="{FF2B5EF4-FFF2-40B4-BE49-F238E27FC236}">
              <a16:creationId xmlns:a16="http://schemas.microsoft.com/office/drawing/2014/main" id="{A64234C0-3DB3-4671-A2D1-6AB75B7A0B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2" name="Elipse 3721">
          <a:extLst>
            <a:ext uri="{FF2B5EF4-FFF2-40B4-BE49-F238E27FC236}">
              <a16:creationId xmlns:a16="http://schemas.microsoft.com/office/drawing/2014/main" id="{2204FDF4-2614-4170-A165-258F8E973D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3" name="Elipse 3722">
          <a:extLst>
            <a:ext uri="{FF2B5EF4-FFF2-40B4-BE49-F238E27FC236}">
              <a16:creationId xmlns:a16="http://schemas.microsoft.com/office/drawing/2014/main" id="{56FF09FE-6956-4C54-B9B1-1D54ADAA40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4" name="Elipse 3723">
          <a:extLst>
            <a:ext uri="{FF2B5EF4-FFF2-40B4-BE49-F238E27FC236}">
              <a16:creationId xmlns:a16="http://schemas.microsoft.com/office/drawing/2014/main" id="{6B1C1C4B-1360-4C51-97B7-D3F8201AD5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5" name="Elipse 3724">
          <a:extLst>
            <a:ext uri="{FF2B5EF4-FFF2-40B4-BE49-F238E27FC236}">
              <a16:creationId xmlns:a16="http://schemas.microsoft.com/office/drawing/2014/main" id="{99334F3C-D44C-443F-A70F-DF60026E9C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6" name="Elipse 3725">
          <a:extLst>
            <a:ext uri="{FF2B5EF4-FFF2-40B4-BE49-F238E27FC236}">
              <a16:creationId xmlns:a16="http://schemas.microsoft.com/office/drawing/2014/main" id="{09AA9E75-8849-40A7-8457-5117F86236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7" name="Elipse 3726">
          <a:extLst>
            <a:ext uri="{FF2B5EF4-FFF2-40B4-BE49-F238E27FC236}">
              <a16:creationId xmlns:a16="http://schemas.microsoft.com/office/drawing/2014/main" id="{1CFB184F-2F85-43F9-8A7A-904C0186E0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8" name="Elipse 3727">
          <a:extLst>
            <a:ext uri="{FF2B5EF4-FFF2-40B4-BE49-F238E27FC236}">
              <a16:creationId xmlns:a16="http://schemas.microsoft.com/office/drawing/2014/main" id="{93A30B13-FB6E-4459-B273-E1B33DBAD5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29" name="Elipse 3728">
          <a:extLst>
            <a:ext uri="{FF2B5EF4-FFF2-40B4-BE49-F238E27FC236}">
              <a16:creationId xmlns:a16="http://schemas.microsoft.com/office/drawing/2014/main" id="{DD402452-8940-4796-B86E-D97DAE7140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0" name="Elipse 3729">
          <a:extLst>
            <a:ext uri="{FF2B5EF4-FFF2-40B4-BE49-F238E27FC236}">
              <a16:creationId xmlns:a16="http://schemas.microsoft.com/office/drawing/2014/main" id="{20E61ED5-B03B-4943-9AC4-BFA158E770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1" name="Elipse 3730">
          <a:extLst>
            <a:ext uri="{FF2B5EF4-FFF2-40B4-BE49-F238E27FC236}">
              <a16:creationId xmlns:a16="http://schemas.microsoft.com/office/drawing/2014/main" id="{C8482E49-F862-4D91-83AA-C0C9A3369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2" name="Elipse 3731">
          <a:extLst>
            <a:ext uri="{FF2B5EF4-FFF2-40B4-BE49-F238E27FC236}">
              <a16:creationId xmlns:a16="http://schemas.microsoft.com/office/drawing/2014/main" id="{F215B403-D937-4AB5-9C0E-067462840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3" name="Elipse 3732">
          <a:extLst>
            <a:ext uri="{FF2B5EF4-FFF2-40B4-BE49-F238E27FC236}">
              <a16:creationId xmlns:a16="http://schemas.microsoft.com/office/drawing/2014/main" id="{6C6CE957-FAAD-4F7F-92D3-1BF9894BA3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4" name="Elipse 3733">
          <a:extLst>
            <a:ext uri="{FF2B5EF4-FFF2-40B4-BE49-F238E27FC236}">
              <a16:creationId xmlns:a16="http://schemas.microsoft.com/office/drawing/2014/main" id="{7D3724E3-D600-4938-B337-1168CB2325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5" name="Elipse 3734">
          <a:extLst>
            <a:ext uri="{FF2B5EF4-FFF2-40B4-BE49-F238E27FC236}">
              <a16:creationId xmlns:a16="http://schemas.microsoft.com/office/drawing/2014/main" id="{DCE28A18-AB9B-45EE-AA7D-06BC986E8D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6" name="Elipse 3735">
          <a:extLst>
            <a:ext uri="{FF2B5EF4-FFF2-40B4-BE49-F238E27FC236}">
              <a16:creationId xmlns:a16="http://schemas.microsoft.com/office/drawing/2014/main" id="{02CFF0CE-8DEF-427F-86CF-98F4535F74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7" name="Elipse 3736">
          <a:extLst>
            <a:ext uri="{FF2B5EF4-FFF2-40B4-BE49-F238E27FC236}">
              <a16:creationId xmlns:a16="http://schemas.microsoft.com/office/drawing/2014/main" id="{189E5887-71B7-4816-A761-AE792F35FA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8" name="Elipse 3737">
          <a:extLst>
            <a:ext uri="{FF2B5EF4-FFF2-40B4-BE49-F238E27FC236}">
              <a16:creationId xmlns:a16="http://schemas.microsoft.com/office/drawing/2014/main" id="{A6D9E5C4-4886-44C7-9C61-FE774F113B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39" name="Elipse 3738">
          <a:extLst>
            <a:ext uri="{FF2B5EF4-FFF2-40B4-BE49-F238E27FC236}">
              <a16:creationId xmlns:a16="http://schemas.microsoft.com/office/drawing/2014/main" id="{7A62ECAD-446E-4636-A1BF-D86B5CBC8F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0" name="Elipse 3739">
          <a:extLst>
            <a:ext uri="{FF2B5EF4-FFF2-40B4-BE49-F238E27FC236}">
              <a16:creationId xmlns:a16="http://schemas.microsoft.com/office/drawing/2014/main" id="{78AB0A2C-DEA0-4732-B447-BB20B57D14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1" name="Elipse 3740">
          <a:extLst>
            <a:ext uri="{FF2B5EF4-FFF2-40B4-BE49-F238E27FC236}">
              <a16:creationId xmlns:a16="http://schemas.microsoft.com/office/drawing/2014/main" id="{26114304-09EB-4AF2-8662-3E1F9A50B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2" name="Elipse 3741">
          <a:extLst>
            <a:ext uri="{FF2B5EF4-FFF2-40B4-BE49-F238E27FC236}">
              <a16:creationId xmlns:a16="http://schemas.microsoft.com/office/drawing/2014/main" id="{51BAD99E-078A-4BEB-9FD5-F0C1CFBDC9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3" name="Elipse 3742">
          <a:extLst>
            <a:ext uri="{FF2B5EF4-FFF2-40B4-BE49-F238E27FC236}">
              <a16:creationId xmlns:a16="http://schemas.microsoft.com/office/drawing/2014/main" id="{87B4F859-344B-43B9-B67C-F4ECAA2C3F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4" name="Elipse 3743">
          <a:extLst>
            <a:ext uri="{FF2B5EF4-FFF2-40B4-BE49-F238E27FC236}">
              <a16:creationId xmlns:a16="http://schemas.microsoft.com/office/drawing/2014/main" id="{EAC83327-1B4E-45F9-9130-EEC90DADBA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5" name="Elipse 3744">
          <a:extLst>
            <a:ext uri="{FF2B5EF4-FFF2-40B4-BE49-F238E27FC236}">
              <a16:creationId xmlns:a16="http://schemas.microsoft.com/office/drawing/2014/main" id="{2A604BAB-3C81-4E19-B240-B58E8B7C8C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6" name="Elipse 3745">
          <a:extLst>
            <a:ext uri="{FF2B5EF4-FFF2-40B4-BE49-F238E27FC236}">
              <a16:creationId xmlns:a16="http://schemas.microsoft.com/office/drawing/2014/main" id="{89C38579-1182-4DAD-A133-8C3E4BA53A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7" name="Elipse 3746">
          <a:extLst>
            <a:ext uri="{FF2B5EF4-FFF2-40B4-BE49-F238E27FC236}">
              <a16:creationId xmlns:a16="http://schemas.microsoft.com/office/drawing/2014/main" id="{0748FDDE-15D0-4D3A-B828-8C396ECFED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8" name="Elipse 3747">
          <a:extLst>
            <a:ext uri="{FF2B5EF4-FFF2-40B4-BE49-F238E27FC236}">
              <a16:creationId xmlns:a16="http://schemas.microsoft.com/office/drawing/2014/main" id="{C9B42BEB-04DE-488F-9179-E80015C2A9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49" name="Elipse 3748">
          <a:extLst>
            <a:ext uri="{FF2B5EF4-FFF2-40B4-BE49-F238E27FC236}">
              <a16:creationId xmlns:a16="http://schemas.microsoft.com/office/drawing/2014/main" id="{9FB8F1B5-88D1-4AF1-8799-29F8013C2A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0" name="Elipse 3749">
          <a:extLst>
            <a:ext uri="{FF2B5EF4-FFF2-40B4-BE49-F238E27FC236}">
              <a16:creationId xmlns:a16="http://schemas.microsoft.com/office/drawing/2014/main" id="{06D5ECF6-4A51-4A69-B24E-62956AD91F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1" name="Elipse 3750">
          <a:extLst>
            <a:ext uri="{FF2B5EF4-FFF2-40B4-BE49-F238E27FC236}">
              <a16:creationId xmlns:a16="http://schemas.microsoft.com/office/drawing/2014/main" id="{46A5CCFE-5AEA-42AA-8165-B570866956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2" name="Elipse 3751">
          <a:extLst>
            <a:ext uri="{FF2B5EF4-FFF2-40B4-BE49-F238E27FC236}">
              <a16:creationId xmlns:a16="http://schemas.microsoft.com/office/drawing/2014/main" id="{0651E5A3-630B-430E-A622-44A94D17A4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3" name="Elipse 3752">
          <a:extLst>
            <a:ext uri="{FF2B5EF4-FFF2-40B4-BE49-F238E27FC236}">
              <a16:creationId xmlns:a16="http://schemas.microsoft.com/office/drawing/2014/main" id="{2F3B74E6-855D-4591-9427-61B3297A68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4" name="Elipse 3753">
          <a:extLst>
            <a:ext uri="{FF2B5EF4-FFF2-40B4-BE49-F238E27FC236}">
              <a16:creationId xmlns:a16="http://schemas.microsoft.com/office/drawing/2014/main" id="{07C43A07-4628-450F-BFBB-BDC5F5A669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5" name="Elipse 3754">
          <a:extLst>
            <a:ext uri="{FF2B5EF4-FFF2-40B4-BE49-F238E27FC236}">
              <a16:creationId xmlns:a16="http://schemas.microsoft.com/office/drawing/2014/main" id="{289C6CC0-EB24-4589-88BE-D52876893A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6" name="Elipse 3755">
          <a:extLst>
            <a:ext uri="{FF2B5EF4-FFF2-40B4-BE49-F238E27FC236}">
              <a16:creationId xmlns:a16="http://schemas.microsoft.com/office/drawing/2014/main" id="{F70B9576-0715-424B-96C2-BB874B9D13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7" name="Elipse 3756">
          <a:extLst>
            <a:ext uri="{FF2B5EF4-FFF2-40B4-BE49-F238E27FC236}">
              <a16:creationId xmlns:a16="http://schemas.microsoft.com/office/drawing/2014/main" id="{44F2D09D-BACC-4BFB-A786-DF62D552E1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8" name="Elipse 3757">
          <a:extLst>
            <a:ext uri="{FF2B5EF4-FFF2-40B4-BE49-F238E27FC236}">
              <a16:creationId xmlns:a16="http://schemas.microsoft.com/office/drawing/2014/main" id="{FCE8B4A2-1C4B-4CDE-A08E-F0630DD20E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59" name="Elipse 3758">
          <a:extLst>
            <a:ext uri="{FF2B5EF4-FFF2-40B4-BE49-F238E27FC236}">
              <a16:creationId xmlns:a16="http://schemas.microsoft.com/office/drawing/2014/main" id="{BD72C775-FAD2-4448-890E-7346A7454E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0" name="Elipse 3759">
          <a:extLst>
            <a:ext uri="{FF2B5EF4-FFF2-40B4-BE49-F238E27FC236}">
              <a16:creationId xmlns:a16="http://schemas.microsoft.com/office/drawing/2014/main" id="{45E32F4A-37CC-45D7-9BDC-FF2D184529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1" name="Elipse 3760">
          <a:extLst>
            <a:ext uri="{FF2B5EF4-FFF2-40B4-BE49-F238E27FC236}">
              <a16:creationId xmlns:a16="http://schemas.microsoft.com/office/drawing/2014/main" id="{E5A4A74E-E6AA-47A9-804C-96AAC164FA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2" name="Elipse 3761">
          <a:extLst>
            <a:ext uri="{FF2B5EF4-FFF2-40B4-BE49-F238E27FC236}">
              <a16:creationId xmlns:a16="http://schemas.microsoft.com/office/drawing/2014/main" id="{402CD112-C341-42AA-8DCE-07D1BD9867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3" name="Elipse 3762">
          <a:extLst>
            <a:ext uri="{FF2B5EF4-FFF2-40B4-BE49-F238E27FC236}">
              <a16:creationId xmlns:a16="http://schemas.microsoft.com/office/drawing/2014/main" id="{4DF75CC0-39C4-43E8-820C-4A9AB58EC4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4" name="Elipse 3763">
          <a:extLst>
            <a:ext uri="{FF2B5EF4-FFF2-40B4-BE49-F238E27FC236}">
              <a16:creationId xmlns:a16="http://schemas.microsoft.com/office/drawing/2014/main" id="{4A11060B-3192-43AA-A293-621A89F829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5" name="Elipse 3764">
          <a:extLst>
            <a:ext uri="{FF2B5EF4-FFF2-40B4-BE49-F238E27FC236}">
              <a16:creationId xmlns:a16="http://schemas.microsoft.com/office/drawing/2014/main" id="{A687F397-D912-486F-9887-8E7A63D151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6" name="Elipse 3765">
          <a:extLst>
            <a:ext uri="{FF2B5EF4-FFF2-40B4-BE49-F238E27FC236}">
              <a16:creationId xmlns:a16="http://schemas.microsoft.com/office/drawing/2014/main" id="{A59F3E74-E766-478F-8A2D-17C04DCF0D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7" name="Elipse 3766">
          <a:extLst>
            <a:ext uri="{FF2B5EF4-FFF2-40B4-BE49-F238E27FC236}">
              <a16:creationId xmlns:a16="http://schemas.microsoft.com/office/drawing/2014/main" id="{AFC6DB05-FF53-4400-BCCF-5121A8BC3A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8" name="Elipse 3767">
          <a:extLst>
            <a:ext uri="{FF2B5EF4-FFF2-40B4-BE49-F238E27FC236}">
              <a16:creationId xmlns:a16="http://schemas.microsoft.com/office/drawing/2014/main" id="{0F8BCE0E-F131-4374-9DA4-0757116EC7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69" name="Elipse 3768">
          <a:extLst>
            <a:ext uri="{FF2B5EF4-FFF2-40B4-BE49-F238E27FC236}">
              <a16:creationId xmlns:a16="http://schemas.microsoft.com/office/drawing/2014/main" id="{1119082D-EC9A-4D2D-9987-B182A1AD87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0" name="Elipse 3769">
          <a:extLst>
            <a:ext uri="{FF2B5EF4-FFF2-40B4-BE49-F238E27FC236}">
              <a16:creationId xmlns:a16="http://schemas.microsoft.com/office/drawing/2014/main" id="{6B4DFAAF-EA8B-449C-9195-0B6B6F8716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1" name="Elipse 3770">
          <a:extLst>
            <a:ext uri="{FF2B5EF4-FFF2-40B4-BE49-F238E27FC236}">
              <a16:creationId xmlns:a16="http://schemas.microsoft.com/office/drawing/2014/main" id="{8A8DDCF8-FED2-4C2D-A4AF-551612B172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2" name="Elipse 3771">
          <a:extLst>
            <a:ext uri="{FF2B5EF4-FFF2-40B4-BE49-F238E27FC236}">
              <a16:creationId xmlns:a16="http://schemas.microsoft.com/office/drawing/2014/main" id="{7AEDDCA6-A5F2-4289-B75C-A1BBE7CCA4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3" name="Elipse 3772">
          <a:extLst>
            <a:ext uri="{FF2B5EF4-FFF2-40B4-BE49-F238E27FC236}">
              <a16:creationId xmlns:a16="http://schemas.microsoft.com/office/drawing/2014/main" id="{2C7C63AA-5B8A-4475-86E4-E5C7B6CE92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4" name="Elipse 3773">
          <a:extLst>
            <a:ext uri="{FF2B5EF4-FFF2-40B4-BE49-F238E27FC236}">
              <a16:creationId xmlns:a16="http://schemas.microsoft.com/office/drawing/2014/main" id="{B58FCF06-6EB3-45B6-A012-AB37296439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5" name="Elipse 3774">
          <a:extLst>
            <a:ext uri="{FF2B5EF4-FFF2-40B4-BE49-F238E27FC236}">
              <a16:creationId xmlns:a16="http://schemas.microsoft.com/office/drawing/2014/main" id="{BD664A2F-5CB6-4EF1-8E21-F4F3CE862D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6" name="Elipse 3775">
          <a:extLst>
            <a:ext uri="{FF2B5EF4-FFF2-40B4-BE49-F238E27FC236}">
              <a16:creationId xmlns:a16="http://schemas.microsoft.com/office/drawing/2014/main" id="{C236E62E-13F0-4844-9BC0-320A381AE4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7" name="Elipse 3776">
          <a:extLst>
            <a:ext uri="{FF2B5EF4-FFF2-40B4-BE49-F238E27FC236}">
              <a16:creationId xmlns:a16="http://schemas.microsoft.com/office/drawing/2014/main" id="{685560CC-7135-4818-90E2-390A19BCC5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8" name="Elipse 3777">
          <a:extLst>
            <a:ext uri="{FF2B5EF4-FFF2-40B4-BE49-F238E27FC236}">
              <a16:creationId xmlns:a16="http://schemas.microsoft.com/office/drawing/2014/main" id="{C10A36E1-BBD8-4751-B789-F9E728E0FD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79" name="Elipse 3778">
          <a:extLst>
            <a:ext uri="{FF2B5EF4-FFF2-40B4-BE49-F238E27FC236}">
              <a16:creationId xmlns:a16="http://schemas.microsoft.com/office/drawing/2014/main" id="{48029F97-2227-44CC-B457-35A539AA85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0" name="Elipse 3779">
          <a:extLst>
            <a:ext uri="{FF2B5EF4-FFF2-40B4-BE49-F238E27FC236}">
              <a16:creationId xmlns:a16="http://schemas.microsoft.com/office/drawing/2014/main" id="{CF0BAA20-060A-4799-9C24-4AF479E7F1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1" name="Elipse 3780">
          <a:extLst>
            <a:ext uri="{FF2B5EF4-FFF2-40B4-BE49-F238E27FC236}">
              <a16:creationId xmlns:a16="http://schemas.microsoft.com/office/drawing/2014/main" id="{02A4A25E-93AA-4E84-A8F1-8342D5832E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2" name="Elipse 3781">
          <a:extLst>
            <a:ext uri="{FF2B5EF4-FFF2-40B4-BE49-F238E27FC236}">
              <a16:creationId xmlns:a16="http://schemas.microsoft.com/office/drawing/2014/main" id="{69FA1C1D-6F9D-49AF-A3BE-E4B2918E42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3" name="Elipse 3782">
          <a:extLst>
            <a:ext uri="{FF2B5EF4-FFF2-40B4-BE49-F238E27FC236}">
              <a16:creationId xmlns:a16="http://schemas.microsoft.com/office/drawing/2014/main" id="{8391767A-8F14-4DB0-9DB8-36FF88711F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4" name="Elipse 3783">
          <a:extLst>
            <a:ext uri="{FF2B5EF4-FFF2-40B4-BE49-F238E27FC236}">
              <a16:creationId xmlns:a16="http://schemas.microsoft.com/office/drawing/2014/main" id="{2C79F79A-6AC1-4050-A400-25E47CD896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5" name="Elipse 3784">
          <a:extLst>
            <a:ext uri="{FF2B5EF4-FFF2-40B4-BE49-F238E27FC236}">
              <a16:creationId xmlns:a16="http://schemas.microsoft.com/office/drawing/2014/main" id="{B6151CA7-7D0A-454E-B3AC-12997BE8ED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6" name="Elipse 3785">
          <a:extLst>
            <a:ext uri="{FF2B5EF4-FFF2-40B4-BE49-F238E27FC236}">
              <a16:creationId xmlns:a16="http://schemas.microsoft.com/office/drawing/2014/main" id="{72175E57-C7BC-45E2-B4ED-A5377A1C4A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7" name="Elipse 3786">
          <a:extLst>
            <a:ext uri="{FF2B5EF4-FFF2-40B4-BE49-F238E27FC236}">
              <a16:creationId xmlns:a16="http://schemas.microsoft.com/office/drawing/2014/main" id="{60675B80-429B-4417-8A05-AEE40642F9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8" name="Elipse 3787">
          <a:extLst>
            <a:ext uri="{FF2B5EF4-FFF2-40B4-BE49-F238E27FC236}">
              <a16:creationId xmlns:a16="http://schemas.microsoft.com/office/drawing/2014/main" id="{E418B4EA-33E4-4369-B8C5-0565FAE1C7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89" name="Elipse 3788">
          <a:extLst>
            <a:ext uri="{FF2B5EF4-FFF2-40B4-BE49-F238E27FC236}">
              <a16:creationId xmlns:a16="http://schemas.microsoft.com/office/drawing/2014/main" id="{F290D8AB-0A32-4291-A3F8-9F874B5DC0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0" name="Elipse 3789">
          <a:extLst>
            <a:ext uri="{FF2B5EF4-FFF2-40B4-BE49-F238E27FC236}">
              <a16:creationId xmlns:a16="http://schemas.microsoft.com/office/drawing/2014/main" id="{1CF8A7DA-190A-49D2-9299-D87EA94013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1" name="Elipse 3790">
          <a:extLst>
            <a:ext uri="{FF2B5EF4-FFF2-40B4-BE49-F238E27FC236}">
              <a16:creationId xmlns:a16="http://schemas.microsoft.com/office/drawing/2014/main" id="{EC6A51CB-7AA6-4FDA-9809-4DFDF1B02E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2" name="Elipse 3791">
          <a:extLst>
            <a:ext uri="{FF2B5EF4-FFF2-40B4-BE49-F238E27FC236}">
              <a16:creationId xmlns:a16="http://schemas.microsoft.com/office/drawing/2014/main" id="{90BDFDF8-77DB-4EB3-B918-F3B11B7EA8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3" name="Elipse 3792">
          <a:extLst>
            <a:ext uri="{FF2B5EF4-FFF2-40B4-BE49-F238E27FC236}">
              <a16:creationId xmlns:a16="http://schemas.microsoft.com/office/drawing/2014/main" id="{6D10362D-66BC-477A-AA92-7D8FCA6A81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4" name="Elipse 3793">
          <a:extLst>
            <a:ext uri="{FF2B5EF4-FFF2-40B4-BE49-F238E27FC236}">
              <a16:creationId xmlns:a16="http://schemas.microsoft.com/office/drawing/2014/main" id="{FA265098-D2F8-46F5-9DD6-56BA490524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5" name="Elipse 3794">
          <a:extLst>
            <a:ext uri="{FF2B5EF4-FFF2-40B4-BE49-F238E27FC236}">
              <a16:creationId xmlns:a16="http://schemas.microsoft.com/office/drawing/2014/main" id="{38D4F3C0-21BE-433D-9CE4-1A4439838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6" name="Elipse 3795">
          <a:extLst>
            <a:ext uri="{FF2B5EF4-FFF2-40B4-BE49-F238E27FC236}">
              <a16:creationId xmlns:a16="http://schemas.microsoft.com/office/drawing/2014/main" id="{99A891D0-FBBF-442B-AB22-0CB9B65068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7" name="Elipse 3796">
          <a:extLst>
            <a:ext uri="{FF2B5EF4-FFF2-40B4-BE49-F238E27FC236}">
              <a16:creationId xmlns:a16="http://schemas.microsoft.com/office/drawing/2014/main" id="{2F2D7973-DCE8-445F-A04D-DFFAC03773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8" name="Elipse 3797">
          <a:extLst>
            <a:ext uri="{FF2B5EF4-FFF2-40B4-BE49-F238E27FC236}">
              <a16:creationId xmlns:a16="http://schemas.microsoft.com/office/drawing/2014/main" id="{AFCB258F-EB23-4E54-97A8-866B04A19F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799" name="Elipse 3798">
          <a:extLst>
            <a:ext uri="{FF2B5EF4-FFF2-40B4-BE49-F238E27FC236}">
              <a16:creationId xmlns:a16="http://schemas.microsoft.com/office/drawing/2014/main" id="{0F6093BB-CCAE-4844-B423-CD6C7C6245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0" name="Elipse 3799">
          <a:extLst>
            <a:ext uri="{FF2B5EF4-FFF2-40B4-BE49-F238E27FC236}">
              <a16:creationId xmlns:a16="http://schemas.microsoft.com/office/drawing/2014/main" id="{794A6587-D924-4D61-94F8-313E0AFA92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1" name="Elipse 3800">
          <a:extLst>
            <a:ext uri="{FF2B5EF4-FFF2-40B4-BE49-F238E27FC236}">
              <a16:creationId xmlns:a16="http://schemas.microsoft.com/office/drawing/2014/main" id="{BAF51ABC-1910-4029-B3A4-B44CF3C878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2" name="Elipse 3801">
          <a:extLst>
            <a:ext uri="{FF2B5EF4-FFF2-40B4-BE49-F238E27FC236}">
              <a16:creationId xmlns:a16="http://schemas.microsoft.com/office/drawing/2014/main" id="{A64AB979-AF81-48AE-A3D2-F947482CFF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3" name="Elipse 3802">
          <a:extLst>
            <a:ext uri="{FF2B5EF4-FFF2-40B4-BE49-F238E27FC236}">
              <a16:creationId xmlns:a16="http://schemas.microsoft.com/office/drawing/2014/main" id="{DA2D548E-CF1A-41E9-A15B-6B003E46B1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4" name="Elipse 3803">
          <a:extLst>
            <a:ext uri="{FF2B5EF4-FFF2-40B4-BE49-F238E27FC236}">
              <a16:creationId xmlns:a16="http://schemas.microsoft.com/office/drawing/2014/main" id="{B17C7279-F8FE-4405-BA7F-5E10F3EE2F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5" name="Elipse 3804">
          <a:extLst>
            <a:ext uri="{FF2B5EF4-FFF2-40B4-BE49-F238E27FC236}">
              <a16:creationId xmlns:a16="http://schemas.microsoft.com/office/drawing/2014/main" id="{F0489BC4-05F7-456D-8887-5D9B75EF05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6" name="Elipse 3805">
          <a:extLst>
            <a:ext uri="{FF2B5EF4-FFF2-40B4-BE49-F238E27FC236}">
              <a16:creationId xmlns:a16="http://schemas.microsoft.com/office/drawing/2014/main" id="{3242476A-44E7-4D78-BF28-C32D5355D7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7" name="Elipse 3806">
          <a:extLst>
            <a:ext uri="{FF2B5EF4-FFF2-40B4-BE49-F238E27FC236}">
              <a16:creationId xmlns:a16="http://schemas.microsoft.com/office/drawing/2014/main" id="{7FC38FF6-B34E-4CFD-9DAA-275F201BEC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8" name="Elipse 3807">
          <a:extLst>
            <a:ext uri="{FF2B5EF4-FFF2-40B4-BE49-F238E27FC236}">
              <a16:creationId xmlns:a16="http://schemas.microsoft.com/office/drawing/2014/main" id="{F7F34F06-6A38-49A9-9B9B-FC2FFFCA6A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09" name="Elipse 3808">
          <a:extLst>
            <a:ext uri="{FF2B5EF4-FFF2-40B4-BE49-F238E27FC236}">
              <a16:creationId xmlns:a16="http://schemas.microsoft.com/office/drawing/2014/main" id="{7975B605-474C-4985-A66D-13D64F7159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0" name="Elipse 3809">
          <a:extLst>
            <a:ext uri="{FF2B5EF4-FFF2-40B4-BE49-F238E27FC236}">
              <a16:creationId xmlns:a16="http://schemas.microsoft.com/office/drawing/2014/main" id="{7A3CD516-86FD-42E5-8412-C2EE28627F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1" name="Elipse 3810">
          <a:extLst>
            <a:ext uri="{FF2B5EF4-FFF2-40B4-BE49-F238E27FC236}">
              <a16:creationId xmlns:a16="http://schemas.microsoft.com/office/drawing/2014/main" id="{62DA8E62-9D87-4E42-95F9-178505C1C4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2" name="Elipse 3811">
          <a:extLst>
            <a:ext uri="{FF2B5EF4-FFF2-40B4-BE49-F238E27FC236}">
              <a16:creationId xmlns:a16="http://schemas.microsoft.com/office/drawing/2014/main" id="{1C538542-C66B-412E-8B1A-3F58D280B4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3" name="Elipse 3812">
          <a:extLst>
            <a:ext uri="{FF2B5EF4-FFF2-40B4-BE49-F238E27FC236}">
              <a16:creationId xmlns:a16="http://schemas.microsoft.com/office/drawing/2014/main" id="{CD22EB41-D822-4625-9441-1F38B1CFDB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4" name="Elipse 3813">
          <a:extLst>
            <a:ext uri="{FF2B5EF4-FFF2-40B4-BE49-F238E27FC236}">
              <a16:creationId xmlns:a16="http://schemas.microsoft.com/office/drawing/2014/main" id="{DFAA17FE-FE2B-42E1-8FBC-BD806125F4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5" name="Elipse 3814">
          <a:extLst>
            <a:ext uri="{FF2B5EF4-FFF2-40B4-BE49-F238E27FC236}">
              <a16:creationId xmlns:a16="http://schemas.microsoft.com/office/drawing/2014/main" id="{B059D2C0-9B09-459B-A28E-3613D42550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6" name="Elipse 3815">
          <a:extLst>
            <a:ext uri="{FF2B5EF4-FFF2-40B4-BE49-F238E27FC236}">
              <a16:creationId xmlns:a16="http://schemas.microsoft.com/office/drawing/2014/main" id="{02E80E5A-01D3-44DF-AE43-6F8CA85E1B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7" name="Elipse 3816">
          <a:extLst>
            <a:ext uri="{FF2B5EF4-FFF2-40B4-BE49-F238E27FC236}">
              <a16:creationId xmlns:a16="http://schemas.microsoft.com/office/drawing/2014/main" id="{7D80739A-19D4-47B2-A852-0A29BEF77B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8" name="Elipse 3817">
          <a:extLst>
            <a:ext uri="{FF2B5EF4-FFF2-40B4-BE49-F238E27FC236}">
              <a16:creationId xmlns:a16="http://schemas.microsoft.com/office/drawing/2014/main" id="{07431DEA-26D8-4732-A90E-25A1E94800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19" name="Elipse 3818">
          <a:extLst>
            <a:ext uri="{FF2B5EF4-FFF2-40B4-BE49-F238E27FC236}">
              <a16:creationId xmlns:a16="http://schemas.microsoft.com/office/drawing/2014/main" id="{C200ECBF-FE93-4291-8D62-3E8A9C98E6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0" name="Elipse 3819">
          <a:extLst>
            <a:ext uri="{FF2B5EF4-FFF2-40B4-BE49-F238E27FC236}">
              <a16:creationId xmlns:a16="http://schemas.microsoft.com/office/drawing/2014/main" id="{0D020A84-6986-4431-8820-1130072DBD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1" name="Elipse 3820">
          <a:extLst>
            <a:ext uri="{FF2B5EF4-FFF2-40B4-BE49-F238E27FC236}">
              <a16:creationId xmlns:a16="http://schemas.microsoft.com/office/drawing/2014/main" id="{555FF127-C145-4E6E-B087-A8CF7D5476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2" name="Elipse 3821">
          <a:extLst>
            <a:ext uri="{FF2B5EF4-FFF2-40B4-BE49-F238E27FC236}">
              <a16:creationId xmlns:a16="http://schemas.microsoft.com/office/drawing/2014/main" id="{859FF38C-D573-4D0F-88B6-E6F16B1F03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3" name="Elipse 3822">
          <a:extLst>
            <a:ext uri="{FF2B5EF4-FFF2-40B4-BE49-F238E27FC236}">
              <a16:creationId xmlns:a16="http://schemas.microsoft.com/office/drawing/2014/main" id="{C1EA2EE5-3E4C-4717-BD33-238682B60D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4" name="Elipse 3823">
          <a:extLst>
            <a:ext uri="{FF2B5EF4-FFF2-40B4-BE49-F238E27FC236}">
              <a16:creationId xmlns:a16="http://schemas.microsoft.com/office/drawing/2014/main" id="{770A3A9A-D44F-4AFE-BC9C-C498347F53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5" name="Elipse 3824">
          <a:extLst>
            <a:ext uri="{FF2B5EF4-FFF2-40B4-BE49-F238E27FC236}">
              <a16:creationId xmlns:a16="http://schemas.microsoft.com/office/drawing/2014/main" id="{C4836087-AE3D-4F62-9B26-10020B23D0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6" name="Elipse 3825">
          <a:extLst>
            <a:ext uri="{FF2B5EF4-FFF2-40B4-BE49-F238E27FC236}">
              <a16:creationId xmlns:a16="http://schemas.microsoft.com/office/drawing/2014/main" id="{29E3B89F-FFFF-4009-BE0D-B97E092618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7" name="Elipse 3826">
          <a:extLst>
            <a:ext uri="{FF2B5EF4-FFF2-40B4-BE49-F238E27FC236}">
              <a16:creationId xmlns:a16="http://schemas.microsoft.com/office/drawing/2014/main" id="{DA6EB95F-B3F8-4747-AAF5-4E1A2ADDE5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8" name="Elipse 3827">
          <a:extLst>
            <a:ext uri="{FF2B5EF4-FFF2-40B4-BE49-F238E27FC236}">
              <a16:creationId xmlns:a16="http://schemas.microsoft.com/office/drawing/2014/main" id="{36859D49-CABC-4A13-A9A6-5999767623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29" name="Elipse 3828">
          <a:extLst>
            <a:ext uri="{FF2B5EF4-FFF2-40B4-BE49-F238E27FC236}">
              <a16:creationId xmlns:a16="http://schemas.microsoft.com/office/drawing/2014/main" id="{71715E19-24F4-4638-AAD9-2007E70B3A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0" name="Elipse 3829">
          <a:extLst>
            <a:ext uri="{FF2B5EF4-FFF2-40B4-BE49-F238E27FC236}">
              <a16:creationId xmlns:a16="http://schemas.microsoft.com/office/drawing/2014/main" id="{30A14884-6D7F-4466-BBB6-78EFFA2D00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1" name="Elipse 3830">
          <a:extLst>
            <a:ext uri="{FF2B5EF4-FFF2-40B4-BE49-F238E27FC236}">
              <a16:creationId xmlns:a16="http://schemas.microsoft.com/office/drawing/2014/main" id="{5A0DC055-D142-4195-AA35-0D270C9716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2" name="Elipse 3831">
          <a:extLst>
            <a:ext uri="{FF2B5EF4-FFF2-40B4-BE49-F238E27FC236}">
              <a16:creationId xmlns:a16="http://schemas.microsoft.com/office/drawing/2014/main" id="{A258C483-FF00-4183-97E8-1EC616677D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3" name="Elipse 3832">
          <a:extLst>
            <a:ext uri="{FF2B5EF4-FFF2-40B4-BE49-F238E27FC236}">
              <a16:creationId xmlns:a16="http://schemas.microsoft.com/office/drawing/2014/main" id="{E431C20B-FCF4-4127-8F43-17AEE2F394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4" name="Elipse 3833">
          <a:extLst>
            <a:ext uri="{FF2B5EF4-FFF2-40B4-BE49-F238E27FC236}">
              <a16:creationId xmlns:a16="http://schemas.microsoft.com/office/drawing/2014/main" id="{E11DE3FB-0D52-46B4-BAE3-1E5D88D507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5" name="Elipse 3834">
          <a:extLst>
            <a:ext uri="{FF2B5EF4-FFF2-40B4-BE49-F238E27FC236}">
              <a16:creationId xmlns:a16="http://schemas.microsoft.com/office/drawing/2014/main" id="{E11CC4BB-9BF4-4E03-9151-5C150E4F5E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6" name="Elipse 3835">
          <a:extLst>
            <a:ext uri="{FF2B5EF4-FFF2-40B4-BE49-F238E27FC236}">
              <a16:creationId xmlns:a16="http://schemas.microsoft.com/office/drawing/2014/main" id="{069C921C-6793-4DEE-BBBE-0C740FFA71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7" name="Elipse 3836">
          <a:extLst>
            <a:ext uri="{FF2B5EF4-FFF2-40B4-BE49-F238E27FC236}">
              <a16:creationId xmlns:a16="http://schemas.microsoft.com/office/drawing/2014/main" id="{6D2444C9-7D6B-43D5-802B-EB45337165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8" name="Elipse 3837">
          <a:extLst>
            <a:ext uri="{FF2B5EF4-FFF2-40B4-BE49-F238E27FC236}">
              <a16:creationId xmlns:a16="http://schemas.microsoft.com/office/drawing/2014/main" id="{CE0D9383-5A1B-4336-AECB-5BBA09B139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39" name="Elipse 3838">
          <a:extLst>
            <a:ext uri="{FF2B5EF4-FFF2-40B4-BE49-F238E27FC236}">
              <a16:creationId xmlns:a16="http://schemas.microsoft.com/office/drawing/2014/main" id="{FB08F00E-AC16-4EA6-A7C1-757E30C1D0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0" name="Elipse 3839">
          <a:extLst>
            <a:ext uri="{FF2B5EF4-FFF2-40B4-BE49-F238E27FC236}">
              <a16:creationId xmlns:a16="http://schemas.microsoft.com/office/drawing/2014/main" id="{09DC49AF-032F-42F8-A542-8C73D63EEB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1" name="Elipse 3840">
          <a:extLst>
            <a:ext uri="{FF2B5EF4-FFF2-40B4-BE49-F238E27FC236}">
              <a16:creationId xmlns:a16="http://schemas.microsoft.com/office/drawing/2014/main" id="{5B807A8A-694B-47F2-A908-BF4E26222A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2" name="Elipse 3841">
          <a:extLst>
            <a:ext uri="{FF2B5EF4-FFF2-40B4-BE49-F238E27FC236}">
              <a16:creationId xmlns:a16="http://schemas.microsoft.com/office/drawing/2014/main" id="{C7733D8D-1602-4658-826E-EF3D692EC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3" name="Elipse 3842">
          <a:extLst>
            <a:ext uri="{FF2B5EF4-FFF2-40B4-BE49-F238E27FC236}">
              <a16:creationId xmlns:a16="http://schemas.microsoft.com/office/drawing/2014/main" id="{7D3F8C6F-E93F-43A0-87E8-E64C8CB55F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4" name="Elipse 3843">
          <a:extLst>
            <a:ext uri="{FF2B5EF4-FFF2-40B4-BE49-F238E27FC236}">
              <a16:creationId xmlns:a16="http://schemas.microsoft.com/office/drawing/2014/main" id="{B0F6CBEB-4AD2-4790-85BC-B8772051CF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5" name="Elipse 3844">
          <a:extLst>
            <a:ext uri="{FF2B5EF4-FFF2-40B4-BE49-F238E27FC236}">
              <a16:creationId xmlns:a16="http://schemas.microsoft.com/office/drawing/2014/main" id="{97ACA9AD-E65F-498B-B70F-79252AC43C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6" name="Elipse 3845">
          <a:extLst>
            <a:ext uri="{FF2B5EF4-FFF2-40B4-BE49-F238E27FC236}">
              <a16:creationId xmlns:a16="http://schemas.microsoft.com/office/drawing/2014/main" id="{03B21305-7533-469D-A268-ADC0DA4955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7" name="Elipse 3846">
          <a:extLst>
            <a:ext uri="{FF2B5EF4-FFF2-40B4-BE49-F238E27FC236}">
              <a16:creationId xmlns:a16="http://schemas.microsoft.com/office/drawing/2014/main" id="{09E730B5-5868-472A-BDDD-93F1A31543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8" name="Elipse 3847">
          <a:extLst>
            <a:ext uri="{FF2B5EF4-FFF2-40B4-BE49-F238E27FC236}">
              <a16:creationId xmlns:a16="http://schemas.microsoft.com/office/drawing/2014/main" id="{6FD4CF3D-55BD-4E9E-8256-434C5888DD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49" name="Elipse 3848">
          <a:extLst>
            <a:ext uri="{FF2B5EF4-FFF2-40B4-BE49-F238E27FC236}">
              <a16:creationId xmlns:a16="http://schemas.microsoft.com/office/drawing/2014/main" id="{C59F7912-4B4D-465E-949A-8BE30D9AF0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0" name="Elipse 3849">
          <a:extLst>
            <a:ext uri="{FF2B5EF4-FFF2-40B4-BE49-F238E27FC236}">
              <a16:creationId xmlns:a16="http://schemas.microsoft.com/office/drawing/2014/main" id="{04AD84B7-258F-4E78-A36B-F2CE67E34E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1" name="Elipse 3850">
          <a:extLst>
            <a:ext uri="{FF2B5EF4-FFF2-40B4-BE49-F238E27FC236}">
              <a16:creationId xmlns:a16="http://schemas.microsoft.com/office/drawing/2014/main" id="{7E677B36-DE53-42DB-8DED-AA3FDB406C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2" name="Elipse 3851">
          <a:extLst>
            <a:ext uri="{FF2B5EF4-FFF2-40B4-BE49-F238E27FC236}">
              <a16:creationId xmlns:a16="http://schemas.microsoft.com/office/drawing/2014/main" id="{826FA3F1-9CF5-4799-AC0D-17D769FAC4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3" name="Elipse 3852">
          <a:extLst>
            <a:ext uri="{FF2B5EF4-FFF2-40B4-BE49-F238E27FC236}">
              <a16:creationId xmlns:a16="http://schemas.microsoft.com/office/drawing/2014/main" id="{5676C6E3-F0E7-4849-BCF1-98DF11E9DE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4" name="Elipse 3853">
          <a:extLst>
            <a:ext uri="{FF2B5EF4-FFF2-40B4-BE49-F238E27FC236}">
              <a16:creationId xmlns:a16="http://schemas.microsoft.com/office/drawing/2014/main" id="{D24B1865-90FB-42A1-B77F-885D686EC3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5" name="Elipse 3854">
          <a:extLst>
            <a:ext uri="{FF2B5EF4-FFF2-40B4-BE49-F238E27FC236}">
              <a16:creationId xmlns:a16="http://schemas.microsoft.com/office/drawing/2014/main" id="{B4501241-7E5E-422B-8BC7-0C1739FEFF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6" name="Elipse 3855">
          <a:extLst>
            <a:ext uri="{FF2B5EF4-FFF2-40B4-BE49-F238E27FC236}">
              <a16:creationId xmlns:a16="http://schemas.microsoft.com/office/drawing/2014/main" id="{2034A4FD-7AE8-4D4D-833B-64599C5E50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7" name="Elipse 3856">
          <a:extLst>
            <a:ext uri="{FF2B5EF4-FFF2-40B4-BE49-F238E27FC236}">
              <a16:creationId xmlns:a16="http://schemas.microsoft.com/office/drawing/2014/main" id="{F153F03D-1FF2-4288-922D-F575E03543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8" name="Elipse 3857">
          <a:extLst>
            <a:ext uri="{FF2B5EF4-FFF2-40B4-BE49-F238E27FC236}">
              <a16:creationId xmlns:a16="http://schemas.microsoft.com/office/drawing/2014/main" id="{42E455AF-D422-4B21-BCC9-759FCCA0BB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59" name="Elipse 3858">
          <a:extLst>
            <a:ext uri="{FF2B5EF4-FFF2-40B4-BE49-F238E27FC236}">
              <a16:creationId xmlns:a16="http://schemas.microsoft.com/office/drawing/2014/main" id="{0AC9EB6E-FB31-4519-8FEB-1F51DF5868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0" name="Elipse 3859">
          <a:extLst>
            <a:ext uri="{FF2B5EF4-FFF2-40B4-BE49-F238E27FC236}">
              <a16:creationId xmlns:a16="http://schemas.microsoft.com/office/drawing/2014/main" id="{BCA513AF-6FFB-4DD1-895D-CA36C34858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1" name="Elipse 3860">
          <a:extLst>
            <a:ext uri="{FF2B5EF4-FFF2-40B4-BE49-F238E27FC236}">
              <a16:creationId xmlns:a16="http://schemas.microsoft.com/office/drawing/2014/main" id="{AD20E577-40D0-4070-B354-3FC8DE1E2A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2" name="Elipse 3861">
          <a:extLst>
            <a:ext uri="{FF2B5EF4-FFF2-40B4-BE49-F238E27FC236}">
              <a16:creationId xmlns:a16="http://schemas.microsoft.com/office/drawing/2014/main" id="{7512FF28-1FBB-4099-8867-CB3301D411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3" name="Elipse 3862">
          <a:extLst>
            <a:ext uri="{FF2B5EF4-FFF2-40B4-BE49-F238E27FC236}">
              <a16:creationId xmlns:a16="http://schemas.microsoft.com/office/drawing/2014/main" id="{54414BC0-D969-435B-9879-F92E7357ED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4" name="Elipse 3863">
          <a:extLst>
            <a:ext uri="{FF2B5EF4-FFF2-40B4-BE49-F238E27FC236}">
              <a16:creationId xmlns:a16="http://schemas.microsoft.com/office/drawing/2014/main" id="{A0D9B3EA-C0D3-474E-9DBA-2BA86C33C2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5" name="Elipse 3864">
          <a:extLst>
            <a:ext uri="{FF2B5EF4-FFF2-40B4-BE49-F238E27FC236}">
              <a16:creationId xmlns:a16="http://schemas.microsoft.com/office/drawing/2014/main" id="{A0AFF0D3-ED4D-443E-B0CF-A1EF67F0D4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6" name="Elipse 3865">
          <a:extLst>
            <a:ext uri="{FF2B5EF4-FFF2-40B4-BE49-F238E27FC236}">
              <a16:creationId xmlns:a16="http://schemas.microsoft.com/office/drawing/2014/main" id="{1B7B9B90-F47B-455F-89B6-C4A192469E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7" name="Elipse 3866">
          <a:extLst>
            <a:ext uri="{FF2B5EF4-FFF2-40B4-BE49-F238E27FC236}">
              <a16:creationId xmlns:a16="http://schemas.microsoft.com/office/drawing/2014/main" id="{B941AE62-8A64-4FAD-B431-FB100EC4D8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8" name="Elipse 3867">
          <a:extLst>
            <a:ext uri="{FF2B5EF4-FFF2-40B4-BE49-F238E27FC236}">
              <a16:creationId xmlns:a16="http://schemas.microsoft.com/office/drawing/2014/main" id="{CEBC1377-4685-41F9-B09E-CFAE7C1B6B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69" name="Elipse 3868">
          <a:extLst>
            <a:ext uri="{FF2B5EF4-FFF2-40B4-BE49-F238E27FC236}">
              <a16:creationId xmlns:a16="http://schemas.microsoft.com/office/drawing/2014/main" id="{75771AA7-97EE-44D9-A748-FA49450883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0" name="Elipse 3869">
          <a:extLst>
            <a:ext uri="{FF2B5EF4-FFF2-40B4-BE49-F238E27FC236}">
              <a16:creationId xmlns:a16="http://schemas.microsoft.com/office/drawing/2014/main" id="{D863CDB5-1EC0-4E58-BF45-B7D440DF0C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1" name="Elipse 3870">
          <a:extLst>
            <a:ext uri="{FF2B5EF4-FFF2-40B4-BE49-F238E27FC236}">
              <a16:creationId xmlns:a16="http://schemas.microsoft.com/office/drawing/2014/main" id="{6B153E7F-0F2A-4D6B-8A44-79154F55E0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2" name="Elipse 3871">
          <a:extLst>
            <a:ext uri="{FF2B5EF4-FFF2-40B4-BE49-F238E27FC236}">
              <a16:creationId xmlns:a16="http://schemas.microsoft.com/office/drawing/2014/main" id="{FCFEBCE0-4E0B-4D68-966D-67C2672910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3" name="Elipse 3872">
          <a:extLst>
            <a:ext uri="{FF2B5EF4-FFF2-40B4-BE49-F238E27FC236}">
              <a16:creationId xmlns:a16="http://schemas.microsoft.com/office/drawing/2014/main" id="{10FEB34B-3115-48B0-A20B-6A5EDC813D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4" name="Elipse 3873">
          <a:extLst>
            <a:ext uri="{FF2B5EF4-FFF2-40B4-BE49-F238E27FC236}">
              <a16:creationId xmlns:a16="http://schemas.microsoft.com/office/drawing/2014/main" id="{4D4DDF47-20C5-441D-BB48-0A10B5BD8E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5" name="Elipse 3874">
          <a:extLst>
            <a:ext uri="{FF2B5EF4-FFF2-40B4-BE49-F238E27FC236}">
              <a16:creationId xmlns:a16="http://schemas.microsoft.com/office/drawing/2014/main" id="{0227CCE7-14D3-4BF2-9746-19DA3400BD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6" name="Elipse 3875">
          <a:extLst>
            <a:ext uri="{FF2B5EF4-FFF2-40B4-BE49-F238E27FC236}">
              <a16:creationId xmlns:a16="http://schemas.microsoft.com/office/drawing/2014/main" id="{79BC1E8E-404C-4960-8DFF-C8BBBA74A3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7" name="Elipse 3876">
          <a:extLst>
            <a:ext uri="{FF2B5EF4-FFF2-40B4-BE49-F238E27FC236}">
              <a16:creationId xmlns:a16="http://schemas.microsoft.com/office/drawing/2014/main" id="{E9529880-5045-4756-AE74-0003530AB6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8" name="Elipse 3877">
          <a:extLst>
            <a:ext uri="{FF2B5EF4-FFF2-40B4-BE49-F238E27FC236}">
              <a16:creationId xmlns:a16="http://schemas.microsoft.com/office/drawing/2014/main" id="{0C38B3FE-D379-4891-AD42-FDF0FE9E5C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79" name="Elipse 3878">
          <a:extLst>
            <a:ext uri="{FF2B5EF4-FFF2-40B4-BE49-F238E27FC236}">
              <a16:creationId xmlns:a16="http://schemas.microsoft.com/office/drawing/2014/main" id="{192564DC-65F0-4AE7-8AB1-D932321252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0" name="Elipse 3879">
          <a:extLst>
            <a:ext uri="{FF2B5EF4-FFF2-40B4-BE49-F238E27FC236}">
              <a16:creationId xmlns:a16="http://schemas.microsoft.com/office/drawing/2014/main" id="{A6BBEC84-D2EF-4353-8335-C0CA720A50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1" name="Elipse 3880">
          <a:extLst>
            <a:ext uri="{FF2B5EF4-FFF2-40B4-BE49-F238E27FC236}">
              <a16:creationId xmlns:a16="http://schemas.microsoft.com/office/drawing/2014/main" id="{5F1BC50B-4115-4B7B-AD51-60FD6ACAD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2" name="Elipse 3881">
          <a:extLst>
            <a:ext uri="{FF2B5EF4-FFF2-40B4-BE49-F238E27FC236}">
              <a16:creationId xmlns:a16="http://schemas.microsoft.com/office/drawing/2014/main" id="{6223CA14-CFF6-4A73-8099-D237A0BB63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3" name="Elipse 3882">
          <a:extLst>
            <a:ext uri="{FF2B5EF4-FFF2-40B4-BE49-F238E27FC236}">
              <a16:creationId xmlns:a16="http://schemas.microsoft.com/office/drawing/2014/main" id="{24254724-0E12-433B-B462-6E872BAD30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4" name="Elipse 3883">
          <a:extLst>
            <a:ext uri="{FF2B5EF4-FFF2-40B4-BE49-F238E27FC236}">
              <a16:creationId xmlns:a16="http://schemas.microsoft.com/office/drawing/2014/main" id="{4D37DAFB-F15A-4B71-AB01-80F7A74FBB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5" name="Elipse 3884">
          <a:extLst>
            <a:ext uri="{FF2B5EF4-FFF2-40B4-BE49-F238E27FC236}">
              <a16:creationId xmlns:a16="http://schemas.microsoft.com/office/drawing/2014/main" id="{1D8F7C05-6B6D-4761-8924-672B21070D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6" name="Elipse 3885">
          <a:extLst>
            <a:ext uri="{FF2B5EF4-FFF2-40B4-BE49-F238E27FC236}">
              <a16:creationId xmlns:a16="http://schemas.microsoft.com/office/drawing/2014/main" id="{A5BF3D71-529F-4735-AAF5-856E2349EE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7" name="Elipse 3886">
          <a:extLst>
            <a:ext uri="{FF2B5EF4-FFF2-40B4-BE49-F238E27FC236}">
              <a16:creationId xmlns:a16="http://schemas.microsoft.com/office/drawing/2014/main" id="{82D372D3-7DD8-4E83-95F2-1D80581625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8" name="Elipse 3887">
          <a:extLst>
            <a:ext uri="{FF2B5EF4-FFF2-40B4-BE49-F238E27FC236}">
              <a16:creationId xmlns:a16="http://schemas.microsoft.com/office/drawing/2014/main" id="{A524D3BF-610B-4D31-86C7-CC45CD24CE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89" name="Elipse 3888">
          <a:extLst>
            <a:ext uri="{FF2B5EF4-FFF2-40B4-BE49-F238E27FC236}">
              <a16:creationId xmlns:a16="http://schemas.microsoft.com/office/drawing/2014/main" id="{47652652-CE64-4EE4-89DA-08A8A0E716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0" name="Elipse 3889">
          <a:extLst>
            <a:ext uri="{FF2B5EF4-FFF2-40B4-BE49-F238E27FC236}">
              <a16:creationId xmlns:a16="http://schemas.microsoft.com/office/drawing/2014/main" id="{1CFD4E76-DFDF-4527-8774-F8364BEF7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1" name="Elipse 3890">
          <a:extLst>
            <a:ext uri="{FF2B5EF4-FFF2-40B4-BE49-F238E27FC236}">
              <a16:creationId xmlns:a16="http://schemas.microsoft.com/office/drawing/2014/main" id="{29C2F873-2E7F-47DC-A4F2-31A3A2BB66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2" name="Elipse 3891">
          <a:extLst>
            <a:ext uri="{FF2B5EF4-FFF2-40B4-BE49-F238E27FC236}">
              <a16:creationId xmlns:a16="http://schemas.microsoft.com/office/drawing/2014/main" id="{BCA69151-3BC5-4FE8-B7CE-7A3023EC16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3" name="Elipse 3892">
          <a:extLst>
            <a:ext uri="{FF2B5EF4-FFF2-40B4-BE49-F238E27FC236}">
              <a16:creationId xmlns:a16="http://schemas.microsoft.com/office/drawing/2014/main" id="{0A43F21C-B305-4F1C-B342-8900C0668C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4" name="Elipse 3893">
          <a:extLst>
            <a:ext uri="{FF2B5EF4-FFF2-40B4-BE49-F238E27FC236}">
              <a16:creationId xmlns:a16="http://schemas.microsoft.com/office/drawing/2014/main" id="{A5ACCD98-D1A0-4358-885F-2FC2D8B690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5" name="Elipse 3894">
          <a:extLst>
            <a:ext uri="{FF2B5EF4-FFF2-40B4-BE49-F238E27FC236}">
              <a16:creationId xmlns:a16="http://schemas.microsoft.com/office/drawing/2014/main" id="{03520EAC-3763-4C11-841D-54BB9094DE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6" name="Elipse 3895">
          <a:extLst>
            <a:ext uri="{FF2B5EF4-FFF2-40B4-BE49-F238E27FC236}">
              <a16:creationId xmlns:a16="http://schemas.microsoft.com/office/drawing/2014/main" id="{91C47102-DE7E-4995-AEEB-F708EA412C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7" name="Elipse 3896">
          <a:extLst>
            <a:ext uri="{FF2B5EF4-FFF2-40B4-BE49-F238E27FC236}">
              <a16:creationId xmlns:a16="http://schemas.microsoft.com/office/drawing/2014/main" id="{E710C685-AD88-474B-99E8-7569EC89E2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8" name="Elipse 3897">
          <a:extLst>
            <a:ext uri="{FF2B5EF4-FFF2-40B4-BE49-F238E27FC236}">
              <a16:creationId xmlns:a16="http://schemas.microsoft.com/office/drawing/2014/main" id="{66A7C0E2-A0CF-45A6-ACDE-D5C0AD77A6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899" name="Elipse 3898">
          <a:extLst>
            <a:ext uri="{FF2B5EF4-FFF2-40B4-BE49-F238E27FC236}">
              <a16:creationId xmlns:a16="http://schemas.microsoft.com/office/drawing/2014/main" id="{FF1DC6BD-9BDD-4D4F-878C-02A970CBEC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0" name="Elipse 3899">
          <a:extLst>
            <a:ext uri="{FF2B5EF4-FFF2-40B4-BE49-F238E27FC236}">
              <a16:creationId xmlns:a16="http://schemas.microsoft.com/office/drawing/2014/main" id="{84F1F2B7-C345-4679-8716-A3413CA6A5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1" name="Elipse 3900">
          <a:extLst>
            <a:ext uri="{FF2B5EF4-FFF2-40B4-BE49-F238E27FC236}">
              <a16:creationId xmlns:a16="http://schemas.microsoft.com/office/drawing/2014/main" id="{2D9CF35B-F084-4BB1-8A66-38AFE5FBB5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2" name="Elipse 3901">
          <a:extLst>
            <a:ext uri="{FF2B5EF4-FFF2-40B4-BE49-F238E27FC236}">
              <a16:creationId xmlns:a16="http://schemas.microsoft.com/office/drawing/2014/main" id="{EB9BB587-CFF4-4AF7-B8DD-81A2CF216C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3" name="Elipse 3902">
          <a:extLst>
            <a:ext uri="{FF2B5EF4-FFF2-40B4-BE49-F238E27FC236}">
              <a16:creationId xmlns:a16="http://schemas.microsoft.com/office/drawing/2014/main" id="{6A714F9D-764A-4E46-8CFD-5608A176B1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4" name="Elipse 3903">
          <a:extLst>
            <a:ext uri="{FF2B5EF4-FFF2-40B4-BE49-F238E27FC236}">
              <a16:creationId xmlns:a16="http://schemas.microsoft.com/office/drawing/2014/main" id="{FE76E4E3-8720-4A19-AA03-0545D2B80C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5" name="Elipse 3904">
          <a:extLst>
            <a:ext uri="{FF2B5EF4-FFF2-40B4-BE49-F238E27FC236}">
              <a16:creationId xmlns:a16="http://schemas.microsoft.com/office/drawing/2014/main" id="{7669B94D-D87E-4524-BEA6-82DD234DD0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6" name="Elipse 3905">
          <a:extLst>
            <a:ext uri="{FF2B5EF4-FFF2-40B4-BE49-F238E27FC236}">
              <a16:creationId xmlns:a16="http://schemas.microsoft.com/office/drawing/2014/main" id="{F09171BD-A1E4-4A40-B16B-EB9DC5F61D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7" name="Elipse 3906">
          <a:extLst>
            <a:ext uri="{FF2B5EF4-FFF2-40B4-BE49-F238E27FC236}">
              <a16:creationId xmlns:a16="http://schemas.microsoft.com/office/drawing/2014/main" id="{2FAF3C95-B160-47A2-A61B-3579813D2D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8" name="Elipse 3907">
          <a:extLst>
            <a:ext uri="{FF2B5EF4-FFF2-40B4-BE49-F238E27FC236}">
              <a16:creationId xmlns:a16="http://schemas.microsoft.com/office/drawing/2014/main" id="{372E1901-E33E-41A2-88F5-876155329C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09" name="Elipse 3908">
          <a:extLst>
            <a:ext uri="{FF2B5EF4-FFF2-40B4-BE49-F238E27FC236}">
              <a16:creationId xmlns:a16="http://schemas.microsoft.com/office/drawing/2014/main" id="{8CA9BA30-C8C0-411F-8B57-A8D53EAE64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0" name="Elipse 3909">
          <a:extLst>
            <a:ext uri="{FF2B5EF4-FFF2-40B4-BE49-F238E27FC236}">
              <a16:creationId xmlns:a16="http://schemas.microsoft.com/office/drawing/2014/main" id="{0C1722C1-4823-4F94-B3D5-3A0E02AA4D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1" name="Elipse 3910">
          <a:extLst>
            <a:ext uri="{FF2B5EF4-FFF2-40B4-BE49-F238E27FC236}">
              <a16:creationId xmlns:a16="http://schemas.microsoft.com/office/drawing/2014/main" id="{B1B0EF04-D3DE-4EF2-942B-0DB0232C13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2" name="Elipse 3911">
          <a:extLst>
            <a:ext uri="{FF2B5EF4-FFF2-40B4-BE49-F238E27FC236}">
              <a16:creationId xmlns:a16="http://schemas.microsoft.com/office/drawing/2014/main" id="{7E5370A3-CADF-42A3-A884-BF23B1E6B0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3" name="Elipse 3912">
          <a:extLst>
            <a:ext uri="{FF2B5EF4-FFF2-40B4-BE49-F238E27FC236}">
              <a16:creationId xmlns:a16="http://schemas.microsoft.com/office/drawing/2014/main" id="{061FA40A-B279-4BCC-9F2B-18504C8B63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4" name="Elipse 3913">
          <a:extLst>
            <a:ext uri="{FF2B5EF4-FFF2-40B4-BE49-F238E27FC236}">
              <a16:creationId xmlns:a16="http://schemas.microsoft.com/office/drawing/2014/main" id="{606D3242-776B-436F-8928-D646A108E7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5" name="Elipse 3914">
          <a:extLst>
            <a:ext uri="{FF2B5EF4-FFF2-40B4-BE49-F238E27FC236}">
              <a16:creationId xmlns:a16="http://schemas.microsoft.com/office/drawing/2014/main" id="{316A5CD8-8C07-4BBF-B169-A8AC571F8D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6" name="Elipse 3915">
          <a:extLst>
            <a:ext uri="{FF2B5EF4-FFF2-40B4-BE49-F238E27FC236}">
              <a16:creationId xmlns:a16="http://schemas.microsoft.com/office/drawing/2014/main" id="{2CCBF542-1DC5-4767-9FCB-3A19695B61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7" name="Elipse 3916">
          <a:extLst>
            <a:ext uri="{FF2B5EF4-FFF2-40B4-BE49-F238E27FC236}">
              <a16:creationId xmlns:a16="http://schemas.microsoft.com/office/drawing/2014/main" id="{198A80CC-890F-40E8-8889-6432BA6E53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8" name="Elipse 3917">
          <a:extLst>
            <a:ext uri="{FF2B5EF4-FFF2-40B4-BE49-F238E27FC236}">
              <a16:creationId xmlns:a16="http://schemas.microsoft.com/office/drawing/2014/main" id="{CF806A74-877B-45E6-A11B-51EB3F0DAD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19" name="Elipse 3918">
          <a:extLst>
            <a:ext uri="{FF2B5EF4-FFF2-40B4-BE49-F238E27FC236}">
              <a16:creationId xmlns:a16="http://schemas.microsoft.com/office/drawing/2014/main" id="{21E52FCE-9EA9-4FC1-A351-0D8AF05A35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0" name="Elipse 3919">
          <a:extLst>
            <a:ext uri="{FF2B5EF4-FFF2-40B4-BE49-F238E27FC236}">
              <a16:creationId xmlns:a16="http://schemas.microsoft.com/office/drawing/2014/main" id="{B0BB6991-CB42-45B7-80E4-0F874EC3AD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1" name="Elipse 3920">
          <a:extLst>
            <a:ext uri="{FF2B5EF4-FFF2-40B4-BE49-F238E27FC236}">
              <a16:creationId xmlns:a16="http://schemas.microsoft.com/office/drawing/2014/main" id="{66DA198A-EF58-4B67-B1EB-AA0ED8ABEA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2" name="Elipse 3921">
          <a:extLst>
            <a:ext uri="{FF2B5EF4-FFF2-40B4-BE49-F238E27FC236}">
              <a16:creationId xmlns:a16="http://schemas.microsoft.com/office/drawing/2014/main" id="{691831FD-21C3-4C07-8FA7-499DE256BE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3" name="Elipse 3922">
          <a:extLst>
            <a:ext uri="{FF2B5EF4-FFF2-40B4-BE49-F238E27FC236}">
              <a16:creationId xmlns:a16="http://schemas.microsoft.com/office/drawing/2014/main" id="{32F6EFD3-FD7F-446D-B4C3-A58A57C5D8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4" name="Elipse 3923">
          <a:extLst>
            <a:ext uri="{FF2B5EF4-FFF2-40B4-BE49-F238E27FC236}">
              <a16:creationId xmlns:a16="http://schemas.microsoft.com/office/drawing/2014/main" id="{64510630-4267-41EB-BC9F-76E792BB23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5" name="Elipse 3924">
          <a:extLst>
            <a:ext uri="{FF2B5EF4-FFF2-40B4-BE49-F238E27FC236}">
              <a16:creationId xmlns:a16="http://schemas.microsoft.com/office/drawing/2014/main" id="{1663B21C-4A0F-44A9-90FA-6C5DE960CC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6" name="Elipse 3925">
          <a:extLst>
            <a:ext uri="{FF2B5EF4-FFF2-40B4-BE49-F238E27FC236}">
              <a16:creationId xmlns:a16="http://schemas.microsoft.com/office/drawing/2014/main" id="{37C3113D-79B6-4527-81F5-1436C6383B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7" name="Elipse 3926">
          <a:extLst>
            <a:ext uri="{FF2B5EF4-FFF2-40B4-BE49-F238E27FC236}">
              <a16:creationId xmlns:a16="http://schemas.microsoft.com/office/drawing/2014/main" id="{D02701D6-F9A4-4028-8652-BB68016465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8" name="Elipse 3927">
          <a:extLst>
            <a:ext uri="{FF2B5EF4-FFF2-40B4-BE49-F238E27FC236}">
              <a16:creationId xmlns:a16="http://schemas.microsoft.com/office/drawing/2014/main" id="{4AF99002-F8D5-4C51-81F5-5A56BA8915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29" name="Elipse 3928">
          <a:extLst>
            <a:ext uri="{FF2B5EF4-FFF2-40B4-BE49-F238E27FC236}">
              <a16:creationId xmlns:a16="http://schemas.microsoft.com/office/drawing/2014/main" id="{30E24323-363E-4899-98B4-2681D56CEB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0" name="Elipse 3929">
          <a:extLst>
            <a:ext uri="{FF2B5EF4-FFF2-40B4-BE49-F238E27FC236}">
              <a16:creationId xmlns:a16="http://schemas.microsoft.com/office/drawing/2014/main" id="{71071A41-0B1C-42F2-A9DF-0932E24FCC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1" name="Elipse 3930">
          <a:extLst>
            <a:ext uri="{FF2B5EF4-FFF2-40B4-BE49-F238E27FC236}">
              <a16:creationId xmlns:a16="http://schemas.microsoft.com/office/drawing/2014/main" id="{C2983451-BAA4-4672-B569-D7227BE92C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2" name="Elipse 3931">
          <a:extLst>
            <a:ext uri="{FF2B5EF4-FFF2-40B4-BE49-F238E27FC236}">
              <a16:creationId xmlns:a16="http://schemas.microsoft.com/office/drawing/2014/main" id="{E6D7EDB3-8E8B-4802-A4F6-7366E1B24C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3" name="Elipse 3932">
          <a:extLst>
            <a:ext uri="{FF2B5EF4-FFF2-40B4-BE49-F238E27FC236}">
              <a16:creationId xmlns:a16="http://schemas.microsoft.com/office/drawing/2014/main" id="{41EC9A9E-FDC9-41A7-B7DB-E51CF6679A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4" name="Elipse 3933">
          <a:extLst>
            <a:ext uri="{FF2B5EF4-FFF2-40B4-BE49-F238E27FC236}">
              <a16:creationId xmlns:a16="http://schemas.microsoft.com/office/drawing/2014/main" id="{242AFCEC-E683-4064-8299-8656665857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5" name="Elipse 3934">
          <a:extLst>
            <a:ext uri="{FF2B5EF4-FFF2-40B4-BE49-F238E27FC236}">
              <a16:creationId xmlns:a16="http://schemas.microsoft.com/office/drawing/2014/main" id="{B4EBDC5A-F8D5-413D-9ED2-AB67408F42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6" name="Elipse 3935">
          <a:extLst>
            <a:ext uri="{FF2B5EF4-FFF2-40B4-BE49-F238E27FC236}">
              <a16:creationId xmlns:a16="http://schemas.microsoft.com/office/drawing/2014/main" id="{AF3D7F84-AF50-4063-ACDD-0C71B4A1A1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7" name="Elipse 3936">
          <a:extLst>
            <a:ext uri="{FF2B5EF4-FFF2-40B4-BE49-F238E27FC236}">
              <a16:creationId xmlns:a16="http://schemas.microsoft.com/office/drawing/2014/main" id="{8D2E9257-E8EB-46AC-9ABA-DA21A5E3C7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8" name="Elipse 3937">
          <a:extLst>
            <a:ext uri="{FF2B5EF4-FFF2-40B4-BE49-F238E27FC236}">
              <a16:creationId xmlns:a16="http://schemas.microsoft.com/office/drawing/2014/main" id="{02548308-BE4E-4DFD-BD13-050ABA9391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39" name="Elipse 3938">
          <a:extLst>
            <a:ext uri="{FF2B5EF4-FFF2-40B4-BE49-F238E27FC236}">
              <a16:creationId xmlns:a16="http://schemas.microsoft.com/office/drawing/2014/main" id="{6C35EDC2-2E00-4142-B676-0A50A9EBB2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0" name="Elipse 3939">
          <a:extLst>
            <a:ext uri="{FF2B5EF4-FFF2-40B4-BE49-F238E27FC236}">
              <a16:creationId xmlns:a16="http://schemas.microsoft.com/office/drawing/2014/main" id="{AA521EED-F734-41DC-9810-D74AC289A5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1" name="Elipse 3940">
          <a:extLst>
            <a:ext uri="{FF2B5EF4-FFF2-40B4-BE49-F238E27FC236}">
              <a16:creationId xmlns:a16="http://schemas.microsoft.com/office/drawing/2014/main" id="{656023E1-2EBA-46A7-A813-A07FE191DD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2" name="Elipse 3941">
          <a:extLst>
            <a:ext uri="{FF2B5EF4-FFF2-40B4-BE49-F238E27FC236}">
              <a16:creationId xmlns:a16="http://schemas.microsoft.com/office/drawing/2014/main" id="{055D2AF4-2FE0-410B-896D-4F2CC5701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3" name="Elipse 3942">
          <a:extLst>
            <a:ext uri="{FF2B5EF4-FFF2-40B4-BE49-F238E27FC236}">
              <a16:creationId xmlns:a16="http://schemas.microsoft.com/office/drawing/2014/main" id="{541267B2-DCBC-4415-9405-DAFCDFA989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4" name="Elipse 3943">
          <a:extLst>
            <a:ext uri="{FF2B5EF4-FFF2-40B4-BE49-F238E27FC236}">
              <a16:creationId xmlns:a16="http://schemas.microsoft.com/office/drawing/2014/main" id="{59330557-1711-4F0D-8E34-539948DBC5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5" name="Elipse 3944">
          <a:extLst>
            <a:ext uri="{FF2B5EF4-FFF2-40B4-BE49-F238E27FC236}">
              <a16:creationId xmlns:a16="http://schemas.microsoft.com/office/drawing/2014/main" id="{78C401FC-EFE3-4B0E-B2A9-5F7BD2D174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6" name="Elipse 3945">
          <a:extLst>
            <a:ext uri="{FF2B5EF4-FFF2-40B4-BE49-F238E27FC236}">
              <a16:creationId xmlns:a16="http://schemas.microsoft.com/office/drawing/2014/main" id="{B1085E4C-DB63-489B-9110-A32598024F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7" name="Elipse 3946">
          <a:extLst>
            <a:ext uri="{FF2B5EF4-FFF2-40B4-BE49-F238E27FC236}">
              <a16:creationId xmlns:a16="http://schemas.microsoft.com/office/drawing/2014/main" id="{E4FAA602-D30A-42A1-BF80-DF77A47FCE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8" name="Elipse 3947">
          <a:extLst>
            <a:ext uri="{FF2B5EF4-FFF2-40B4-BE49-F238E27FC236}">
              <a16:creationId xmlns:a16="http://schemas.microsoft.com/office/drawing/2014/main" id="{7A10B717-618E-4F32-BDA6-7672630023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49" name="Elipse 3948">
          <a:extLst>
            <a:ext uri="{FF2B5EF4-FFF2-40B4-BE49-F238E27FC236}">
              <a16:creationId xmlns:a16="http://schemas.microsoft.com/office/drawing/2014/main" id="{E6EFDC4B-A670-41AC-92A6-DB12C9441B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0" name="Elipse 3949">
          <a:extLst>
            <a:ext uri="{FF2B5EF4-FFF2-40B4-BE49-F238E27FC236}">
              <a16:creationId xmlns:a16="http://schemas.microsoft.com/office/drawing/2014/main" id="{7B28C82D-6BF9-434A-B2B9-C54D8AD517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1" name="Elipse 3950">
          <a:extLst>
            <a:ext uri="{FF2B5EF4-FFF2-40B4-BE49-F238E27FC236}">
              <a16:creationId xmlns:a16="http://schemas.microsoft.com/office/drawing/2014/main" id="{D276172E-E909-414E-8584-959CA5681E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2" name="Elipse 3951">
          <a:extLst>
            <a:ext uri="{FF2B5EF4-FFF2-40B4-BE49-F238E27FC236}">
              <a16:creationId xmlns:a16="http://schemas.microsoft.com/office/drawing/2014/main" id="{FA77DF43-B92C-469B-9714-70601E5CE7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3" name="Elipse 3952">
          <a:extLst>
            <a:ext uri="{FF2B5EF4-FFF2-40B4-BE49-F238E27FC236}">
              <a16:creationId xmlns:a16="http://schemas.microsoft.com/office/drawing/2014/main" id="{4AF3BB83-43ED-4F8B-AB2D-60AD5DFD40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4" name="Elipse 3953">
          <a:extLst>
            <a:ext uri="{FF2B5EF4-FFF2-40B4-BE49-F238E27FC236}">
              <a16:creationId xmlns:a16="http://schemas.microsoft.com/office/drawing/2014/main" id="{A2D6F2AB-1677-431E-854A-157F427EFD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5" name="Elipse 3954">
          <a:extLst>
            <a:ext uri="{FF2B5EF4-FFF2-40B4-BE49-F238E27FC236}">
              <a16:creationId xmlns:a16="http://schemas.microsoft.com/office/drawing/2014/main" id="{569095C2-80E4-46E0-8EB8-160ED9BB47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6" name="Elipse 3955">
          <a:extLst>
            <a:ext uri="{FF2B5EF4-FFF2-40B4-BE49-F238E27FC236}">
              <a16:creationId xmlns:a16="http://schemas.microsoft.com/office/drawing/2014/main" id="{07A1915E-C9F8-485E-963C-E0E9B6697D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7" name="Elipse 3956">
          <a:extLst>
            <a:ext uri="{FF2B5EF4-FFF2-40B4-BE49-F238E27FC236}">
              <a16:creationId xmlns:a16="http://schemas.microsoft.com/office/drawing/2014/main" id="{43D5625B-011E-4F11-A782-A64616DB89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8" name="Elipse 3957">
          <a:extLst>
            <a:ext uri="{FF2B5EF4-FFF2-40B4-BE49-F238E27FC236}">
              <a16:creationId xmlns:a16="http://schemas.microsoft.com/office/drawing/2014/main" id="{C5AEC7B1-5BD9-4D75-8A21-43A2B53F6B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59" name="Elipse 3958">
          <a:extLst>
            <a:ext uri="{FF2B5EF4-FFF2-40B4-BE49-F238E27FC236}">
              <a16:creationId xmlns:a16="http://schemas.microsoft.com/office/drawing/2014/main" id="{9EFEE7BC-34A0-42C5-97CB-FE175D0369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0" name="Elipse 3959">
          <a:extLst>
            <a:ext uri="{FF2B5EF4-FFF2-40B4-BE49-F238E27FC236}">
              <a16:creationId xmlns:a16="http://schemas.microsoft.com/office/drawing/2014/main" id="{0EBF8C21-E372-4FEF-B9D0-ADFF881E0D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1" name="Elipse 3960">
          <a:extLst>
            <a:ext uri="{FF2B5EF4-FFF2-40B4-BE49-F238E27FC236}">
              <a16:creationId xmlns:a16="http://schemas.microsoft.com/office/drawing/2014/main" id="{335FA1B3-EC09-4A5C-9F09-97D2516611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2" name="Elipse 3961">
          <a:extLst>
            <a:ext uri="{FF2B5EF4-FFF2-40B4-BE49-F238E27FC236}">
              <a16:creationId xmlns:a16="http://schemas.microsoft.com/office/drawing/2014/main" id="{30B78051-CF06-4498-B49E-ABE942D281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3" name="Elipse 3962">
          <a:extLst>
            <a:ext uri="{FF2B5EF4-FFF2-40B4-BE49-F238E27FC236}">
              <a16:creationId xmlns:a16="http://schemas.microsoft.com/office/drawing/2014/main" id="{0309C039-1561-45A0-AE0E-9CFFBF3205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4" name="Elipse 3963">
          <a:extLst>
            <a:ext uri="{FF2B5EF4-FFF2-40B4-BE49-F238E27FC236}">
              <a16:creationId xmlns:a16="http://schemas.microsoft.com/office/drawing/2014/main" id="{B03A1CFB-15F0-4E47-9646-F601301C0E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5" name="Elipse 3964">
          <a:extLst>
            <a:ext uri="{FF2B5EF4-FFF2-40B4-BE49-F238E27FC236}">
              <a16:creationId xmlns:a16="http://schemas.microsoft.com/office/drawing/2014/main" id="{DC199029-0393-4495-A549-68026F065E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6" name="Elipse 3965">
          <a:extLst>
            <a:ext uri="{FF2B5EF4-FFF2-40B4-BE49-F238E27FC236}">
              <a16:creationId xmlns:a16="http://schemas.microsoft.com/office/drawing/2014/main" id="{5B57CF16-FA0C-4167-AC15-6658184039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7" name="Elipse 3966">
          <a:extLst>
            <a:ext uri="{FF2B5EF4-FFF2-40B4-BE49-F238E27FC236}">
              <a16:creationId xmlns:a16="http://schemas.microsoft.com/office/drawing/2014/main" id="{70396EC3-2450-4DFB-8650-79D783BF55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8" name="Elipse 3967">
          <a:extLst>
            <a:ext uri="{FF2B5EF4-FFF2-40B4-BE49-F238E27FC236}">
              <a16:creationId xmlns:a16="http://schemas.microsoft.com/office/drawing/2014/main" id="{85BB5D1A-DDD2-40B0-B155-992E9E208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69" name="Elipse 3968">
          <a:extLst>
            <a:ext uri="{FF2B5EF4-FFF2-40B4-BE49-F238E27FC236}">
              <a16:creationId xmlns:a16="http://schemas.microsoft.com/office/drawing/2014/main" id="{3A3E0A99-0CA3-4F77-89D9-6EE922F3D8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0" name="Elipse 3969">
          <a:extLst>
            <a:ext uri="{FF2B5EF4-FFF2-40B4-BE49-F238E27FC236}">
              <a16:creationId xmlns:a16="http://schemas.microsoft.com/office/drawing/2014/main" id="{FAB79918-C278-4313-8C17-133F60832C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1" name="Elipse 3970">
          <a:extLst>
            <a:ext uri="{FF2B5EF4-FFF2-40B4-BE49-F238E27FC236}">
              <a16:creationId xmlns:a16="http://schemas.microsoft.com/office/drawing/2014/main" id="{5558E479-D496-40B6-AACB-2481209F76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2" name="Elipse 3971">
          <a:extLst>
            <a:ext uri="{FF2B5EF4-FFF2-40B4-BE49-F238E27FC236}">
              <a16:creationId xmlns:a16="http://schemas.microsoft.com/office/drawing/2014/main" id="{BC0D8D09-B36E-4F29-B979-C78A355B2A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3" name="Elipse 3972">
          <a:extLst>
            <a:ext uri="{FF2B5EF4-FFF2-40B4-BE49-F238E27FC236}">
              <a16:creationId xmlns:a16="http://schemas.microsoft.com/office/drawing/2014/main" id="{AA35BF40-012D-4C0E-BD5F-19F2111C19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4" name="Elipse 3973">
          <a:extLst>
            <a:ext uri="{FF2B5EF4-FFF2-40B4-BE49-F238E27FC236}">
              <a16:creationId xmlns:a16="http://schemas.microsoft.com/office/drawing/2014/main" id="{B45A4B88-9466-4AB4-9058-18420521C2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5" name="Elipse 3974">
          <a:extLst>
            <a:ext uri="{FF2B5EF4-FFF2-40B4-BE49-F238E27FC236}">
              <a16:creationId xmlns:a16="http://schemas.microsoft.com/office/drawing/2014/main" id="{D8E86B75-1D8C-4008-8F6E-4812D084A6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6" name="Elipse 3975">
          <a:extLst>
            <a:ext uri="{FF2B5EF4-FFF2-40B4-BE49-F238E27FC236}">
              <a16:creationId xmlns:a16="http://schemas.microsoft.com/office/drawing/2014/main" id="{3557D7EC-7950-4573-B412-ED75C8AB27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7" name="Elipse 3976">
          <a:extLst>
            <a:ext uri="{FF2B5EF4-FFF2-40B4-BE49-F238E27FC236}">
              <a16:creationId xmlns:a16="http://schemas.microsoft.com/office/drawing/2014/main" id="{BB10F7D1-E02E-4B32-8089-C2749A2E73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8" name="Elipse 3977">
          <a:extLst>
            <a:ext uri="{FF2B5EF4-FFF2-40B4-BE49-F238E27FC236}">
              <a16:creationId xmlns:a16="http://schemas.microsoft.com/office/drawing/2014/main" id="{9685D370-0646-4E05-80EF-6A818DFECA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79" name="Elipse 3978">
          <a:extLst>
            <a:ext uri="{FF2B5EF4-FFF2-40B4-BE49-F238E27FC236}">
              <a16:creationId xmlns:a16="http://schemas.microsoft.com/office/drawing/2014/main" id="{3E628F68-996A-47BF-91D0-922C1C0F3F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0" name="Elipse 3979">
          <a:extLst>
            <a:ext uri="{FF2B5EF4-FFF2-40B4-BE49-F238E27FC236}">
              <a16:creationId xmlns:a16="http://schemas.microsoft.com/office/drawing/2014/main" id="{9F786D40-4CA9-41EB-9564-56C8DBAD6D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1" name="Elipse 3980">
          <a:extLst>
            <a:ext uri="{FF2B5EF4-FFF2-40B4-BE49-F238E27FC236}">
              <a16:creationId xmlns:a16="http://schemas.microsoft.com/office/drawing/2014/main" id="{B16202F8-4B7E-4F1D-B395-3313451652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2" name="Elipse 3981">
          <a:extLst>
            <a:ext uri="{FF2B5EF4-FFF2-40B4-BE49-F238E27FC236}">
              <a16:creationId xmlns:a16="http://schemas.microsoft.com/office/drawing/2014/main" id="{9B3179DB-6BFB-4D14-8B66-3C3850263C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3" name="Elipse 3982">
          <a:extLst>
            <a:ext uri="{FF2B5EF4-FFF2-40B4-BE49-F238E27FC236}">
              <a16:creationId xmlns:a16="http://schemas.microsoft.com/office/drawing/2014/main" id="{E17CBE59-2B3A-4E1C-B489-C54B99AC6D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4" name="Elipse 3983">
          <a:extLst>
            <a:ext uri="{FF2B5EF4-FFF2-40B4-BE49-F238E27FC236}">
              <a16:creationId xmlns:a16="http://schemas.microsoft.com/office/drawing/2014/main" id="{3069F1F3-0719-4AFD-9AC4-B96450191F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5" name="Elipse 3984">
          <a:extLst>
            <a:ext uri="{FF2B5EF4-FFF2-40B4-BE49-F238E27FC236}">
              <a16:creationId xmlns:a16="http://schemas.microsoft.com/office/drawing/2014/main" id="{87DED893-CCFE-4F76-B08E-C4514A4155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6" name="Elipse 3985">
          <a:extLst>
            <a:ext uri="{FF2B5EF4-FFF2-40B4-BE49-F238E27FC236}">
              <a16:creationId xmlns:a16="http://schemas.microsoft.com/office/drawing/2014/main" id="{B03D4210-F0ED-4857-B69C-E57717B80D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7" name="Elipse 3986">
          <a:extLst>
            <a:ext uri="{FF2B5EF4-FFF2-40B4-BE49-F238E27FC236}">
              <a16:creationId xmlns:a16="http://schemas.microsoft.com/office/drawing/2014/main" id="{5A95750E-3498-4DAA-94FA-9DAED6BFA0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8" name="Elipse 3987">
          <a:extLst>
            <a:ext uri="{FF2B5EF4-FFF2-40B4-BE49-F238E27FC236}">
              <a16:creationId xmlns:a16="http://schemas.microsoft.com/office/drawing/2014/main" id="{7DE1C305-565E-4063-911A-A95E985135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89" name="Elipse 3988">
          <a:extLst>
            <a:ext uri="{FF2B5EF4-FFF2-40B4-BE49-F238E27FC236}">
              <a16:creationId xmlns:a16="http://schemas.microsoft.com/office/drawing/2014/main" id="{199BB443-9619-442B-8104-E9E7B4392E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0" name="Elipse 3989">
          <a:extLst>
            <a:ext uri="{FF2B5EF4-FFF2-40B4-BE49-F238E27FC236}">
              <a16:creationId xmlns:a16="http://schemas.microsoft.com/office/drawing/2014/main" id="{DD031C28-08A0-47EB-B392-31B1D018A9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1" name="Elipse 3990">
          <a:extLst>
            <a:ext uri="{FF2B5EF4-FFF2-40B4-BE49-F238E27FC236}">
              <a16:creationId xmlns:a16="http://schemas.microsoft.com/office/drawing/2014/main" id="{531272E7-0861-4DA4-AE15-C54E752A49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2" name="Elipse 3991">
          <a:extLst>
            <a:ext uri="{FF2B5EF4-FFF2-40B4-BE49-F238E27FC236}">
              <a16:creationId xmlns:a16="http://schemas.microsoft.com/office/drawing/2014/main" id="{B16A08EF-3AC8-49FF-BDCD-9CC8F8C01A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3" name="Elipse 3992">
          <a:extLst>
            <a:ext uri="{FF2B5EF4-FFF2-40B4-BE49-F238E27FC236}">
              <a16:creationId xmlns:a16="http://schemas.microsoft.com/office/drawing/2014/main" id="{02C6AF20-2054-4525-8456-34CC1AFFE9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4" name="Elipse 3993">
          <a:extLst>
            <a:ext uri="{FF2B5EF4-FFF2-40B4-BE49-F238E27FC236}">
              <a16:creationId xmlns:a16="http://schemas.microsoft.com/office/drawing/2014/main" id="{244A84A8-192D-4550-8D38-AE9464935F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5" name="Elipse 3994">
          <a:extLst>
            <a:ext uri="{FF2B5EF4-FFF2-40B4-BE49-F238E27FC236}">
              <a16:creationId xmlns:a16="http://schemas.microsoft.com/office/drawing/2014/main" id="{CC0FAC5B-4AE6-43EE-99A4-6A72B99332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6" name="Elipse 3995">
          <a:extLst>
            <a:ext uri="{FF2B5EF4-FFF2-40B4-BE49-F238E27FC236}">
              <a16:creationId xmlns:a16="http://schemas.microsoft.com/office/drawing/2014/main" id="{8B74ED79-6D2B-45A7-8F11-038F670243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7" name="Elipse 3996">
          <a:extLst>
            <a:ext uri="{FF2B5EF4-FFF2-40B4-BE49-F238E27FC236}">
              <a16:creationId xmlns:a16="http://schemas.microsoft.com/office/drawing/2014/main" id="{9DFEAFC6-BC89-4D68-BE3E-ED30458D0A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8" name="Elipse 3997">
          <a:extLst>
            <a:ext uri="{FF2B5EF4-FFF2-40B4-BE49-F238E27FC236}">
              <a16:creationId xmlns:a16="http://schemas.microsoft.com/office/drawing/2014/main" id="{A368991A-49F6-4B30-A54C-C6D71FADFA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999" name="Elipse 3998">
          <a:extLst>
            <a:ext uri="{FF2B5EF4-FFF2-40B4-BE49-F238E27FC236}">
              <a16:creationId xmlns:a16="http://schemas.microsoft.com/office/drawing/2014/main" id="{B0A1E3A7-C1D1-40C2-A4E6-A3DBEAA084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0" name="Elipse 3999">
          <a:extLst>
            <a:ext uri="{FF2B5EF4-FFF2-40B4-BE49-F238E27FC236}">
              <a16:creationId xmlns:a16="http://schemas.microsoft.com/office/drawing/2014/main" id="{D329FDA3-DAF3-41CE-A29C-1AC843DB11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1" name="Elipse 4000">
          <a:extLst>
            <a:ext uri="{FF2B5EF4-FFF2-40B4-BE49-F238E27FC236}">
              <a16:creationId xmlns:a16="http://schemas.microsoft.com/office/drawing/2014/main" id="{A7AC3D17-C1B8-4E78-8D0C-F33750460C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2" name="Elipse 4001">
          <a:extLst>
            <a:ext uri="{FF2B5EF4-FFF2-40B4-BE49-F238E27FC236}">
              <a16:creationId xmlns:a16="http://schemas.microsoft.com/office/drawing/2014/main" id="{F485CB47-F4DA-4D1B-87AF-4CE315D93E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3" name="Elipse 4002">
          <a:extLst>
            <a:ext uri="{FF2B5EF4-FFF2-40B4-BE49-F238E27FC236}">
              <a16:creationId xmlns:a16="http://schemas.microsoft.com/office/drawing/2014/main" id="{960A2511-8247-46D9-ADC3-8906165AFE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4" name="Elipse 4003">
          <a:extLst>
            <a:ext uri="{FF2B5EF4-FFF2-40B4-BE49-F238E27FC236}">
              <a16:creationId xmlns:a16="http://schemas.microsoft.com/office/drawing/2014/main" id="{76244369-DAEC-4CDB-9876-07DBFB5624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5" name="Elipse 4004">
          <a:extLst>
            <a:ext uri="{FF2B5EF4-FFF2-40B4-BE49-F238E27FC236}">
              <a16:creationId xmlns:a16="http://schemas.microsoft.com/office/drawing/2014/main" id="{AF4B1D9D-4CFA-43CE-BC5A-74A693F753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6" name="Elipse 4005">
          <a:extLst>
            <a:ext uri="{FF2B5EF4-FFF2-40B4-BE49-F238E27FC236}">
              <a16:creationId xmlns:a16="http://schemas.microsoft.com/office/drawing/2014/main" id="{72B7A916-B803-4F5C-B8CE-5CB802B759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7" name="Elipse 4006">
          <a:extLst>
            <a:ext uri="{FF2B5EF4-FFF2-40B4-BE49-F238E27FC236}">
              <a16:creationId xmlns:a16="http://schemas.microsoft.com/office/drawing/2014/main" id="{FC7FB77D-4FD0-4072-8F8F-0E7F8CEA0E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8" name="Elipse 4007">
          <a:extLst>
            <a:ext uri="{FF2B5EF4-FFF2-40B4-BE49-F238E27FC236}">
              <a16:creationId xmlns:a16="http://schemas.microsoft.com/office/drawing/2014/main" id="{7215A031-CA53-48CD-96F7-5425FD0EC6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09" name="Elipse 4008">
          <a:extLst>
            <a:ext uri="{FF2B5EF4-FFF2-40B4-BE49-F238E27FC236}">
              <a16:creationId xmlns:a16="http://schemas.microsoft.com/office/drawing/2014/main" id="{9A42D9E3-AB57-40F4-B01E-5D10490148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0" name="Elipse 4009">
          <a:extLst>
            <a:ext uri="{FF2B5EF4-FFF2-40B4-BE49-F238E27FC236}">
              <a16:creationId xmlns:a16="http://schemas.microsoft.com/office/drawing/2014/main" id="{BCA76B36-7E78-4BC6-B699-DA08AC3359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1" name="Elipse 4010">
          <a:extLst>
            <a:ext uri="{FF2B5EF4-FFF2-40B4-BE49-F238E27FC236}">
              <a16:creationId xmlns:a16="http://schemas.microsoft.com/office/drawing/2014/main" id="{229885E5-F877-48A6-8E8C-BC23CA7E72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2" name="Elipse 4011">
          <a:extLst>
            <a:ext uri="{FF2B5EF4-FFF2-40B4-BE49-F238E27FC236}">
              <a16:creationId xmlns:a16="http://schemas.microsoft.com/office/drawing/2014/main" id="{9F114519-A6AF-4E12-955C-333D93956A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3" name="Elipse 4012">
          <a:extLst>
            <a:ext uri="{FF2B5EF4-FFF2-40B4-BE49-F238E27FC236}">
              <a16:creationId xmlns:a16="http://schemas.microsoft.com/office/drawing/2014/main" id="{CDC46741-95B5-428A-BCE4-D0A0544EE4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4" name="Elipse 4013">
          <a:extLst>
            <a:ext uri="{FF2B5EF4-FFF2-40B4-BE49-F238E27FC236}">
              <a16:creationId xmlns:a16="http://schemas.microsoft.com/office/drawing/2014/main" id="{68C9E0E9-4A5D-4BF4-8706-DD718879C7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5" name="Elipse 4014">
          <a:extLst>
            <a:ext uri="{FF2B5EF4-FFF2-40B4-BE49-F238E27FC236}">
              <a16:creationId xmlns:a16="http://schemas.microsoft.com/office/drawing/2014/main" id="{A0BE4924-7D20-4904-9B56-282EE4FD4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6" name="Elipse 4015">
          <a:extLst>
            <a:ext uri="{FF2B5EF4-FFF2-40B4-BE49-F238E27FC236}">
              <a16:creationId xmlns:a16="http://schemas.microsoft.com/office/drawing/2014/main" id="{1DFAA07B-3C7C-4DA3-A185-5105D04857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7" name="Elipse 4016">
          <a:extLst>
            <a:ext uri="{FF2B5EF4-FFF2-40B4-BE49-F238E27FC236}">
              <a16:creationId xmlns:a16="http://schemas.microsoft.com/office/drawing/2014/main" id="{47D9A2B2-595A-4C71-8615-06CBE33C98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8" name="Elipse 4017">
          <a:extLst>
            <a:ext uri="{FF2B5EF4-FFF2-40B4-BE49-F238E27FC236}">
              <a16:creationId xmlns:a16="http://schemas.microsoft.com/office/drawing/2014/main" id="{2B4E90AD-8F81-4C94-93D7-7D24300F2A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19" name="Elipse 4018">
          <a:extLst>
            <a:ext uri="{FF2B5EF4-FFF2-40B4-BE49-F238E27FC236}">
              <a16:creationId xmlns:a16="http://schemas.microsoft.com/office/drawing/2014/main" id="{0FC7FE91-908E-4343-977E-0EE4218B99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0" name="Elipse 4019">
          <a:extLst>
            <a:ext uri="{FF2B5EF4-FFF2-40B4-BE49-F238E27FC236}">
              <a16:creationId xmlns:a16="http://schemas.microsoft.com/office/drawing/2014/main" id="{68E4A993-A876-4B76-AC32-21F56285C2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1" name="Elipse 4020">
          <a:extLst>
            <a:ext uri="{FF2B5EF4-FFF2-40B4-BE49-F238E27FC236}">
              <a16:creationId xmlns:a16="http://schemas.microsoft.com/office/drawing/2014/main" id="{050C47B2-5B1C-452F-B694-ECC990B508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2" name="Elipse 4021">
          <a:extLst>
            <a:ext uri="{FF2B5EF4-FFF2-40B4-BE49-F238E27FC236}">
              <a16:creationId xmlns:a16="http://schemas.microsoft.com/office/drawing/2014/main" id="{A979CCBF-C08C-40FB-914F-2502F7C9B7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3" name="Elipse 4022">
          <a:extLst>
            <a:ext uri="{FF2B5EF4-FFF2-40B4-BE49-F238E27FC236}">
              <a16:creationId xmlns:a16="http://schemas.microsoft.com/office/drawing/2014/main" id="{959CB426-726E-4F8D-833C-3758E4E63B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4" name="Elipse 4023">
          <a:extLst>
            <a:ext uri="{FF2B5EF4-FFF2-40B4-BE49-F238E27FC236}">
              <a16:creationId xmlns:a16="http://schemas.microsoft.com/office/drawing/2014/main" id="{FC2F78A8-D16F-4621-8EB9-E5FB3F7603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5" name="Elipse 4024">
          <a:extLst>
            <a:ext uri="{FF2B5EF4-FFF2-40B4-BE49-F238E27FC236}">
              <a16:creationId xmlns:a16="http://schemas.microsoft.com/office/drawing/2014/main" id="{615A1C95-1D92-47E2-809B-FB1F91259F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6" name="Elipse 4025">
          <a:extLst>
            <a:ext uri="{FF2B5EF4-FFF2-40B4-BE49-F238E27FC236}">
              <a16:creationId xmlns:a16="http://schemas.microsoft.com/office/drawing/2014/main" id="{244D66C7-E4BD-438C-8CE4-B97FFA5E57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7" name="Elipse 4026">
          <a:extLst>
            <a:ext uri="{FF2B5EF4-FFF2-40B4-BE49-F238E27FC236}">
              <a16:creationId xmlns:a16="http://schemas.microsoft.com/office/drawing/2014/main" id="{2A4F4050-B085-4296-8C54-04C9177E7F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8" name="Elipse 4027">
          <a:extLst>
            <a:ext uri="{FF2B5EF4-FFF2-40B4-BE49-F238E27FC236}">
              <a16:creationId xmlns:a16="http://schemas.microsoft.com/office/drawing/2014/main" id="{44E83394-2369-4A82-8431-A061B2658D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29" name="Elipse 4028">
          <a:extLst>
            <a:ext uri="{FF2B5EF4-FFF2-40B4-BE49-F238E27FC236}">
              <a16:creationId xmlns:a16="http://schemas.microsoft.com/office/drawing/2014/main" id="{29128FB2-7F0A-47E2-BF9D-1816BF5EE2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0" name="Elipse 4029">
          <a:extLst>
            <a:ext uri="{FF2B5EF4-FFF2-40B4-BE49-F238E27FC236}">
              <a16:creationId xmlns:a16="http://schemas.microsoft.com/office/drawing/2014/main" id="{281FFC5C-211B-4CF0-B66A-F904C26913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1" name="Elipse 4030">
          <a:extLst>
            <a:ext uri="{FF2B5EF4-FFF2-40B4-BE49-F238E27FC236}">
              <a16:creationId xmlns:a16="http://schemas.microsoft.com/office/drawing/2014/main" id="{AF12D183-CC34-46B1-BBD7-07CCAC170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2" name="Elipse 4031">
          <a:extLst>
            <a:ext uri="{FF2B5EF4-FFF2-40B4-BE49-F238E27FC236}">
              <a16:creationId xmlns:a16="http://schemas.microsoft.com/office/drawing/2014/main" id="{8D782C60-460A-459E-9553-5728F2FC42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3" name="Elipse 4032">
          <a:extLst>
            <a:ext uri="{FF2B5EF4-FFF2-40B4-BE49-F238E27FC236}">
              <a16:creationId xmlns:a16="http://schemas.microsoft.com/office/drawing/2014/main" id="{09D0F838-0CDF-4825-A70C-0F2A8F6542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4" name="Elipse 4033">
          <a:extLst>
            <a:ext uri="{FF2B5EF4-FFF2-40B4-BE49-F238E27FC236}">
              <a16:creationId xmlns:a16="http://schemas.microsoft.com/office/drawing/2014/main" id="{6FF090D4-7045-453C-BE67-229AB9571D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5" name="Elipse 4034">
          <a:extLst>
            <a:ext uri="{FF2B5EF4-FFF2-40B4-BE49-F238E27FC236}">
              <a16:creationId xmlns:a16="http://schemas.microsoft.com/office/drawing/2014/main" id="{6A484AAA-FA86-44BE-9D5D-6B8EE76AFB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6" name="Elipse 4035">
          <a:extLst>
            <a:ext uri="{FF2B5EF4-FFF2-40B4-BE49-F238E27FC236}">
              <a16:creationId xmlns:a16="http://schemas.microsoft.com/office/drawing/2014/main" id="{C2B978AF-B9D2-473A-8624-6F320C42D0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7" name="Elipse 4036">
          <a:extLst>
            <a:ext uri="{FF2B5EF4-FFF2-40B4-BE49-F238E27FC236}">
              <a16:creationId xmlns:a16="http://schemas.microsoft.com/office/drawing/2014/main" id="{83258F26-F179-403A-AF97-1B9DEEC00E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8" name="Elipse 4037">
          <a:extLst>
            <a:ext uri="{FF2B5EF4-FFF2-40B4-BE49-F238E27FC236}">
              <a16:creationId xmlns:a16="http://schemas.microsoft.com/office/drawing/2014/main" id="{AB856476-8BAF-4DF9-A989-4F267A2DFE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39" name="Elipse 4038">
          <a:extLst>
            <a:ext uri="{FF2B5EF4-FFF2-40B4-BE49-F238E27FC236}">
              <a16:creationId xmlns:a16="http://schemas.microsoft.com/office/drawing/2014/main" id="{4D2AFE25-60A9-4BCC-A2A6-5B77A15951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0" name="Elipse 4039">
          <a:extLst>
            <a:ext uri="{FF2B5EF4-FFF2-40B4-BE49-F238E27FC236}">
              <a16:creationId xmlns:a16="http://schemas.microsoft.com/office/drawing/2014/main" id="{2E1EE9B6-ABE3-4D06-A555-57F44055E3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1" name="Elipse 4040">
          <a:extLst>
            <a:ext uri="{FF2B5EF4-FFF2-40B4-BE49-F238E27FC236}">
              <a16:creationId xmlns:a16="http://schemas.microsoft.com/office/drawing/2014/main" id="{718F4CD3-1E06-423A-B34B-E5729586D6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2" name="Elipse 4041">
          <a:extLst>
            <a:ext uri="{FF2B5EF4-FFF2-40B4-BE49-F238E27FC236}">
              <a16:creationId xmlns:a16="http://schemas.microsoft.com/office/drawing/2014/main" id="{292E7EB8-E363-4FA4-97D7-495C143DD1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3" name="Elipse 4042">
          <a:extLst>
            <a:ext uri="{FF2B5EF4-FFF2-40B4-BE49-F238E27FC236}">
              <a16:creationId xmlns:a16="http://schemas.microsoft.com/office/drawing/2014/main" id="{7624A742-998C-4DEE-BFDA-41DEF2BEE0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4" name="Elipse 4043">
          <a:extLst>
            <a:ext uri="{FF2B5EF4-FFF2-40B4-BE49-F238E27FC236}">
              <a16:creationId xmlns:a16="http://schemas.microsoft.com/office/drawing/2014/main" id="{D45C2757-1965-49B5-A0E1-FA3BF0D3A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5" name="Elipse 4044">
          <a:extLst>
            <a:ext uri="{FF2B5EF4-FFF2-40B4-BE49-F238E27FC236}">
              <a16:creationId xmlns:a16="http://schemas.microsoft.com/office/drawing/2014/main" id="{61CEB938-FF96-4537-9B87-F9BD9BFB90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6" name="Elipse 4045">
          <a:extLst>
            <a:ext uri="{FF2B5EF4-FFF2-40B4-BE49-F238E27FC236}">
              <a16:creationId xmlns:a16="http://schemas.microsoft.com/office/drawing/2014/main" id="{21B9996B-5A5F-463E-BEB5-7ED2659CAB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7" name="Elipse 4046">
          <a:extLst>
            <a:ext uri="{FF2B5EF4-FFF2-40B4-BE49-F238E27FC236}">
              <a16:creationId xmlns:a16="http://schemas.microsoft.com/office/drawing/2014/main" id="{45EF7445-F2B7-4E7D-A6C7-129EED33A7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8" name="Elipse 4047">
          <a:extLst>
            <a:ext uri="{FF2B5EF4-FFF2-40B4-BE49-F238E27FC236}">
              <a16:creationId xmlns:a16="http://schemas.microsoft.com/office/drawing/2014/main" id="{C34F10EB-0FF0-4365-9652-BFCEECA1E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49" name="Elipse 4048">
          <a:extLst>
            <a:ext uri="{FF2B5EF4-FFF2-40B4-BE49-F238E27FC236}">
              <a16:creationId xmlns:a16="http://schemas.microsoft.com/office/drawing/2014/main" id="{93CD3D41-9F96-4AF9-9E26-FAD0A5FC6F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0" name="Elipse 4049">
          <a:extLst>
            <a:ext uri="{FF2B5EF4-FFF2-40B4-BE49-F238E27FC236}">
              <a16:creationId xmlns:a16="http://schemas.microsoft.com/office/drawing/2014/main" id="{C42165C0-6FAA-474C-B789-A43D503563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1" name="Elipse 4050">
          <a:extLst>
            <a:ext uri="{FF2B5EF4-FFF2-40B4-BE49-F238E27FC236}">
              <a16:creationId xmlns:a16="http://schemas.microsoft.com/office/drawing/2014/main" id="{CC4BE338-47B2-467D-8302-B7D5826E13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2" name="Elipse 4051">
          <a:extLst>
            <a:ext uri="{FF2B5EF4-FFF2-40B4-BE49-F238E27FC236}">
              <a16:creationId xmlns:a16="http://schemas.microsoft.com/office/drawing/2014/main" id="{154B72DF-2168-4242-A460-21B4A75F2A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3" name="Elipse 4052">
          <a:extLst>
            <a:ext uri="{FF2B5EF4-FFF2-40B4-BE49-F238E27FC236}">
              <a16:creationId xmlns:a16="http://schemas.microsoft.com/office/drawing/2014/main" id="{4D948E12-224B-47B0-95AC-F825AA4C98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4" name="Elipse 4053">
          <a:extLst>
            <a:ext uri="{FF2B5EF4-FFF2-40B4-BE49-F238E27FC236}">
              <a16:creationId xmlns:a16="http://schemas.microsoft.com/office/drawing/2014/main" id="{B6046A10-1A40-4736-BAA9-AF00DE73A0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5" name="Elipse 4054">
          <a:extLst>
            <a:ext uri="{FF2B5EF4-FFF2-40B4-BE49-F238E27FC236}">
              <a16:creationId xmlns:a16="http://schemas.microsoft.com/office/drawing/2014/main" id="{6D14CDA4-D2CB-46CA-B810-F0B3AB60A7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6" name="Elipse 4055">
          <a:extLst>
            <a:ext uri="{FF2B5EF4-FFF2-40B4-BE49-F238E27FC236}">
              <a16:creationId xmlns:a16="http://schemas.microsoft.com/office/drawing/2014/main" id="{0892DD5C-CB30-4A8B-96FF-60AF7373B1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7" name="Elipse 4056">
          <a:extLst>
            <a:ext uri="{FF2B5EF4-FFF2-40B4-BE49-F238E27FC236}">
              <a16:creationId xmlns:a16="http://schemas.microsoft.com/office/drawing/2014/main" id="{8FA1EDAC-290A-4BE0-85FD-CA348ED652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8" name="Elipse 4057">
          <a:extLst>
            <a:ext uri="{FF2B5EF4-FFF2-40B4-BE49-F238E27FC236}">
              <a16:creationId xmlns:a16="http://schemas.microsoft.com/office/drawing/2014/main" id="{0D9CEC5D-A283-4B54-948E-B24733A256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59" name="Elipse 4058">
          <a:extLst>
            <a:ext uri="{FF2B5EF4-FFF2-40B4-BE49-F238E27FC236}">
              <a16:creationId xmlns:a16="http://schemas.microsoft.com/office/drawing/2014/main" id="{CB90395D-E266-449A-809C-68FD665083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0" name="Elipse 4059">
          <a:extLst>
            <a:ext uri="{FF2B5EF4-FFF2-40B4-BE49-F238E27FC236}">
              <a16:creationId xmlns:a16="http://schemas.microsoft.com/office/drawing/2014/main" id="{107E0168-1985-4DE4-A4A7-D7FD207739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1" name="Elipse 4060">
          <a:extLst>
            <a:ext uri="{FF2B5EF4-FFF2-40B4-BE49-F238E27FC236}">
              <a16:creationId xmlns:a16="http://schemas.microsoft.com/office/drawing/2014/main" id="{771369F5-12FA-40FA-822A-B64F7369B6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2" name="Elipse 4061">
          <a:extLst>
            <a:ext uri="{FF2B5EF4-FFF2-40B4-BE49-F238E27FC236}">
              <a16:creationId xmlns:a16="http://schemas.microsoft.com/office/drawing/2014/main" id="{E5734A0B-BF1C-4336-BDD5-ECF338B672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3" name="Elipse 4062">
          <a:extLst>
            <a:ext uri="{FF2B5EF4-FFF2-40B4-BE49-F238E27FC236}">
              <a16:creationId xmlns:a16="http://schemas.microsoft.com/office/drawing/2014/main" id="{1155D9AC-0284-4DBC-BE67-CEE8F5D3F8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4" name="Elipse 4063">
          <a:extLst>
            <a:ext uri="{FF2B5EF4-FFF2-40B4-BE49-F238E27FC236}">
              <a16:creationId xmlns:a16="http://schemas.microsoft.com/office/drawing/2014/main" id="{791F191A-6083-4934-BDD5-E54AC0DA09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5" name="Elipse 4064">
          <a:extLst>
            <a:ext uri="{FF2B5EF4-FFF2-40B4-BE49-F238E27FC236}">
              <a16:creationId xmlns:a16="http://schemas.microsoft.com/office/drawing/2014/main" id="{09231140-87A1-4376-9A78-5422025EAF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6" name="Elipse 4065">
          <a:extLst>
            <a:ext uri="{FF2B5EF4-FFF2-40B4-BE49-F238E27FC236}">
              <a16:creationId xmlns:a16="http://schemas.microsoft.com/office/drawing/2014/main" id="{85292E10-D9DA-4473-A7EF-4F10D7B357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7" name="Elipse 4066">
          <a:extLst>
            <a:ext uri="{FF2B5EF4-FFF2-40B4-BE49-F238E27FC236}">
              <a16:creationId xmlns:a16="http://schemas.microsoft.com/office/drawing/2014/main" id="{12EB5B54-2370-4148-AFA7-32FCD3813D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8" name="Elipse 4067">
          <a:extLst>
            <a:ext uri="{FF2B5EF4-FFF2-40B4-BE49-F238E27FC236}">
              <a16:creationId xmlns:a16="http://schemas.microsoft.com/office/drawing/2014/main" id="{B09B8664-F546-441F-B23A-908DA742A7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69" name="Elipse 4068">
          <a:extLst>
            <a:ext uri="{FF2B5EF4-FFF2-40B4-BE49-F238E27FC236}">
              <a16:creationId xmlns:a16="http://schemas.microsoft.com/office/drawing/2014/main" id="{15BD64C3-9B41-4AC5-95B6-B42E615FB0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0" name="Elipse 4069">
          <a:extLst>
            <a:ext uri="{FF2B5EF4-FFF2-40B4-BE49-F238E27FC236}">
              <a16:creationId xmlns:a16="http://schemas.microsoft.com/office/drawing/2014/main" id="{1274C791-B23B-4546-88B0-09D886BA11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1" name="Elipse 4070">
          <a:extLst>
            <a:ext uri="{FF2B5EF4-FFF2-40B4-BE49-F238E27FC236}">
              <a16:creationId xmlns:a16="http://schemas.microsoft.com/office/drawing/2014/main" id="{B596F30A-CFD4-4198-8347-1DB6F69A94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2" name="Elipse 4071">
          <a:extLst>
            <a:ext uri="{FF2B5EF4-FFF2-40B4-BE49-F238E27FC236}">
              <a16:creationId xmlns:a16="http://schemas.microsoft.com/office/drawing/2014/main" id="{7BA15997-F4B7-4276-A90A-81F53CA50F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3" name="Elipse 4072">
          <a:extLst>
            <a:ext uri="{FF2B5EF4-FFF2-40B4-BE49-F238E27FC236}">
              <a16:creationId xmlns:a16="http://schemas.microsoft.com/office/drawing/2014/main" id="{ADA99054-B41B-453B-AC41-2A8830D25A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4" name="Elipse 4073">
          <a:extLst>
            <a:ext uri="{FF2B5EF4-FFF2-40B4-BE49-F238E27FC236}">
              <a16:creationId xmlns:a16="http://schemas.microsoft.com/office/drawing/2014/main" id="{1577E885-5C84-4956-8E81-71CFEDB1B9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5" name="Elipse 4074">
          <a:extLst>
            <a:ext uri="{FF2B5EF4-FFF2-40B4-BE49-F238E27FC236}">
              <a16:creationId xmlns:a16="http://schemas.microsoft.com/office/drawing/2014/main" id="{305EE1D7-4EF3-49B1-A6B5-7A48FA5E7B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6" name="Elipse 4075">
          <a:extLst>
            <a:ext uri="{FF2B5EF4-FFF2-40B4-BE49-F238E27FC236}">
              <a16:creationId xmlns:a16="http://schemas.microsoft.com/office/drawing/2014/main" id="{EC34F16C-6D24-41CA-AE41-CB27B87558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7" name="Elipse 4076">
          <a:extLst>
            <a:ext uri="{FF2B5EF4-FFF2-40B4-BE49-F238E27FC236}">
              <a16:creationId xmlns:a16="http://schemas.microsoft.com/office/drawing/2014/main" id="{7DB8E996-0544-456E-8CF6-AD3ACCC67B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8" name="Elipse 4077">
          <a:extLst>
            <a:ext uri="{FF2B5EF4-FFF2-40B4-BE49-F238E27FC236}">
              <a16:creationId xmlns:a16="http://schemas.microsoft.com/office/drawing/2014/main" id="{ED5702C4-D2AA-4BFD-9BF9-F5AE53F5E0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79" name="Elipse 4078">
          <a:extLst>
            <a:ext uri="{FF2B5EF4-FFF2-40B4-BE49-F238E27FC236}">
              <a16:creationId xmlns:a16="http://schemas.microsoft.com/office/drawing/2014/main" id="{7AA74901-6962-4087-B369-C0A6815042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0" name="Elipse 4079">
          <a:extLst>
            <a:ext uri="{FF2B5EF4-FFF2-40B4-BE49-F238E27FC236}">
              <a16:creationId xmlns:a16="http://schemas.microsoft.com/office/drawing/2014/main" id="{3E9778CC-AE45-42B1-B4C0-4CF3A94BDB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1" name="Elipse 4080">
          <a:extLst>
            <a:ext uri="{FF2B5EF4-FFF2-40B4-BE49-F238E27FC236}">
              <a16:creationId xmlns:a16="http://schemas.microsoft.com/office/drawing/2014/main" id="{C7ACB8B9-1B3B-496C-8C3E-CEF851DDD5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2" name="Elipse 4081">
          <a:extLst>
            <a:ext uri="{FF2B5EF4-FFF2-40B4-BE49-F238E27FC236}">
              <a16:creationId xmlns:a16="http://schemas.microsoft.com/office/drawing/2014/main" id="{69546FC7-5B61-448E-9785-C044700680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3" name="Elipse 4082">
          <a:extLst>
            <a:ext uri="{FF2B5EF4-FFF2-40B4-BE49-F238E27FC236}">
              <a16:creationId xmlns:a16="http://schemas.microsoft.com/office/drawing/2014/main" id="{11451CC8-1AE0-4833-8610-F5596AE338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4" name="Elipse 4083">
          <a:extLst>
            <a:ext uri="{FF2B5EF4-FFF2-40B4-BE49-F238E27FC236}">
              <a16:creationId xmlns:a16="http://schemas.microsoft.com/office/drawing/2014/main" id="{AA7676D8-5CD5-4B8D-B5D8-2488DE2254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5" name="Elipse 4084">
          <a:extLst>
            <a:ext uri="{FF2B5EF4-FFF2-40B4-BE49-F238E27FC236}">
              <a16:creationId xmlns:a16="http://schemas.microsoft.com/office/drawing/2014/main" id="{FFEEE152-7457-455E-8321-525540BCAC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6" name="Elipse 4085">
          <a:extLst>
            <a:ext uri="{FF2B5EF4-FFF2-40B4-BE49-F238E27FC236}">
              <a16:creationId xmlns:a16="http://schemas.microsoft.com/office/drawing/2014/main" id="{7BE4507B-DBF7-4753-97F8-0AAC12DB0F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7" name="Elipse 4086">
          <a:extLst>
            <a:ext uri="{FF2B5EF4-FFF2-40B4-BE49-F238E27FC236}">
              <a16:creationId xmlns:a16="http://schemas.microsoft.com/office/drawing/2014/main" id="{FB6BFC15-F8EA-4998-8FB6-AB97D3D27C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8" name="Elipse 4087">
          <a:extLst>
            <a:ext uri="{FF2B5EF4-FFF2-40B4-BE49-F238E27FC236}">
              <a16:creationId xmlns:a16="http://schemas.microsoft.com/office/drawing/2014/main" id="{82FD036F-CF7A-4B7D-9D04-AD780E3EF2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89" name="Elipse 4088">
          <a:extLst>
            <a:ext uri="{FF2B5EF4-FFF2-40B4-BE49-F238E27FC236}">
              <a16:creationId xmlns:a16="http://schemas.microsoft.com/office/drawing/2014/main" id="{90B9A5DC-78B4-41CE-BC4C-0373421E29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0" name="Elipse 4089">
          <a:extLst>
            <a:ext uri="{FF2B5EF4-FFF2-40B4-BE49-F238E27FC236}">
              <a16:creationId xmlns:a16="http://schemas.microsoft.com/office/drawing/2014/main" id="{C34AF28F-B158-421A-A8D9-3007EF447F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1" name="Elipse 4090">
          <a:extLst>
            <a:ext uri="{FF2B5EF4-FFF2-40B4-BE49-F238E27FC236}">
              <a16:creationId xmlns:a16="http://schemas.microsoft.com/office/drawing/2014/main" id="{7A397918-363D-4404-8BFB-A64D00A430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2" name="Elipse 4091">
          <a:extLst>
            <a:ext uri="{FF2B5EF4-FFF2-40B4-BE49-F238E27FC236}">
              <a16:creationId xmlns:a16="http://schemas.microsoft.com/office/drawing/2014/main" id="{FF95B511-F60F-4BE8-8D59-CDE47CCA0F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3" name="Elipse 4092">
          <a:extLst>
            <a:ext uri="{FF2B5EF4-FFF2-40B4-BE49-F238E27FC236}">
              <a16:creationId xmlns:a16="http://schemas.microsoft.com/office/drawing/2014/main" id="{27786B28-5C29-477B-8D35-0B96A07A64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4" name="Elipse 4093">
          <a:extLst>
            <a:ext uri="{FF2B5EF4-FFF2-40B4-BE49-F238E27FC236}">
              <a16:creationId xmlns:a16="http://schemas.microsoft.com/office/drawing/2014/main" id="{9B756A65-6F9E-4360-B8CC-CAD01593F9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5" name="Elipse 4094">
          <a:extLst>
            <a:ext uri="{FF2B5EF4-FFF2-40B4-BE49-F238E27FC236}">
              <a16:creationId xmlns:a16="http://schemas.microsoft.com/office/drawing/2014/main" id="{457FF55B-CE50-4BA7-A70F-2E9B0DBC5D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6" name="Elipse 4095">
          <a:extLst>
            <a:ext uri="{FF2B5EF4-FFF2-40B4-BE49-F238E27FC236}">
              <a16:creationId xmlns:a16="http://schemas.microsoft.com/office/drawing/2014/main" id="{10BE14A6-82D5-44BF-95D0-A04EB2153B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7" name="Elipse 4096">
          <a:extLst>
            <a:ext uri="{FF2B5EF4-FFF2-40B4-BE49-F238E27FC236}">
              <a16:creationId xmlns:a16="http://schemas.microsoft.com/office/drawing/2014/main" id="{23601D2C-330F-4515-BB10-9DDB42708F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8" name="Elipse 4097">
          <a:extLst>
            <a:ext uri="{FF2B5EF4-FFF2-40B4-BE49-F238E27FC236}">
              <a16:creationId xmlns:a16="http://schemas.microsoft.com/office/drawing/2014/main" id="{4CAAFDCC-740D-42FE-9898-165A2698C8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099" name="Elipse 4098">
          <a:extLst>
            <a:ext uri="{FF2B5EF4-FFF2-40B4-BE49-F238E27FC236}">
              <a16:creationId xmlns:a16="http://schemas.microsoft.com/office/drawing/2014/main" id="{A9159418-07D5-4497-9F2C-125A1CE85D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0" name="Elipse 4099">
          <a:extLst>
            <a:ext uri="{FF2B5EF4-FFF2-40B4-BE49-F238E27FC236}">
              <a16:creationId xmlns:a16="http://schemas.microsoft.com/office/drawing/2014/main" id="{09389D9E-FB6F-497B-A1F1-013704A5F7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1" name="Elipse 4100">
          <a:extLst>
            <a:ext uri="{FF2B5EF4-FFF2-40B4-BE49-F238E27FC236}">
              <a16:creationId xmlns:a16="http://schemas.microsoft.com/office/drawing/2014/main" id="{48FFD9F1-B9B9-40CB-9D66-95384D2CD7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2" name="Elipse 4101">
          <a:extLst>
            <a:ext uri="{FF2B5EF4-FFF2-40B4-BE49-F238E27FC236}">
              <a16:creationId xmlns:a16="http://schemas.microsoft.com/office/drawing/2014/main" id="{9BA3CB91-EA95-4104-A881-342AA7FB42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3" name="Elipse 4102">
          <a:extLst>
            <a:ext uri="{FF2B5EF4-FFF2-40B4-BE49-F238E27FC236}">
              <a16:creationId xmlns:a16="http://schemas.microsoft.com/office/drawing/2014/main" id="{3D146D3E-5D8F-4791-AC3A-3D439D1466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4" name="Elipse 4103">
          <a:extLst>
            <a:ext uri="{FF2B5EF4-FFF2-40B4-BE49-F238E27FC236}">
              <a16:creationId xmlns:a16="http://schemas.microsoft.com/office/drawing/2014/main" id="{179682B7-69DA-451F-9DFA-80C371A62D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5" name="Elipse 4104">
          <a:extLst>
            <a:ext uri="{FF2B5EF4-FFF2-40B4-BE49-F238E27FC236}">
              <a16:creationId xmlns:a16="http://schemas.microsoft.com/office/drawing/2014/main" id="{1AA8EBCD-DE87-42E6-A726-D80998A3D1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6" name="Elipse 4105">
          <a:extLst>
            <a:ext uri="{FF2B5EF4-FFF2-40B4-BE49-F238E27FC236}">
              <a16:creationId xmlns:a16="http://schemas.microsoft.com/office/drawing/2014/main" id="{9271CD9C-30FF-4EC0-8B8D-97D117D6F1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7" name="Elipse 4106">
          <a:extLst>
            <a:ext uri="{FF2B5EF4-FFF2-40B4-BE49-F238E27FC236}">
              <a16:creationId xmlns:a16="http://schemas.microsoft.com/office/drawing/2014/main" id="{B684FE45-BA77-4A9C-9A36-CDC15B3F80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8" name="Elipse 4107">
          <a:extLst>
            <a:ext uri="{FF2B5EF4-FFF2-40B4-BE49-F238E27FC236}">
              <a16:creationId xmlns:a16="http://schemas.microsoft.com/office/drawing/2014/main" id="{C4592C92-4231-455D-8DDC-1271B75FAB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09" name="Elipse 4108">
          <a:extLst>
            <a:ext uri="{FF2B5EF4-FFF2-40B4-BE49-F238E27FC236}">
              <a16:creationId xmlns:a16="http://schemas.microsoft.com/office/drawing/2014/main" id="{AD349EBF-4F79-4572-8754-3B97DB86C7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0" name="Elipse 4109">
          <a:extLst>
            <a:ext uri="{FF2B5EF4-FFF2-40B4-BE49-F238E27FC236}">
              <a16:creationId xmlns:a16="http://schemas.microsoft.com/office/drawing/2014/main" id="{7E6DAB89-32DA-4F1B-A34E-8499BD1C5B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1" name="Elipse 4110">
          <a:extLst>
            <a:ext uri="{FF2B5EF4-FFF2-40B4-BE49-F238E27FC236}">
              <a16:creationId xmlns:a16="http://schemas.microsoft.com/office/drawing/2014/main" id="{44F494C6-7E27-4C8A-8F07-728BC260FA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2" name="Elipse 4111">
          <a:extLst>
            <a:ext uri="{FF2B5EF4-FFF2-40B4-BE49-F238E27FC236}">
              <a16:creationId xmlns:a16="http://schemas.microsoft.com/office/drawing/2014/main" id="{1DCC84C4-6507-4C1B-ABBA-3654AEF299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3" name="Elipse 4112">
          <a:extLst>
            <a:ext uri="{FF2B5EF4-FFF2-40B4-BE49-F238E27FC236}">
              <a16:creationId xmlns:a16="http://schemas.microsoft.com/office/drawing/2014/main" id="{560E9888-E8C6-4145-9043-E98CCA74A0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4" name="Elipse 4113">
          <a:extLst>
            <a:ext uri="{FF2B5EF4-FFF2-40B4-BE49-F238E27FC236}">
              <a16:creationId xmlns:a16="http://schemas.microsoft.com/office/drawing/2014/main" id="{96349886-1285-414B-B0CA-71D0F4B4E9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5" name="Elipse 4114">
          <a:extLst>
            <a:ext uri="{FF2B5EF4-FFF2-40B4-BE49-F238E27FC236}">
              <a16:creationId xmlns:a16="http://schemas.microsoft.com/office/drawing/2014/main" id="{C2AC43D5-8D80-42FD-AD49-C0DC854B3A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6" name="Elipse 4115">
          <a:extLst>
            <a:ext uri="{FF2B5EF4-FFF2-40B4-BE49-F238E27FC236}">
              <a16:creationId xmlns:a16="http://schemas.microsoft.com/office/drawing/2014/main" id="{34A21C99-E154-4C23-BF52-9FF1B6761C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7" name="Elipse 4116">
          <a:extLst>
            <a:ext uri="{FF2B5EF4-FFF2-40B4-BE49-F238E27FC236}">
              <a16:creationId xmlns:a16="http://schemas.microsoft.com/office/drawing/2014/main" id="{DA5AD889-4804-4933-925E-636676217A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8" name="Elipse 4117">
          <a:extLst>
            <a:ext uri="{FF2B5EF4-FFF2-40B4-BE49-F238E27FC236}">
              <a16:creationId xmlns:a16="http://schemas.microsoft.com/office/drawing/2014/main" id="{8D2CFC93-F897-4C1D-9309-5C013FC022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19" name="Elipse 4118">
          <a:extLst>
            <a:ext uri="{FF2B5EF4-FFF2-40B4-BE49-F238E27FC236}">
              <a16:creationId xmlns:a16="http://schemas.microsoft.com/office/drawing/2014/main" id="{DE3F11DA-1CBA-4BB7-B5E2-4494275B7D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0" name="Elipse 4119">
          <a:extLst>
            <a:ext uri="{FF2B5EF4-FFF2-40B4-BE49-F238E27FC236}">
              <a16:creationId xmlns:a16="http://schemas.microsoft.com/office/drawing/2014/main" id="{79409D8B-EEF9-48B8-AD9F-CD3E2CB40D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1" name="Elipse 4120">
          <a:extLst>
            <a:ext uri="{FF2B5EF4-FFF2-40B4-BE49-F238E27FC236}">
              <a16:creationId xmlns:a16="http://schemas.microsoft.com/office/drawing/2014/main" id="{750813B8-6DAC-43CA-8CD6-7992730646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2" name="Elipse 4121">
          <a:extLst>
            <a:ext uri="{FF2B5EF4-FFF2-40B4-BE49-F238E27FC236}">
              <a16:creationId xmlns:a16="http://schemas.microsoft.com/office/drawing/2014/main" id="{4FC394D8-2780-4050-BE80-CC4486CCA1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3" name="Elipse 4122">
          <a:extLst>
            <a:ext uri="{FF2B5EF4-FFF2-40B4-BE49-F238E27FC236}">
              <a16:creationId xmlns:a16="http://schemas.microsoft.com/office/drawing/2014/main" id="{9D2C97FC-65B3-445C-9630-6D061BB45D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4" name="Elipse 4123">
          <a:extLst>
            <a:ext uri="{FF2B5EF4-FFF2-40B4-BE49-F238E27FC236}">
              <a16:creationId xmlns:a16="http://schemas.microsoft.com/office/drawing/2014/main" id="{40FEB3FB-9353-4729-9595-B576095C73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5" name="Elipse 4124">
          <a:extLst>
            <a:ext uri="{FF2B5EF4-FFF2-40B4-BE49-F238E27FC236}">
              <a16:creationId xmlns:a16="http://schemas.microsoft.com/office/drawing/2014/main" id="{474B1A20-B441-4609-B4F1-09D36EF873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6" name="Elipse 4125">
          <a:extLst>
            <a:ext uri="{FF2B5EF4-FFF2-40B4-BE49-F238E27FC236}">
              <a16:creationId xmlns:a16="http://schemas.microsoft.com/office/drawing/2014/main" id="{497BE6F3-AF1D-4FD0-BAB2-67C4D2B70F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7" name="Elipse 4126">
          <a:extLst>
            <a:ext uri="{FF2B5EF4-FFF2-40B4-BE49-F238E27FC236}">
              <a16:creationId xmlns:a16="http://schemas.microsoft.com/office/drawing/2014/main" id="{07A37DA3-5E19-47C4-A594-FAAF554C5C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8" name="Elipse 4127">
          <a:extLst>
            <a:ext uri="{FF2B5EF4-FFF2-40B4-BE49-F238E27FC236}">
              <a16:creationId xmlns:a16="http://schemas.microsoft.com/office/drawing/2014/main" id="{E4B589D8-6BA1-4061-8F26-8A81805A01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29" name="Elipse 4128">
          <a:extLst>
            <a:ext uri="{FF2B5EF4-FFF2-40B4-BE49-F238E27FC236}">
              <a16:creationId xmlns:a16="http://schemas.microsoft.com/office/drawing/2014/main" id="{97E47F71-34AF-40AE-936A-84D171BD80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0" name="Elipse 4129">
          <a:extLst>
            <a:ext uri="{FF2B5EF4-FFF2-40B4-BE49-F238E27FC236}">
              <a16:creationId xmlns:a16="http://schemas.microsoft.com/office/drawing/2014/main" id="{7F23F512-A81A-41DC-8750-7E79C83A3B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1" name="Elipse 4130">
          <a:extLst>
            <a:ext uri="{FF2B5EF4-FFF2-40B4-BE49-F238E27FC236}">
              <a16:creationId xmlns:a16="http://schemas.microsoft.com/office/drawing/2014/main" id="{344D7F95-7195-420A-84D6-EFDC9A7ECB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2" name="Elipse 4131">
          <a:extLst>
            <a:ext uri="{FF2B5EF4-FFF2-40B4-BE49-F238E27FC236}">
              <a16:creationId xmlns:a16="http://schemas.microsoft.com/office/drawing/2014/main" id="{AE7DC963-95B8-409B-B7AE-99EA063F36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3" name="Elipse 4132">
          <a:extLst>
            <a:ext uri="{FF2B5EF4-FFF2-40B4-BE49-F238E27FC236}">
              <a16:creationId xmlns:a16="http://schemas.microsoft.com/office/drawing/2014/main" id="{A998BF41-F404-4D6F-BA87-8936B16F34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4" name="Elipse 4133">
          <a:extLst>
            <a:ext uri="{FF2B5EF4-FFF2-40B4-BE49-F238E27FC236}">
              <a16:creationId xmlns:a16="http://schemas.microsoft.com/office/drawing/2014/main" id="{F4BA76D9-577B-4221-85DB-5F2CA1FCC3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5" name="Elipse 4134">
          <a:extLst>
            <a:ext uri="{FF2B5EF4-FFF2-40B4-BE49-F238E27FC236}">
              <a16:creationId xmlns:a16="http://schemas.microsoft.com/office/drawing/2014/main" id="{22D6149D-C91A-41A5-BF3C-FB5E3B2235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6" name="Elipse 4135">
          <a:extLst>
            <a:ext uri="{FF2B5EF4-FFF2-40B4-BE49-F238E27FC236}">
              <a16:creationId xmlns:a16="http://schemas.microsoft.com/office/drawing/2014/main" id="{7F7B78FC-5450-49CB-AC3C-FF98DD8226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7" name="Elipse 4136">
          <a:extLst>
            <a:ext uri="{FF2B5EF4-FFF2-40B4-BE49-F238E27FC236}">
              <a16:creationId xmlns:a16="http://schemas.microsoft.com/office/drawing/2014/main" id="{98CE4713-94F3-4BF0-902D-D202EC9434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8" name="Elipse 4137">
          <a:extLst>
            <a:ext uri="{FF2B5EF4-FFF2-40B4-BE49-F238E27FC236}">
              <a16:creationId xmlns:a16="http://schemas.microsoft.com/office/drawing/2014/main" id="{38F3DF62-C9B5-4A5F-B53F-E87431AF31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39" name="Elipse 4138">
          <a:extLst>
            <a:ext uri="{FF2B5EF4-FFF2-40B4-BE49-F238E27FC236}">
              <a16:creationId xmlns:a16="http://schemas.microsoft.com/office/drawing/2014/main" id="{7AB1E06A-C08F-4D20-BC9B-7D44EC73CD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0" name="Elipse 4139">
          <a:extLst>
            <a:ext uri="{FF2B5EF4-FFF2-40B4-BE49-F238E27FC236}">
              <a16:creationId xmlns:a16="http://schemas.microsoft.com/office/drawing/2014/main" id="{6E1C4DEF-6878-4C8E-A2CA-7868A1BB3D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1" name="Elipse 4140">
          <a:extLst>
            <a:ext uri="{FF2B5EF4-FFF2-40B4-BE49-F238E27FC236}">
              <a16:creationId xmlns:a16="http://schemas.microsoft.com/office/drawing/2014/main" id="{701A7839-8921-415D-AA6C-8FB082A1BA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2" name="Elipse 4141">
          <a:extLst>
            <a:ext uri="{FF2B5EF4-FFF2-40B4-BE49-F238E27FC236}">
              <a16:creationId xmlns:a16="http://schemas.microsoft.com/office/drawing/2014/main" id="{891AC2DC-43FB-4A76-AEE7-71C28A3DBB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3" name="Elipse 4142">
          <a:extLst>
            <a:ext uri="{FF2B5EF4-FFF2-40B4-BE49-F238E27FC236}">
              <a16:creationId xmlns:a16="http://schemas.microsoft.com/office/drawing/2014/main" id="{D7146076-C367-4FE8-A62F-EE1FF26847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4" name="Elipse 4143">
          <a:extLst>
            <a:ext uri="{FF2B5EF4-FFF2-40B4-BE49-F238E27FC236}">
              <a16:creationId xmlns:a16="http://schemas.microsoft.com/office/drawing/2014/main" id="{B8DAB42C-4D59-40B8-B55D-75F34F2C11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5" name="Elipse 4144">
          <a:extLst>
            <a:ext uri="{FF2B5EF4-FFF2-40B4-BE49-F238E27FC236}">
              <a16:creationId xmlns:a16="http://schemas.microsoft.com/office/drawing/2014/main" id="{CD23EF6B-4D9F-4D52-B888-7F3F54348B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6" name="Elipse 4145">
          <a:extLst>
            <a:ext uri="{FF2B5EF4-FFF2-40B4-BE49-F238E27FC236}">
              <a16:creationId xmlns:a16="http://schemas.microsoft.com/office/drawing/2014/main" id="{8112AF55-02C1-4341-B3C3-AF62B54305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7" name="Elipse 4146">
          <a:extLst>
            <a:ext uri="{FF2B5EF4-FFF2-40B4-BE49-F238E27FC236}">
              <a16:creationId xmlns:a16="http://schemas.microsoft.com/office/drawing/2014/main" id="{3F52D002-4596-49A0-8E59-A134935DF1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8" name="Elipse 4147">
          <a:extLst>
            <a:ext uri="{FF2B5EF4-FFF2-40B4-BE49-F238E27FC236}">
              <a16:creationId xmlns:a16="http://schemas.microsoft.com/office/drawing/2014/main" id="{69E64828-CE09-45D1-8CE5-CA8AACF1D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49" name="Elipse 4148">
          <a:extLst>
            <a:ext uri="{FF2B5EF4-FFF2-40B4-BE49-F238E27FC236}">
              <a16:creationId xmlns:a16="http://schemas.microsoft.com/office/drawing/2014/main" id="{575B7E6E-54AA-4A3F-8CB0-3435D37CC2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0" name="Elipse 4149">
          <a:extLst>
            <a:ext uri="{FF2B5EF4-FFF2-40B4-BE49-F238E27FC236}">
              <a16:creationId xmlns:a16="http://schemas.microsoft.com/office/drawing/2014/main" id="{90E40FA0-5161-4AC8-84AA-07584D0F3D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1" name="Elipse 4150">
          <a:extLst>
            <a:ext uri="{FF2B5EF4-FFF2-40B4-BE49-F238E27FC236}">
              <a16:creationId xmlns:a16="http://schemas.microsoft.com/office/drawing/2014/main" id="{6612B485-1878-4BBE-9AA2-322C6B8F9A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2" name="Elipse 4151">
          <a:extLst>
            <a:ext uri="{FF2B5EF4-FFF2-40B4-BE49-F238E27FC236}">
              <a16:creationId xmlns:a16="http://schemas.microsoft.com/office/drawing/2014/main" id="{6E44334D-0E4A-4146-8B8D-DA8C37E4BB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3" name="Elipse 4152">
          <a:extLst>
            <a:ext uri="{FF2B5EF4-FFF2-40B4-BE49-F238E27FC236}">
              <a16:creationId xmlns:a16="http://schemas.microsoft.com/office/drawing/2014/main" id="{E716E190-DF5F-4A68-988D-8BB6206C76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4" name="Elipse 4153">
          <a:extLst>
            <a:ext uri="{FF2B5EF4-FFF2-40B4-BE49-F238E27FC236}">
              <a16:creationId xmlns:a16="http://schemas.microsoft.com/office/drawing/2014/main" id="{D5AC7FD1-8870-4029-BB01-D110975815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5" name="Elipse 4154">
          <a:extLst>
            <a:ext uri="{FF2B5EF4-FFF2-40B4-BE49-F238E27FC236}">
              <a16:creationId xmlns:a16="http://schemas.microsoft.com/office/drawing/2014/main" id="{8B9B8076-E5EC-4D18-9035-75F8A9D73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6" name="Elipse 4155">
          <a:extLst>
            <a:ext uri="{FF2B5EF4-FFF2-40B4-BE49-F238E27FC236}">
              <a16:creationId xmlns:a16="http://schemas.microsoft.com/office/drawing/2014/main" id="{43B8850D-D7B5-4611-8BD6-4111D4B7BD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7" name="Elipse 4156">
          <a:extLst>
            <a:ext uri="{FF2B5EF4-FFF2-40B4-BE49-F238E27FC236}">
              <a16:creationId xmlns:a16="http://schemas.microsoft.com/office/drawing/2014/main" id="{2B46C148-41CE-46A0-BFCA-BB9571741D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8" name="Elipse 4157">
          <a:extLst>
            <a:ext uri="{FF2B5EF4-FFF2-40B4-BE49-F238E27FC236}">
              <a16:creationId xmlns:a16="http://schemas.microsoft.com/office/drawing/2014/main" id="{A1791828-EEDA-4C9D-9B31-81764C7C5E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59" name="Elipse 4158">
          <a:extLst>
            <a:ext uri="{FF2B5EF4-FFF2-40B4-BE49-F238E27FC236}">
              <a16:creationId xmlns:a16="http://schemas.microsoft.com/office/drawing/2014/main" id="{37E785B5-BB3E-4DE9-AB55-C5321AB922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0" name="Elipse 4159">
          <a:extLst>
            <a:ext uri="{FF2B5EF4-FFF2-40B4-BE49-F238E27FC236}">
              <a16:creationId xmlns:a16="http://schemas.microsoft.com/office/drawing/2014/main" id="{19950FB0-EF74-4373-984E-87E79776AD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1" name="Elipse 4160">
          <a:extLst>
            <a:ext uri="{FF2B5EF4-FFF2-40B4-BE49-F238E27FC236}">
              <a16:creationId xmlns:a16="http://schemas.microsoft.com/office/drawing/2014/main" id="{64847728-9707-4C9C-B77E-53E916DC4D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2" name="Elipse 4161">
          <a:extLst>
            <a:ext uri="{FF2B5EF4-FFF2-40B4-BE49-F238E27FC236}">
              <a16:creationId xmlns:a16="http://schemas.microsoft.com/office/drawing/2014/main" id="{9D885580-E1D2-4520-9520-9D197D58AD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3" name="Elipse 4162">
          <a:extLst>
            <a:ext uri="{FF2B5EF4-FFF2-40B4-BE49-F238E27FC236}">
              <a16:creationId xmlns:a16="http://schemas.microsoft.com/office/drawing/2014/main" id="{BA627938-6F9B-42C5-A2C5-F59B5B9D29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4" name="Elipse 4163">
          <a:extLst>
            <a:ext uri="{FF2B5EF4-FFF2-40B4-BE49-F238E27FC236}">
              <a16:creationId xmlns:a16="http://schemas.microsoft.com/office/drawing/2014/main" id="{092107ED-5051-4912-8705-91F3A96378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5" name="Elipse 4164">
          <a:extLst>
            <a:ext uri="{FF2B5EF4-FFF2-40B4-BE49-F238E27FC236}">
              <a16:creationId xmlns:a16="http://schemas.microsoft.com/office/drawing/2014/main" id="{1F3ABA28-87F0-4AA6-8B90-FACAFCC9D4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6" name="Elipse 4165">
          <a:extLst>
            <a:ext uri="{FF2B5EF4-FFF2-40B4-BE49-F238E27FC236}">
              <a16:creationId xmlns:a16="http://schemas.microsoft.com/office/drawing/2014/main" id="{15D78B42-7DE9-4F6D-8E8B-C49F70C5C2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7" name="Elipse 4166">
          <a:extLst>
            <a:ext uri="{FF2B5EF4-FFF2-40B4-BE49-F238E27FC236}">
              <a16:creationId xmlns:a16="http://schemas.microsoft.com/office/drawing/2014/main" id="{E57273B7-E047-4AB1-A991-9CE42508DE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8" name="Elipse 4167">
          <a:extLst>
            <a:ext uri="{FF2B5EF4-FFF2-40B4-BE49-F238E27FC236}">
              <a16:creationId xmlns:a16="http://schemas.microsoft.com/office/drawing/2014/main" id="{B598F274-0777-47C6-B400-EC15ACD80B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69" name="Elipse 4168">
          <a:extLst>
            <a:ext uri="{FF2B5EF4-FFF2-40B4-BE49-F238E27FC236}">
              <a16:creationId xmlns:a16="http://schemas.microsoft.com/office/drawing/2014/main" id="{5C048E70-E052-4853-9446-34974D8AAF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0" name="Elipse 4169">
          <a:extLst>
            <a:ext uri="{FF2B5EF4-FFF2-40B4-BE49-F238E27FC236}">
              <a16:creationId xmlns:a16="http://schemas.microsoft.com/office/drawing/2014/main" id="{6314AF3F-19DA-4B0D-B24A-9D60C59A2E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1" name="Elipse 4170">
          <a:extLst>
            <a:ext uri="{FF2B5EF4-FFF2-40B4-BE49-F238E27FC236}">
              <a16:creationId xmlns:a16="http://schemas.microsoft.com/office/drawing/2014/main" id="{1E47C41E-3C82-4A02-9871-7306CDCD37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2" name="Elipse 4171">
          <a:extLst>
            <a:ext uri="{FF2B5EF4-FFF2-40B4-BE49-F238E27FC236}">
              <a16:creationId xmlns:a16="http://schemas.microsoft.com/office/drawing/2014/main" id="{4F46D705-B944-4585-889F-964D0121DE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3" name="Elipse 4172">
          <a:extLst>
            <a:ext uri="{FF2B5EF4-FFF2-40B4-BE49-F238E27FC236}">
              <a16:creationId xmlns:a16="http://schemas.microsoft.com/office/drawing/2014/main" id="{797942EF-D513-4863-91CB-41ED7F1B8F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4" name="Elipse 4173">
          <a:extLst>
            <a:ext uri="{FF2B5EF4-FFF2-40B4-BE49-F238E27FC236}">
              <a16:creationId xmlns:a16="http://schemas.microsoft.com/office/drawing/2014/main" id="{5E2D6BB4-DC68-433A-AF58-02DE126E1A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5" name="Elipse 4174">
          <a:extLst>
            <a:ext uri="{FF2B5EF4-FFF2-40B4-BE49-F238E27FC236}">
              <a16:creationId xmlns:a16="http://schemas.microsoft.com/office/drawing/2014/main" id="{3BEF4E6D-9822-4BFB-B92A-4DC691BD36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6" name="Elipse 4175">
          <a:extLst>
            <a:ext uri="{FF2B5EF4-FFF2-40B4-BE49-F238E27FC236}">
              <a16:creationId xmlns:a16="http://schemas.microsoft.com/office/drawing/2014/main" id="{261D53ED-3FFA-43B3-B0C5-44AF087F74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7" name="Elipse 4176">
          <a:extLst>
            <a:ext uri="{FF2B5EF4-FFF2-40B4-BE49-F238E27FC236}">
              <a16:creationId xmlns:a16="http://schemas.microsoft.com/office/drawing/2014/main" id="{0503942B-0AB2-44F4-9F2D-FC601C9A5E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8" name="Elipse 4177">
          <a:extLst>
            <a:ext uri="{FF2B5EF4-FFF2-40B4-BE49-F238E27FC236}">
              <a16:creationId xmlns:a16="http://schemas.microsoft.com/office/drawing/2014/main" id="{896DC94A-E58A-4C98-BCAD-D9C5495BAD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79" name="Elipse 4178">
          <a:extLst>
            <a:ext uri="{FF2B5EF4-FFF2-40B4-BE49-F238E27FC236}">
              <a16:creationId xmlns:a16="http://schemas.microsoft.com/office/drawing/2014/main" id="{8DB73C56-6839-491A-A76F-C55EA02851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0" name="Elipse 4179">
          <a:extLst>
            <a:ext uri="{FF2B5EF4-FFF2-40B4-BE49-F238E27FC236}">
              <a16:creationId xmlns:a16="http://schemas.microsoft.com/office/drawing/2014/main" id="{26958BD1-EABB-43D3-B37D-313140FF6C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1" name="Elipse 4180">
          <a:extLst>
            <a:ext uri="{FF2B5EF4-FFF2-40B4-BE49-F238E27FC236}">
              <a16:creationId xmlns:a16="http://schemas.microsoft.com/office/drawing/2014/main" id="{BF5A87A6-CB7E-442A-BF37-804CE8967A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2" name="Elipse 4181">
          <a:extLst>
            <a:ext uri="{FF2B5EF4-FFF2-40B4-BE49-F238E27FC236}">
              <a16:creationId xmlns:a16="http://schemas.microsoft.com/office/drawing/2014/main" id="{BB6D5FAF-6010-4901-ADFC-D43457E1F1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3" name="Elipse 4182">
          <a:extLst>
            <a:ext uri="{FF2B5EF4-FFF2-40B4-BE49-F238E27FC236}">
              <a16:creationId xmlns:a16="http://schemas.microsoft.com/office/drawing/2014/main" id="{1E05734A-89A2-4DC6-B191-3F85C23592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4" name="Elipse 4183">
          <a:extLst>
            <a:ext uri="{FF2B5EF4-FFF2-40B4-BE49-F238E27FC236}">
              <a16:creationId xmlns:a16="http://schemas.microsoft.com/office/drawing/2014/main" id="{79672457-EDD3-4410-B88F-49A388D2E8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5" name="Elipse 4184">
          <a:extLst>
            <a:ext uri="{FF2B5EF4-FFF2-40B4-BE49-F238E27FC236}">
              <a16:creationId xmlns:a16="http://schemas.microsoft.com/office/drawing/2014/main" id="{50531496-DFD7-4053-979B-0EC8117AC6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6" name="Elipse 4185">
          <a:extLst>
            <a:ext uri="{FF2B5EF4-FFF2-40B4-BE49-F238E27FC236}">
              <a16:creationId xmlns:a16="http://schemas.microsoft.com/office/drawing/2014/main" id="{7B816D04-8CEF-4483-BEB2-DF60E8CA46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7" name="Elipse 4186">
          <a:extLst>
            <a:ext uri="{FF2B5EF4-FFF2-40B4-BE49-F238E27FC236}">
              <a16:creationId xmlns:a16="http://schemas.microsoft.com/office/drawing/2014/main" id="{7DCCE5AC-C27F-48B2-A95F-F4A526A845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8" name="Elipse 4187">
          <a:extLst>
            <a:ext uri="{FF2B5EF4-FFF2-40B4-BE49-F238E27FC236}">
              <a16:creationId xmlns:a16="http://schemas.microsoft.com/office/drawing/2014/main" id="{F366D09B-0FAB-47E0-BB9C-7FA1781B1B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89" name="Elipse 4188">
          <a:extLst>
            <a:ext uri="{FF2B5EF4-FFF2-40B4-BE49-F238E27FC236}">
              <a16:creationId xmlns:a16="http://schemas.microsoft.com/office/drawing/2014/main" id="{4CFB220D-D5DC-43C8-9CF3-F464ABC5AF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0" name="Elipse 4189">
          <a:extLst>
            <a:ext uri="{FF2B5EF4-FFF2-40B4-BE49-F238E27FC236}">
              <a16:creationId xmlns:a16="http://schemas.microsoft.com/office/drawing/2014/main" id="{EF4E7435-D1DD-4BE9-A101-6F3FEF2E75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1" name="Elipse 4190">
          <a:extLst>
            <a:ext uri="{FF2B5EF4-FFF2-40B4-BE49-F238E27FC236}">
              <a16:creationId xmlns:a16="http://schemas.microsoft.com/office/drawing/2014/main" id="{AB803871-DBFE-48DB-8B54-625EE59266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2" name="Elipse 4191">
          <a:extLst>
            <a:ext uri="{FF2B5EF4-FFF2-40B4-BE49-F238E27FC236}">
              <a16:creationId xmlns:a16="http://schemas.microsoft.com/office/drawing/2014/main" id="{27B49D6E-DC3C-47F1-BC5A-91DED29622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3" name="Elipse 4192">
          <a:extLst>
            <a:ext uri="{FF2B5EF4-FFF2-40B4-BE49-F238E27FC236}">
              <a16:creationId xmlns:a16="http://schemas.microsoft.com/office/drawing/2014/main" id="{918482B4-FDE6-44FB-B87E-D6DDAC10DE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4" name="Elipse 4193">
          <a:extLst>
            <a:ext uri="{FF2B5EF4-FFF2-40B4-BE49-F238E27FC236}">
              <a16:creationId xmlns:a16="http://schemas.microsoft.com/office/drawing/2014/main" id="{CC772B6B-02AF-42B4-B8B9-864C9D5D9A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5" name="Elipse 4194">
          <a:extLst>
            <a:ext uri="{FF2B5EF4-FFF2-40B4-BE49-F238E27FC236}">
              <a16:creationId xmlns:a16="http://schemas.microsoft.com/office/drawing/2014/main" id="{8B5225D4-6846-4E85-B00A-0A301BE38A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6" name="Elipse 4195">
          <a:extLst>
            <a:ext uri="{FF2B5EF4-FFF2-40B4-BE49-F238E27FC236}">
              <a16:creationId xmlns:a16="http://schemas.microsoft.com/office/drawing/2014/main" id="{56331B70-D680-4F03-A9A2-E43267550B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7" name="Elipse 4196">
          <a:extLst>
            <a:ext uri="{FF2B5EF4-FFF2-40B4-BE49-F238E27FC236}">
              <a16:creationId xmlns:a16="http://schemas.microsoft.com/office/drawing/2014/main" id="{0A848E44-0949-49D1-9C0D-37B172E326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8" name="Elipse 4197">
          <a:extLst>
            <a:ext uri="{FF2B5EF4-FFF2-40B4-BE49-F238E27FC236}">
              <a16:creationId xmlns:a16="http://schemas.microsoft.com/office/drawing/2014/main" id="{647FC081-CBF7-41FF-837E-274BC191AF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199" name="Elipse 4198">
          <a:extLst>
            <a:ext uri="{FF2B5EF4-FFF2-40B4-BE49-F238E27FC236}">
              <a16:creationId xmlns:a16="http://schemas.microsoft.com/office/drawing/2014/main" id="{5E310EE3-CEA3-4798-A318-A3B1D09BDC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0" name="Elipse 4199">
          <a:extLst>
            <a:ext uri="{FF2B5EF4-FFF2-40B4-BE49-F238E27FC236}">
              <a16:creationId xmlns:a16="http://schemas.microsoft.com/office/drawing/2014/main" id="{20F9DCAA-8D02-463C-A2DE-09F9C91888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1" name="Elipse 4200">
          <a:extLst>
            <a:ext uri="{FF2B5EF4-FFF2-40B4-BE49-F238E27FC236}">
              <a16:creationId xmlns:a16="http://schemas.microsoft.com/office/drawing/2014/main" id="{1866F249-AA77-427F-8D17-EFB8004575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2" name="Elipse 4201">
          <a:extLst>
            <a:ext uri="{FF2B5EF4-FFF2-40B4-BE49-F238E27FC236}">
              <a16:creationId xmlns:a16="http://schemas.microsoft.com/office/drawing/2014/main" id="{98B0A810-DE36-4F92-9B0A-B0E8755686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3" name="Elipse 4202">
          <a:extLst>
            <a:ext uri="{FF2B5EF4-FFF2-40B4-BE49-F238E27FC236}">
              <a16:creationId xmlns:a16="http://schemas.microsoft.com/office/drawing/2014/main" id="{43413BBE-A619-4BF4-9DA3-7A82932D69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4" name="Elipse 4203">
          <a:extLst>
            <a:ext uri="{FF2B5EF4-FFF2-40B4-BE49-F238E27FC236}">
              <a16:creationId xmlns:a16="http://schemas.microsoft.com/office/drawing/2014/main" id="{4EC7F222-4929-412E-B684-EAFF1CCD86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5" name="Elipse 4204">
          <a:extLst>
            <a:ext uri="{FF2B5EF4-FFF2-40B4-BE49-F238E27FC236}">
              <a16:creationId xmlns:a16="http://schemas.microsoft.com/office/drawing/2014/main" id="{F38A8326-8A38-409F-91A0-06667179A5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6" name="Elipse 4205">
          <a:extLst>
            <a:ext uri="{FF2B5EF4-FFF2-40B4-BE49-F238E27FC236}">
              <a16:creationId xmlns:a16="http://schemas.microsoft.com/office/drawing/2014/main" id="{7CF9E8C2-EEFC-42BB-9E55-8F6F1B411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7" name="Elipse 4206">
          <a:extLst>
            <a:ext uri="{FF2B5EF4-FFF2-40B4-BE49-F238E27FC236}">
              <a16:creationId xmlns:a16="http://schemas.microsoft.com/office/drawing/2014/main" id="{93A509BC-0A3F-46F4-9D6A-172D47E1ED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8" name="Elipse 4207">
          <a:extLst>
            <a:ext uri="{FF2B5EF4-FFF2-40B4-BE49-F238E27FC236}">
              <a16:creationId xmlns:a16="http://schemas.microsoft.com/office/drawing/2014/main" id="{0637A384-5660-43FB-8B88-F346539233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09" name="Elipse 4208">
          <a:extLst>
            <a:ext uri="{FF2B5EF4-FFF2-40B4-BE49-F238E27FC236}">
              <a16:creationId xmlns:a16="http://schemas.microsoft.com/office/drawing/2014/main" id="{81B6EF7B-F300-49A0-B115-1CFCF68AD5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0" name="Elipse 4209">
          <a:extLst>
            <a:ext uri="{FF2B5EF4-FFF2-40B4-BE49-F238E27FC236}">
              <a16:creationId xmlns:a16="http://schemas.microsoft.com/office/drawing/2014/main" id="{5F440E8D-6AA0-4713-8688-4C569D508C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1" name="Elipse 4210">
          <a:extLst>
            <a:ext uri="{FF2B5EF4-FFF2-40B4-BE49-F238E27FC236}">
              <a16:creationId xmlns:a16="http://schemas.microsoft.com/office/drawing/2014/main" id="{4B919AAA-F5E9-4F2D-8A71-AF7977AA2F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2" name="Elipse 4211">
          <a:extLst>
            <a:ext uri="{FF2B5EF4-FFF2-40B4-BE49-F238E27FC236}">
              <a16:creationId xmlns:a16="http://schemas.microsoft.com/office/drawing/2014/main" id="{91C36613-EF87-4AFA-AA5A-DAB7D40787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3" name="Elipse 4212">
          <a:extLst>
            <a:ext uri="{FF2B5EF4-FFF2-40B4-BE49-F238E27FC236}">
              <a16:creationId xmlns:a16="http://schemas.microsoft.com/office/drawing/2014/main" id="{EFEF782F-E7BE-4A22-904C-7A4CED4DE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4" name="Elipse 4213">
          <a:extLst>
            <a:ext uri="{FF2B5EF4-FFF2-40B4-BE49-F238E27FC236}">
              <a16:creationId xmlns:a16="http://schemas.microsoft.com/office/drawing/2014/main" id="{72929456-2A49-4C54-861A-DC5E8AD177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5" name="Elipse 4214">
          <a:extLst>
            <a:ext uri="{FF2B5EF4-FFF2-40B4-BE49-F238E27FC236}">
              <a16:creationId xmlns:a16="http://schemas.microsoft.com/office/drawing/2014/main" id="{7F32140A-125E-47CF-A846-DC5977897B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6" name="Elipse 4215">
          <a:extLst>
            <a:ext uri="{FF2B5EF4-FFF2-40B4-BE49-F238E27FC236}">
              <a16:creationId xmlns:a16="http://schemas.microsoft.com/office/drawing/2014/main" id="{30343879-6711-47F8-A1DE-754A6BDED8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7" name="Elipse 4216">
          <a:extLst>
            <a:ext uri="{FF2B5EF4-FFF2-40B4-BE49-F238E27FC236}">
              <a16:creationId xmlns:a16="http://schemas.microsoft.com/office/drawing/2014/main" id="{847F6F72-DC11-4A8C-AC83-E6A6BD7067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8" name="Elipse 4217">
          <a:extLst>
            <a:ext uri="{FF2B5EF4-FFF2-40B4-BE49-F238E27FC236}">
              <a16:creationId xmlns:a16="http://schemas.microsoft.com/office/drawing/2014/main" id="{21B4E700-8CE1-4730-BC4A-8561D95DD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19" name="Elipse 4218">
          <a:extLst>
            <a:ext uri="{FF2B5EF4-FFF2-40B4-BE49-F238E27FC236}">
              <a16:creationId xmlns:a16="http://schemas.microsoft.com/office/drawing/2014/main" id="{7C8D5ABD-6155-4A6A-A2FA-8E1ABF4F89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0" name="Elipse 4219">
          <a:extLst>
            <a:ext uri="{FF2B5EF4-FFF2-40B4-BE49-F238E27FC236}">
              <a16:creationId xmlns:a16="http://schemas.microsoft.com/office/drawing/2014/main" id="{72F64A13-0666-471A-A42C-9F8C56EC80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1" name="Elipse 4220">
          <a:extLst>
            <a:ext uri="{FF2B5EF4-FFF2-40B4-BE49-F238E27FC236}">
              <a16:creationId xmlns:a16="http://schemas.microsoft.com/office/drawing/2014/main" id="{6C5D7982-7F1D-4463-A4F9-77611A061A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2" name="Elipse 4221">
          <a:extLst>
            <a:ext uri="{FF2B5EF4-FFF2-40B4-BE49-F238E27FC236}">
              <a16:creationId xmlns:a16="http://schemas.microsoft.com/office/drawing/2014/main" id="{F416A8E1-7DC0-41DD-BEF3-10362C0126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3" name="Elipse 4222">
          <a:extLst>
            <a:ext uri="{FF2B5EF4-FFF2-40B4-BE49-F238E27FC236}">
              <a16:creationId xmlns:a16="http://schemas.microsoft.com/office/drawing/2014/main" id="{B1BFDAAF-5C1C-4159-90A0-576E63C929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4" name="Elipse 4223">
          <a:extLst>
            <a:ext uri="{FF2B5EF4-FFF2-40B4-BE49-F238E27FC236}">
              <a16:creationId xmlns:a16="http://schemas.microsoft.com/office/drawing/2014/main" id="{5EDA9942-AB0E-431C-8F91-479CA42AA3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5" name="Elipse 4224">
          <a:extLst>
            <a:ext uri="{FF2B5EF4-FFF2-40B4-BE49-F238E27FC236}">
              <a16:creationId xmlns:a16="http://schemas.microsoft.com/office/drawing/2014/main" id="{0ECD72C2-C3DC-4486-8AA4-1C3B8AB506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6" name="Elipse 4225">
          <a:extLst>
            <a:ext uri="{FF2B5EF4-FFF2-40B4-BE49-F238E27FC236}">
              <a16:creationId xmlns:a16="http://schemas.microsoft.com/office/drawing/2014/main" id="{34440448-F361-4E82-B281-3D9A243BAB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7" name="Elipse 4226">
          <a:extLst>
            <a:ext uri="{FF2B5EF4-FFF2-40B4-BE49-F238E27FC236}">
              <a16:creationId xmlns:a16="http://schemas.microsoft.com/office/drawing/2014/main" id="{1FE9A120-D5D6-42A9-8704-F6303FA816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8" name="Elipse 4227">
          <a:extLst>
            <a:ext uri="{FF2B5EF4-FFF2-40B4-BE49-F238E27FC236}">
              <a16:creationId xmlns:a16="http://schemas.microsoft.com/office/drawing/2014/main" id="{4BF86565-29E6-4F7A-B51B-FC313D4642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29" name="Elipse 4228">
          <a:extLst>
            <a:ext uri="{FF2B5EF4-FFF2-40B4-BE49-F238E27FC236}">
              <a16:creationId xmlns:a16="http://schemas.microsoft.com/office/drawing/2014/main" id="{934D0D55-380A-4A3C-BCA9-FB33CF4829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0" name="Elipse 4229">
          <a:extLst>
            <a:ext uri="{FF2B5EF4-FFF2-40B4-BE49-F238E27FC236}">
              <a16:creationId xmlns:a16="http://schemas.microsoft.com/office/drawing/2014/main" id="{7225C449-EFCB-4BB8-904A-F3CC46ECB7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1" name="Elipse 4230">
          <a:extLst>
            <a:ext uri="{FF2B5EF4-FFF2-40B4-BE49-F238E27FC236}">
              <a16:creationId xmlns:a16="http://schemas.microsoft.com/office/drawing/2014/main" id="{443D7B0F-99F9-4123-B79D-1140454649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2" name="Elipse 4231">
          <a:extLst>
            <a:ext uri="{FF2B5EF4-FFF2-40B4-BE49-F238E27FC236}">
              <a16:creationId xmlns:a16="http://schemas.microsoft.com/office/drawing/2014/main" id="{38545368-AE1C-42C7-92C5-00ECCF401C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3" name="Elipse 4232">
          <a:extLst>
            <a:ext uri="{FF2B5EF4-FFF2-40B4-BE49-F238E27FC236}">
              <a16:creationId xmlns:a16="http://schemas.microsoft.com/office/drawing/2014/main" id="{192EC4EA-5143-42BF-A9F1-2A11F99A0D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4" name="Elipse 4233">
          <a:extLst>
            <a:ext uri="{FF2B5EF4-FFF2-40B4-BE49-F238E27FC236}">
              <a16:creationId xmlns:a16="http://schemas.microsoft.com/office/drawing/2014/main" id="{29DCF673-5F3B-4E2E-97D2-52EB5766EF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5" name="Elipse 4234">
          <a:extLst>
            <a:ext uri="{FF2B5EF4-FFF2-40B4-BE49-F238E27FC236}">
              <a16:creationId xmlns:a16="http://schemas.microsoft.com/office/drawing/2014/main" id="{1AB7836B-8413-4A55-8B63-669872722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6" name="Elipse 4235">
          <a:extLst>
            <a:ext uri="{FF2B5EF4-FFF2-40B4-BE49-F238E27FC236}">
              <a16:creationId xmlns:a16="http://schemas.microsoft.com/office/drawing/2014/main" id="{BCC5911B-C3F9-42BF-A5C6-EBC5EF3AE4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7" name="Elipse 4236">
          <a:extLst>
            <a:ext uri="{FF2B5EF4-FFF2-40B4-BE49-F238E27FC236}">
              <a16:creationId xmlns:a16="http://schemas.microsoft.com/office/drawing/2014/main" id="{92187D97-10FF-4147-B7F9-A2EDEDAC7C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8" name="Elipse 4237">
          <a:extLst>
            <a:ext uri="{FF2B5EF4-FFF2-40B4-BE49-F238E27FC236}">
              <a16:creationId xmlns:a16="http://schemas.microsoft.com/office/drawing/2014/main" id="{11DFC7A4-CC8C-45D9-8912-6DD244A4BC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39" name="Elipse 4238">
          <a:extLst>
            <a:ext uri="{FF2B5EF4-FFF2-40B4-BE49-F238E27FC236}">
              <a16:creationId xmlns:a16="http://schemas.microsoft.com/office/drawing/2014/main" id="{CB53486B-6255-4900-885D-EF441C0F3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0" name="Elipse 4239">
          <a:extLst>
            <a:ext uri="{FF2B5EF4-FFF2-40B4-BE49-F238E27FC236}">
              <a16:creationId xmlns:a16="http://schemas.microsoft.com/office/drawing/2014/main" id="{04CB23E5-FF18-456B-A8EB-177825B6B0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1" name="Elipse 4240">
          <a:extLst>
            <a:ext uri="{FF2B5EF4-FFF2-40B4-BE49-F238E27FC236}">
              <a16:creationId xmlns:a16="http://schemas.microsoft.com/office/drawing/2014/main" id="{E5AF2D95-EF2A-4BC9-AF18-A3E389E54C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2" name="Elipse 4241">
          <a:extLst>
            <a:ext uri="{FF2B5EF4-FFF2-40B4-BE49-F238E27FC236}">
              <a16:creationId xmlns:a16="http://schemas.microsoft.com/office/drawing/2014/main" id="{F7105596-37C8-4964-BE2B-FFD2AD3C5D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3" name="Elipse 4242">
          <a:extLst>
            <a:ext uri="{FF2B5EF4-FFF2-40B4-BE49-F238E27FC236}">
              <a16:creationId xmlns:a16="http://schemas.microsoft.com/office/drawing/2014/main" id="{951179DB-AFBF-4B2A-8D00-237C208CC0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4" name="Elipse 4243">
          <a:extLst>
            <a:ext uri="{FF2B5EF4-FFF2-40B4-BE49-F238E27FC236}">
              <a16:creationId xmlns:a16="http://schemas.microsoft.com/office/drawing/2014/main" id="{A3454D24-9214-4BC4-843B-89C6083356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5" name="Elipse 4244">
          <a:extLst>
            <a:ext uri="{FF2B5EF4-FFF2-40B4-BE49-F238E27FC236}">
              <a16:creationId xmlns:a16="http://schemas.microsoft.com/office/drawing/2014/main" id="{CD25C6DB-061A-414D-8438-1775269B49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6" name="Elipse 4245">
          <a:extLst>
            <a:ext uri="{FF2B5EF4-FFF2-40B4-BE49-F238E27FC236}">
              <a16:creationId xmlns:a16="http://schemas.microsoft.com/office/drawing/2014/main" id="{5A2679FB-EDAE-40D7-A56B-2DA4D896FD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7" name="Elipse 4246">
          <a:extLst>
            <a:ext uri="{FF2B5EF4-FFF2-40B4-BE49-F238E27FC236}">
              <a16:creationId xmlns:a16="http://schemas.microsoft.com/office/drawing/2014/main" id="{AAC17748-7AAA-4D49-8012-794D14484A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8" name="Elipse 4247">
          <a:extLst>
            <a:ext uri="{FF2B5EF4-FFF2-40B4-BE49-F238E27FC236}">
              <a16:creationId xmlns:a16="http://schemas.microsoft.com/office/drawing/2014/main" id="{DD46E125-31B9-4AA2-A381-150C559E24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49" name="Elipse 4248">
          <a:extLst>
            <a:ext uri="{FF2B5EF4-FFF2-40B4-BE49-F238E27FC236}">
              <a16:creationId xmlns:a16="http://schemas.microsoft.com/office/drawing/2014/main" id="{D04FBBD2-6BC6-4C65-A2CA-6774D280F0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0" name="Elipse 4249">
          <a:extLst>
            <a:ext uri="{FF2B5EF4-FFF2-40B4-BE49-F238E27FC236}">
              <a16:creationId xmlns:a16="http://schemas.microsoft.com/office/drawing/2014/main" id="{B35F586E-756C-4849-B51E-40B7E26399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1" name="Elipse 4250">
          <a:extLst>
            <a:ext uri="{FF2B5EF4-FFF2-40B4-BE49-F238E27FC236}">
              <a16:creationId xmlns:a16="http://schemas.microsoft.com/office/drawing/2014/main" id="{9A5D84AD-B601-4E7A-A345-D15AE6563E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2" name="Elipse 4251">
          <a:extLst>
            <a:ext uri="{FF2B5EF4-FFF2-40B4-BE49-F238E27FC236}">
              <a16:creationId xmlns:a16="http://schemas.microsoft.com/office/drawing/2014/main" id="{2F220223-2C39-42D7-8837-41F8A7ED03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3" name="Elipse 4252">
          <a:extLst>
            <a:ext uri="{FF2B5EF4-FFF2-40B4-BE49-F238E27FC236}">
              <a16:creationId xmlns:a16="http://schemas.microsoft.com/office/drawing/2014/main" id="{852F4867-0E24-4504-9D65-B3BBA8302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4" name="Elipse 4253">
          <a:extLst>
            <a:ext uri="{FF2B5EF4-FFF2-40B4-BE49-F238E27FC236}">
              <a16:creationId xmlns:a16="http://schemas.microsoft.com/office/drawing/2014/main" id="{76B9A0AD-5B3D-4F01-B1F7-58D33E201E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5" name="Elipse 4254">
          <a:extLst>
            <a:ext uri="{FF2B5EF4-FFF2-40B4-BE49-F238E27FC236}">
              <a16:creationId xmlns:a16="http://schemas.microsoft.com/office/drawing/2014/main" id="{CEF90FA8-6C78-4A8D-984C-A32B51D633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6" name="Elipse 4255">
          <a:extLst>
            <a:ext uri="{FF2B5EF4-FFF2-40B4-BE49-F238E27FC236}">
              <a16:creationId xmlns:a16="http://schemas.microsoft.com/office/drawing/2014/main" id="{0BD1F1F1-C55E-4865-9AB7-63FDAF8C63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7" name="Elipse 4256">
          <a:extLst>
            <a:ext uri="{FF2B5EF4-FFF2-40B4-BE49-F238E27FC236}">
              <a16:creationId xmlns:a16="http://schemas.microsoft.com/office/drawing/2014/main" id="{FFF24593-FDA1-4548-B9DA-87DA152000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8" name="Elipse 4257">
          <a:extLst>
            <a:ext uri="{FF2B5EF4-FFF2-40B4-BE49-F238E27FC236}">
              <a16:creationId xmlns:a16="http://schemas.microsoft.com/office/drawing/2014/main" id="{FA4D2BCF-3C45-4F18-BC81-B4482C9A90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59" name="Elipse 4258">
          <a:extLst>
            <a:ext uri="{FF2B5EF4-FFF2-40B4-BE49-F238E27FC236}">
              <a16:creationId xmlns:a16="http://schemas.microsoft.com/office/drawing/2014/main" id="{D8A62570-1121-405E-A9D8-C1FF9BED1A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0" name="Elipse 4259">
          <a:extLst>
            <a:ext uri="{FF2B5EF4-FFF2-40B4-BE49-F238E27FC236}">
              <a16:creationId xmlns:a16="http://schemas.microsoft.com/office/drawing/2014/main" id="{01966FA7-1E22-4CF5-8CC0-880D073636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1" name="Elipse 4260">
          <a:extLst>
            <a:ext uri="{FF2B5EF4-FFF2-40B4-BE49-F238E27FC236}">
              <a16:creationId xmlns:a16="http://schemas.microsoft.com/office/drawing/2014/main" id="{B544111E-E32C-4457-B118-151245415A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2" name="Elipse 4261">
          <a:extLst>
            <a:ext uri="{FF2B5EF4-FFF2-40B4-BE49-F238E27FC236}">
              <a16:creationId xmlns:a16="http://schemas.microsoft.com/office/drawing/2014/main" id="{574C1CF3-1190-42DF-AE1A-A4089EA019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3" name="Elipse 4262">
          <a:extLst>
            <a:ext uri="{FF2B5EF4-FFF2-40B4-BE49-F238E27FC236}">
              <a16:creationId xmlns:a16="http://schemas.microsoft.com/office/drawing/2014/main" id="{B6D31450-72AB-47BE-A483-0D2ABE1CDD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4" name="Elipse 4263">
          <a:extLst>
            <a:ext uri="{FF2B5EF4-FFF2-40B4-BE49-F238E27FC236}">
              <a16:creationId xmlns:a16="http://schemas.microsoft.com/office/drawing/2014/main" id="{61928343-F36B-42F2-A066-A12EA89EC8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5" name="Elipse 4264">
          <a:extLst>
            <a:ext uri="{FF2B5EF4-FFF2-40B4-BE49-F238E27FC236}">
              <a16:creationId xmlns:a16="http://schemas.microsoft.com/office/drawing/2014/main" id="{9DD91A5A-A9BC-4F01-9E99-14A301B76E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6" name="Elipse 4265">
          <a:extLst>
            <a:ext uri="{FF2B5EF4-FFF2-40B4-BE49-F238E27FC236}">
              <a16:creationId xmlns:a16="http://schemas.microsoft.com/office/drawing/2014/main" id="{D8618A4D-D724-403F-90AE-21A49AC919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7" name="Elipse 4266">
          <a:extLst>
            <a:ext uri="{FF2B5EF4-FFF2-40B4-BE49-F238E27FC236}">
              <a16:creationId xmlns:a16="http://schemas.microsoft.com/office/drawing/2014/main" id="{741D4570-8027-462E-B5CE-6C79D514D3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8" name="Elipse 4267">
          <a:extLst>
            <a:ext uri="{FF2B5EF4-FFF2-40B4-BE49-F238E27FC236}">
              <a16:creationId xmlns:a16="http://schemas.microsoft.com/office/drawing/2014/main" id="{758B6C31-E50A-40ED-93C3-898F709C71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69" name="Elipse 4268">
          <a:extLst>
            <a:ext uri="{FF2B5EF4-FFF2-40B4-BE49-F238E27FC236}">
              <a16:creationId xmlns:a16="http://schemas.microsoft.com/office/drawing/2014/main" id="{4BA5D590-3977-48F3-9152-E9344104F6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0" name="Elipse 4269">
          <a:extLst>
            <a:ext uri="{FF2B5EF4-FFF2-40B4-BE49-F238E27FC236}">
              <a16:creationId xmlns:a16="http://schemas.microsoft.com/office/drawing/2014/main" id="{F1B1D634-BCA6-4D88-AAB8-E1906C2CB4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1" name="Elipse 4270">
          <a:extLst>
            <a:ext uri="{FF2B5EF4-FFF2-40B4-BE49-F238E27FC236}">
              <a16:creationId xmlns:a16="http://schemas.microsoft.com/office/drawing/2014/main" id="{B2FBA6D4-79CA-45F9-9F0D-1E062E99BA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2" name="Elipse 4271">
          <a:extLst>
            <a:ext uri="{FF2B5EF4-FFF2-40B4-BE49-F238E27FC236}">
              <a16:creationId xmlns:a16="http://schemas.microsoft.com/office/drawing/2014/main" id="{F216D74B-C413-47D7-8723-76743F3A2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3" name="Elipse 4272">
          <a:extLst>
            <a:ext uri="{FF2B5EF4-FFF2-40B4-BE49-F238E27FC236}">
              <a16:creationId xmlns:a16="http://schemas.microsoft.com/office/drawing/2014/main" id="{D63FB13E-19AA-465A-B715-7DDDD06EA3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4" name="Elipse 4273">
          <a:extLst>
            <a:ext uri="{FF2B5EF4-FFF2-40B4-BE49-F238E27FC236}">
              <a16:creationId xmlns:a16="http://schemas.microsoft.com/office/drawing/2014/main" id="{E99C38E1-2C0C-4209-BBB8-8F51146BBC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5" name="Elipse 4274">
          <a:extLst>
            <a:ext uri="{FF2B5EF4-FFF2-40B4-BE49-F238E27FC236}">
              <a16:creationId xmlns:a16="http://schemas.microsoft.com/office/drawing/2014/main" id="{6E222127-7DD5-4C99-B0B0-7D0F71BA49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6" name="Elipse 4275">
          <a:extLst>
            <a:ext uri="{FF2B5EF4-FFF2-40B4-BE49-F238E27FC236}">
              <a16:creationId xmlns:a16="http://schemas.microsoft.com/office/drawing/2014/main" id="{8877E8DC-2882-4136-8CBB-51BA61D2A5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7" name="Elipse 4276">
          <a:extLst>
            <a:ext uri="{FF2B5EF4-FFF2-40B4-BE49-F238E27FC236}">
              <a16:creationId xmlns:a16="http://schemas.microsoft.com/office/drawing/2014/main" id="{6761A36B-A6EA-4684-84B4-DC9CA12E97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8" name="Elipse 4277">
          <a:extLst>
            <a:ext uri="{FF2B5EF4-FFF2-40B4-BE49-F238E27FC236}">
              <a16:creationId xmlns:a16="http://schemas.microsoft.com/office/drawing/2014/main" id="{5C707455-C141-42EA-9B53-6560477D7D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79" name="Elipse 4278">
          <a:extLst>
            <a:ext uri="{FF2B5EF4-FFF2-40B4-BE49-F238E27FC236}">
              <a16:creationId xmlns:a16="http://schemas.microsoft.com/office/drawing/2014/main" id="{78884610-96A2-4F72-BD5A-F65479A881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0" name="Elipse 4279">
          <a:extLst>
            <a:ext uri="{FF2B5EF4-FFF2-40B4-BE49-F238E27FC236}">
              <a16:creationId xmlns:a16="http://schemas.microsoft.com/office/drawing/2014/main" id="{E1839355-7DFE-4B9A-9510-7F1A0A766C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1" name="Elipse 4280">
          <a:extLst>
            <a:ext uri="{FF2B5EF4-FFF2-40B4-BE49-F238E27FC236}">
              <a16:creationId xmlns:a16="http://schemas.microsoft.com/office/drawing/2014/main" id="{770B8744-32C2-4CA7-94E6-E2CB5CB1FF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2" name="Elipse 4281">
          <a:extLst>
            <a:ext uri="{FF2B5EF4-FFF2-40B4-BE49-F238E27FC236}">
              <a16:creationId xmlns:a16="http://schemas.microsoft.com/office/drawing/2014/main" id="{F9B13B6C-1E29-4A9B-BA73-85079676F8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3" name="Elipse 4282">
          <a:extLst>
            <a:ext uri="{FF2B5EF4-FFF2-40B4-BE49-F238E27FC236}">
              <a16:creationId xmlns:a16="http://schemas.microsoft.com/office/drawing/2014/main" id="{9824293C-2BAA-4BE5-A76E-A16210F2B4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4" name="Elipse 4283">
          <a:extLst>
            <a:ext uri="{FF2B5EF4-FFF2-40B4-BE49-F238E27FC236}">
              <a16:creationId xmlns:a16="http://schemas.microsoft.com/office/drawing/2014/main" id="{55617DB7-3DC7-46AA-A391-9301206465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5" name="Elipse 4284">
          <a:extLst>
            <a:ext uri="{FF2B5EF4-FFF2-40B4-BE49-F238E27FC236}">
              <a16:creationId xmlns:a16="http://schemas.microsoft.com/office/drawing/2014/main" id="{7F528909-14AF-454A-BDAF-668CCF0D7C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6" name="Elipse 4285">
          <a:extLst>
            <a:ext uri="{FF2B5EF4-FFF2-40B4-BE49-F238E27FC236}">
              <a16:creationId xmlns:a16="http://schemas.microsoft.com/office/drawing/2014/main" id="{76AFA04B-984C-42B4-9BDC-C89DC84FD4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7" name="Elipse 4286">
          <a:extLst>
            <a:ext uri="{FF2B5EF4-FFF2-40B4-BE49-F238E27FC236}">
              <a16:creationId xmlns:a16="http://schemas.microsoft.com/office/drawing/2014/main" id="{B8E5D222-D17D-4004-8B84-AAA2F0B7CF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8" name="Elipse 4287">
          <a:extLst>
            <a:ext uri="{FF2B5EF4-FFF2-40B4-BE49-F238E27FC236}">
              <a16:creationId xmlns:a16="http://schemas.microsoft.com/office/drawing/2014/main" id="{80865B69-EAC7-4230-BE4D-4F94EA12B1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89" name="Elipse 4288">
          <a:extLst>
            <a:ext uri="{FF2B5EF4-FFF2-40B4-BE49-F238E27FC236}">
              <a16:creationId xmlns:a16="http://schemas.microsoft.com/office/drawing/2014/main" id="{A224451B-9DFE-4DFF-ABE0-E720F4F296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0" name="Elipse 4289">
          <a:extLst>
            <a:ext uri="{FF2B5EF4-FFF2-40B4-BE49-F238E27FC236}">
              <a16:creationId xmlns:a16="http://schemas.microsoft.com/office/drawing/2014/main" id="{67A7E107-7BF7-4C47-A84E-92C5A4CB1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1" name="Elipse 4290">
          <a:extLst>
            <a:ext uri="{FF2B5EF4-FFF2-40B4-BE49-F238E27FC236}">
              <a16:creationId xmlns:a16="http://schemas.microsoft.com/office/drawing/2014/main" id="{533EEBFA-E107-465B-8FD3-4AF1590C35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2" name="Elipse 4291">
          <a:extLst>
            <a:ext uri="{FF2B5EF4-FFF2-40B4-BE49-F238E27FC236}">
              <a16:creationId xmlns:a16="http://schemas.microsoft.com/office/drawing/2014/main" id="{1964D056-AAAB-489C-B4B9-D521F9DC0C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3" name="Elipse 4292">
          <a:extLst>
            <a:ext uri="{FF2B5EF4-FFF2-40B4-BE49-F238E27FC236}">
              <a16:creationId xmlns:a16="http://schemas.microsoft.com/office/drawing/2014/main" id="{B1DCE5AB-0259-4CAE-B93E-7886F3D70D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4" name="Elipse 4293">
          <a:extLst>
            <a:ext uri="{FF2B5EF4-FFF2-40B4-BE49-F238E27FC236}">
              <a16:creationId xmlns:a16="http://schemas.microsoft.com/office/drawing/2014/main" id="{5AFDFA8E-C990-4DEC-A104-D383C21C5D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5" name="Elipse 4294">
          <a:extLst>
            <a:ext uri="{FF2B5EF4-FFF2-40B4-BE49-F238E27FC236}">
              <a16:creationId xmlns:a16="http://schemas.microsoft.com/office/drawing/2014/main" id="{90BD13AC-8452-418B-9100-BB7059B006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6" name="Elipse 4295">
          <a:extLst>
            <a:ext uri="{FF2B5EF4-FFF2-40B4-BE49-F238E27FC236}">
              <a16:creationId xmlns:a16="http://schemas.microsoft.com/office/drawing/2014/main" id="{D3FFABB8-0B4B-40F0-8856-FB3BBE8B9B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7" name="Elipse 4296">
          <a:extLst>
            <a:ext uri="{FF2B5EF4-FFF2-40B4-BE49-F238E27FC236}">
              <a16:creationId xmlns:a16="http://schemas.microsoft.com/office/drawing/2014/main" id="{0287D77B-B5A3-47B1-BA90-B05EC81A54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8" name="Elipse 4297">
          <a:extLst>
            <a:ext uri="{FF2B5EF4-FFF2-40B4-BE49-F238E27FC236}">
              <a16:creationId xmlns:a16="http://schemas.microsoft.com/office/drawing/2014/main" id="{A6A7DB86-7A22-46C3-96C3-E930EB693A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299" name="Elipse 4298">
          <a:extLst>
            <a:ext uri="{FF2B5EF4-FFF2-40B4-BE49-F238E27FC236}">
              <a16:creationId xmlns:a16="http://schemas.microsoft.com/office/drawing/2014/main" id="{72B11200-79E2-4642-8773-73AB1BEB27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0" name="Elipse 4299">
          <a:extLst>
            <a:ext uri="{FF2B5EF4-FFF2-40B4-BE49-F238E27FC236}">
              <a16:creationId xmlns:a16="http://schemas.microsoft.com/office/drawing/2014/main" id="{EFADCAC7-7498-4E6C-879F-8B4FF6EF76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1" name="Elipse 4300">
          <a:extLst>
            <a:ext uri="{FF2B5EF4-FFF2-40B4-BE49-F238E27FC236}">
              <a16:creationId xmlns:a16="http://schemas.microsoft.com/office/drawing/2014/main" id="{813CB160-B9D3-499A-B844-9B9C9E3600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2" name="Elipse 4301">
          <a:extLst>
            <a:ext uri="{FF2B5EF4-FFF2-40B4-BE49-F238E27FC236}">
              <a16:creationId xmlns:a16="http://schemas.microsoft.com/office/drawing/2014/main" id="{2CAD6938-D863-43BA-8F57-95CD776B55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3" name="Elipse 4302">
          <a:extLst>
            <a:ext uri="{FF2B5EF4-FFF2-40B4-BE49-F238E27FC236}">
              <a16:creationId xmlns:a16="http://schemas.microsoft.com/office/drawing/2014/main" id="{D639D9C0-70C3-4E77-8838-B186002DC9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4" name="Elipse 4303">
          <a:extLst>
            <a:ext uri="{FF2B5EF4-FFF2-40B4-BE49-F238E27FC236}">
              <a16:creationId xmlns:a16="http://schemas.microsoft.com/office/drawing/2014/main" id="{639EC988-2D8A-40D6-AD16-B118DE3428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5" name="Elipse 4304">
          <a:extLst>
            <a:ext uri="{FF2B5EF4-FFF2-40B4-BE49-F238E27FC236}">
              <a16:creationId xmlns:a16="http://schemas.microsoft.com/office/drawing/2014/main" id="{1FC404BF-34DC-4AFC-A063-B7A290FB77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6" name="Elipse 4305">
          <a:extLst>
            <a:ext uri="{FF2B5EF4-FFF2-40B4-BE49-F238E27FC236}">
              <a16:creationId xmlns:a16="http://schemas.microsoft.com/office/drawing/2014/main" id="{2C964F25-AEE3-4D15-A38B-3F72F0F3FF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7" name="Elipse 4306">
          <a:extLst>
            <a:ext uri="{FF2B5EF4-FFF2-40B4-BE49-F238E27FC236}">
              <a16:creationId xmlns:a16="http://schemas.microsoft.com/office/drawing/2014/main" id="{AEE3A2CF-E881-4248-BF80-89F0DCBEEB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8" name="Elipse 4307">
          <a:extLst>
            <a:ext uri="{FF2B5EF4-FFF2-40B4-BE49-F238E27FC236}">
              <a16:creationId xmlns:a16="http://schemas.microsoft.com/office/drawing/2014/main" id="{3D0BB042-3958-42D1-8830-353C362733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09" name="Elipse 4308">
          <a:extLst>
            <a:ext uri="{FF2B5EF4-FFF2-40B4-BE49-F238E27FC236}">
              <a16:creationId xmlns:a16="http://schemas.microsoft.com/office/drawing/2014/main" id="{36F671CB-70BA-4A37-A214-442E5D4FAF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0" name="Elipse 4309">
          <a:extLst>
            <a:ext uri="{FF2B5EF4-FFF2-40B4-BE49-F238E27FC236}">
              <a16:creationId xmlns:a16="http://schemas.microsoft.com/office/drawing/2014/main" id="{DE8573E7-5F28-48B4-A1E0-943C4DB196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1" name="Elipse 4310">
          <a:extLst>
            <a:ext uri="{FF2B5EF4-FFF2-40B4-BE49-F238E27FC236}">
              <a16:creationId xmlns:a16="http://schemas.microsoft.com/office/drawing/2014/main" id="{22031684-CA5B-4C99-B34C-7102DA8271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2" name="Elipse 4311">
          <a:extLst>
            <a:ext uri="{FF2B5EF4-FFF2-40B4-BE49-F238E27FC236}">
              <a16:creationId xmlns:a16="http://schemas.microsoft.com/office/drawing/2014/main" id="{5C2F926B-2A1B-41CD-9731-4360719932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3" name="Elipse 4312">
          <a:extLst>
            <a:ext uri="{FF2B5EF4-FFF2-40B4-BE49-F238E27FC236}">
              <a16:creationId xmlns:a16="http://schemas.microsoft.com/office/drawing/2014/main" id="{B4434FE9-FDA6-4CC2-A60A-E451A6FD0C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4" name="Elipse 4313">
          <a:extLst>
            <a:ext uri="{FF2B5EF4-FFF2-40B4-BE49-F238E27FC236}">
              <a16:creationId xmlns:a16="http://schemas.microsoft.com/office/drawing/2014/main" id="{3F7EC0AF-CAE7-4334-BEDD-A2AC622929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5" name="Elipse 4314">
          <a:extLst>
            <a:ext uri="{FF2B5EF4-FFF2-40B4-BE49-F238E27FC236}">
              <a16:creationId xmlns:a16="http://schemas.microsoft.com/office/drawing/2014/main" id="{4E402182-141B-4E08-B093-89E12FA10F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6" name="Elipse 4315">
          <a:extLst>
            <a:ext uri="{FF2B5EF4-FFF2-40B4-BE49-F238E27FC236}">
              <a16:creationId xmlns:a16="http://schemas.microsoft.com/office/drawing/2014/main" id="{DBCED02E-6308-4497-9B81-2F18772670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7" name="Elipse 4316">
          <a:extLst>
            <a:ext uri="{FF2B5EF4-FFF2-40B4-BE49-F238E27FC236}">
              <a16:creationId xmlns:a16="http://schemas.microsoft.com/office/drawing/2014/main" id="{3264F740-5FAE-4EBC-8197-2C3CB214AD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8" name="Elipse 4317">
          <a:extLst>
            <a:ext uri="{FF2B5EF4-FFF2-40B4-BE49-F238E27FC236}">
              <a16:creationId xmlns:a16="http://schemas.microsoft.com/office/drawing/2014/main" id="{15CA4DC2-9F5B-4E69-8291-EC4EF18F8E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19" name="Elipse 4318">
          <a:extLst>
            <a:ext uri="{FF2B5EF4-FFF2-40B4-BE49-F238E27FC236}">
              <a16:creationId xmlns:a16="http://schemas.microsoft.com/office/drawing/2014/main" id="{91587EEA-74A9-43A6-855D-25C5DAB7F1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0" name="Elipse 4319">
          <a:extLst>
            <a:ext uri="{FF2B5EF4-FFF2-40B4-BE49-F238E27FC236}">
              <a16:creationId xmlns:a16="http://schemas.microsoft.com/office/drawing/2014/main" id="{7259468C-252C-4F24-B7FB-DD471D8B79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1" name="Elipse 4320">
          <a:extLst>
            <a:ext uri="{FF2B5EF4-FFF2-40B4-BE49-F238E27FC236}">
              <a16:creationId xmlns:a16="http://schemas.microsoft.com/office/drawing/2014/main" id="{A460B2F1-FBAE-4631-A834-F2F29791F2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2" name="Elipse 4321">
          <a:extLst>
            <a:ext uri="{FF2B5EF4-FFF2-40B4-BE49-F238E27FC236}">
              <a16:creationId xmlns:a16="http://schemas.microsoft.com/office/drawing/2014/main" id="{F77E4DA9-4E29-4709-9334-BA9B25CA95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3" name="Elipse 4322">
          <a:extLst>
            <a:ext uri="{FF2B5EF4-FFF2-40B4-BE49-F238E27FC236}">
              <a16:creationId xmlns:a16="http://schemas.microsoft.com/office/drawing/2014/main" id="{E6CAF044-1180-4B45-BC6A-8E081F1FBC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4" name="Elipse 4323">
          <a:extLst>
            <a:ext uri="{FF2B5EF4-FFF2-40B4-BE49-F238E27FC236}">
              <a16:creationId xmlns:a16="http://schemas.microsoft.com/office/drawing/2014/main" id="{8679FE7E-572D-4B2C-86B3-ADC9020995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5" name="Elipse 4324">
          <a:extLst>
            <a:ext uri="{FF2B5EF4-FFF2-40B4-BE49-F238E27FC236}">
              <a16:creationId xmlns:a16="http://schemas.microsoft.com/office/drawing/2014/main" id="{AD574EE0-E873-427D-86D6-E000576E8D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6" name="Elipse 4325">
          <a:extLst>
            <a:ext uri="{FF2B5EF4-FFF2-40B4-BE49-F238E27FC236}">
              <a16:creationId xmlns:a16="http://schemas.microsoft.com/office/drawing/2014/main" id="{56AACF61-22C1-4C39-AC19-A52DE0945E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7" name="Elipse 4326">
          <a:extLst>
            <a:ext uri="{FF2B5EF4-FFF2-40B4-BE49-F238E27FC236}">
              <a16:creationId xmlns:a16="http://schemas.microsoft.com/office/drawing/2014/main" id="{FB4A8F75-8FC5-4368-84AA-656F3F741A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8" name="Elipse 4327">
          <a:extLst>
            <a:ext uri="{FF2B5EF4-FFF2-40B4-BE49-F238E27FC236}">
              <a16:creationId xmlns:a16="http://schemas.microsoft.com/office/drawing/2014/main" id="{C8D4E6EE-816E-479E-91E0-54BF4BBF0F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29" name="Elipse 4328">
          <a:extLst>
            <a:ext uri="{FF2B5EF4-FFF2-40B4-BE49-F238E27FC236}">
              <a16:creationId xmlns:a16="http://schemas.microsoft.com/office/drawing/2014/main" id="{C835B23B-6FA4-43BC-918E-6097532DE8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0" name="Elipse 4329">
          <a:extLst>
            <a:ext uri="{FF2B5EF4-FFF2-40B4-BE49-F238E27FC236}">
              <a16:creationId xmlns:a16="http://schemas.microsoft.com/office/drawing/2014/main" id="{AB26FE6A-3295-4743-BA22-3D9B3D973C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1" name="Elipse 4330">
          <a:extLst>
            <a:ext uri="{FF2B5EF4-FFF2-40B4-BE49-F238E27FC236}">
              <a16:creationId xmlns:a16="http://schemas.microsoft.com/office/drawing/2014/main" id="{1E37A812-B6F6-4600-B94D-2B011CCF30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2" name="Elipse 4331">
          <a:extLst>
            <a:ext uri="{FF2B5EF4-FFF2-40B4-BE49-F238E27FC236}">
              <a16:creationId xmlns:a16="http://schemas.microsoft.com/office/drawing/2014/main" id="{74EDA6F9-38EF-486A-A1E0-96B8BE2EF6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3" name="Elipse 4332">
          <a:extLst>
            <a:ext uri="{FF2B5EF4-FFF2-40B4-BE49-F238E27FC236}">
              <a16:creationId xmlns:a16="http://schemas.microsoft.com/office/drawing/2014/main" id="{968AB086-8AE3-46FF-BF85-56013688B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4" name="Elipse 4333">
          <a:extLst>
            <a:ext uri="{FF2B5EF4-FFF2-40B4-BE49-F238E27FC236}">
              <a16:creationId xmlns:a16="http://schemas.microsoft.com/office/drawing/2014/main" id="{681D8E22-2038-4BC2-8B4A-35C383289D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5" name="Elipse 4334">
          <a:extLst>
            <a:ext uri="{FF2B5EF4-FFF2-40B4-BE49-F238E27FC236}">
              <a16:creationId xmlns:a16="http://schemas.microsoft.com/office/drawing/2014/main" id="{10B8A66E-5D2B-4ED5-8FC2-03C3BEBE2B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6" name="Elipse 4335">
          <a:extLst>
            <a:ext uri="{FF2B5EF4-FFF2-40B4-BE49-F238E27FC236}">
              <a16:creationId xmlns:a16="http://schemas.microsoft.com/office/drawing/2014/main" id="{17375D06-D379-44DB-A45F-89CECC85A3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7" name="Elipse 4336">
          <a:extLst>
            <a:ext uri="{FF2B5EF4-FFF2-40B4-BE49-F238E27FC236}">
              <a16:creationId xmlns:a16="http://schemas.microsoft.com/office/drawing/2014/main" id="{658883B5-BE7A-4DC9-B7F2-28542FDE76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8" name="Elipse 4337">
          <a:extLst>
            <a:ext uri="{FF2B5EF4-FFF2-40B4-BE49-F238E27FC236}">
              <a16:creationId xmlns:a16="http://schemas.microsoft.com/office/drawing/2014/main" id="{1EB48B72-C134-47C6-8E87-84C6597013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39" name="Elipse 4338">
          <a:extLst>
            <a:ext uri="{FF2B5EF4-FFF2-40B4-BE49-F238E27FC236}">
              <a16:creationId xmlns:a16="http://schemas.microsoft.com/office/drawing/2014/main" id="{022B124D-A37D-4F1B-9C46-2B229C18B1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0" name="Elipse 4339">
          <a:extLst>
            <a:ext uri="{FF2B5EF4-FFF2-40B4-BE49-F238E27FC236}">
              <a16:creationId xmlns:a16="http://schemas.microsoft.com/office/drawing/2014/main" id="{3EAB3A4A-424F-42F6-ABDC-2196AFAFD6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1" name="Elipse 4340">
          <a:extLst>
            <a:ext uri="{FF2B5EF4-FFF2-40B4-BE49-F238E27FC236}">
              <a16:creationId xmlns:a16="http://schemas.microsoft.com/office/drawing/2014/main" id="{FC0989E5-C741-43CC-B35C-A22BA08EB8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2" name="Elipse 4341">
          <a:extLst>
            <a:ext uri="{FF2B5EF4-FFF2-40B4-BE49-F238E27FC236}">
              <a16:creationId xmlns:a16="http://schemas.microsoft.com/office/drawing/2014/main" id="{A3F27D9C-C655-45CF-872F-E7E2A9CD01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3" name="Elipse 4342">
          <a:extLst>
            <a:ext uri="{FF2B5EF4-FFF2-40B4-BE49-F238E27FC236}">
              <a16:creationId xmlns:a16="http://schemas.microsoft.com/office/drawing/2014/main" id="{A26A098A-99A1-4868-9075-785BE1E258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4" name="Elipse 4343">
          <a:extLst>
            <a:ext uri="{FF2B5EF4-FFF2-40B4-BE49-F238E27FC236}">
              <a16:creationId xmlns:a16="http://schemas.microsoft.com/office/drawing/2014/main" id="{4C52B4B5-9151-4BC2-9696-DD6440B9ED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5" name="Elipse 4344">
          <a:extLst>
            <a:ext uri="{FF2B5EF4-FFF2-40B4-BE49-F238E27FC236}">
              <a16:creationId xmlns:a16="http://schemas.microsoft.com/office/drawing/2014/main" id="{DD2ED8F7-A82E-45B0-ADC9-E46CC03130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6" name="Elipse 4345">
          <a:extLst>
            <a:ext uri="{FF2B5EF4-FFF2-40B4-BE49-F238E27FC236}">
              <a16:creationId xmlns:a16="http://schemas.microsoft.com/office/drawing/2014/main" id="{CA5C7CF6-ADCC-496B-83E6-2EF2168F13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7" name="Elipse 4346">
          <a:extLst>
            <a:ext uri="{FF2B5EF4-FFF2-40B4-BE49-F238E27FC236}">
              <a16:creationId xmlns:a16="http://schemas.microsoft.com/office/drawing/2014/main" id="{A2C0978B-CE68-40E1-828B-C766A9F82C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8" name="Elipse 4347">
          <a:extLst>
            <a:ext uri="{FF2B5EF4-FFF2-40B4-BE49-F238E27FC236}">
              <a16:creationId xmlns:a16="http://schemas.microsoft.com/office/drawing/2014/main" id="{CF08D941-02DB-4138-8857-55A903DA1A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49" name="Elipse 4348">
          <a:extLst>
            <a:ext uri="{FF2B5EF4-FFF2-40B4-BE49-F238E27FC236}">
              <a16:creationId xmlns:a16="http://schemas.microsoft.com/office/drawing/2014/main" id="{F925DEF2-23BB-4A47-A4E6-2CE3043D93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0" name="Elipse 4349">
          <a:extLst>
            <a:ext uri="{FF2B5EF4-FFF2-40B4-BE49-F238E27FC236}">
              <a16:creationId xmlns:a16="http://schemas.microsoft.com/office/drawing/2014/main" id="{B2EBA5DC-38E9-4A6D-B674-95BB1744ED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1" name="Elipse 4350">
          <a:extLst>
            <a:ext uri="{FF2B5EF4-FFF2-40B4-BE49-F238E27FC236}">
              <a16:creationId xmlns:a16="http://schemas.microsoft.com/office/drawing/2014/main" id="{DBD9EA01-A443-4941-B558-9BD5EA4623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2" name="Elipse 4351">
          <a:extLst>
            <a:ext uri="{FF2B5EF4-FFF2-40B4-BE49-F238E27FC236}">
              <a16:creationId xmlns:a16="http://schemas.microsoft.com/office/drawing/2014/main" id="{49B0B379-9F7E-48A5-9E9C-1B2113EB13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3" name="Elipse 4352">
          <a:extLst>
            <a:ext uri="{FF2B5EF4-FFF2-40B4-BE49-F238E27FC236}">
              <a16:creationId xmlns:a16="http://schemas.microsoft.com/office/drawing/2014/main" id="{F1463AA5-8837-4583-A74F-46939FC05E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4" name="Elipse 4353">
          <a:extLst>
            <a:ext uri="{FF2B5EF4-FFF2-40B4-BE49-F238E27FC236}">
              <a16:creationId xmlns:a16="http://schemas.microsoft.com/office/drawing/2014/main" id="{1CFCECC2-1412-4B8E-B196-6E53F159FE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5" name="Elipse 4354">
          <a:extLst>
            <a:ext uri="{FF2B5EF4-FFF2-40B4-BE49-F238E27FC236}">
              <a16:creationId xmlns:a16="http://schemas.microsoft.com/office/drawing/2014/main" id="{C99F1DBF-F8FC-4273-A48C-B3F2646AA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6" name="Elipse 4355">
          <a:extLst>
            <a:ext uri="{FF2B5EF4-FFF2-40B4-BE49-F238E27FC236}">
              <a16:creationId xmlns:a16="http://schemas.microsoft.com/office/drawing/2014/main" id="{887DB813-AF2B-4787-B616-220BB6D9E6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7" name="Elipse 4356">
          <a:extLst>
            <a:ext uri="{FF2B5EF4-FFF2-40B4-BE49-F238E27FC236}">
              <a16:creationId xmlns:a16="http://schemas.microsoft.com/office/drawing/2014/main" id="{7D05DC20-FD10-4028-9009-248A2CCDE8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8" name="Elipse 4357">
          <a:extLst>
            <a:ext uri="{FF2B5EF4-FFF2-40B4-BE49-F238E27FC236}">
              <a16:creationId xmlns:a16="http://schemas.microsoft.com/office/drawing/2014/main" id="{A0439C1B-37AA-42E1-8194-B20C401F2A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59" name="Elipse 4358">
          <a:extLst>
            <a:ext uri="{FF2B5EF4-FFF2-40B4-BE49-F238E27FC236}">
              <a16:creationId xmlns:a16="http://schemas.microsoft.com/office/drawing/2014/main" id="{3990B1FA-5605-47E5-91FC-FEE05B7876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0" name="Elipse 4359">
          <a:extLst>
            <a:ext uri="{FF2B5EF4-FFF2-40B4-BE49-F238E27FC236}">
              <a16:creationId xmlns:a16="http://schemas.microsoft.com/office/drawing/2014/main" id="{FEFFAE28-4029-4B14-B32F-36A623D776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1" name="Elipse 4360">
          <a:extLst>
            <a:ext uri="{FF2B5EF4-FFF2-40B4-BE49-F238E27FC236}">
              <a16:creationId xmlns:a16="http://schemas.microsoft.com/office/drawing/2014/main" id="{AD642FE4-C293-41BD-A6B4-0ACC0C4009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2" name="Elipse 4361">
          <a:extLst>
            <a:ext uri="{FF2B5EF4-FFF2-40B4-BE49-F238E27FC236}">
              <a16:creationId xmlns:a16="http://schemas.microsoft.com/office/drawing/2014/main" id="{1942F48B-B865-42F0-9A47-A162CA6D5D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3" name="Elipse 4362">
          <a:extLst>
            <a:ext uri="{FF2B5EF4-FFF2-40B4-BE49-F238E27FC236}">
              <a16:creationId xmlns:a16="http://schemas.microsoft.com/office/drawing/2014/main" id="{FCB3E967-0266-4979-B883-A198601C01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4" name="Elipse 4363">
          <a:extLst>
            <a:ext uri="{FF2B5EF4-FFF2-40B4-BE49-F238E27FC236}">
              <a16:creationId xmlns:a16="http://schemas.microsoft.com/office/drawing/2014/main" id="{90994526-2EE6-4D64-A39E-719F3C183E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5" name="Elipse 4364">
          <a:extLst>
            <a:ext uri="{FF2B5EF4-FFF2-40B4-BE49-F238E27FC236}">
              <a16:creationId xmlns:a16="http://schemas.microsoft.com/office/drawing/2014/main" id="{CC89278B-7244-477E-B954-42B9481785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6" name="Elipse 4365">
          <a:extLst>
            <a:ext uri="{FF2B5EF4-FFF2-40B4-BE49-F238E27FC236}">
              <a16:creationId xmlns:a16="http://schemas.microsoft.com/office/drawing/2014/main" id="{C8FE7419-D0D5-4F49-B085-AE2FDCF54F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7" name="Elipse 4366">
          <a:extLst>
            <a:ext uri="{FF2B5EF4-FFF2-40B4-BE49-F238E27FC236}">
              <a16:creationId xmlns:a16="http://schemas.microsoft.com/office/drawing/2014/main" id="{FE65564E-72A9-4FC4-B391-1627AD47AF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8" name="Elipse 4367">
          <a:extLst>
            <a:ext uri="{FF2B5EF4-FFF2-40B4-BE49-F238E27FC236}">
              <a16:creationId xmlns:a16="http://schemas.microsoft.com/office/drawing/2014/main" id="{1DA15F07-8FA1-409A-82FE-3AFAC7F627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69" name="Elipse 4368">
          <a:extLst>
            <a:ext uri="{FF2B5EF4-FFF2-40B4-BE49-F238E27FC236}">
              <a16:creationId xmlns:a16="http://schemas.microsoft.com/office/drawing/2014/main" id="{149C7C19-3FB9-4821-A5D0-FAE28B9162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0" name="Elipse 4369">
          <a:extLst>
            <a:ext uri="{FF2B5EF4-FFF2-40B4-BE49-F238E27FC236}">
              <a16:creationId xmlns:a16="http://schemas.microsoft.com/office/drawing/2014/main" id="{A2BE9B7D-0643-4736-9D45-1265DEEA02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1" name="Elipse 4370">
          <a:extLst>
            <a:ext uri="{FF2B5EF4-FFF2-40B4-BE49-F238E27FC236}">
              <a16:creationId xmlns:a16="http://schemas.microsoft.com/office/drawing/2014/main" id="{025037FF-B002-47C1-9983-C40DDEBB5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2" name="Elipse 4371">
          <a:extLst>
            <a:ext uri="{FF2B5EF4-FFF2-40B4-BE49-F238E27FC236}">
              <a16:creationId xmlns:a16="http://schemas.microsoft.com/office/drawing/2014/main" id="{B2053CD1-8475-48A9-A179-D76EC75DBB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3" name="Elipse 4372">
          <a:extLst>
            <a:ext uri="{FF2B5EF4-FFF2-40B4-BE49-F238E27FC236}">
              <a16:creationId xmlns:a16="http://schemas.microsoft.com/office/drawing/2014/main" id="{F19BF1BA-8849-4D00-83D2-DDD22F282F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4" name="Elipse 4373">
          <a:extLst>
            <a:ext uri="{FF2B5EF4-FFF2-40B4-BE49-F238E27FC236}">
              <a16:creationId xmlns:a16="http://schemas.microsoft.com/office/drawing/2014/main" id="{34BF6C35-1590-4740-BCE3-FF9D0826B1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5" name="Elipse 4374">
          <a:extLst>
            <a:ext uri="{FF2B5EF4-FFF2-40B4-BE49-F238E27FC236}">
              <a16:creationId xmlns:a16="http://schemas.microsoft.com/office/drawing/2014/main" id="{BB817FD1-70FC-4763-B3B3-94A65899D0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6" name="Elipse 4375">
          <a:extLst>
            <a:ext uri="{FF2B5EF4-FFF2-40B4-BE49-F238E27FC236}">
              <a16:creationId xmlns:a16="http://schemas.microsoft.com/office/drawing/2014/main" id="{3E342AD0-2059-4933-BDE9-9021E3389D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7" name="Elipse 4376">
          <a:extLst>
            <a:ext uri="{FF2B5EF4-FFF2-40B4-BE49-F238E27FC236}">
              <a16:creationId xmlns:a16="http://schemas.microsoft.com/office/drawing/2014/main" id="{FDD3A446-1D82-48BB-ACA6-A7B35F73BA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8" name="Elipse 4377">
          <a:extLst>
            <a:ext uri="{FF2B5EF4-FFF2-40B4-BE49-F238E27FC236}">
              <a16:creationId xmlns:a16="http://schemas.microsoft.com/office/drawing/2014/main" id="{1A4AC8B0-426A-47F8-9921-9291CF4E37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79" name="Elipse 4378">
          <a:extLst>
            <a:ext uri="{FF2B5EF4-FFF2-40B4-BE49-F238E27FC236}">
              <a16:creationId xmlns:a16="http://schemas.microsoft.com/office/drawing/2014/main" id="{88857396-7DB4-468F-A7DC-B7D61245E8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0" name="Elipse 4379">
          <a:extLst>
            <a:ext uri="{FF2B5EF4-FFF2-40B4-BE49-F238E27FC236}">
              <a16:creationId xmlns:a16="http://schemas.microsoft.com/office/drawing/2014/main" id="{5D414103-7A55-41EF-9551-DB015C2235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1" name="Elipse 4380">
          <a:extLst>
            <a:ext uri="{FF2B5EF4-FFF2-40B4-BE49-F238E27FC236}">
              <a16:creationId xmlns:a16="http://schemas.microsoft.com/office/drawing/2014/main" id="{2A04DBD2-8ED1-434B-8A36-2ED839690F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2" name="Elipse 4381">
          <a:extLst>
            <a:ext uri="{FF2B5EF4-FFF2-40B4-BE49-F238E27FC236}">
              <a16:creationId xmlns:a16="http://schemas.microsoft.com/office/drawing/2014/main" id="{8522E066-D105-4B87-970F-D3E494C2AB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3" name="Elipse 4382">
          <a:extLst>
            <a:ext uri="{FF2B5EF4-FFF2-40B4-BE49-F238E27FC236}">
              <a16:creationId xmlns:a16="http://schemas.microsoft.com/office/drawing/2014/main" id="{E7A23CF6-87C1-4EA0-8D71-33425CA19C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4" name="Elipse 4383">
          <a:extLst>
            <a:ext uri="{FF2B5EF4-FFF2-40B4-BE49-F238E27FC236}">
              <a16:creationId xmlns:a16="http://schemas.microsoft.com/office/drawing/2014/main" id="{C375F788-63D6-4586-8650-1CC888093A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5" name="Elipse 4384">
          <a:extLst>
            <a:ext uri="{FF2B5EF4-FFF2-40B4-BE49-F238E27FC236}">
              <a16:creationId xmlns:a16="http://schemas.microsoft.com/office/drawing/2014/main" id="{64C8FAD4-09F4-407C-921E-C568FF42C4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6" name="Elipse 4385">
          <a:extLst>
            <a:ext uri="{FF2B5EF4-FFF2-40B4-BE49-F238E27FC236}">
              <a16:creationId xmlns:a16="http://schemas.microsoft.com/office/drawing/2014/main" id="{CAC58551-9F19-4B3E-8D74-009801586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7" name="Elipse 4386">
          <a:extLst>
            <a:ext uri="{FF2B5EF4-FFF2-40B4-BE49-F238E27FC236}">
              <a16:creationId xmlns:a16="http://schemas.microsoft.com/office/drawing/2014/main" id="{A3580D13-F871-4F90-9A72-607EC1BA5C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8" name="Elipse 4387">
          <a:extLst>
            <a:ext uri="{FF2B5EF4-FFF2-40B4-BE49-F238E27FC236}">
              <a16:creationId xmlns:a16="http://schemas.microsoft.com/office/drawing/2014/main" id="{23956C62-2FA4-4302-9065-5759BDC2A6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89" name="Elipse 4388">
          <a:extLst>
            <a:ext uri="{FF2B5EF4-FFF2-40B4-BE49-F238E27FC236}">
              <a16:creationId xmlns:a16="http://schemas.microsoft.com/office/drawing/2014/main" id="{7FB58217-9ECF-45EC-A5AF-EECC497F41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0" name="Elipse 4389">
          <a:extLst>
            <a:ext uri="{FF2B5EF4-FFF2-40B4-BE49-F238E27FC236}">
              <a16:creationId xmlns:a16="http://schemas.microsoft.com/office/drawing/2014/main" id="{2828834D-5009-44F0-8996-18C8E1EDF2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1" name="Elipse 4390">
          <a:extLst>
            <a:ext uri="{FF2B5EF4-FFF2-40B4-BE49-F238E27FC236}">
              <a16:creationId xmlns:a16="http://schemas.microsoft.com/office/drawing/2014/main" id="{AC4EC5AD-8EAF-468B-AD5B-6AD29783BE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2" name="Elipse 4391">
          <a:extLst>
            <a:ext uri="{FF2B5EF4-FFF2-40B4-BE49-F238E27FC236}">
              <a16:creationId xmlns:a16="http://schemas.microsoft.com/office/drawing/2014/main" id="{7E6FBA7D-66D1-4B60-BF7A-B6296F6877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3" name="Elipse 4392">
          <a:extLst>
            <a:ext uri="{FF2B5EF4-FFF2-40B4-BE49-F238E27FC236}">
              <a16:creationId xmlns:a16="http://schemas.microsoft.com/office/drawing/2014/main" id="{F902BFB7-D3A1-4054-BF1B-477DD63E0F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4" name="Elipse 4393">
          <a:extLst>
            <a:ext uri="{FF2B5EF4-FFF2-40B4-BE49-F238E27FC236}">
              <a16:creationId xmlns:a16="http://schemas.microsoft.com/office/drawing/2014/main" id="{AD2A0F2A-ECC8-4AE8-9068-2FA2BD9FB5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5" name="Elipse 4394">
          <a:extLst>
            <a:ext uri="{FF2B5EF4-FFF2-40B4-BE49-F238E27FC236}">
              <a16:creationId xmlns:a16="http://schemas.microsoft.com/office/drawing/2014/main" id="{E6A77A13-A0BB-4A42-8648-C0001D51BA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6" name="Elipse 4395">
          <a:extLst>
            <a:ext uri="{FF2B5EF4-FFF2-40B4-BE49-F238E27FC236}">
              <a16:creationId xmlns:a16="http://schemas.microsoft.com/office/drawing/2014/main" id="{81E75F59-13CD-40DA-B312-AA13E7FCE9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7" name="Elipse 4396">
          <a:extLst>
            <a:ext uri="{FF2B5EF4-FFF2-40B4-BE49-F238E27FC236}">
              <a16:creationId xmlns:a16="http://schemas.microsoft.com/office/drawing/2014/main" id="{9D6C08E0-2DC9-4129-9A34-94D4C976B9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8" name="Elipse 4397">
          <a:extLst>
            <a:ext uri="{FF2B5EF4-FFF2-40B4-BE49-F238E27FC236}">
              <a16:creationId xmlns:a16="http://schemas.microsoft.com/office/drawing/2014/main" id="{D484A29C-E720-474E-B247-D285AA51EA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399" name="Elipse 4398">
          <a:extLst>
            <a:ext uri="{FF2B5EF4-FFF2-40B4-BE49-F238E27FC236}">
              <a16:creationId xmlns:a16="http://schemas.microsoft.com/office/drawing/2014/main" id="{C8E3758C-545A-4409-8338-AEE0F321B0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0" name="Elipse 4399">
          <a:extLst>
            <a:ext uri="{FF2B5EF4-FFF2-40B4-BE49-F238E27FC236}">
              <a16:creationId xmlns:a16="http://schemas.microsoft.com/office/drawing/2014/main" id="{4FACB759-D710-4967-927A-F0F683CDE1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1" name="Elipse 4400">
          <a:extLst>
            <a:ext uri="{FF2B5EF4-FFF2-40B4-BE49-F238E27FC236}">
              <a16:creationId xmlns:a16="http://schemas.microsoft.com/office/drawing/2014/main" id="{03A9D633-80B0-4D75-AD62-1ABDD1989E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2" name="Elipse 4401">
          <a:extLst>
            <a:ext uri="{FF2B5EF4-FFF2-40B4-BE49-F238E27FC236}">
              <a16:creationId xmlns:a16="http://schemas.microsoft.com/office/drawing/2014/main" id="{0FDF8493-FE86-4969-81FD-39924006FF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3" name="Elipse 4402">
          <a:extLst>
            <a:ext uri="{FF2B5EF4-FFF2-40B4-BE49-F238E27FC236}">
              <a16:creationId xmlns:a16="http://schemas.microsoft.com/office/drawing/2014/main" id="{7C3FC921-09C0-4081-9177-13C2074AD9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4" name="Elipse 4403">
          <a:extLst>
            <a:ext uri="{FF2B5EF4-FFF2-40B4-BE49-F238E27FC236}">
              <a16:creationId xmlns:a16="http://schemas.microsoft.com/office/drawing/2014/main" id="{CCE837CE-76F5-4F68-B244-85FFC2C28E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5" name="Elipse 4404">
          <a:extLst>
            <a:ext uri="{FF2B5EF4-FFF2-40B4-BE49-F238E27FC236}">
              <a16:creationId xmlns:a16="http://schemas.microsoft.com/office/drawing/2014/main" id="{A9985FC6-CAFA-4D29-9E8D-C014B89148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6" name="Elipse 4405">
          <a:extLst>
            <a:ext uri="{FF2B5EF4-FFF2-40B4-BE49-F238E27FC236}">
              <a16:creationId xmlns:a16="http://schemas.microsoft.com/office/drawing/2014/main" id="{FBD6E2DA-8744-4E0A-A583-F7CAD0A253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7" name="Elipse 4406">
          <a:extLst>
            <a:ext uri="{FF2B5EF4-FFF2-40B4-BE49-F238E27FC236}">
              <a16:creationId xmlns:a16="http://schemas.microsoft.com/office/drawing/2014/main" id="{7EED2747-A3B9-4DBA-BB76-43434F7F7B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8" name="Elipse 4407">
          <a:extLst>
            <a:ext uri="{FF2B5EF4-FFF2-40B4-BE49-F238E27FC236}">
              <a16:creationId xmlns:a16="http://schemas.microsoft.com/office/drawing/2014/main" id="{4EAD3B70-105A-4F27-A1D0-599BE1908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09" name="Elipse 4408">
          <a:extLst>
            <a:ext uri="{FF2B5EF4-FFF2-40B4-BE49-F238E27FC236}">
              <a16:creationId xmlns:a16="http://schemas.microsoft.com/office/drawing/2014/main" id="{8C902BDA-B8BC-4E4B-8296-2DEAEDA42E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0" name="Elipse 4409">
          <a:extLst>
            <a:ext uri="{FF2B5EF4-FFF2-40B4-BE49-F238E27FC236}">
              <a16:creationId xmlns:a16="http://schemas.microsoft.com/office/drawing/2014/main" id="{B4C6F8DC-455A-45B3-AFA7-36F0C2B088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1" name="Elipse 4410">
          <a:extLst>
            <a:ext uri="{FF2B5EF4-FFF2-40B4-BE49-F238E27FC236}">
              <a16:creationId xmlns:a16="http://schemas.microsoft.com/office/drawing/2014/main" id="{ADCACAED-BE51-4861-BCE1-67606244AD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2" name="Elipse 4411">
          <a:extLst>
            <a:ext uri="{FF2B5EF4-FFF2-40B4-BE49-F238E27FC236}">
              <a16:creationId xmlns:a16="http://schemas.microsoft.com/office/drawing/2014/main" id="{DD3B6266-79A7-4C3C-8EF1-18C3279601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3" name="Elipse 4412">
          <a:extLst>
            <a:ext uri="{FF2B5EF4-FFF2-40B4-BE49-F238E27FC236}">
              <a16:creationId xmlns:a16="http://schemas.microsoft.com/office/drawing/2014/main" id="{4EB18410-3E7A-4EF4-8BFC-CE6B3FB03C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4" name="Elipse 4413">
          <a:extLst>
            <a:ext uri="{FF2B5EF4-FFF2-40B4-BE49-F238E27FC236}">
              <a16:creationId xmlns:a16="http://schemas.microsoft.com/office/drawing/2014/main" id="{83C8E4DA-B1DE-4325-A2C9-E71BA9AE74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5" name="Elipse 4414">
          <a:extLst>
            <a:ext uri="{FF2B5EF4-FFF2-40B4-BE49-F238E27FC236}">
              <a16:creationId xmlns:a16="http://schemas.microsoft.com/office/drawing/2014/main" id="{4B00C00A-DBAD-4C37-80B6-2A33101EB1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6" name="Elipse 4415">
          <a:extLst>
            <a:ext uri="{FF2B5EF4-FFF2-40B4-BE49-F238E27FC236}">
              <a16:creationId xmlns:a16="http://schemas.microsoft.com/office/drawing/2014/main" id="{127A2165-C5E9-4D47-81FD-FCAF8284FF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7" name="Elipse 4416">
          <a:extLst>
            <a:ext uri="{FF2B5EF4-FFF2-40B4-BE49-F238E27FC236}">
              <a16:creationId xmlns:a16="http://schemas.microsoft.com/office/drawing/2014/main" id="{5A06F91F-BA6B-41A6-A3FD-223835BF0C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8" name="Elipse 4417">
          <a:extLst>
            <a:ext uri="{FF2B5EF4-FFF2-40B4-BE49-F238E27FC236}">
              <a16:creationId xmlns:a16="http://schemas.microsoft.com/office/drawing/2014/main" id="{2D13DBC2-B000-4131-8F10-89625F34E6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19" name="Elipse 4418">
          <a:extLst>
            <a:ext uri="{FF2B5EF4-FFF2-40B4-BE49-F238E27FC236}">
              <a16:creationId xmlns:a16="http://schemas.microsoft.com/office/drawing/2014/main" id="{56D42546-DF2C-4506-9E21-BBF4C9E71D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0" name="Elipse 4419">
          <a:extLst>
            <a:ext uri="{FF2B5EF4-FFF2-40B4-BE49-F238E27FC236}">
              <a16:creationId xmlns:a16="http://schemas.microsoft.com/office/drawing/2014/main" id="{137BE989-ADA9-4984-B585-A4DE03A005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1" name="Elipse 4420">
          <a:extLst>
            <a:ext uri="{FF2B5EF4-FFF2-40B4-BE49-F238E27FC236}">
              <a16:creationId xmlns:a16="http://schemas.microsoft.com/office/drawing/2014/main" id="{5D5EAE52-DB87-45C3-8EE7-55EC09C01B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2" name="Elipse 4421">
          <a:extLst>
            <a:ext uri="{FF2B5EF4-FFF2-40B4-BE49-F238E27FC236}">
              <a16:creationId xmlns:a16="http://schemas.microsoft.com/office/drawing/2014/main" id="{C72041F5-6DCC-4E93-9D5F-738228F0F8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3" name="Elipse 4422">
          <a:extLst>
            <a:ext uri="{FF2B5EF4-FFF2-40B4-BE49-F238E27FC236}">
              <a16:creationId xmlns:a16="http://schemas.microsoft.com/office/drawing/2014/main" id="{FFDC80D5-0AAA-4BFE-A532-D1BE4E2641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4" name="Elipse 4423">
          <a:extLst>
            <a:ext uri="{FF2B5EF4-FFF2-40B4-BE49-F238E27FC236}">
              <a16:creationId xmlns:a16="http://schemas.microsoft.com/office/drawing/2014/main" id="{8123A889-B45D-40D6-9830-EAC81BAFD2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5" name="Elipse 4424">
          <a:extLst>
            <a:ext uri="{FF2B5EF4-FFF2-40B4-BE49-F238E27FC236}">
              <a16:creationId xmlns:a16="http://schemas.microsoft.com/office/drawing/2014/main" id="{54C8BAB3-2D00-4A9A-B5AB-08BCFB4E66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6" name="Elipse 4425">
          <a:extLst>
            <a:ext uri="{FF2B5EF4-FFF2-40B4-BE49-F238E27FC236}">
              <a16:creationId xmlns:a16="http://schemas.microsoft.com/office/drawing/2014/main" id="{45AB9CAE-9C22-4998-A253-F1B0DAFF8C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7" name="Elipse 4426">
          <a:extLst>
            <a:ext uri="{FF2B5EF4-FFF2-40B4-BE49-F238E27FC236}">
              <a16:creationId xmlns:a16="http://schemas.microsoft.com/office/drawing/2014/main" id="{71E0B4E2-D654-405B-9244-F440AA9A2E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8" name="Elipse 4427">
          <a:extLst>
            <a:ext uri="{FF2B5EF4-FFF2-40B4-BE49-F238E27FC236}">
              <a16:creationId xmlns:a16="http://schemas.microsoft.com/office/drawing/2014/main" id="{D72BCF23-1406-489A-9476-DEBFEAC7FE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29" name="Elipse 4428">
          <a:extLst>
            <a:ext uri="{FF2B5EF4-FFF2-40B4-BE49-F238E27FC236}">
              <a16:creationId xmlns:a16="http://schemas.microsoft.com/office/drawing/2014/main" id="{B5CA5451-1CA5-461F-939C-63E9630DB7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0" name="Elipse 4429">
          <a:extLst>
            <a:ext uri="{FF2B5EF4-FFF2-40B4-BE49-F238E27FC236}">
              <a16:creationId xmlns:a16="http://schemas.microsoft.com/office/drawing/2014/main" id="{B0C6DC53-80E1-4611-B714-DC7635AB11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1" name="Elipse 4430">
          <a:extLst>
            <a:ext uri="{FF2B5EF4-FFF2-40B4-BE49-F238E27FC236}">
              <a16:creationId xmlns:a16="http://schemas.microsoft.com/office/drawing/2014/main" id="{52E68732-8EA5-4E08-A239-3C73057029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2" name="Elipse 4431">
          <a:extLst>
            <a:ext uri="{FF2B5EF4-FFF2-40B4-BE49-F238E27FC236}">
              <a16:creationId xmlns:a16="http://schemas.microsoft.com/office/drawing/2014/main" id="{23D2CC7D-59C3-4496-9998-2579105749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3" name="Elipse 4432">
          <a:extLst>
            <a:ext uri="{FF2B5EF4-FFF2-40B4-BE49-F238E27FC236}">
              <a16:creationId xmlns:a16="http://schemas.microsoft.com/office/drawing/2014/main" id="{65F42C7E-CC86-41D6-8EAB-7D394BA892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4" name="Elipse 4433">
          <a:extLst>
            <a:ext uri="{FF2B5EF4-FFF2-40B4-BE49-F238E27FC236}">
              <a16:creationId xmlns:a16="http://schemas.microsoft.com/office/drawing/2014/main" id="{14F96F40-16E0-4F8B-B161-C0A514CCA0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5" name="Elipse 4434">
          <a:extLst>
            <a:ext uri="{FF2B5EF4-FFF2-40B4-BE49-F238E27FC236}">
              <a16:creationId xmlns:a16="http://schemas.microsoft.com/office/drawing/2014/main" id="{970A20C7-19CB-4E4C-88D0-383259D4FE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6" name="Elipse 4435">
          <a:extLst>
            <a:ext uri="{FF2B5EF4-FFF2-40B4-BE49-F238E27FC236}">
              <a16:creationId xmlns:a16="http://schemas.microsoft.com/office/drawing/2014/main" id="{0AA14BD3-566A-47E4-B81A-352163190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7" name="Elipse 4436">
          <a:extLst>
            <a:ext uri="{FF2B5EF4-FFF2-40B4-BE49-F238E27FC236}">
              <a16:creationId xmlns:a16="http://schemas.microsoft.com/office/drawing/2014/main" id="{F1776FAC-5BA2-47A6-8BC7-A2A3D25324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8" name="Elipse 4437">
          <a:extLst>
            <a:ext uri="{FF2B5EF4-FFF2-40B4-BE49-F238E27FC236}">
              <a16:creationId xmlns:a16="http://schemas.microsoft.com/office/drawing/2014/main" id="{ECD08C7D-C6DE-46CD-833D-D1FFB7D75E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39" name="Elipse 4438">
          <a:extLst>
            <a:ext uri="{FF2B5EF4-FFF2-40B4-BE49-F238E27FC236}">
              <a16:creationId xmlns:a16="http://schemas.microsoft.com/office/drawing/2014/main" id="{F7B48214-9155-4630-8DE3-B71DD65484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0" name="Elipse 4439">
          <a:extLst>
            <a:ext uri="{FF2B5EF4-FFF2-40B4-BE49-F238E27FC236}">
              <a16:creationId xmlns:a16="http://schemas.microsoft.com/office/drawing/2014/main" id="{F03A1F0B-BA0E-47FF-AE56-A01885D2EC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1" name="Elipse 4440">
          <a:extLst>
            <a:ext uri="{FF2B5EF4-FFF2-40B4-BE49-F238E27FC236}">
              <a16:creationId xmlns:a16="http://schemas.microsoft.com/office/drawing/2014/main" id="{DC3A6B38-3A72-4589-9CF6-ECB06EC1D4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2" name="Elipse 4441">
          <a:extLst>
            <a:ext uri="{FF2B5EF4-FFF2-40B4-BE49-F238E27FC236}">
              <a16:creationId xmlns:a16="http://schemas.microsoft.com/office/drawing/2014/main" id="{12592481-CC06-4B6E-8EAB-94D67CB688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3" name="Elipse 4442">
          <a:extLst>
            <a:ext uri="{FF2B5EF4-FFF2-40B4-BE49-F238E27FC236}">
              <a16:creationId xmlns:a16="http://schemas.microsoft.com/office/drawing/2014/main" id="{C5EC591B-A7F7-4CDF-BC0A-851087588C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4" name="Elipse 4443">
          <a:extLst>
            <a:ext uri="{FF2B5EF4-FFF2-40B4-BE49-F238E27FC236}">
              <a16:creationId xmlns:a16="http://schemas.microsoft.com/office/drawing/2014/main" id="{F3117F78-BBCE-4A50-9427-5CD7EDBB3D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5" name="Elipse 4444">
          <a:extLst>
            <a:ext uri="{FF2B5EF4-FFF2-40B4-BE49-F238E27FC236}">
              <a16:creationId xmlns:a16="http://schemas.microsoft.com/office/drawing/2014/main" id="{9FAB7C9A-552B-484D-A510-03CFB1F0FD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6" name="Elipse 4445">
          <a:extLst>
            <a:ext uri="{FF2B5EF4-FFF2-40B4-BE49-F238E27FC236}">
              <a16:creationId xmlns:a16="http://schemas.microsoft.com/office/drawing/2014/main" id="{CC7BE7EE-E3E6-416D-B01D-9379AD7BC0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7" name="Elipse 4446">
          <a:extLst>
            <a:ext uri="{FF2B5EF4-FFF2-40B4-BE49-F238E27FC236}">
              <a16:creationId xmlns:a16="http://schemas.microsoft.com/office/drawing/2014/main" id="{AC814DAC-ABB3-4E02-81F8-69873E1F9C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8" name="Elipse 4447">
          <a:extLst>
            <a:ext uri="{FF2B5EF4-FFF2-40B4-BE49-F238E27FC236}">
              <a16:creationId xmlns:a16="http://schemas.microsoft.com/office/drawing/2014/main" id="{ABE43AAA-C8B0-45C2-8014-499C38F917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49" name="Elipse 4448">
          <a:extLst>
            <a:ext uri="{FF2B5EF4-FFF2-40B4-BE49-F238E27FC236}">
              <a16:creationId xmlns:a16="http://schemas.microsoft.com/office/drawing/2014/main" id="{123DBE1F-9A44-47AF-96D3-EEE8A25BE0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0" name="Elipse 4449">
          <a:extLst>
            <a:ext uri="{FF2B5EF4-FFF2-40B4-BE49-F238E27FC236}">
              <a16:creationId xmlns:a16="http://schemas.microsoft.com/office/drawing/2014/main" id="{3EC214CB-D79E-4C27-AF1E-582D3CAAA7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1" name="Elipse 4450">
          <a:extLst>
            <a:ext uri="{FF2B5EF4-FFF2-40B4-BE49-F238E27FC236}">
              <a16:creationId xmlns:a16="http://schemas.microsoft.com/office/drawing/2014/main" id="{84BD915A-2733-4E45-B821-7905063800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2" name="Elipse 4451">
          <a:extLst>
            <a:ext uri="{FF2B5EF4-FFF2-40B4-BE49-F238E27FC236}">
              <a16:creationId xmlns:a16="http://schemas.microsoft.com/office/drawing/2014/main" id="{38A66AC0-5272-4077-937B-27C42A0B64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3" name="Elipse 4452">
          <a:extLst>
            <a:ext uri="{FF2B5EF4-FFF2-40B4-BE49-F238E27FC236}">
              <a16:creationId xmlns:a16="http://schemas.microsoft.com/office/drawing/2014/main" id="{3C31945C-E4D4-4674-B736-4832F62D34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4" name="Elipse 4453">
          <a:extLst>
            <a:ext uri="{FF2B5EF4-FFF2-40B4-BE49-F238E27FC236}">
              <a16:creationId xmlns:a16="http://schemas.microsoft.com/office/drawing/2014/main" id="{A5A677A4-E6E5-4482-86C1-CDADAC8E9A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5" name="Elipse 4454">
          <a:extLst>
            <a:ext uri="{FF2B5EF4-FFF2-40B4-BE49-F238E27FC236}">
              <a16:creationId xmlns:a16="http://schemas.microsoft.com/office/drawing/2014/main" id="{8A0E6E01-2DC6-4B0D-ACB9-0C9C660EAA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6" name="Elipse 4455">
          <a:extLst>
            <a:ext uri="{FF2B5EF4-FFF2-40B4-BE49-F238E27FC236}">
              <a16:creationId xmlns:a16="http://schemas.microsoft.com/office/drawing/2014/main" id="{B6588F03-23EC-4E3C-B910-52FEA43D4B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7" name="Elipse 4456">
          <a:extLst>
            <a:ext uri="{FF2B5EF4-FFF2-40B4-BE49-F238E27FC236}">
              <a16:creationId xmlns:a16="http://schemas.microsoft.com/office/drawing/2014/main" id="{96D9448C-50B0-4AB7-A26F-EE77AA01E2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8" name="Elipse 4457">
          <a:extLst>
            <a:ext uri="{FF2B5EF4-FFF2-40B4-BE49-F238E27FC236}">
              <a16:creationId xmlns:a16="http://schemas.microsoft.com/office/drawing/2014/main" id="{E8F10546-F908-4904-A146-5A0810FEEC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59" name="Elipse 4458">
          <a:extLst>
            <a:ext uri="{FF2B5EF4-FFF2-40B4-BE49-F238E27FC236}">
              <a16:creationId xmlns:a16="http://schemas.microsoft.com/office/drawing/2014/main" id="{4E797FD7-511A-4944-9C7E-61E471667E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0" name="Elipse 4459">
          <a:extLst>
            <a:ext uri="{FF2B5EF4-FFF2-40B4-BE49-F238E27FC236}">
              <a16:creationId xmlns:a16="http://schemas.microsoft.com/office/drawing/2014/main" id="{B150C568-B474-494D-BC2F-E871714DF9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1" name="Elipse 4460">
          <a:extLst>
            <a:ext uri="{FF2B5EF4-FFF2-40B4-BE49-F238E27FC236}">
              <a16:creationId xmlns:a16="http://schemas.microsoft.com/office/drawing/2014/main" id="{131E9647-892F-4B60-982C-D0F2DEC58F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2" name="Elipse 4461">
          <a:extLst>
            <a:ext uri="{FF2B5EF4-FFF2-40B4-BE49-F238E27FC236}">
              <a16:creationId xmlns:a16="http://schemas.microsoft.com/office/drawing/2014/main" id="{DC9E2151-6AE1-49A1-A80B-35AFD4509A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3" name="Elipse 4462">
          <a:extLst>
            <a:ext uri="{FF2B5EF4-FFF2-40B4-BE49-F238E27FC236}">
              <a16:creationId xmlns:a16="http://schemas.microsoft.com/office/drawing/2014/main" id="{D860A314-1846-46A5-96C0-0EB2649509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4" name="Elipse 4463">
          <a:extLst>
            <a:ext uri="{FF2B5EF4-FFF2-40B4-BE49-F238E27FC236}">
              <a16:creationId xmlns:a16="http://schemas.microsoft.com/office/drawing/2014/main" id="{402F8BB2-2C8F-4A54-8FFF-3FFDA6FD1C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5" name="Elipse 4464">
          <a:extLst>
            <a:ext uri="{FF2B5EF4-FFF2-40B4-BE49-F238E27FC236}">
              <a16:creationId xmlns:a16="http://schemas.microsoft.com/office/drawing/2014/main" id="{791ADD99-C6A5-4BF1-8DE3-B4F80458D6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6" name="Elipse 4465">
          <a:extLst>
            <a:ext uri="{FF2B5EF4-FFF2-40B4-BE49-F238E27FC236}">
              <a16:creationId xmlns:a16="http://schemas.microsoft.com/office/drawing/2014/main" id="{510D7661-A123-4AA2-B745-891F53D12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7" name="Elipse 4466">
          <a:extLst>
            <a:ext uri="{FF2B5EF4-FFF2-40B4-BE49-F238E27FC236}">
              <a16:creationId xmlns:a16="http://schemas.microsoft.com/office/drawing/2014/main" id="{DF3EB0BB-6A96-44AE-AE80-73118F4D64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8" name="Elipse 4467">
          <a:extLst>
            <a:ext uri="{FF2B5EF4-FFF2-40B4-BE49-F238E27FC236}">
              <a16:creationId xmlns:a16="http://schemas.microsoft.com/office/drawing/2014/main" id="{A90F9FD6-ED3F-497C-AAF4-C46C26A788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69" name="Elipse 4468">
          <a:extLst>
            <a:ext uri="{FF2B5EF4-FFF2-40B4-BE49-F238E27FC236}">
              <a16:creationId xmlns:a16="http://schemas.microsoft.com/office/drawing/2014/main" id="{A44BEBC2-1DB4-46AD-B0A6-12AFFBA586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0" name="Elipse 4469">
          <a:extLst>
            <a:ext uri="{FF2B5EF4-FFF2-40B4-BE49-F238E27FC236}">
              <a16:creationId xmlns:a16="http://schemas.microsoft.com/office/drawing/2014/main" id="{C729850C-BB42-4021-A34D-E3723DD8E7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1" name="Elipse 4470">
          <a:extLst>
            <a:ext uri="{FF2B5EF4-FFF2-40B4-BE49-F238E27FC236}">
              <a16:creationId xmlns:a16="http://schemas.microsoft.com/office/drawing/2014/main" id="{D1558CE2-E56F-4678-B803-36849D58E8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2" name="Elipse 4471">
          <a:extLst>
            <a:ext uri="{FF2B5EF4-FFF2-40B4-BE49-F238E27FC236}">
              <a16:creationId xmlns:a16="http://schemas.microsoft.com/office/drawing/2014/main" id="{1C6AFBA6-C52C-4A0F-975E-ED2A0491E1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3" name="Elipse 4472">
          <a:extLst>
            <a:ext uri="{FF2B5EF4-FFF2-40B4-BE49-F238E27FC236}">
              <a16:creationId xmlns:a16="http://schemas.microsoft.com/office/drawing/2014/main" id="{3586E274-5EA1-4E95-B67A-73E4B99BCD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4" name="Elipse 4473">
          <a:extLst>
            <a:ext uri="{FF2B5EF4-FFF2-40B4-BE49-F238E27FC236}">
              <a16:creationId xmlns:a16="http://schemas.microsoft.com/office/drawing/2014/main" id="{888FE5E1-F64D-42D7-B9B7-40B3485162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5" name="Elipse 4474">
          <a:extLst>
            <a:ext uri="{FF2B5EF4-FFF2-40B4-BE49-F238E27FC236}">
              <a16:creationId xmlns:a16="http://schemas.microsoft.com/office/drawing/2014/main" id="{C25E486C-9C7E-49D6-8E26-30F81CF9B6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6" name="Elipse 4475">
          <a:extLst>
            <a:ext uri="{FF2B5EF4-FFF2-40B4-BE49-F238E27FC236}">
              <a16:creationId xmlns:a16="http://schemas.microsoft.com/office/drawing/2014/main" id="{C8A0FBFB-99B6-46F3-B93C-28AE58D91D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7" name="Elipse 4476">
          <a:extLst>
            <a:ext uri="{FF2B5EF4-FFF2-40B4-BE49-F238E27FC236}">
              <a16:creationId xmlns:a16="http://schemas.microsoft.com/office/drawing/2014/main" id="{0C58FE49-DFAD-4A0B-B69F-93F44C54D8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8" name="Elipse 4477">
          <a:extLst>
            <a:ext uri="{FF2B5EF4-FFF2-40B4-BE49-F238E27FC236}">
              <a16:creationId xmlns:a16="http://schemas.microsoft.com/office/drawing/2014/main" id="{2D5ACC43-EB23-4171-A88A-FE42FDD459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79" name="Elipse 4478">
          <a:extLst>
            <a:ext uri="{FF2B5EF4-FFF2-40B4-BE49-F238E27FC236}">
              <a16:creationId xmlns:a16="http://schemas.microsoft.com/office/drawing/2014/main" id="{9F71BDB4-A2A7-45CC-83C2-A525791D0A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0" name="Elipse 4479">
          <a:extLst>
            <a:ext uri="{FF2B5EF4-FFF2-40B4-BE49-F238E27FC236}">
              <a16:creationId xmlns:a16="http://schemas.microsoft.com/office/drawing/2014/main" id="{F3D4AF1F-1C66-4585-98E0-6D5CE0ECAB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1" name="Elipse 4480">
          <a:extLst>
            <a:ext uri="{FF2B5EF4-FFF2-40B4-BE49-F238E27FC236}">
              <a16:creationId xmlns:a16="http://schemas.microsoft.com/office/drawing/2014/main" id="{B8C29087-A95B-4665-B44B-BA1C30AB86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2" name="Elipse 4481">
          <a:extLst>
            <a:ext uri="{FF2B5EF4-FFF2-40B4-BE49-F238E27FC236}">
              <a16:creationId xmlns:a16="http://schemas.microsoft.com/office/drawing/2014/main" id="{A3B5C425-4BA3-437A-8468-15EDB472BA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3" name="Elipse 4482">
          <a:extLst>
            <a:ext uri="{FF2B5EF4-FFF2-40B4-BE49-F238E27FC236}">
              <a16:creationId xmlns:a16="http://schemas.microsoft.com/office/drawing/2014/main" id="{D99A806F-1FBC-4C43-86CF-39601F5196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4" name="Elipse 4483">
          <a:extLst>
            <a:ext uri="{FF2B5EF4-FFF2-40B4-BE49-F238E27FC236}">
              <a16:creationId xmlns:a16="http://schemas.microsoft.com/office/drawing/2014/main" id="{18AA9097-DDD6-4F94-B7AF-11A8E10202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5" name="Elipse 4484">
          <a:extLst>
            <a:ext uri="{FF2B5EF4-FFF2-40B4-BE49-F238E27FC236}">
              <a16:creationId xmlns:a16="http://schemas.microsoft.com/office/drawing/2014/main" id="{B4B55CBB-1D0F-41F2-9221-B729B7F66C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6" name="Elipse 4485">
          <a:extLst>
            <a:ext uri="{FF2B5EF4-FFF2-40B4-BE49-F238E27FC236}">
              <a16:creationId xmlns:a16="http://schemas.microsoft.com/office/drawing/2014/main" id="{3F0177AA-EC29-43E0-8715-2AE7EDD6DE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7" name="Elipse 4486">
          <a:extLst>
            <a:ext uri="{FF2B5EF4-FFF2-40B4-BE49-F238E27FC236}">
              <a16:creationId xmlns:a16="http://schemas.microsoft.com/office/drawing/2014/main" id="{79139750-ADC6-49E0-971D-73FD1E7A1F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8" name="Elipse 4487">
          <a:extLst>
            <a:ext uri="{FF2B5EF4-FFF2-40B4-BE49-F238E27FC236}">
              <a16:creationId xmlns:a16="http://schemas.microsoft.com/office/drawing/2014/main" id="{89F8CD11-74D5-4FAB-BB62-63F373B9AD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89" name="Elipse 4488">
          <a:extLst>
            <a:ext uri="{FF2B5EF4-FFF2-40B4-BE49-F238E27FC236}">
              <a16:creationId xmlns:a16="http://schemas.microsoft.com/office/drawing/2014/main" id="{7E3F0745-F784-4F9D-AD78-67A5C988C0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0" name="Elipse 4489">
          <a:extLst>
            <a:ext uri="{FF2B5EF4-FFF2-40B4-BE49-F238E27FC236}">
              <a16:creationId xmlns:a16="http://schemas.microsoft.com/office/drawing/2014/main" id="{4EBF4CF2-F9AC-42BC-B952-A5149B62DC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1" name="Elipse 4490">
          <a:extLst>
            <a:ext uri="{FF2B5EF4-FFF2-40B4-BE49-F238E27FC236}">
              <a16:creationId xmlns:a16="http://schemas.microsoft.com/office/drawing/2014/main" id="{54D1AB8A-E0A3-4709-AF20-FEB4908D7C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2" name="Elipse 4491">
          <a:extLst>
            <a:ext uri="{FF2B5EF4-FFF2-40B4-BE49-F238E27FC236}">
              <a16:creationId xmlns:a16="http://schemas.microsoft.com/office/drawing/2014/main" id="{36715D22-6461-4EC9-9D3F-F5F5594CB7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3" name="Elipse 4492">
          <a:extLst>
            <a:ext uri="{FF2B5EF4-FFF2-40B4-BE49-F238E27FC236}">
              <a16:creationId xmlns:a16="http://schemas.microsoft.com/office/drawing/2014/main" id="{000DBA05-AF41-4C93-A270-3CC2790006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4" name="Elipse 4493">
          <a:extLst>
            <a:ext uri="{FF2B5EF4-FFF2-40B4-BE49-F238E27FC236}">
              <a16:creationId xmlns:a16="http://schemas.microsoft.com/office/drawing/2014/main" id="{D09AD44D-0F59-443B-B384-7AC519ED20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5" name="Elipse 4494">
          <a:extLst>
            <a:ext uri="{FF2B5EF4-FFF2-40B4-BE49-F238E27FC236}">
              <a16:creationId xmlns:a16="http://schemas.microsoft.com/office/drawing/2014/main" id="{09FB57E0-28BE-4EE2-AE40-F0129D02E1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6" name="Elipse 4495">
          <a:extLst>
            <a:ext uri="{FF2B5EF4-FFF2-40B4-BE49-F238E27FC236}">
              <a16:creationId xmlns:a16="http://schemas.microsoft.com/office/drawing/2014/main" id="{6E449F90-5ACF-4727-928E-847575D43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7" name="Elipse 4496">
          <a:extLst>
            <a:ext uri="{FF2B5EF4-FFF2-40B4-BE49-F238E27FC236}">
              <a16:creationId xmlns:a16="http://schemas.microsoft.com/office/drawing/2014/main" id="{80E0B1B1-4106-47B9-A819-27AC605A9A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8" name="Elipse 4497">
          <a:extLst>
            <a:ext uri="{FF2B5EF4-FFF2-40B4-BE49-F238E27FC236}">
              <a16:creationId xmlns:a16="http://schemas.microsoft.com/office/drawing/2014/main" id="{B3039F35-9B5B-41DC-B8FA-75B03C70EB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499" name="Elipse 4498">
          <a:extLst>
            <a:ext uri="{FF2B5EF4-FFF2-40B4-BE49-F238E27FC236}">
              <a16:creationId xmlns:a16="http://schemas.microsoft.com/office/drawing/2014/main" id="{BFA5D692-EA66-453C-8556-7689FDC28C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0" name="Elipse 4499">
          <a:extLst>
            <a:ext uri="{FF2B5EF4-FFF2-40B4-BE49-F238E27FC236}">
              <a16:creationId xmlns:a16="http://schemas.microsoft.com/office/drawing/2014/main" id="{56AD7510-B3FE-436E-BC95-5AE1E07EF2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1" name="Elipse 4500">
          <a:extLst>
            <a:ext uri="{FF2B5EF4-FFF2-40B4-BE49-F238E27FC236}">
              <a16:creationId xmlns:a16="http://schemas.microsoft.com/office/drawing/2014/main" id="{EC61EBF3-7B60-4061-BCA4-C12F608083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2" name="Elipse 4501">
          <a:extLst>
            <a:ext uri="{FF2B5EF4-FFF2-40B4-BE49-F238E27FC236}">
              <a16:creationId xmlns:a16="http://schemas.microsoft.com/office/drawing/2014/main" id="{A67235E9-48E1-43E6-80EA-8C8BB641F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3" name="Elipse 4502">
          <a:extLst>
            <a:ext uri="{FF2B5EF4-FFF2-40B4-BE49-F238E27FC236}">
              <a16:creationId xmlns:a16="http://schemas.microsoft.com/office/drawing/2014/main" id="{D0AC96F9-76FF-4D4C-8434-74ABFB1BBE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4" name="Elipse 4503">
          <a:extLst>
            <a:ext uri="{FF2B5EF4-FFF2-40B4-BE49-F238E27FC236}">
              <a16:creationId xmlns:a16="http://schemas.microsoft.com/office/drawing/2014/main" id="{593157BD-4470-46F1-A65E-573D99DC51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5" name="Elipse 4504">
          <a:extLst>
            <a:ext uri="{FF2B5EF4-FFF2-40B4-BE49-F238E27FC236}">
              <a16:creationId xmlns:a16="http://schemas.microsoft.com/office/drawing/2014/main" id="{66F0E145-8463-4518-BB0A-5C945D389D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6" name="Elipse 4505">
          <a:extLst>
            <a:ext uri="{FF2B5EF4-FFF2-40B4-BE49-F238E27FC236}">
              <a16:creationId xmlns:a16="http://schemas.microsoft.com/office/drawing/2014/main" id="{9E5337DA-676B-404C-9CDF-EF9C5AD352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7" name="Elipse 4506">
          <a:extLst>
            <a:ext uri="{FF2B5EF4-FFF2-40B4-BE49-F238E27FC236}">
              <a16:creationId xmlns:a16="http://schemas.microsoft.com/office/drawing/2014/main" id="{04703EAC-DFB3-4487-B9C1-24ED7308B9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8" name="Elipse 4507">
          <a:extLst>
            <a:ext uri="{FF2B5EF4-FFF2-40B4-BE49-F238E27FC236}">
              <a16:creationId xmlns:a16="http://schemas.microsoft.com/office/drawing/2014/main" id="{62B1B59E-7227-4805-AA04-0E430B8FAD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09" name="Elipse 4508">
          <a:extLst>
            <a:ext uri="{FF2B5EF4-FFF2-40B4-BE49-F238E27FC236}">
              <a16:creationId xmlns:a16="http://schemas.microsoft.com/office/drawing/2014/main" id="{0EC2FDEE-E6D6-441E-80C2-0189D69DAB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0" name="Elipse 4509">
          <a:extLst>
            <a:ext uri="{FF2B5EF4-FFF2-40B4-BE49-F238E27FC236}">
              <a16:creationId xmlns:a16="http://schemas.microsoft.com/office/drawing/2014/main" id="{2611BECE-1C5F-4794-ABB7-2333DF1623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1" name="Elipse 4510">
          <a:extLst>
            <a:ext uri="{FF2B5EF4-FFF2-40B4-BE49-F238E27FC236}">
              <a16:creationId xmlns:a16="http://schemas.microsoft.com/office/drawing/2014/main" id="{22A4D2F2-00A0-4AB9-AD7E-08AAF95769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2" name="Elipse 4511">
          <a:extLst>
            <a:ext uri="{FF2B5EF4-FFF2-40B4-BE49-F238E27FC236}">
              <a16:creationId xmlns:a16="http://schemas.microsoft.com/office/drawing/2014/main" id="{5C0F0A40-80E6-4154-8656-CCE5C2CB9E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3" name="Elipse 4512">
          <a:extLst>
            <a:ext uri="{FF2B5EF4-FFF2-40B4-BE49-F238E27FC236}">
              <a16:creationId xmlns:a16="http://schemas.microsoft.com/office/drawing/2014/main" id="{A8E6D10C-8271-4C11-B4A5-B1E6D6C2E3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4" name="Elipse 4513">
          <a:extLst>
            <a:ext uri="{FF2B5EF4-FFF2-40B4-BE49-F238E27FC236}">
              <a16:creationId xmlns:a16="http://schemas.microsoft.com/office/drawing/2014/main" id="{F861CFB1-6E9A-4CCA-933C-DFE7D32F2B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5" name="Elipse 4514">
          <a:extLst>
            <a:ext uri="{FF2B5EF4-FFF2-40B4-BE49-F238E27FC236}">
              <a16:creationId xmlns:a16="http://schemas.microsoft.com/office/drawing/2014/main" id="{FCC4C672-F1EB-4B6B-AB8B-18E92D1885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6" name="Elipse 4515">
          <a:extLst>
            <a:ext uri="{FF2B5EF4-FFF2-40B4-BE49-F238E27FC236}">
              <a16:creationId xmlns:a16="http://schemas.microsoft.com/office/drawing/2014/main" id="{41AF2B35-5DC4-45E6-A9D9-D0B2D7E3C4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7" name="Elipse 4516">
          <a:extLst>
            <a:ext uri="{FF2B5EF4-FFF2-40B4-BE49-F238E27FC236}">
              <a16:creationId xmlns:a16="http://schemas.microsoft.com/office/drawing/2014/main" id="{B5849477-D72B-4CAC-A20F-281935C0FA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8" name="Elipse 4517">
          <a:extLst>
            <a:ext uri="{FF2B5EF4-FFF2-40B4-BE49-F238E27FC236}">
              <a16:creationId xmlns:a16="http://schemas.microsoft.com/office/drawing/2014/main" id="{A8CD62C4-852F-418D-B1F0-E87CE12F95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19" name="Elipse 4518">
          <a:extLst>
            <a:ext uri="{FF2B5EF4-FFF2-40B4-BE49-F238E27FC236}">
              <a16:creationId xmlns:a16="http://schemas.microsoft.com/office/drawing/2014/main" id="{AE12C26D-309F-4AB6-B20D-E41E5F7CA8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0" name="Elipse 4519">
          <a:extLst>
            <a:ext uri="{FF2B5EF4-FFF2-40B4-BE49-F238E27FC236}">
              <a16:creationId xmlns:a16="http://schemas.microsoft.com/office/drawing/2014/main" id="{4D1F6333-FC53-4F90-ACC0-A5AC5E23BD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1" name="Elipse 4520">
          <a:extLst>
            <a:ext uri="{FF2B5EF4-FFF2-40B4-BE49-F238E27FC236}">
              <a16:creationId xmlns:a16="http://schemas.microsoft.com/office/drawing/2014/main" id="{FB97415E-0513-455B-8F66-AA4E6E4EE8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2" name="Elipse 4521">
          <a:extLst>
            <a:ext uri="{FF2B5EF4-FFF2-40B4-BE49-F238E27FC236}">
              <a16:creationId xmlns:a16="http://schemas.microsoft.com/office/drawing/2014/main" id="{7D610234-2B23-42FF-B964-948F6B3E36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3" name="Elipse 4522">
          <a:extLst>
            <a:ext uri="{FF2B5EF4-FFF2-40B4-BE49-F238E27FC236}">
              <a16:creationId xmlns:a16="http://schemas.microsoft.com/office/drawing/2014/main" id="{2C36A1BD-4A0F-4282-8D4B-3CB354FEBD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4" name="Elipse 4523">
          <a:extLst>
            <a:ext uri="{FF2B5EF4-FFF2-40B4-BE49-F238E27FC236}">
              <a16:creationId xmlns:a16="http://schemas.microsoft.com/office/drawing/2014/main" id="{D7BA347C-A521-48B3-A697-2C54712959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5" name="Elipse 4524">
          <a:extLst>
            <a:ext uri="{FF2B5EF4-FFF2-40B4-BE49-F238E27FC236}">
              <a16:creationId xmlns:a16="http://schemas.microsoft.com/office/drawing/2014/main" id="{CD7C6A07-03A3-4013-B365-E4182A76BF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6" name="Elipse 4525">
          <a:extLst>
            <a:ext uri="{FF2B5EF4-FFF2-40B4-BE49-F238E27FC236}">
              <a16:creationId xmlns:a16="http://schemas.microsoft.com/office/drawing/2014/main" id="{503CB756-44C8-45D3-89DF-2DCC9EC987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7" name="Elipse 4526">
          <a:extLst>
            <a:ext uri="{FF2B5EF4-FFF2-40B4-BE49-F238E27FC236}">
              <a16:creationId xmlns:a16="http://schemas.microsoft.com/office/drawing/2014/main" id="{49843297-88C9-490E-A299-E91B4C3132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8" name="Elipse 4527">
          <a:extLst>
            <a:ext uri="{FF2B5EF4-FFF2-40B4-BE49-F238E27FC236}">
              <a16:creationId xmlns:a16="http://schemas.microsoft.com/office/drawing/2014/main" id="{CBCB7BE7-32D4-4436-9354-2A6E15E475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29" name="Elipse 4528">
          <a:extLst>
            <a:ext uri="{FF2B5EF4-FFF2-40B4-BE49-F238E27FC236}">
              <a16:creationId xmlns:a16="http://schemas.microsoft.com/office/drawing/2014/main" id="{F51D763C-A7CF-4D94-9B25-8A5D44E8F6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0" name="Elipse 4529">
          <a:extLst>
            <a:ext uri="{FF2B5EF4-FFF2-40B4-BE49-F238E27FC236}">
              <a16:creationId xmlns:a16="http://schemas.microsoft.com/office/drawing/2014/main" id="{1DAF1E0A-7EAF-46FF-B6B3-7A70CDDDC5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1" name="Elipse 4530">
          <a:extLst>
            <a:ext uri="{FF2B5EF4-FFF2-40B4-BE49-F238E27FC236}">
              <a16:creationId xmlns:a16="http://schemas.microsoft.com/office/drawing/2014/main" id="{B35BD565-365E-44B7-A35B-D45D047FC1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2" name="Elipse 4531">
          <a:extLst>
            <a:ext uri="{FF2B5EF4-FFF2-40B4-BE49-F238E27FC236}">
              <a16:creationId xmlns:a16="http://schemas.microsoft.com/office/drawing/2014/main" id="{B8013362-DD57-4C3B-9B0C-B756D02EAC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3" name="Elipse 4532">
          <a:extLst>
            <a:ext uri="{FF2B5EF4-FFF2-40B4-BE49-F238E27FC236}">
              <a16:creationId xmlns:a16="http://schemas.microsoft.com/office/drawing/2014/main" id="{46FA87EA-D554-4B6C-95B9-84B4193AD8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4" name="Elipse 4533">
          <a:extLst>
            <a:ext uri="{FF2B5EF4-FFF2-40B4-BE49-F238E27FC236}">
              <a16:creationId xmlns:a16="http://schemas.microsoft.com/office/drawing/2014/main" id="{29972F65-1168-4D11-8D12-0AB5B8F4FC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5" name="Elipse 4534">
          <a:extLst>
            <a:ext uri="{FF2B5EF4-FFF2-40B4-BE49-F238E27FC236}">
              <a16:creationId xmlns:a16="http://schemas.microsoft.com/office/drawing/2014/main" id="{9E36CEA7-4090-4D09-AA07-42FF5D671C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6" name="Elipse 4535">
          <a:extLst>
            <a:ext uri="{FF2B5EF4-FFF2-40B4-BE49-F238E27FC236}">
              <a16:creationId xmlns:a16="http://schemas.microsoft.com/office/drawing/2014/main" id="{62EAA542-B888-49FB-81AA-8F144854B2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7" name="Elipse 4536">
          <a:extLst>
            <a:ext uri="{FF2B5EF4-FFF2-40B4-BE49-F238E27FC236}">
              <a16:creationId xmlns:a16="http://schemas.microsoft.com/office/drawing/2014/main" id="{7BB84D6B-679C-46DE-8A76-E311337F08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8" name="Elipse 4537">
          <a:extLst>
            <a:ext uri="{FF2B5EF4-FFF2-40B4-BE49-F238E27FC236}">
              <a16:creationId xmlns:a16="http://schemas.microsoft.com/office/drawing/2014/main" id="{2B11E483-467F-4198-BB91-5647B5BC2C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39" name="Elipse 4538">
          <a:extLst>
            <a:ext uri="{FF2B5EF4-FFF2-40B4-BE49-F238E27FC236}">
              <a16:creationId xmlns:a16="http://schemas.microsoft.com/office/drawing/2014/main" id="{F7E5765C-F0AB-4B9D-BB61-46271B3213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0" name="Elipse 4539">
          <a:extLst>
            <a:ext uri="{FF2B5EF4-FFF2-40B4-BE49-F238E27FC236}">
              <a16:creationId xmlns:a16="http://schemas.microsoft.com/office/drawing/2014/main" id="{42AA4737-E049-4DC0-AD7C-F03AFE0CCA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1" name="Elipse 4540">
          <a:extLst>
            <a:ext uri="{FF2B5EF4-FFF2-40B4-BE49-F238E27FC236}">
              <a16:creationId xmlns:a16="http://schemas.microsoft.com/office/drawing/2014/main" id="{F6E4CFAF-DAD3-4075-86D8-DE5E53AD6F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2" name="Elipse 4541">
          <a:extLst>
            <a:ext uri="{FF2B5EF4-FFF2-40B4-BE49-F238E27FC236}">
              <a16:creationId xmlns:a16="http://schemas.microsoft.com/office/drawing/2014/main" id="{6887ABE0-1E98-4682-8248-ABBB8FF46D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3" name="Elipse 4542">
          <a:extLst>
            <a:ext uri="{FF2B5EF4-FFF2-40B4-BE49-F238E27FC236}">
              <a16:creationId xmlns:a16="http://schemas.microsoft.com/office/drawing/2014/main" id="{D85777D5-F1D6-43CA-9D1F-34F9C2741D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4" name="Elipse 4543">
          <a:extLst>
            <a:ext uri="{FF2B5EF4-FFF2-40B4-BE49-F238E27FC236}">
              <a16:creationId xmlns:a16="http://schemas.microsoft.com/office/drawing/2014/main" id="{770C3AA5-D1FC-4682-8DC3-279640ADA9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5" name="Elipse 4544">
          <a:extLst>
            <a:ext uri="{FF2B5EF4-FFF2-40B4-BE49-F238E27FC236}">
              <a16:creationId xmlns:a16="http://schemas.microsoft.com/office/drawing/2014/main" id="{8C5AA4C5-2281-429B-AF01-9D91C59A2D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6" name="Elipse 4545">
          <a:extLst>
            <a:ext uri="{FF2B5EF4-FFF2-40B4-BE49-F238E27FC236}">
              <a16:creationId xmlns:a16="http://schemas.microsoft.com/office/drawing/2014/main" id="{275195F5-3BB4-4A4B-9701-1D5536DAD1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7" name="Elipse 4546">
          <a:extLst>
            <a:ext uri="{FF2B5EF4-FFF2-40B4-BE49-F238E27FC236}">
              <a16:creationId xmlns:a16="http://schemas.microsoft.com/office/drawing/2014/main" id="{E26BF7A7-CC40-4EE9-92E4-A969200576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8" name="Elipse 4547">
          <a:extLst>
            <a:ext uri="{FF2B5EF4-FFF2-40B4-BE49-F238E27FC236}">
              <a16:creationId xmlns:a16="http://schemas.microsoft.com/office/drawing/2014/main" id="{51E30A00-77BE-4098-B8CD-BABFF9A414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49" name="Elipse 4548">
          <a:extLst>
            <a:ext uri="{FF2B5EF4-FFF2-40B4-BE49-F238E27FC236}">
              <a16:creationId xmlns:a16="http://schemas.microsoft.com/office/drawing/2014/main" id="{FB30630A-2F63-4531-AD47-7F23D48374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0" name="Elipse 4549">
          <a:extLst>
            <a:ext uri="{FF2B5EF4-FFF2-40B4-BE49-F238E27FC236}">
              <a16:creationId xmlns:a16="http://schemas.microsoft.com/office/drawing/2014/main" id="{56BAC87B-A15C-4EB1-901B-3A11DDE54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1" name="Elipse 4550">
          <a:extLst>
            <a:ext uri="{FF2B5EF4-FFF2-40B4-BE49-F238E27FC236}">
              <a16:creationId xmlns:a16="http://schemas.microsoft.com/office/drawing/2014/main" id="{6BCF112A-201D-42B7-9649-C737A1ACE2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2" name="Elipse 4551">
          <a:extLst>
            <a:ext uri="{FF2B5EF4-FFF2-40B4-BE49-F238E27FC236}">
              <a16:creationId xmlns:a16="http://schemas.microsoft.com/office/drawing/2014/main" id="{32BCE35A-8FA7-425D-962C-8440320BF4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3" name="Elipse 4552">
          <a:extLst>
            <a:ext uri="{FF2B5EF4-FFF2-40B4-BE49-F238E27FC236}">
              <a16:creationId xmlns:a16="http://schemas.microsoft.com/office/drawing/2014/main" id="{62D7F817-CFA5-43F2-9DB0-32DDB29AAD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4" name="Elipse 4553">
          <a:extLst>
            <a:ext uri="{FF2B5EF4-FFF2-40B4-BE49-F238E27FC236}">
              <a16:creationId xmlns:a16="http://schemas.microsoft.com/office/drawing/2014/main" id="{145771AF-DB1C-4BE6-99AC-B08EC6C373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5" name="Elipse 4554">
          <a:extLst>
            <a:ext uri="{FF2B5EF4-FFF2-40B4-BE49-F238E27FC236}">
              <a16:creationId xmlns:a16="http://schemas.microsoft.com/office/drawing/2014/main" id="{FFB8DFDB-B823-49BA-AFA0-2818935D38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6" name="Elipse 4555">
          <a:extLst>
            <a:ext uri="{FF2B5EF4-FFF2-40B4-BE49-F238E27FC236}">
              <a16:creationId xmlns:a16="http://schemas.microsoft.com/office/drawing/2014/main" id="{C67B4AE6-E708-41EE-B0A2-424A0FB6D6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7" name="Elipse 4556">
          <a:extLst>
            <a:ext uri="{FF2B5EF4-FFF2-40B4-BE49-F238E27FC236}">
              <a16:creationId xmlns:a16="http://schemas.microsoft.com/office/drawing/2014/main" id="{A5904DF4-4CD1-4529-8CC2-EF8696F81A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8" name="Elipse 4557">
          <a:extLst>
            <a:ext uri="{FF2B5EF4-FFF2-40B4-BE49-F238E27FC236}">
              <a16:creationId xmlns:a16="http://schemas.microsoft.com/office/drawing/2014/main" id="{730FF9B3-3B9D-429D-8E7D-D65A201B84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59" name="Elipse 4558">
          <a:extLst>
            <a:ext uri="{FF2B5EF4-FFF2-40B4-BE49-F238E27FC236}">
              <a16:creationId xmlns:a16="http://schemas.microsoft.com/office/drawing/2014/main" id="{BE7ADDE1-0C69-45F5-9992-512BAC2146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0" name="Elipse 4559">
          <a:extLst>
            <a:ext uri="{FF2B5EF4-FFF2-40B4-BE49-F238E27FC236}">
              <a16:creationId xmlns:a16="http://schemas.microsoft.com/office/drawing/2014/main" id="{CFAC58E1-F354-4AD4-AF3A-FD821BA95A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1" name="Elipse 4560">
          <a:extLst>
            <a:ext uri="{FF2B5EF4-FFF2-40B4-BE49-F238E27FC236}">
              <a16:creationId xmlns:a16="http://schemas.microsoft.com/office/drawing/2014/main" id="{8BEA7EEF-02CA-405A-B214-2EE444A7C0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2" name="Elipse 4561">
          <a:extLst>
            <a:ext uri="{FF2B5EF4-FFF2-40B4-BE49-F238E27FC236}">
              <a16:creationId xmlns:a16="http://schemas.microsoft.com/office/drawing/2014/main" id="{EF400087-2205-4BFC-99D3-4CA82A33D5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3" name="Elipse 4562">
          <a:extLst>
            <a:ext uri="{FF2B5EF4-FFF2-40B4-BE49-F238E27FC236}">
              <a16:creationId xmlns:a16="http://schemas.microsoft.com/office/drawing/2014/main" id="{0E6895BE-E33C-4794-88DA-BCE4B7EB77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4" name="Elipse 4563">
          <a:extLst>
            <a:ext uri="{FF2B5EF4-FFF2-40B4-BE49-F238E27FC236}">
              <a16:creationId xmlns:a16="http://schemas.microsoft.com/office/drawing/2014/main" id="{FDB2F2A4-537D-4054-8F5E-CD7D06AFCB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5" name="Elipse 4564">
          <a:extLst>
            <a:ext uri="{FF2B5EF4-FFF2-40B4-BE49-F238E27FC236}">
              <a16:creationId xmlns:a16="http://schemas.microsoft.com/office/drawing/2014/main" id="{1AAE3F2B-5C5C-4868-B81D-9EBB94CB1F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6" name="Elipse 4565">
          <a:extLst>
            <a:ext uri="{FF2B5EF4-FFF2-40B4-BE49-F238E27FC236}">
              <a16:creationId xmlns:a16="http://schemas.microsoft.com/office/drawing/2014/main" id="{8BA6F5F0-6415-4F34-9A0D-A54712942F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7" name="Elipse 4566">
          <a:extLst>
            <a:ext uri="{FF2B5EF4-FFF2-40B4-BE49-F238E27FC236}">
              <a16:creationId xmlns:a16="http://schemas.microsoft.com/office/drawing/2014/main" id="{D223BBCB-E509-4C93-B6AF-E62D88B4FA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8" name="Elipse 4567">
          <a:extLst>
            <a:ext uri="{FF2B5EF4-FFF2-40B4-BE49-F238E27FC236}">
              <a16:creationId xmlns:a16="http://schemas.microsoft.com/office/drawing/2014/main" id="{87FF65B9-54AE-4F08-A5FF-A8F3AA2A61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69" name="Elipse 4568">
          <a:extLst>
            <a:ext uri="{FF2B5EF4-FFF2-40B4-BE49-F238E27FC236}">
              <a16:creationId xmlns:a16="http://schemas.microsoft.com/office/drawing/2014/main" id="{09297531-52FC-4E29-A7B0-224730BB3A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0" name="Elipse 4569">
          <a:extLst>
            <a:ext uri="{FF2B5EF4-FFF2-40B4-BE49-F238E27FC236}">
              <a16:creationId xmlns:a16="http://schemas.microsoft.com/office/drawing/2014/main" id="{4E7A3FED-34A6-45DB-8656-177344E245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1" name="Elipse 4570">
          <a:extLst>
            <a:ext uri="{FF2B5EF4-FFF2-40B4-BE49-F238E27FC236}">
              <a16:creationId xmlns:a16="http://schemas.microsoft.com/office/drawing/2014/main" id="{300DC749-6849-4D79-A8BB-3D4537C23D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2" name="Elipse 4571">
          <a:extLst>
            <a:ext uri="{FF2B5EF4-FFF2-40B4-BE49-F238E27FC236}">
              <a16:creationId xmlns:a16="http://schemas.microsoft.com/office/drawing/2014/main" id="{0ED087E7-252B-4272-8C29-1CEE8D0AF1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3" name="Elipse 4572">
          <a:extLst>
            <a:ext uri="{FF2B5EF4-FFF2-40B4-BE49-F238E27FC236}">
              <a16:creationId xmlns:a16="http://schemas.microsoft.com/office/drawing/2014/main" id="{7DCF5DE9-1DB9-46A5-A712-BCCAB98748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4" name="Elipse 4573">
          <a:extLst>
            <a:ext uri="{FF2B5EF4-FFF2-40B4-BE49-F238E27FC236}">
              <a16:creationId xmlns:a16="http://schemas.microsoft.com/office/drawing/2014/main" id="{56668B1C-6336-4CF7-9344-3F9174183F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5" name="Elipse 4574">
          <a:extLst>
            <a:ext uri="{FF2B5EF4-FFF2-40B4-BE49-F238E27FC236}">
              <a16:creationId xmlns:a16="http://schemas.microsoft.com/office/drawing/2014/main" id="{4F51CAA9-714B-4D05-ADF5-83C230F438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6" name="Elipse 4575">
          <a:extLst>
            <a:ext uri="{FF2B5EF4-FFF2-40B4-BE49-F238E27FC236}">
              <a16:creationId xmlns:a16="http://schemas.microsoft.com/office/drawing/2014/main" id="{EB6DF422-615E-4A1B-82A4-69B30C311B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7" name="Elipse 4576">
          <a:extLst>
            <a:ext uri="{FF2B5EF4-FFF2-40B4-BE49-F238E27FC236}">
              <a16:creationId xmlns:a16="http://schemas.microsoft.com/office/drawing/2014/main" id="{56671833-6632-4CCF-B60E-C9A665F4D4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8" name="Elipse 4577">
          <a:extLst>
            <a:ext uri="{FF2B5EF4-FFF2-40B4-BE49-F238E27FC236}">
              <a16:creationId xmlns:a16="http://schemas.microsoft.com/office/drawing/2014/main" id="{2AB20C76-866E-4770-B5A3-9C8F170B61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79" name="Elipse 4578">
          <a:extLst>
            <a:ext uri="{FF2B5EF4-FFF2-40B4-BE49-F238E27FC236}">
              <a16:creationId xmlns:a16="http://schemas.microsoft.com/office/drawing/2014/main" id="{FBBCC343-4C20-4D24-863B-D36B45FFA6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0" name="Elipse 4579">
          <a:extLst>
            <a:ext uri="{FF2B5EF4-FFF2-40B4-BE49-F238E27FC236}">
              <a16:creationId xmlns:a16="http://schemas.microsoft.com/office/drawing/2014/main" id="{347B99F9-D113-450C-9947-A842EE0109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1" name="Elipse 4580">
          <a:extLst>
            <a:ext uri="{FF2B5EF4-FFF2-40B4-BE49-F238E27FC236}">
              <a16:creationId xmlns:a16="http://schemas.microsoft.com/office/drawing/2014/main" id="{E9571655-689E-4E09-B2C9-2491CE12C3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2" name="Elipse 4581">
          <a:extLst>
            <a:ext uri="{FF2B5EF4-FFF2-40B4-BE49-F238E27FC236}">
              <a16:creationId xmlns:a16="http://schemas.microsoft.com/office/drawing/2014/main" id="{2EEDC6A5-9660-4060-A7E3-EA68A812BB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3" name="Elipse 4582">
          <a:extLst>
            <a:ext uri="{FF2B5EF4-FFF2-40B4-BE49-F238E27FC236}">
              <a16:creationId xmlns:a16="http://schemas.microsoft.com/office/drawing/2014/main" id="{0B35B2D7-A7E1-4AA9-9853-3B99151553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4" name="Elipse 4583">
          <a:extLst>
            <a:ext uri="{FF2B5EF4-FFF2-40B4-BE49-F238E27FC236}">
              <a16:creationId xmlns:a16="http://schemas.microsoft.com/office/drawing/2014/main" id="{5C272C88-A0E8-4D49-9C2C-C0608EBE61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5" name="Elipse 4584">
          <a:extLst>
            <a:ext uri="{FF2B5EF4-FFF2-40B4-BE49-F238E27FC236}">
              <a16:creationId xmlns:a16="http://schemas.microsoft.com/office/drawing/2014/main" id="{D08D1746-6991-4D20-B7F6-60A362DBE8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6" name="Elipse 4585">
          <a:extLst>
            <a:ext uri="{FF2B5EF4-FFF2-40B4-BE49-F238E27FC236}">
              <a16:creationId xmlns:a16="http://schemas.microsoft.com/office/drawing/2014/main" id="{4ABF3D28-185E-4EAD-8FB9-CCB8EBF43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7" name="Elipse 4586">
          <a:extLst>
            <a:ext uri="{FF2B5EF4-FFF2-40B4-BE49-F238E27FC236}">
              <a16:creationId xmlns:a16="http://schemas.microsoft.com/office/drawing/2014/main" id="{41081F0D-A042-44E6-8307-8715DEBED0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8" name="Elipse 4587">
          <a:extLst>
            <a:ext uri="{FF2B5EF4-FFF2-40B4-BE49-F238E27FC236}">
              <a16:creationId xmlns:a16="http://schemas.microsoft.com/office/drawing/2014/main" id="{2E3A2A41-DEAD-46C3-AEBD-3AF4453C77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89" name="Elipse 4588">
          <a:extLst>
            <a:ext uri="{FF2B5EF4-FFF2-40B4-BE49-F238E27FC236}">
              <a16:creationId xmlns:a16="http://schemas.microsoft.com/office/drawing/2014/main" id="{07B46D4B-1068-4974-ADB9-0781987E8B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0" name="Elipse 4589">
          <a:extLst>
            <a:ext uri="{FF2B5EF4-FFF2-40B4-BE49-F238E27FC236}">
              <a16:creationId xmlns:a16="http://schemas.microsoft.com/office/drawing/2014/main" id="{5EE66697-B0F4-4C71-B101-81969DAB8D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1" name="Elipse 4590">
          <a:extLst>
            <a:ext uri="{FF2B5EF4-FFF2-40B4-BE49-F238E27FC236}">
              <a16:creationId xmlns:a16="http://schemas.microsoft.com/office/drawing/2014/main" id="{CA60D465-A67F-4957-ADB2-07E2499B86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2" name="Elipse 4591">
          <a:extLst>
            <a:ext uri="{FF2B5EF4-FFF2-40B4-BE49-F238E27FC236}">
              <a16:creationId xmlns:a16="http://schemas.microsoft.com/office/drawing/2014/main" id="{84F35311-E8B2-46AD-ACCC-C282B26EED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3" name="Elipse 4592">
          <a:extLst>
            <a:ext uri="{FF2B5EF4-FFF2-40B4-BE49-F238E27FC236}">
              <a16:creationId xmlns:a16="http://schemas.microsoft.com/office/drawing/2014/main" id="{A5B1ABD0-E138-4CBA-B995-09ED8E7C87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4" name="Elipse 4593">
          <a:extLst>
            <a:ext uri="{FF2B5EF4-FFF2-40B4-BE49-F238E27FC236}">
              <a16:creationId xmlns:a16="http://schemas.microsoft.com/office/drawing/2014/main" id="{2BA97E33-8153-4D8F-B5BC-15943A27F6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5" name="Elipse 4594">
          <a:extLst>
            <a:ext uri="{FF2B5EF4-FFF2-40B4-BE49-F238E27FC236}">
              <a16:creationId xmlns:a16="http://schemas.microsoft.com/office/drawing/2014/main" id="{E354E33A-7EFB-489A-9A29-D938A3C218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6" name="Elipse 4595">
          <a:extLst>
            <a:ext uri="{FF2B5EF4-FFF2-40B4-BE49-F238E27FC236}">
              <a16:creationId xmlns:a16="http://schemas.microsoft.com/office/drawing/2014/main" id="{86A051E1-18DF-4B91-A8F7-CE35EFF0E9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7" name="Elipse 4596">
          <a:extLst>
            <a:ext uri="{FF2B5EF4-FFF2-40B4-BE49-F238E27FC236}">
              <a16:creationId xmlns:a16="http://schemas.microsoft.com/office/drawing/2014/main" id="{9C6BE9D8-060F-4792-AE67-6F6C90385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8" name="Elipse 4597">
          <a:extLst>
            <a:ext uri="{FF2B5EF4-FFF2-40B4-BE49-F238E27FC236}">
              <a16:creationId xmlns:a16="http://schemas.microsoft.com/office/drawing/2014/main" id="{F1DF8F33-A9FC-477E-A6B1-E93B8850EB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599" name="Elipse 4598">
          <a:extLst>
            <a:ext uri="{FF2B5EF4-FFF2-40B4-BE49-F238E27FC236}">
              <a16:creationId xmlns:a16="http://schemas.microsoft.com/office/drawing/2014/main" id="{439CA7F9-1AD2-4C48-9AFB-97F62D7990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0" name="Elipse 4599">
          <a:extLst>
            <a:ext uri="{FF2B5EF4-FFF2-40B4-BE49-F238E27FC236}">
              <a16:creationId xmlns:a16="http://schemas.microsoft.com/office/drawing/2014/main" id="{1BAFA4BB-F51B-4FEC-8F4F-586EA863E5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1" name="Elipse 4600">
          <a:extLst>
            <a:ext uri="{FF2B5EF4-FFF2-40B4-BE49-F238E27FC236}">
              <a16:creationId xmlns:a16="http://schemas.microsoft.com/office/drawing/2014/main" id="{1760BB90-0F56-476A-9612-954C5512C6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2" name="Elipse 4601">
          <a:extLst>
            <a:ext uri="{FF2B5EF4-FFF2-40B4-BE49-F238E27FC236}">
              <a16:creationId xmlns:a16="http://schemas.microsoft.com/office/drawing/2014/main" id="{8EBC2BFF-5998-4EA3-93A6-B49324C583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3" name="Elipse 4602">
          <a:extLst>
            <a:ext uri="{FF2B5EF4-FFF2-40B4-BE49-F238E27FC236}">
              <a16:creationId xmlns:a16="http://schemas.microsoft.com/office/drawing/2014/main" id="{11DD52D2-2E1A-40F1-88E9-762AA785D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4" name="Elipse 4603">
          <a:extLst>
            <a:ext uri="{FF2B5EF4-FFF2-40B4-BE49-F238E27FC236}">
              <a16:creationId xmlns:a16="http://schemas.microsoft.com/office/drawing/2014/main" id="{DEDBEBF8-FC89-4096-BFA5-8CAD8743F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5" name="Elipse 4604">
          <a:extLst>
            <a:ext uri="{FF2B5EF4-FFF2-40B4-BE49-F238E27FC236}">
              <a16:creationId xmlns:a16="http://schemas.microsoft.com/office/drawing/2014/main" id="{FF080D7D-884B-4573-A12A-BF8D573C14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6" name="Elipse 4605">
          <a:extLst>
            <a:ext uri="{FF2B5EF4-FFF2-40B4-BE49-F238E27FC236}">
              <a16:creationId xmlns:a16="http://schemas.microsoft.com/office/drawing/2014/main" id="{B00A06BD-4BB4-4C54-8D5E-5A007DA18D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7" name="Elipse 4606">
          <a:extLst>
            <a:ext uri="{FF2B5EF4-FFF2-40B4-BE49-F238E27FC236}">
              <a16:creationId xmlns:a16="http://schemas.microsoft.com/office/drawing/2014/main" id="{CF36E06D-C0EA-4888-82CA-AB726FBA6F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8" name="Elipse 4607">
          <a:extLst>
            <a:ext uri="{FF2B5EF4-FFF2-40B4-BE49-F238E27FC236}">
              <a16:creationId xmlns:a16="http://schemas.microsoft.com/office/drawing/2014/main" id="{7BC5AFED-EC1B-4E37-A77B-8A9F66EAD8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09" name="Elipse 4608">
          <a:extLst>
            <a:ext uri="{FF2B5EF4-FFF2-40B4-BE49-F238E27FC236}">
              <a16:creationId xmlns:a16="http://schemas.microsoft.com/office/drawing/2014/main" id="{B5F43850-2D97-4477-8614-18A701FC83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0" name="Elipse 4609">
          <a:extLst>
            <a:ext uri="{FF2B5EF4-FFF2-40B4-BE49-F238E27FC236}">
              <a16:creationId xmlns:a16="http://schemas.microsoft.com/office/drawing/2014/main" id="{F3FCF3C6-1354-4921-AC40-F8A14C535A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1" name="Elipse 4610">
          <a:extLst>
            <a:ext uri="{FF2B5EF4-FFF2-40B4-BE49-F238E27FC236}">
              <a16:creationId xmlns:a16="http://schemas.microsoft.com/office/drawing/2014/main" id="{73ACA907-4D1A-41EC-8D13-636EB7A85D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2" name="Elipse 4611">
          <a:extLst>
            <a:ext uri="{FF2B5EF4-FFF2-40B4-BE49-F238E27FC236}">
              <a16:creationId xmlns:a16="http://schemas.microsoft.com/office/drawing/2014/main" id="{66930ACD-8CE0-4772-8EE0-F9ECFB2840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3" name="Elipse 4612">
          <a:extLst>
            <a:ext uri="{FF2B5EF4-FFF2-40B4-BE49-F238E27FC236}">
              <a16:creationId xmlns:a16="http://schemas.microsoft.com/office/drawing/2014/main" id="{0F436EA9-1256-4EE0-BF83-A6D8B61B03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4" name="Elipse 4613">
          <a:extLst>
            <a:ext uri="{FF2B5EF4-FFF2-40B4-BE49-F238E27FC236}">
              <a16:creationId xmlns:a16="http://schemas.microsoft.com/office/drawing/2014/main" id="{8A6211B0-6233-434D-B282-1C3FD88205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5" name="Elipse 4614">
          <a:extLst>
            <a:ext uri="{FF2B5EF4-FFF2-40B4-BE49-F238E27FC236}">
              <a16:creationId xmlns:a16="http://schemas.microsoft.com/office/drawing/2014/main" id="{EE50B3CF-EB15-4862-B8FC-D6E6F075AB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6" name="Elipse 4615">
          <a:extLst>
            <a:ext uri="{FF2B5EF4-FFF2-40B4-BE49-F238E27FC236}">
              <a16:creationId xmlns:a16="http://schemas.microsoft.com/office/drawing/2014/main" id="{F720B8CD-EC6D-4986-A15B-A66F70C443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7" name="Elipse 4616">
          <a:extLst>
            <a:ext uri="{FF2B5EF4-FFF2-40B4-BE49-F238E27FC236}">
              <a16:creationId xmlns:a16="http://schemas.microsoft.com/office/drawing/2014/main" id="{AEC36086-71CD-4E3F-9C97-B269CC95F6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8" name="Elipse 4617">
          <a:extLst>
            <a:ext uri="{FF2B5EF4-FFF2-40B4-BE49-F238E27FC236}">
              <a16:creationId xmlns:a16="http://schemas.microsoft.com/office/drawing/2014/main" id="{C2DF0430-1044-467F-9280-EB0BF8896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19" name="Elipse 4618">
          <a:extLst>
            <a:ext uri="{FF2B5EF4-FFF2-40B4-BE49-F238E27FC236}">
              <a16:creationId xmlns:a16="http://schemas.microsoft.com/office/drawing/2014/main" id="{500847EF-CAB9-4BC3-9ABF-ECF0A851A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0" name="Elipse 4619">
          <a:extLst>
            <a:ext uri="{FF2B5EF4-FFF2-40B4-BE49-F238E27FC236}">
              <a16:creationId xmlns:a16="http://schemas.microsoft.com/office/drawing/2014/main" id="{D29B3FB7-DE11-4F5F-B79B-BC7F776651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1" name="Elipse 4620">
          <a:extLst>
            <a:ext uri="{FF2B5EF4-FFF2-40B4-BE49-F238E27FC236}">
              <a16:creationId xmlns:a16="http://schemas.microsoft.com/office/drawing/2014/main" id="{713420F9-3B96-4D5E-B813-4A93DD3067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2" name="Elipse 4621">
          <a:extLst>
            <a:ext uri="{FF2B5EF4-FFF2-40B4-BE49-F238E27FC236}">
              <a16:creationId xmlns:a16="http://schemas.microsoft.com/office/drawing/2014/main" id="{A39C1D7E-9D7A-41BA-BC77-48E9D69363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3" name="Elipse 4622">
          <a:extLst>
            <a:ext uri="{FF2B5EF4-FFF2-40B4-BE49-F238E27FC236}">
              <a16:creationId xmlns:a16="http://schemas.microsoft.com/office/drawing/2014/main" id="{7EA7FE26-1CAD-435F-AB82-3094EE073D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4" name="Elipse 4623">
          <a:extLst>
            <a:ext uri="{FF2B5EF4-FFF2-40B4-BE49-F238E27FC236}">
              <a16:creationId xmlns:a16="http://schemas.microsoft.com/office/drawing/2014/main" id="{0D24FEE7-F1DA-425D-9544-B8168E17A7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5" name="Elipse 4624">
          <a:extLst>
            <a:ext uri="{FF2B5EF4-FFF2-40B4-BE49-F238E27FC236}">
              <a16:creationId xmlns:a16="http://schemas.microsoft.com/office/drawing/2014/main" id="{C348013F-9EC2-47EE-AF47-F10F182F4B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6" name="Elipse 4625">
          <a:extLst>
            <a:ext uri="{FF2B5EF4-FFF2-40B4-BE49-F238E27FC236}">
              <a16:creationId xmlns:a16="http://schemas.microsoft.com/office/drawing/2014/main" id="{760673F9-6242-4A3D-9C52-8634972390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7" name="Elipse 4626">
          <a:extLst>
            <a:ext uri="{FF2B5EF4-FFF2-40B4-BE49-F238E27FC236}">
              <a16:creationId xmlns:a16="http://schemas.microsoft.com/office/drawing/2014/main" id="{76E376B3-FA46-4985-9C3D-56239CF80C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8" name="Elipse 4627">
          <a:extLst>
            <a:ext uri="{FF2B5EF4-FFF2-40B4-BE49-F238E27FC236}">
              <a16:creationId xmlns:a16="http://schemas.microsoft.com/office/drawing/2014/main" id="{91801F7B-D94F-4E54-A5C3-E3B2738D15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29" name="Elipse 4628">
          <a:extLst>
            <a:ext uri="{FF2B5EF4-FFF2-40B4-BE49-F238E27FC236}">
              <a16:creationId xmlns:a16="http://schemas.microsoft.com/office/drawing/2014/main" id="{0ECD54D4-BBCB-4B2F-8A21-1A6A89638C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0" name="Elipse 4629">
          <a:extLst>
            <a:ext uri="{FF2B5EF4-FFF2-40B4-BE49-F238E27FC236}">
              <a16:creationId xmlns:a16="http://schemas.microsoft.com/office/drawing/2014/main" id="{FE6CA3E1-7740-4683-96A6-C6ADB64557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1" name="Elipse 4630">
          <a:extLst>
            <a:ext uri="{FF2B5EF4-FFF2-40B4-BE49-F238E27FC236}">
              <a16:creationId xmlns:a16="http://schemas.microsoft.com/office/drawing/2014/main" id="{AF8E3528-D7DA-4EF7-84D0-4976E27A7F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2" name="Elipse 4631">
          <a:extLst>
            <a:ext uri="{FF2B5EF4-FFF2-40B4-BE49-F238E27FC236}">
              <a16:creationId xmlns:a16="http://schemas.microsoft.com/office/drawing/2014/main" id="{9C208A39-3D65-48A7-BB75-AD5DF129DE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3" name="Elipse 4632">
          <a:extLst>
            <a:ext uri="{FF2B5EF4-FFF2-40B4-BE49-F238E27FC236}">
              <a16:creationId xmlns:a16="http://schemas.microsoft.com/office/drawing/2014/main" id="{A7A60E09-80B1-45AC-AB74-1E6018A3BD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4" name="Elipse 4633">
          <a:extLst>
            <a:ext uri="{FF2B5EF4-FFF2-40B4-BE49-F238E27FC236}">
              <a16:creationId xmlns:a16="http://schemas.microsoft.com/office/drawing/2014/main" id="{A8127043-BB4F-4E3C-9187-7A47FE3632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5" name="Elipse 4634">
          <a:extLst>
            <a:ext uri="{FF2B5EF4-FFF2-40B4-BE49-F238E27FC236}">
              <a16:creationId xmlns:a16="http://schemas.microsoft.com/office/drawing/2014/main" id="{A63B0D55-1C91-41AC-97D1-0D5E5A4989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6" name="Elipse 4635">
          <a:extLst>
            <a:ext uri="{FF2B5EF4-FFF2-40B4-BE49-F238E27FC236}">
              <a16:creationId xmlns:a16="http://schemas.microsoft.com/office/drawing/2014/main" id="{32D982D8-B211-4B2A-B7D1-72DA67A2C3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7" name="Elipse 4636">
          <a:extLst>
            <a:ext uri="{FF2B5EF4-FFF2-40B4-BE49-F238E27FC236}">
              <a16:creationId xmlns:a16="http://schemas.microsoft.com/office/drawing/2014/main" id="{06D44424-2207-4D7B-9AE0-B976AFDB05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8" name="Elipse 4637">
          <a:extLst>
            <a:ext uri="{FF2B5EF4-FFF2-40B4-BE49-F238E27FC236}">
              <a16:creationId xmlns:a16="http://schemas.microsoft.com/office/drawing/2014/main" id="{DC29CA76-50D0-4219-804B-26FFA42D37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39" name="Elipse 4638">
          <a:extLst>
            <a:ext uri="{FF2B5EF4-FFF2-40B4-BE49-F238E27FC236}">
              <a16:creationId xmlns:a16="http://schemas.microsoft.com/office/drawing/2014/main" id="{93AA04B7-2152-457C-BB8A-B891280A9E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0" name="Elipse 4639">
          <a:extLst>
            <a:ext uri="{FF2B5EF4-FFF2-40B4-BE49-F238E27FC236}">
              <a16:creationId xmlns:a16="http://schemas.microsoft.com/office/drawing/2014/main" id="{568566F6-7936-450D-BFFE-58D9F27813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1" name="Elipse 4640">
          <a:extLst>
            <a:ext uri="{FF2B5EF4-FFF2-40B4-BE49-F238E27FC236}">
              <a16:creationId xmlns:a16="http://schemas.microsoft.com/office/drawing/2014/main" id="{A7FE08F6-8F48-4FE1-B86E-C8ED01D623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2" name="Elipse 4641">
          <a:extLst>
            <a:ext uri="{FF2B5EF4-FFF2-40B4-BE49-F238E27FC236}">
              <a16:creationId xmlns:a16="http://schemas.microsoft.com/office/drawing/2014/main" id="{F7F74F37-016A-4561-8A2B-66DEE517F8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3" name="Elipse 4642">
          <a:extLst>
            <a:ext uri="{FF2B5EF4-FFF2-40B4-BE49-F238E27FC236}">
              <a16:creationId xmlns:a16="http://schemas.microsoft.com/office/drawing/2014/main" id="{5F944A5D-675B-480A-B0E8-2658512BF0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4" name="Elipse 4643">
          <a:extLst>
            <a:ext uri="{FF2B5EF4-FFF2-40B4-BE49-F238E27FC236}">
              <a16:creationId xmlns:a16="http://schemas.microsoft.com/office/drawing/2014/main" id="{90896330-4E76-45F6-A916-02601D4DA1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5" name="Elipse 4644">
          <a:extLst>
            <a:ext uri="{FF2B5EF4-FFF2-40B4-BE49-F238E27FC236}">
              <a16:creationId xmlns:a16="http://schemas.microsoft.com/office/drawing/2014/main" id="{BE556338-EAAD-482C-BA1E-E4C908857B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6" name="Elipse 4645">
          <a:extLst>
            <a:ext uri="{FF2B5EF4-FFF2-40B4-BE49-F238E27FC236}">
              <a16:creationId xmlns:a16="http://schemas.microsoft.com/office/drawing/2014/main" id="{C5BC1933-FECC-40F1-9E8E-7D2857E9CE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7" name="Elipse 4646">
          <a:extLst>
            <a:ext uri="{FF2B5EF4-FFF2-40B4-BE49-F238E27FC236}">
              <a16:creationId xmlns:a16="http://schemas.microsoft.com/office/drawing/2014/main" id="{F12717EA-F43C-4D9C-B62A-6EAA6524BA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8" name="Elipse 4647">
          <a:extLst>
            <a:ext uri="{FF2B5EF4-FFF2-40B4-BE49-F238E27FC236}">
              <a16:creationId xmlns:a16="http://schemas.microsoft.com/office/drawing/2014/main" id="{F9092CF2-2B9A-4010-B358-46AE18AFC1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49" name="Elipse 4648">
          <a:extLst>
            <a:ext uri="{FF2B5EF4-FFF2-40B4-BE49-F238E27FC236}">
              <a16:creationId xmlns:a16="http://schemas.microsoft.com/office/drawing/2014/main" id="{BC3C5C73-2990-46BC-BD8B-429E3ED45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0" name="Elipse 4649">
          <a:extLst>
            <a:ext uri="{FF2B5EF4-FFF2-40B4-BE49-F238E27FC236}">
              <a16:creationId xmlns:a16="http://schemas.microsoft.com/office/drawing/2014/main" id="{37E4A011-DE8A-40A4-A317-4EEE64B3DF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1" name="Elipse 4650">
          <a:extLst>
            <a:ext uri="{FF2B5EF4-FFF2-40B4-BE49-F238E27FC236}">
              <a16:creationId xmlns:a16="http://schemas.microsoft.com/office/drawing/2014/main" id="{E5011644-479A-49A3-AFC7-256186942F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2" name="Elipse 4651">
          <a:extLst>
            <a:ext uri="{FF2B5EF4-FFF2-40B4-BE49-F238E27FC236}">
              <a16:creationId xmlns:a16="http://schemas.microsoft.com/office/drawing/2014/main" id="{CD1DB9F6-6732-45D1-8AB6-270F0269B5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3" name="Elipse 4652">
          <a:extLst>
            <a:ext uri="{FF2B5EF4-FFF2-40B4-BE49-F238E27FC236}">
              <a16:creationId xmlns:a16="http://schemas.microsoft.com/office/drawing/2014/main" id="{FBE79499-6A0F-41F6-B095-1479AB10DC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4" name="Elipse 4653">
          <a:extLst>
            <a:ext uri="{FF2B5EF4-FFF2-40B4-BE49-F238E27FC236}">
              <a16:creationId xmlns:a16="http://schemas.microsoft.com/office/drawing/2014/main" id="{EA705047-90C4-4889-B645-236FC28571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5" name="Elipse 4654">
          <a:extLst>
            <a:ext uri="{FF2B5EF4-FFF2-40B4-BE49-F238E27FC236}">
              <a16:creationId xmlns:a16="http://schemas.microsoft.com/office/drawing/2014/main" id="{90B59FB0-938A-44A5-A7FF-45D6AD3645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6" name="Elipse 4655">
          <a:extLst>
            <a:ext uri="{FF2B5EF4-FFF2-40B4-BE49-F238E27FC236}">
              <a16:creationId xmlns:a16="http://schemas.microsoft.com/office/drawing/2014/main" id="{CA57321D-B148-4691-B965-3EA671CF4D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7" name="Elipse 4656">
          <a:extLst>
            <a:ext uri="{FF2B5EF4-FFF2-40B4-BE49-F238E27FC236}">
              <a16:creationId xmlns:a16="http://schemas.microsoft.com/office/drawing/2014/main" id="{FAC62E38-926C-4897-B417-6EFE4243A3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8" name="Elipse 4657">
          <a:extLst>
            <a:ext uri="{FF2B5EF4-FFF2-40B4-BE49-F238E27FC236}">
              <a16:creationId xmlns:a16="http://schemas.microsoft.com/office/drawing/2014/main" id="{0224D556-434F-466E-ADC4-18AD69CEE1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59" name="Elipse 4658">
          <a:extLst>
            <a:ext uri="{FF2B5EF4-FFF2-40B4-BE49-F238E27FC236}">
              <a16:creationId xmlns:a16="http://schemas.microsoft.com/office/drawing/2014/main" id="{FEFF798B-175C-4C50-904C-F07CF4007F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0" name="Elipse 4659">
          <a:extLst>
            <a:ext uri="{FF2B5EF4-FFF2-40B4-BE49-F238E27FC236}">
              <a16:creationId xmlns:a16="http://schemas.microsoft.com/office/drawing/2014/main" id="{AEE85F80-FBCA-499D-A0D0-821498B29C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1" name="Elipse 4660">
          <a:extLst>
            <a:ext uri="{FF2B5EF4-FFF2-40B4-BE49-F238E27FC236}">
              <a16:creationId xmlns:a16="http://schemas.microsoft.com/office/drawing/2014/main" id="{D0DF939A-E75A-4728-97C2-93D3EFE6FD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2" name="Elipse 4661">
          <a:extLst>
            <a:ext uri="{FF2B5EF4-FFF2-40B4-BE49-F238E27FC236}">
              <a16:creationId xmlns:a16="http://schemas.microsoft.com/office/drawing/2014/main" id="{E21C0A75-F870-4EE5-83BD-9178C14FD1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3" name="Elipse 4662">
          <a:extLst>
            <a:ext uri="{FF2B5EF4-FFF2-40B4-BE49-F238E27FC236}">
              <a16:creationId xmlns:a16="http://schemas.microsoft.com/office/drawing/2014/main" id="{2FBF3E90-79B6-4B57-9B93-4EA95EE54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4" name="Elipse 4663">
          <a:extLst>
            <a:ext uri="{FF2B5EF4-FFF2-40B4-BE49-F238E27FC236}">
              <a16:creationId xmlns:a16="http://schemas.microsoft.com/office/drawing/2014/main" id="{C5490D6D-250A-4EBF-9DE6-7642672B94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5" name="Elipse 4664">
          <a:extLst>
            <a:ext uri="{FF2B5EF4-FFF2-40B4-BE49-F238E27FC236}">
              <a16:creationId xmlns:a16="http://schemas.microsoft.com/office/drawing/2014/main" id="{FC230405-0AFC-4707-8734-B9F608AC6D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6" name="Elipse 4665">
          <a:extLst>
            <a:ext uri="{FF2B5EF4-FFF2-40B4-BE49-F238E27FC236}">
              <a16:creationId xmlns:a16="http://schemas.microsoft.com/office/drawing/2014/main" id="{36545D33-57B6-432C-A47C-4B478E83B3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7" name="Elipse 4666">
          <a:extLst>
            <a:ext uri="{FF2B5EF4-FFF2-40B4-BE49-F238E27FC236}">
              <a16:creationId xmlns:a16="http://schemas.microsoft.com/office/drawing/2014/main" id="{837ED479-60F4-4D02-80D3-C674EDAC2C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8" name="Elipse 4667">
          <a:extLst>
            <a:ext uri="{FF2B5EF4-FFF2-40B4-BE49-F238E27FC236}">
              <a16:creationId xmlns:a16="http://schemas.microsoft.com/office/drawing/2014/main" id="{FA3B4689-3A3A-4E21-A87D-957B4DDFCC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69" name="Elipse 4668">
          <a:extLst>
            <a:ext uri="{FF2B5EF4-FFF2-40B4-BE49-F238E27FC236}">
              <a16:creationId xmlns:a16="http://schemas.microsoft.com/office/drawing/2014/main" id="{BBB3E3BD-CC83-46D5-BAC6-B814F2C894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0" name="Elipse 4669">
          <a:extLst>
            <a:ext uri="{FF2B5EF4-FFF2-40B4-BE49-F238E27FC236}">
              <a16:creationId xmlns:a16="http://schemas.microsoft.com/office/drawing/2014/main" id="{0E65A5A6-FCFD-4614-813E-E2A879CCB7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1" name="Elipse 4670">
          <a:extLst>
            <a:ext uri="{FF2B5EF4-FFF2-40B4-BE49-F238E27FC236}">
              <a16:creationId xmlns:a16="http://schemas.microsoft.com/office/drawing/2014/main" id="{770193A0-800F-44AB-A1D6-811BEA58CC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2" name="Elipse 4671">
          <a:extLst>
            <a:ext uri="{FF2B5EF4-FFF2-40B4-BE49-F238E27FC236}">
              <a16:creationId xmlns:a16="http://schemas.microsoft.com/office/drawing/2014/main" id="{E2D53A8B-792A-49BA-B4C0-C34B38553E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3" name="Elipse 4672">
          <a:extLst>
            <a:ext uri="{FF2B5EF4-FFF2-40B4-BE49-F238E27FC236}">
              <a16:creationId xmlns:a16="http://schemas.microsoft.com/office/drawing/2014/main" id="{22BA9763-2979-44DC-A84E-0D722572AF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4" name="Elipse 4673">
          <a:extLst>
            <a:ext uri="{FF2B5EF4-FFF2-40B4-BE49-F238E27FC236}">
              <a16:creationId xmlns:a16="http://schemas.microsoft.com/office/drawing/2014/main" id="{8EF44DC4-1C7D-4092-9F42-E0161A808C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5" name="Elipse 4674">
          <a:extLst>
            <a:ext uri="{FF2B5EF4-FFF2-40B4-BE49-F238E27FC236}">
              <a16:creationId xmlns:a16="http://schemas.microsoft.com/office/drawing/2014/main" id="{536F525B-1D4D-486E-92D1-03A43C53B9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6" name="Elipse 4675">
          <a:extLst>
            <a:ext uri="{FF2B5EF4-FFF2-40B4-BE49-F238E27FC236}">
              <a16:creationId xmlns:a16="http://schemas.microsoft.com/office/drawing/2014/main" id="{5B54E8E0-4653-4EA2-87C1-9C0507A6D3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7" name="Elipse 4676">
          <a:extLst>
            <a:ext uri="{FF2B5EF4-FFF2-40B4-BE49-F238E27FC236}">
              <a16:creationId xmlns:a16="http://schemas.microsoft.com/office/drawing/2014/main" id="{1381E982-BB96-495D-AECF-38A69BC6B6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8" name="Elipse 4677">
          <a:extLst>
            <a:ext uri="{FF2B5EF4-FFF2-40B4-BE49-F238E27FC236}">
              <a16:creationId xmlns:a16="http://schemas.microsoft.com/office/drawing/2014/main" id="{40316C39-0D65-4890-A614-C897DF06CB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79" name="Elipse 4678">
          <a:extLst>
            <a:ext uri="{FF2B5EF4-FFF2-40B4-BE49-F238E27FC236}">
              <a16:creationId xmlns:a16="http://schemas.microsoft.com/office/drawing/2014/main" id="{842AEE06-C738-4908-B727-5C96204A66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0" name="Elipse 4679">
          <a:extLst>
            <a:ext uri="{FF2B5EF4-FFF2-40B4-BE49-F238E27FC236}">
              <a16:creationId xmlns:a16="http://schemas.microsoft.com/office/drawing/2014/main" id="{19089DB3-6071-4410-96C9-BE9728D17C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1" name="Elipse 4680">
          <a:extLst>
            <a:ext uri="{FF2B5EF4-FFF2-40B4-BE49-F238E27FC236}">
              <a16:creationId xmlns:a16="http://schemas.microsoft.com/office/drawing/2014/main" id="{3500371E-CE12-4146-85EA-70BC44E7CC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2" name="Elipse 4681">
          <a:extLst>
            <a:ext uri="{FF2B5EF4-FFF2-40B4-BE49-F238E27FC236}">
              <a16:creationId xmlns:a16="http://schemas.microsoft.com/office/drawing/2014/main" id="{A9559D8D-DA82-41C0-8CCE-98BAD913E6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3" name="Elipse 4682">
          <a:extLst>
            <a:ext uri="{FF2B5EF4-FFF2-40B4-BE49-F238E27FC236}">
              <a16:creationId xmlns:a16="http://schemas.microsoft.com/office/drawing/2014/main" id="{A59B9D47-F71D-416F-B9D0-2B53C4753A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4" name="Elipse 4683">
          <a:extLst>
            <a:ext uri="{FF2B5EF4-FFF2-40B4-BE49-F238E27FC236}">
              <a16:creationId xmlns:a16="http://schemas.microsoft.com/office/drawing/2014/main" id="{9C19A82C-3A5F-4028-9F8F-12F45EEAEE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5" name="Elipse 4684">
          <a:extLst>
            <a:ext uri="{FF2B5EF4-FFF2-40B4-BE49-F238E27FC236}">
              <a16:creationId xmlns:a16="http://schemas.microsoft.com/office/drawing/2014/main" id="{E629788E-7B30-4186-897C-90459874CA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6" name="Elipse 4685">
          <a:extLst>
            <a:ext uri="{FF2B5EF4-FFF2-40B4-BE49-F238E27FC236}">
              <a16:creationId xmlns:a16="http://schemas.microsoft.com/office/drawing/2014/main" id="{69E26DA5-5861-4C26-A6A9-9A076DF89F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7" name="Elipse 4686">
          <a:extLst>
            <a:ext uri="{FF2B5EF4-FFF2-40B4-BE49-F238E27FC236}">
              <a16:creationId xmlns:a16="http://schemas.microsoft.com/office/drawing/2014/main" id="{33412D04-1EEB-410D-8EAA-F7E8096C38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8" name="Elipse 4687">
          <a:extLst>
            <a:ext uri="{FF2B5EF4-FFF2-40B4-BE49-F238E27FC236}">
              <a16:creationId xmlns:a16="http://schemas.microsoft.com/office/drawing/2014/main" id="{E7804D6D-0315-4264-91E2-AE0258486C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89" name="Elipse 4688">
          <a:extLst>
            <a:ext uri="{FF2B5EF4-FFF2-40B4-BE49-F238E27FC236}">
              <a16:creationId xmlns:a16="http://schemas.microsoft.com/office/drawing/2014/main" id="{6A33F89B-3461-41EC-8451-F492E6BB31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0" name="Elipse 4689">
          <a:extLst>
            <a:ext uri="{FF2B5EF4-FFF2-40B4-BE49-F238E27FC236}">
              <a16:creationId xmlns:a16="http://schemas.microsoft.com/office/drawing/2014/main" id="{24031C5E-5961-44A3-B9CB-73C0FFE303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1" name="Elipse 4690">
          <a:extLst>
            <a:ext uri="{FF2B5EF4-FFF2-40B4-BE49-F238E27FC236}">
              <a16:creationId xmlns:a16="http://schemas.microsoft.com/office/drawing/2014/main" id="{CCA54BA6-B426-4E24-A08D-EC261D2BB3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2" name="Elipse 4691">
          <a:extLst>
            <a:ext uri="{FF2B5EF4-FFF2-40B4-BE49-F238E27FC236}">
              <a16:creationId xmlns:a16="http://schemas.microsoft.com/office/drawing/2014/main" id="{6B9722CF-FCD9-49A1-8C7E-CFDD8F17DB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3" name="Elipse 4692">
          <a:extLst>
            <a:ext uri="{FF2B5EF4-FFF2-40B4-BE49-F238E27FC236}">
              <a16:creationId xmlns:a16="http://schemas.microsoft.com/office/drawing/2014/main" id="{73E798E4-1C85-40CF-B9AA-94F8362645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4" name="Elipse 4693">
          <a:extLst>
            <a:ext uri="{FF2B5EF4-FFF2-40B4-BE49-F238E27FC236}">
              <a16:creationId xmlns:a16="http://schemas.microsoft.com/office/drawing/2014/main" id="{934A647E-A50C-46C3-9D12-D96B7AE76D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5" name="Elipse 4694">
          <a:extLst>
            <a:ext uri="{FF2B5EF4-FFF2-40B4-BE49-F238E27FC236}">
              <a16:creationId xmlns:a16="http://schemas.microsoft.com/office/drawing/2014/main" id="{51F32FBD-E027-47E3-B1EA-4C3AE5F1AB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6" name="Elipse 4695">
          <a:extLst>
            <a:ext uri="{FF2B5EF4-FFF2-40B4-BE49-F238E27FC236}">
              <a16:creationId xmlns:a16="http://schemas.microsoft.com/office/drawing/2014/main" id="{7D79A530-EB85-4F89-BD1C-BA0D0FD699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7" name="Elipse 4696">
          <a:extLst>
            <a:ext uri="{FF2B5EF4-FFF2-40B4-BE49-F238E27FC236}">
              <a16:creationId xmlns:a16="http://schemas.microsoft.com/office/drawing/2014/main" id="{488E6DFA-AF59-4E88-959A-9E5480C38C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8" name="Elipse 4697">
          <a:extLst>
            <a:ext uri="{FF2B5EF4-FFF2-40B4-BE49-F238E27FC236}">
              <a16:creationId xmlns:a16="http://schemas.microsoft.com/office/drawing/2014/main" id="{092ACA0D-BCCA-4E35-B51C-925182868E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699" name="Elipse 4698">
          <a:extLst>
            <a:ext uri="{FF2B5EF4-FFF2-40B4-BE49-F238E27FC236}">
              <a16:creationId xmlns:a16="http://schemas.microsoft.com/office/drawing/2014/main" id="{049F7555-5ACF-442D-A105-0A2109ECDF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0" name="Elipse 4699">
          <a:extLst>
            <a:ext uri="{FF2B5EF4-FFF2-40B4-BE49-F238E27FC236}">
              <a16:creationId xmlns:a16="http://schemas.microsoft.com/office/drawing/2014/main" id="{5DF4E5D9-6B92-4AE0-98D3-7A7DCC3FA9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1" name="Elipse 4700">
          <a:extLst>
            <a:ext uri="{FF2B5EF4-FFF2-40B4-BE49-F238E27FC236}">
              <a16:creationId xmlns:a16="http://schemas.microsoft.com/office/drawing/2014/main" id="{51FBFC4A-D7CB-4998-BADF-A64F5C2273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2" name="Elipse 4701">
          <a:extLst>
            <a:ext uri="{FF2B5EF4-FFF2-40B4-BE49-F238E27FC236}">
              <a16:creationId xmlns:a16="http://schemas.microsoft.com/office/drawing/2014/main" id="{1088009D-6435-4A61-8B25-035F1A02BE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3" name="Elipse 4702">
          <a:extLst>
            <a:ext uri="{FF2B5EF4-FFF2-40B4-BE49-F238E27FC236}">
              <a16:creationId xmlns:a16="http://schemas.microsoft.com/office/drawing/2014/main" id="{11C09648-83D4-45BA-AA38-A453700ECC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4" name="Elipse 4703">
          <a:extLst>
            <a:ext uri="{FF2B5EF4-FFF2-40B4-BE49-F238E27FC236}">
              <a16:creationId xmlns:a16="http://schemas.microsoft.com/office/drawing/2014/main" id="{908D273C-E3A2-4CF2-85DA-E4D4A9BB10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5" name="Elipse 4704">
          <a:extLst>
            <a:ext uri="{FF2B5EF4-FFF2-40B4-BE49-F238E27FC236}">
              <a16:creationId xmlns:a16="http://schemas.microsoft.com/office/drawing/2014/main" id="{A67944F7-15A7-4D76-8FC0-C93F96057F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6" name="Elipse 4705">
          <a:extLst>
            <a:ext uri="{FF2B5EF4-FFF2-40B4-BE49-F238E27FC236}">
              <a16:creationId xmlns:a16="http://schemas.microsoft.com/office/drawing/2014/main" id="{CD1D0C83-2084-4BD0-A8A8-E8F06534AE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7" name="Elipse 4706">
          <a:extLst>
            <a:ext uri="{FF2B5EF4-FFF2-40B4-BE49-F238E27FC236}">
              <a16:creationId xmlns:a16="http://schemas.microsoft.com/office/drawing/2014/main" id="{A45F20BA-36AE-4F6D-A23B-0A0B1F8AB7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8" name="Elipse 4707">
          <a:extLst>
            <a:ext uri="{FF2B5EF4-FFF2-40B4-BE49-F238E27FC236}">
              <a16:creationId xmlns:a16="http://schemas.microsoft.com/office/drawing/2014/main" id="{9FD0CB7D-5206-4B15-B569-9772E6A988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09" name="Elipse 4708">
          <a:extLst>
            <a:ext uri="{FF2B5EF4-FFF2-40B4-BE49-F238E27FC236}">
              <a16:creationId xmlns:a16="http://schemas.microsoft.com/office/drawing/2014/main" id="{363ED6CF-BE10-43AA-BCFE-7F58BA4A5A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0" name="Elipse 4709">
          <a:extLst>
            <a:ext uri="{FF2B5EF4-FFF2-40B4-BE49-F238E27FC236}">
              <a16:creationId xmlns:a16="http://schemas.microsoft.com/office/drawing/2014/main" id="{8D7B58C8-7326-4BD3-ABF0-17A1E60CC2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1" name="Elipse 4710">
          <a:extLst>
            <a:ext uri="{FF2B5EF4-FFF2-40B4-BE49-F238E27FC236}">
              <a16:creationId xmlns:a16="http://schemas.microsoft.com/office/drawing/2014/main" id="{2D37635F-403D-49E9-9F51-F444D06A00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2" name="Elipse 4711">
          <a:extLst>
            <a:ext uri="{FF2B5EF4-FFF2-40B4-BE49-F238E27FC236}">
              <a16:creationId xmlns:a16="http://schemas.microsoft.com/office/drawing/2014/main" id="{497363BA-AC17-46D5-A74A-BBBBF43687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3" name="Elipse 4712">
          <a:extLst>
            <a:ext uri="{FF2B5EF4-FFF2-40B4-BE49-F238E27FC236}">
              <a16:creationId xmlns:a16="http://schemas.microsoft.com/office/drawing/2014/main" id="{7596C323-9D94-4377-A9E9-04BE16BB1E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4" name="Elipse 4713">
          <a:extLst>
            <a:ext uri="{FF2B5EF4-FFF2-40B4-BE49-F238E27FC236}">
              <a16:creationId xmlns:a16="http://schemas.microsoft.com/office/drawing/2014/main" id="{E86CB2A4-11B0-43EE-89C7-4BFE56168C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5" name="Elipse 4714">
          <a:extLst>
            <a:ext uri="{FF2B5EF4-FFF2-40B4-BE49-F238E27FC236}">
              <a16:creationId xmlns:a16="http://schemas.microsoft.com/office/drawing/2014/main" id="{597A063A-F396-489D-8988-82C04E8A3A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6" name="Elipse 4715">
          <a:extLst>
            <a:ext uri="{FF2B5EF4-FFF2-40B4-BE49-F238E27FC236}">
              <a16:creationId xmlns:a16="http://schemas.microsoft.com/office/drawing/2014/main" id="{7D4DC2F4-79FA-4AE0-8921-2A56AC1D0C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7" name="Elipse 4716">
          <a:extLst>
            <a:ext uri="{FF2B5EF4-FFF2-40B4-BE49-F238E27FC236}">
              <a16:creationId xmlns:a16="http://schemas.microsoft.com/office/drawing/2014/main" id="{2FC72516-76E7-41C3-9C13-9EFE0889C5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8" name="Elipse 4717">
          <a:extLst>
            <a:ext uri="{FF2B5EF4-FFF2-40B4-BE49-F238E27FC236}">
              <a16:creationId xmlns:a16="http://schemas.microsoft.com/office/drawing/2014/main" id="{C08E365C-9A2B-4A22-91D8-198A1E6CA4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19" name="Elipse 4718">
          <a:extLst>
            <a:ext uri="{FF2B5EF4-FFF2-40B4-BE49-F238E27FC236}">
              <a16:creationId xmlns:a16="http://schemas.microsoft.com/office/drawing/2014/main" id="{6BB1246F-2C97-4A7B-B662-527D14F055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0" name="Elipse 4719">
          <a:extLst>
            <a:ext uri="{FF2B5EF4-FFF2-40B4-BE49-F238E27FC236}">
              <a16:creationId xmlns:a16="http://schemas.microsoft.com/office/drawing/2014/main" id="{D77B2D5A-2311-4566-9C87-4FF26E7BD2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1" name="Elipse 4720">
          <a:extLst>
            <a:ext uri="{FF2B5EF4-FFF2-40B4-BE49-F238E27FC236}">
              <a16:creationId xmlns:a16="http://schemas.microsoft.com/office/drawing/2014/main" id="{720B1334-F59A-4860-B7F6-FEF4663642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2" name="Elipse 4721">
          <a:extLst>
            <a:ext uri="{FF2B5EF4-FFF2-40B4-BE49-F238E27FC236}">
              <a16:creationId xmlns:a16="http://schemas.microsoft.com/office/drawing/2014/main" id="{F964CB77-42A2-4DB5-8243-845865DD28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3" name="Elipse 4722">
          <a:extLst>
            <a:ext uri="{FF2B5EF4-FFF2-40B4-BE49-F238E27FC236}">
              <a16:creationId xmlns:a16="http://schemas.microsoft.com/office/drawing/2014/main" id="{FCE3B47E-1892-4A7F-91B4-88C4D0DEAF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4" name="Elipse 4723">
          <a:extLst>
            <a:ext uri="{FF2B5EF4-FFF2-40B4-BE49-F238E27FC236}">
              <a16:creationId xmlns:a16="http://schemas.microsoft.com/office/drawing/2014/main" id="{BDCF20AD-5133-41B9-9B19-A89E08659A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5" name="Elipse 4724">
          <a:extLst>
            <a:ext uri="{FF2B5EF4-FFF2-40B4-BE49-F238E27FC236}">
              <a16:creationId xmlns:a16="http://schemas.microsoft.com/office/drawing/2014/main" id="{B07A76AF-E15A-411B-ACA8-963694E437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6" name="Elipse 4725">
          <a:extLst>
            <a:ext uri="{FF2B5EF4-FFF2-40B4-BE49-F238E27FC236}">
              <a16:creationId xmlns:a16="http://schemas.microsoft.com/office/drawing/2014/main" id="{1EDEF268-3938-423B-BB7C-898DB6DF37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7" name="Elipse 4726">
          <a:extLst>
            <a:ext uri="{FF2B5EF4-FFF2-40B4-BE49-F238E27FC236}">
              <a16:creationId xmlns:a16="http://schemas.microsoft.com/office/drawing/2014/main" id="{DA04D2E5-F3A9-4C04-BCD7-19F84965EF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8" name="Elipse 4727">
          <a:extLst>
            <a:ext uri="{FF2B5EF4-FFF2-40B4-BE49-F238E27FC236}">
              <a16:creationId xmlns:a16="http://schemas.microsoft.com/office/drawing/2014/main" id="{E7A40E18-AE66-47CC-AE63-ACB08AF7FA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29" name="Elipse 4728">
          <a:extLst>
            <a:ext uri="{FF2B5EF4-FFF2-40B4-BE49-F238E27FC236}">
              <a16:creationId xmlns:a16="http://schemas.microsoft.com/office/drawing/2014/main" id="{88E57EDD-1839-415A-8182-F1941863E7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0" name="Elipse 4729">
          <a:extLst>
            <a:ext uri="{FF2B5EF4-FFF2-40B4-BE49-F238E27FC236}">
              <a16:creationId xmlns:a16="http://schemas.microsoft.com/office/drawing/2014/main" id="{634D9A63-9971-4E62-83C8-71A695C06C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1" name="Elipse 4730">
          <a:extLst>
            <a:ext uri="{FF2B5EF4-FFF2-40B4-BE49-F238E27FC236}">
              <a16:creationId xmlns:a16="http://schemas.microsoft.com/office/drawing/2014/main" id="{1D2F4990-E644-45DA-9159-6E4B2D70BF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2" name="Elipse 4731">
          <a:extLst>
            <a:ext uri="{FF2B5EF4-FFF2-40B4-BE49-F238E27FC236}">
              <a16:creationId xmlns:a16="http://schemas.microsoft.com/office/drawing/2014/main" id="{992BEFD7-A9DD-4858-A3FC-ECA20C3D77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3" name="Elipse 4732">
          <a:extLst>
            <a:ext uri="{FF2B5EF4-FFF2-40B4-BE49-F238E27FC236}">
              <a16:creationId xmlns:a16="http://schemas.microsoft.com/office/drawing/2014/main" id="{D9AB4CBF-0794-4B80-BB15-4CC95D5BAF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4" name="Elipse 4733">
          <a:extLst>
            <a:ext uri="{FF2B5EF4-FFF2-40B4-BE49-F238E27FC236}">
              <a16:creationId xmlns:a16="http://schemas.microsoft.com/office/drawing/2014/main" id="{73C468CA-B810-4FCB-AF85-CC6A267DDB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5" name="Elipse 4734">
          <a:extLst>
            <a:ext uri="{FF2B5EF4-FFF2-40B4-BE49-F238E27FC236}">
              <a16:creationId xmlns:a16="http://schemas.microsoft.com/office/drawing/2014/main" id="{A798AEBD-B8F7-49D4-9E01-A859DA18D0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6" name="Elipse 4735">
          <a:extLst>
            <a:ext uri="{FF2B5EF4-FFF2-40B4-BE49-F238E27FC236}">
              <a16:creationId xmlns:a16="http://schemas.microsoft.com/office/drawing/2014/main" id="{F34D9C28-F106-492F-9B8E-E45FD4DF73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7" name="Elipse 4736">
          <a:extLst>
            <a:ext uri="{FF2B5EF4-FFF2-40B4-BE49-F238E27FC236}">
              <a16:creationId xmlns:a16="http://schemas.microsoft.com/office/drawing/2014/main" id="{3A4F36C4-D35B-4525-B4D7-0395B6E8E6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8" name="Elipse 4737">
          <a:extLst>
            <a:ext uri="{FF2B5EF4-FFF2-40B4-BE49-F238E27FC236}">
              <a16:creationId xmlns:a16="http://schemas.microsoft.com/office/drawing/2014/main" id="{4EF02B5F-D5DB-4075-88EC-75E2A162F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39" name="Elipse 4738">
          <a:extLst>
            <a:ext uri="{FF2B5EF4-FFF2-40B4-BE49-F238E27FC236}">
              <a16:creationId xmlns:a16="http://schemas.microsoft.com/office/drawing/2014/main" id="{BC15507D-3E50-4E84-8A0F-F2CFE9B477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0" name="Elipse 4739">
          <a:extLst>
            <a:ext uri="{FF2B5EF4-FFF2-40B4-BE49-F238E27FC236}">
              <a16:creationId xmlns:a16="http://schemas.microsoft.com/office/drawing/2014/main" id="{60AC8E48-452F-4455-8020-7E83D8E253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1" name="Elipse 4740">
          <a:extLst>
            <a:ext uri="{FF2B5EF4-FFF2-40B4-BE49-F238E27FC236}">
              <a16:creationId xmlns:a16="http://schemas.microsoft.com/office/drawing/2014/main" id="{3B4C69C3-8B71-4EC2-9F82-6E0CF3B7BC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2" name="Elipse 4741">
          <a:extLst>
            <a:ext uri="{FF2B5EF4-FFF2-40B4-BE49-F238E27FC236}">
              <a16:creationId xmlns:a16="http://schemas.microsoft.com/office/drawing/2014/main" id="{A794FBB4-0C2B-441D-9CA4-8C5E0FB5A3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3" name="Elipse 4742">
          <a:extLst>
            <a:ext uri="{FF2B5EF4-FFF2-40B4-BE49-F238E27FC236}">
              <a16:creationId xmlns:a16="http://schemas.microsoft.com/office/drawing/2014/main" id="{741A5D60-C3A6-4943-AA6C-11686B59EB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4" name="Elipse 4743">
          <a:extLst>
            <a:ext uri="{FF2B5EF4-FFF2-40B4-BE49-F238E27FC236}">
              <a16:creationId xmlns:a16="http://schemas.microsoft.com/office/drawing/2014/main" id="{96D1F70F-E1BD-428D-87D6-8A79F3FF67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5" name="Elipse 4744">
          <a:extLst>
            <a:ext uri="{FF2B5EF4-FFF2-40B4-BE49-F238E27FC236}">
              <a16:creationId xmlns:a16="http://schemas.microsoft.com/office/drawing/2014/main" id="{B5633189-C8D5-4846-A2BD-47C788742D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6" name="Elipse 4745">
          <a:extLst>
            <a:ext uri="{FF2B5EF4-FFF2-40B4-BE49-F238E27FC236}">
              <a16:creationId xmlns:a16="http://schemas.microsoft.com/office/drawing/2014/main" id="{B7F7EE5C-5FF0-41F6-9009-AD58C662D0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7" name="Elipse 4746">
          <a:extLst>
            <a:ext uri="{FF2B5EF4-FFF2-40B4-BE49-F238E27FC236}">
              <a16:creationId xmlns:a16="http://schemas.microsoft.com/office/drawing/2014/main" id="{7754BD1D-09C6-4601-82C7-8CD8518EBB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8" name="Elipse 4747">
          <a:extLst>
            <a:ext uri="{FF2B5EF4-FFF2-40B4-BE49-F238E27FC236}">
              <a16:creationId xmlns:a16="http://schemas.microsoft.com/office/drawing/2014/main" id="{ADF9B83E-38B9-4F83-AD79-15DCB7E0D2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49" name="Elipse 4748">
          <a:extLst>
            <a:ext uri="{FF2B5EF4-FFF2-40B4-BE49-F238E27FC236}">
              <a16:creationId xmlns:a16="http://schemas.microsoft.com/office/drawing/2014/main" id="{0139BA01-F4D8-4313-9FC9-82A5F8312C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0" name="Elipse 4749">
          <a:extLst>
            <a:ext uri="{FF2B5EF4-FFF2-40B4-BE49-F238E27FC236}">
              <a16:creationId xmlns:a16="http://schemas.microsoft.com/office/drawing/2014/main" id="{B0DA4A7D-9A26-4490-A753-56AA7C18BC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1" name="Elipse 4750">
          <a:extLst>
            <a:ext uri="{FF2B5EF4-FFF2-40B4-BE49-F238E27FC236}">
              <a16:creationId xmlns:a16="http://schemas.microsoft.com/office/drawing/2014/main" id="{9A663AF8-EEB9-4338-BB29-E3887BD6DC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2" name="Elipse 4751">
          <a:extLst>
            <a:ext uri="{FF2B5EF4-FFF2-40B4-BE49-F238E27FC236}">
              <a16:creationId xmlns:a16="http://schemas.microsoft.com/office/drawing/2014/main" id="{F3B4EB65-E2AE-495F-8F56-C56B590FA4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3" name="Elipse 4752">
          <a:extLst>
            <a:ext uri="{FF2B5EF4-FFF2-40B4-BE49-F238E27FC236}">
              <a16:creationId xmlns:a16="http://schemas.microsoft.com/office/drawing/2014/main" id="{52A856E4-C834-44CD-9791-02331C4C23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4" name="Elipse 4753">
          <a:extLst>
            <a:ext uri="{FF2B5EF4-FFF2-40B4-BE49-F238E27FC236}">
              <a16:creationId xmlns:a16="http://schemas.microsoft.com/office/drawing/2014/main" id="{2E120759-3437-49CF-8B6B-27CB88A62D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5" name="Elipse 4754">
          <a:extLst>
            <a:ext uri="{FF2B5EF4-FFF2-40B4-BE49-F238E27FC236}">
              <a16:creationId xmlns:a16="http://schemas.microsoft.com/office/drawing/2014/main" id="{4166791B-F617-4F9C-AF56-86175FC783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6" name="Elipse 4755">
          <a:extLst>
            <a:ext uri="{FF2B5EF4-FFF2-40B4-BE49-F238E27FC236}">
              <a16:creationId xmlns:a16="http://schemas.microsoft.com/office/drawing/2014/main" id="{B35A0D02-FF33-4A37-A080-A01419FE9F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7" name="Elipse 4756">
          <a:extLst>
            <a:ext uri="{FF2B5EF4-FFF2-40B4-BE49-F238E27FC236}">
              <a16:creationId xmlns:a16="http://schemas.microsoft.com/office/drawing/2014/main" id="{C519DE14-B373-4ECE-AA51-B94B67F4D8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8" name="Elipse 4757">
          <a:extLst>
            <a:ext uri="{FF2B5EF4-FFF2-40B4-BE49-F238E27FC236}">
              <a16:creationId xmlns:a16="http://schemas.microsoft.com/office/drawing/2014/main" id="{B8E2B955-7041-4795-AB14-4CCF3AF736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59" name="Elipse 4758">
          <a:extLst>
            <a:ext uri="{FF2B5EF4-FFF2-40B4-BE49-F238E27FC236}">
              <a16:creationId xmlns:a16="http://schemas.microsoft.com/office/drawing/2014/main" id="{E8C5BFD8-5585-40E5-9611-0C08B614B3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0" name="Elipse 4759">
          <a:extLst>
            <a:ext uri="{FF2B5EF4-FFF2-40B4-BE49-F238E27FC236}">
              <a16:creationId xmlns:a16="http://schemas.microsoft.com/office/drawing/2014/main" id="{1881D106-C54F-41DF-B687-D1D46B8BFE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1" name="Elipse 4760">
          <a:extLst>
            <a:ext uri="{FF2B5EF4-FFF2-40B4-BE49-F238E27FC236}">
              <a16:creationId xmlns:a16="http://schemas.microsoft.com/office/drawing/2014/main" id="{80CC3A99-0E70-4502-8F4C-8F35ABBCEC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2" name="Elipse 4761">
          <a:extLst>
            <a:ext uri="{FF2B5EF4-FFF2-40B4-BE49-F238E27FC236}">
              <a16:creationId xmlns:a16="http://schemas.microsoft.com/office/drawing/2014/main" id="{48B2CE69-39F4-4E1A-9DF9-2B1E5F717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3" name="Elipse 4762">
          <a:extLst>
            <a:ext uri="{FF2B5EF4-FFF2-40B4-BE49-F238E27FC236}">
              <a16:creationId xmlns:a16="http://schemas.microsoft.com/office/drawing/2014/main" id="{4D7B5006-B639-4CA6-8F90-86E0983269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4" name="Elipse 4763">
          <a:extLst>
            <a:ext uri="{FF2B5EF4-FFF2-40B4-BE49-F238E27FC236}">
              <a16:creationId xmlns:a16="http://schemas.microsoft.com/office/drawing/2014/main" id="{5A930E0A-D225-41DE-870B-D153D596E7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5" name="Elipse 4764">
          <a:extLst>
            <a:ext uri="{FF2B5EF4-FFF2-40B4-BE49-F238E27FC236}">
              <a16:creationId xmlns:a16="http://schemas.microsoft.com/office/drawing/2014/main" id="{00B2B0A3-646F-4DFB-A682-5AF545E390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6" name="Elipse 4765">
          <a:extLst>
            <a:ext uri="{FF2B5EF4-FFF2-40B4-BE49-F238E27FC236}">
              <a16:creationId xmlns:a16="http://schemas.microsoft.com/office/drawing/2014/main" id="{7DC11346-9A35-4C9D-95ED-BF0B1C1583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7" name="Elipse 4766">
          <a:extLst>
            <a:ext uri="{FF2B5EF4-FFF2-40B4-BE49-F238E27FC236}">
              <a16:creationId xmlns:a16="http://schemas.microsoft.com/office/drawing/2014/main" id="{F946AF0C-BA7F-46B8-A4D9-3DF0826628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8" name="Elipse 4767">
          <a:extLst>
            <a:ext uri="{FF2B5EF4-FFF2-40B4-BE49-F238E27FC236}">
              <a16:creationId xmlns:a16="http://schemas.microsoft.com/office/drawing/2014/main" id="{B96AE5AB-8C85-4F3C-819A-615F663861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69" name="Elipse 4768">
          <a:extLst>
            <a:ext uri="{FF2B5EF4-FFF2-40B4-BE49-F238E27FC236}">
              <a16:creationId xmlns:a16="http://schemas.microsoft.com/office/drawing/2014/main" id="{05BEC9A8-E902-4FCF-83D5-04A7FB4026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0" name="Elipse 4769">
          <a:extLst>
            <a:ext uri="{FF2B5EF4-FFF2-40B4-BE49-F238E27FC236}">
              <a16:creationId xmlns:a16="http://schemas.microsoft.com/office/drawing/2014/main" id="{CC456FD0-EDB0-428B-B64D-5AA7FC6315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1" name="Elipse 4770">
          <a:extLst>
            <a:ext uri="{FF2B5EF4-FFF2-40B4-BE49-F238E27FC236}">
              <a16:creationId xmlns:a16="http://schemas.microsoft.com/office/drawing/2014/main" id="{FC299C05-A238-46AD-87EE-62FF6952E8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2" name="Elipse 4771">
          <a:extLst>
            <a:ext uri="{FF2B5EF4-FFF2-40B4-BE49-F238E27FC236}">
              <a16:creationId xmlns:a16="http://schemas.microsoft.com/office/drawing/2014/main" id="{420078E2-BCE9-4043-BB03-0B57DEFB5D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3" name="Elipse 4772">
          <a:extLst>
            <a:ext uri="{FF2B5EF4-FFF2-40B4-BE49-F238E27FC236}">
              <a16:creationId xmlns:a16="http://schemas.microsoft.com/office/drawing/2014/main" id="{1EC7B80A-70C6-4FEE-B85C-0333C2D463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4" name="Elipse 4773">
          <a:extLst>
            <a:ext uri="{FF2B5EF4-FFF2-40B4-BE49-F238E27FC236}">
              <a16:creationId xmlns:a16="http://schemas.microsoft.com/office/drawing/2014/main" id="{E27D9B61-F3AF-425F-9296-C92ED99661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5" name="Elipse 4774">
          <a:extLst>
            <a:ext uri="{FF2B5EF4-FFF2-40B4-BE49-F238E27FC236}">
              <a16:creationId xmlns:a16="http://schemas.microsoft.com/office/drawing/2014/main" id="{B3FD848D-96FA-4E07-BA5C-66D540E50F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6" name="Elipse 4775">
          <a:extLst>
            <a:ext uri="{FF2B5EF4-FFF2-40B4-BE49-F238E27FC236}">
              <a16:creationId xmlns:a16="http://schemas.microsoft.com/office/drawing/2014/main" id="{2E369BBC-C39D-4360-9ADC-EED5797D66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7" name="Elipse 4776">
          <a:extLst>
            <a:ext uri="{FF2B5EF4-FFF2-40B4-BE49-F238E27FC236}">
              <a16:creationId xmlns:a16="http://schemas.microsoft.com/office/drawing/2014/main" id="{E84574F6-38FA-4898-BAB9-D14C50022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8" name="Elipse 4777">
          <a:extLst>
            <a:ext uri="{FF2B5EF4-FFF2-40B4-BE49-F238E27FC236}">
              <a16:creationId xmlns:a16="http://schemas.microsoft.com/office/drawing/2014/main" id="{BAEFEF37-0700-4B9B-A873-275EFBA158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79" name="Elipse 4778">
          <a:extLst>
            <a:ext uri="{FF2B5EF4-FFF2-40B4-BE49-F238E27FC236}">
              <a16:creationId xmlns:a16="http://schemas.microsoft.com/office/drawing/2014/main" id="{07BD2853-C346-498E-A8B6-E1DA5B76A6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0" name="Elipse 4779">
          <a:extLst>
            <a:ext uri="{FF2B5EF4-FFF2-40B4-BE49-F238E27FC236}">
              <a16:creationId xmlns:a16="http://schemas.microsoft.com/office/drawing/2014/main" id="{32F27092-29F4-454A-B04E-D2D6D6FADB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1" name="Elipse 4780">
          <a:extLst>
            <a:ext uri="{FF2B5EF4-FFF2-40B4-BE49-F238E27FC236}">
              <a16:creationId xmlns:a16="http://schemas.microsoft.com/office/drawing/2014/main" id="{476BD6E8-A0A4-4B1C-817D-3710EFCD2A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2" name="Elipse 4781">
          <a:extLst>
            <a:ext uri="{FF2B5EF4-FFF2-40B4-BE49-F238E27FC236}">
              <a16:creationId xmlns:a16="http://schemas.microsoft.com/office/drawing/2014/main" id="{B8F04ABE-1A70-4B5A-B9C6-803437A0E2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3" name="Elipse 4782">
          <a:extLst>
            <a:ext uri="{FF2B5EF4-FFF2-40B4-BE49-F238E27FC236}">
              <a16:creationId xmlns:a16="http://schemas.microsoft.com/office/drawing/2014/main" id="{19400A30-E49F-42A6-8C3D-5DD68E4F7A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4" name="Elipse 4783">
          <a:extLst>
            <a:ext uri="{FF2B5EF4-FFF2-40B4-BE49-F238E27FC236}">
              <a16:creationId xmlns:a16="http://schemas.microsoft.com/office/drawing/2014/main" id="{5F9BD450-6AD7-4482-8B23-4CE71BB540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5" name="Elipse 4784">
          <a:extLst>
            <a:ext uri="{FF2B5EF4-FFF2-40B4-BE49-F238E27FC236}">
              <a16:creationId xmlns:a16="http://schemas.microsoft.com/office/drawing/2014/main" id="{2149F582-F659-449B-AAFB-C9B67031A0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6" name="Elipse 4785">
          <a:extLst>
            <a:ext uri="{FF2B5EF4-FFF2-40B4-BE49-F238E27FC236}">
              <a16:creationId xmlns:a16="http://schemas.microsoft.com/office/drawing/2014/main" id="{1B7E2B20-44F2-449C-BA61-826FED96E5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7" name="Elipse 4786">
          <a:extLst>
            <a:ext uri="{FF2B5EF4-FFF2-40B4-BE49-F238E27FC236}">
              <a16:creationId xmlns:a16="http://schemas.microsoft.com/office/drawing/2014/main" id="{880998A5-0104-459E-B331-919F17684B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8" name="Elipse 4787">
          <a:extLst>
            <a:ext uri="{FF2B5EF4-FFF2-40B4-BE49-F238E27FC236}">
              <a16:creationId xmlns:a16="http://schemas.microsoft.com/office/drawing/2014/main" id="{637DA55D-7879-462B-BD3C-FCA90BECDA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89" name="Elipse 4788">
          <a:extLst>
            <a:ext uri="{FF2B5EF4-FFF2-40B4-BE49-F238E27FC236}">
              <a16:creationId xmlns:a16="http://schemas.microsoft.com/office/drawing/2014/main" id="{50F05981-F844-42C8-A9F6-BF61E001E4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0" name="Elipse 4789">
          <a:extLst>
            <a:ext uri="{FF2B5EF4-FFF2-40B4-BE49-F238E27FC236}">
              <a16:creationId xmlns:a16="http://schemas.microsoft.com/office/drawing/2014/main" id="{D87E8C9B-90E9-4FB5-A21D-7D5A527F69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1" name="Elipse 4790">
          <a:extLst>
            <a:ext uri="{FF2B5EF4-FFF2-40B4-BE49-F238E27FC236}">
              <a16:creationId xmlns:a16="http://schemas.microsoft.com/office/drawing/2014/main" id="{5AB1A028-0217-442C-99CB-BADFA06861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2" name="Elipse 4791">
          <a:extLst>
            <a:ext uri="{FF2B5EF4-FFF2-40B4-BE49-F238E27FC236}">
              <a16:creationId xmlns:a16="http://schemas.microsoft.com/office/drawing/2014/main" id="{ECF9E3EF-592D-4494-AC0C-356AB2B688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3" name="Elipse 4792">
          <a:extLst>
            <a:ext uri="{FF2B5EF4-FFF2-40B4-BE49-F238E27FC236}">
              <a16:creationId xmlns:a16="http://schemas.microsoft.com/office/drawing/2014/main" id="{E5194BCA-E824-4B8F-B542-97617E529B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4" name="Elipse 4793">
          <a:extLst>
            <a:ext uri="{FF2B5EF4-FFF2-40B4-BE49-F238E27FC236}">
              <a16:creationId xmlns:a16="http://schemas.microsoft.com/office/drawing/2014/main" id="{6E1D290D-A6F6-429B-A2CB-FF7BCF0F06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5" name="Elipse 4794">
          <a:extLst>
            <a:ext uri="{FF2B5EF4-FFF2-40B4-BE49-F238E27FC236}">
              <a16:creationId xmlns:a16="http://schemas.microsoft.com/office/drawing/2014/main" id="{B6048B5A-BB41-417D-BE28-D6B3F91090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6" name="Elipse 4795">
          <a:extLst>
            <a:ext uri="{FF2B5EF4-FFF2-40B4-BE49-F238E27FC236}">
              <a16:creationId xmlns:a16="http://schemas.microsoft.com/office/drawing/2014/main" id="{91FF5948-35E3-4AF0-B76A-606A8E44DC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7" name="Elipse 4796">
          <a:extLst>
            <a:ext uri="{FF2B5EF4-FFF2-40B4-BE49-F238E27FC236}">
              <a16:creationId xmlns:a16="http://schemas.microsoft.com/office/drawing/2014/main" id="{14D02500-8303-4F64-B809-A300255E28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8" name="Elipse 4797">
          <a:extLst>
            <a:ext uri="{FF2B5EF4-FFF2-40B4-BE49-F238E27FC236}">
              <a16:creationId xmlns:a16="http://schemas.microsoft.com/office/drawing/2014/main" id="{AF80950A-6295-45F5-8822-B9F046CB76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799" name="Elipse 4798">
          <a:extLst>
            <a:ext uri="{FF2B5EF4-FFF2-40B4-BE49-F238E27FC236}">
              <a16:creationId xmlns:a16="http://schemas.microsoft.com/office/drawing/2014/main" id="{094997AF-E587-4CFD-B3BB-A9654D8154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0" name="Elipse 4799">
          <a:extLst>
            <a:ext uri="{FF2B5EF4-FFF2-40B4-BE49-F238E27FC236}">
              <a16:creationId xmlns:a16="http://schemas.microsoft.com/office/drawing/2014/main" id="{E7517E26-169B-421D-ACBB-B24B40D9BC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1" name="Elipse 4800">
          <a:extLst>
            <a:ext uri="{FF2B5EF4-FFF2-40B4-BE49-F238E27FC236}">
              <a16:creationId xmlns:a16="http://schemas.microsoft.com/office/drawing/2014/main" id="{0C2B05B1-737D-476A-B87C-CAEE43E73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2" name="Elipse 4801">
          <a:extLst>
            <a:ext uri="{FF2B5EF4-FFF2-40B4-BE49-F238E27FC236}">
              <a16:creationId xmlns:a16="http://schemas.microsoft.com/office/drawing/2014/main" id="{E35F6C36-F0A2-4731-989A-486724AEEF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3" name="Elipse 4802">
          <a:extLst>
            <a:ext uri="{FF2B5EF4-FFF2-40B4-BE49-F238E27FC236}">
              <a16:creationId xmlns:a16="http://schemas.microsoft.com/office/drawing/2014/main" id="{EB9279F8-452F-4468-9A25-E4BAC68FED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4" name="Elipse 4803">
          <a:extLst>
            <a:ext uri="{FF2B5EF4-FFF2-40B4-BE49-F238E27FC236}">
              <a16:creationId xmlns:a16="http://schemas.microsoft.com/office/drawing/2014/main" id="{35B35B48-B2BD-436D-B7FB-5694403591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5" name="Elipse 4804">
          <a:extLst>
            <a:ext uri="{FF2B5EF4-FFF2-40B4-BE49-F238E27FC236}">
              <a16:creationId xmlns:a16="http://schemas.microsoft.com/office/drawing/2014/main" id="{2D0D01C7-33BC-473A-A678-5CE102A40F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6" name="Elipse 4805">
          <a:extLst>
            <a:ext uri="{FF2B5EF4-FFF2-40B4-BE49-F238E27FC236}">
              <a16:creationId xmlns:a16="http://schemas.microsoft.com/office/drawing/2014/main" id="{EDF64B5D-C3E8-42B9-AAF4-59E9BA9409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7" name="Elipse 4806">
          <a:extLst>
            <a:ext uri="{FF2B5EF4-FFF2-40B4-BE49-F238E27FC236}">
              <a16:creationId xmlns:a16="http://schemas.microsoft.com/office/drawing/2014/main" id="{C52AB30A-6301-44F8-A44D-6214139DD6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8" name="Elipse 4807">
          <a:extLst>
            <a:ext uri="{FF2B5EF4-FFF2-40B4-BE49-F238E27FC236}">
              <a16:creationId xmlns:a16="http://schemas.microsoft.com/office/drawing/2014/main" id="{5E9A8985-E8C9-4A91-816F-7AC5FE92EB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09" name="Elipse 4808">
          <a:extLst>
            <a:ext uri="{FF2B5EF4-FFF2-40B4-BE49-F238E27FC236}">
              <a16:creationId xmlns:a16="http://schemas.microsoft.com/office/drawing/2014/main" id="{BCF93788-0580-4B4E-A4FB-EA41E2C03C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0" name="Elipse 4809">
          <a:extLst>
            <a:ext uri="{FF2B5EF4-FFF2-40B4-BE49-F238E27FC236}">
              <a16:creationId xmlns:a16="http://schemas.microsoft.com/office/drawing/2014/main" id="{6BCE62EB-1353-4BFF-B57A-EAD8F828E0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1" name="Elipse 4810">
          <a:extLst>
            <a:ext uri="{FF2B5EF4-FFF2-40B4-BE49-F238E27FC236}">
              <a16:creationId xmlns:a16="http://schemas.microsoft.com/office/drawing/2014/main" id="{82084744-238B-4EC4-81D9-456DBA0FD3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2" name="Elipse 4811">
          <a:extLst>
            <a:ext uri="{FF2B5EF4-FFF2-40B4-BE49-F238E27FC236}">
              <a16:creationId xmlns:a16="http://schemas.microsoft.com/office/drawing/2014/main" id="{DB70632E-9513-43A1-AB75-F7C4190166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3" name="Elipse 4812">
          <a:extLst>
            <a:ext uri="{FF2B5EF4-FFF2-40B4-BE49-F238E27FC236}">
              <a16:creationId xmlns:a16="http://schemas.microsoft.com/office/drawing/2014/main" id="{555A6D2F-EF8D-498D-94AA-D0CAB712A6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4" name="Elipse 4813">
          <a:extLst>
            <a:ext uri="{FF2B5EF4-FFF2-40B4-BE49-F238E27FC236}">
              <a16:creationId xmlns:a16="http://schemas.microsoft.com/office/drawing/2014/main" id="{6F73F583-23E1-46C8-A241-F254315369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5" name="Elipse 4814">
          <a:extLst>
            <a:ext uri="{FF2B5EF4-FFF2-40B4-BE49-F238E27FC236}">
              <a16:creationId xmlns:a16="http://schemas.microsoft.com/office/drawing/2014/main" id="{EBEE6723-5A3F-4BDB-9247-E5EA2208F1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6" name="Elipse 4815">
          <a:extLst>
            <a:ext uri="{FF2B5EF4-FFF2-40B4-BE49-F238E27FC236}">
              <a16:creationId xmlns:a16="http://schemas.microsoft.com/office/drawing/2014/main" id="{B96963B1-2F40-4CA8-A466-2BEEC7B520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7" name="Elipse 4816">
          <a:extLst>
            <a:ext uri="{FF2B5EF4-FFF2-40B4-BE49-F238E27FC236}">
              <a16:creationId xmlns:a16="http://schemas.microsoft.com/office/drawing/2014/main" id="{F84EE5D9-9E2B-423E-A7D1-A130C98583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8" name="Elipse 4817">
          <a:extLst>
            <a:ext uri="{FF2B5EF4-FFF2-40B4-BE49-F238E27FC236}">
              <a16:creationId xmlns:a16="http://schemas.microsoft.com/office/drawing/2014/main" id="{C0CBC5E2-424D-4719-A98C-61E2E40221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19" name="Elipse 4818">
          <a:extLst>
            <a:ext uri="{FF2B5EF4-FFF2-40B4-BE49-F238E27FC236}">
              <a16:creationId xmlns:a16="http://schemas.microsoft.com/office/drawing/2014/main" id="{5C689EE7-11A9-42F9-93AC-EED8EAD44E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0" name="Elipse 4819">
          <a:extLst>
            <a:ext uri="{FF2B5EF4-FFF2-40B4-BE49-F238E27FC236}">
              <a16:creationId xmlns:a16="http://schemas.microsoft.com/office/drawing/2014/main" id="{0EB43C30-9BEF-42DF-8FFF-696EAD2D05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1" name="Elipse 4820">
          <a:extLst>
            <a:ext uri="{FF2B5EF4-FFF2-40B4-BE49-F238E27FC236}">
              <a16:creationId xmlns:a16="http://schemas.microsoft.com/office/drawing/2014/main" id="{38772CFE-C0AE-4C7D-A24F-1072F24F4A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2" name="Elipse 4821">
          <a:extLst>
            <a:ext uri="{FF2B5EF4-FFF2-40B4-BE49-F238E27FC236}">
              <a16:creationId xmlns:a16="http://schemas.microsoft.com/office/drawing/2014/main" id="{49449A35-E48D-4D5B-870B-6D1AC2929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3" name="Elipse 4822">
          <a:extLst>
            <a:ext uri="{FF2B5EF4-FFF2-40B4-BE49-F238E27FC236}">
              <a16:creationId xmlns:a16="http://schemas.microsoft.com/office/drawing/2014/main" id="{B16BE345-CBE7-4E76-AB04-20C96442FC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4" name="Elipse 4823">
          <a:extLst>
            <a:ext uri="{FF2B5EF4-FFF2-40B4-BE49-F238E27FC236}">
              <a16:creationId xmlns:a16="http://schemas.microsoft.com/office/drawing/2014/main" id="{28FAD4E3-4142-4030-BF70-3867A22891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5" name="Elipse 4824">
          <a:extLst>
            <a:ext uri="{FF2B5EF4-FFF2-40B4-BE49-F238E27FC236}">
              <a16:creationId xmlns:a16="http://schemas.microsoft.com/office/drawing/2014/main" id="{8E9C43BE-3B39-4E3B-944F-ECC7DED2D1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6" name="Elipse 4825">
          <a:extLst>
            <a:ext uri="{FF2B5EF4-FFF2-40B4-BE49-F238E27FC236}">
              <a16:creationId xmlns:a16="http://schemas.microsoft.com/office/drawing/2014/main" id="{9601F9E5-E9CC-4BF2-9D02-79718485DD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7" name="Elipse 4826">
          <a:extLst>
            <a:ext uri="{FF2B5EF4-FFF2-40B4-BE49-F238E27FC236}">
              <a16:creationId xmlns:a16="http://schemas.microsoft.com/office/drawing/2014/main" id="{D1D45B1F-466F-4A27-9110-E724CC143F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8" name="Elipse 4827">
          <a:extLst>
            <a:ext uri="{FF2B5EF4-FFF2-40B4-BE49-F238E27FC236}">
              <a16:creationId xmlns:a16="http://schemas.microsoft.com/office/drawing/2014/main" id="{DA32BA59-31AE-404E-95E9-D238150BCC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29" name="Elipse 4828">
          <a:extLst>
            <a:ext uri="{FF2B5EF4-FFF2-40B4-BE49-F238E27FC236}">
              <a16:creationId xmlns:a16="http://schemas.microsoft.com/office/drawing/2014/main" id="{46806B67-0A1E-482F-8CC7-88FEDA1D89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0" name="Elipse 4829">
          <a:extLst>
            <a:ext uri="{FF2B5EF4-FFF2-40B4-BE49-F238E27FC236}">
              <a16:creationId xmlns:a16="http://schemas.microsoft.com/office/drawing/2014/main" id="{5F4FFA4B-9E5B-4C94-8D2A-CAC9FAEDC6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1" name="Elipse 4830">
          <a:extLst>
            <a:ext uri="{FF2B5EF4-FFF2-40B4-BE49-F238E27FC236}">
              <a16:creationId xmlns:a16="http://schemas.microsoft.com/office/drawing/2014/main" id="{B2B8509F-187C-48FD-BFA1-652682680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2" name="Elipse 4831">
          <a:extLst>
            <a:ext uri="{FF2B5EF4-FFF2-40B4-BE49-F238E27FC236}">
              <a16:creationId xmlns:a16="http://schemas.microsoft.com/office/drawing/2014/main" id="{DA2CCFFC-9A32-462B-A977-C1D74B76BA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3" name="Elipse 4832">
          <a:extLst>
            <a:ext uri="{FF2B5EF4-FFF2-40B4-BE49-F238E27FC236}">
              <a16:creationId xmlns:a16="http://schemas.microsoft.com/office/drawing/2014/main" id="{233AE48A-D2B4-4EC5-82D2-EEE17EBAD4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4" name="Elipse 4833">
          <a:extLst>
            <a:ext uri="{FF2B5EF4-FFF2-40B4-BE49-F238E27FC236}">
              <a16:creationId xmlns:a16="http://schemas.microsoft.com/office/drawing/2014/main" id="{ABCCEF16-F9C4-4F50-935F-78D58F223B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5" name="Elipse 4834">
          <a:extLst>
            <a:ext uri="{FF2B5EF4-FFF2-40B4-BE49-F238E27FC236}">
              <a16:creationId xmlns:a16="http://schemas.microsoft.com/office/drawing/2014/main" id="{0E5B68B3-D49F-4F8A-A4F2-7DF297ACB1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6" name="Elipse 4835">
          <a:extLst>
            <a:ext uri="{FF2B5EF4-FFF2-40B4-BE49-F238E27FC236}">
              <a16:creationId xmlns:a16="http://schemas.microsoft.com/office/drawing/2014/main" id="{EF074C27-5222-4FB4-B9EB-8E2AB26423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7" name="Elipse 4836">
          <a:extLst>
            <a:ext uri="{FF2B5EF4-FFF2-40B4-BE49-F238E27FC236}">
              <a16:creationId xmlns:a16="http://schemas.microsoft.com/office/drawing/2014/main" id="{D2F5CBA9-F822-4D8F-9D95-45D69308F5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8" name="Elipse 4837">
          <a:extLst>
            <a:ext uri="{FF2B5EF4-FFF2-40B4-BE49-F238E27FC236}">
              <a16:creationId xmlns:a16="http://schemas.microsoft.com/office/drawing/2014/main" id="{DC6C9D34-F018-41C9-8F79-A4AD2A6A5B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39" name="Elipse 4838">
          <a:extLst>
            <a:ext uri="{FF2B5EF4-FFF2-40B4-BE49-F238E27FC236}">
              <a16:creationId xmlns:a16="http://schemas.microsoft.com/office/drawing/2014/main" id="{A64705FC-BED8-4B00-B688-FC0AEEBD52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0" name="Elipse 4839">
          <a:extLst>
            <a:ext uri="{FF2B5EF4-FFF2-40B4-BE49-F238E27FC236}">
              <a16:creationId xmlns:a16="http://schemas.microsoft.com/office/drawing/2014/main" id="{79FB074C-5017-4195-AA81-10EECE1437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1" name="Elipse 4840">
          <a:extLst>
            <a:ext uri="{FF2B5EF4-FFF2-40B4-BE49-F238E27FC236}">
              <a16:creationId xmlns:a16="http://schemas.microsoft.com/office/drawing/2014/main" id="{C48CE372-3D0F-4E6C-8A4E-EF2A6F1F3B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2" name="Elipse 4841">
          <a:extLst>
            <a:ext uri="{FF2B5EF4-FFF2-40B4-BE49-F238E27FC236}">
              <a16:creationId xmlns:a16="http://schemas.microsoft.com/office/drawing/2014/main" id="{69D97157-F08D-4422-81A5-C6E3AC122E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3" name="Elipse 4842">
          <a:extLst>
            <a:ext uri="{FF2B5EF4-FFF2-40B4-BE49-F238E27FC236}">
              <a16:creationId xmlns:a16="http://schemas.microsoft.com/office/drawing/2014/main" id="{02F2B714-E438-4E1F-AC00-AD8ED935BA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4" name="Elipse 4843">
          <a:extLst>
            <a:ext uri="{FF2B5EF4-FFF2-40B4-BE49-F238E27FC236}">
              <a16:creationId xmlns:a16="http://schemas.microsoft.com/office/drawing/2014/main" id="{8303DE27-6CB9-449B-9E3D-7310505365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5" name="Elipse 4844">
          <a:extLst>
            <a:ext uri="{FF2B5EF4-FFF2-40B4-BE49-F238E27FC236}">
              <a16:creationId xmlns:a16="http://schemas.microsoft.com/office/drawing/2014/main" id="{4546AD5B-E60B-4A62-B6A8-1FD6476157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6" name="Elipse 4845">
          <a:extLst>
            <a:ext uri="{FF2B5EF4-FFF2-40B4-BE49-F238E27FC236}">
              <a16:creationId xmlns:a16="http://schemas.microsoft.com/office/drawing/2014/main" id="{4BD15F43-7360-4F3A-A2ED-2E5EA3D84B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7" name="Elipse 4846">
          <a:extLst>
            <a:ext uri="{FF2B5EF4-FFF2-40B4-BE49-F238E27FC236}">
              <a16:creationId xmlns:a16="http://schemas.microsoft.com/office/drawing/2014/main" id="{282EA5F0-A5A8-445A-9F3D-0C656163C9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8" name="Elipse 4847">
          <a:extLst>
            <a:ext uri="{FF2B5EF4-FFF2-40B4-BE49-F238E27FC236}">
              <a16:creationId xmlns:a16="http://schemas.microsoft.com/office/drawing/2014/main" id="{E7DD4317-3BF1-4FCA-AADF-0412B21C79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49" name="Elipse 4848">
          <a:extLst>
            <a:ext uri="{FF2B5EF4-FFF2-40B4-BE49-F238E27FC236}">
              <a16:creationId xmlns:a16="http://schemas.microsoft.com/office/drawing/2014/main" id="{9CCA21DF-8DD1-44E2-970F-C5714FCD4A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0" name="Elipse 4849">
          <a:extLst>
            <a:ext uri="{FF2B5EF4-FFF2-40B4-BE49-F238E27FC236}">
              <a16:creationId xmlns:a16="http://schemas.microsoft.com/office/drawing/2014/main" id="{92ABA289-BCE6-4A9E-A84C-F372A554A4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1" name="Elipse 4850">
          <a:extLst>
            <a:ext uri="{FF2B5EF4-FFF2-40B4-BE49-F238E27FC236}">
              <a16:creationId xmlns:a16="http://schemas.microsoft.com/office/drawing/2014/main" id="{EB5F9DCB-B2E4-45E6-B488-BA63A0F519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2" name="Elipse 4851">
          <a:extLst>
            <a:ext uri="{FF2B5EF4-FFF2-40B4-BE49-F238E27FC236}">
              <a16:creationId xmlns:a16="http://schemas.microsoft.com/office/drawing/2014/main" id="{164E175D-473D-426C-A73F-9461AFBDC1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3" name="Elipse 4852">
          <a:extLst>
            <a:ext uri="{FF2B5EF4-FFF2-40B4-BE49-F238E27FC236}">
              <a16:creationId xmlns:a16="http://schemas.microsoft.com/office/drawing/2014/main" id="{1FFB18BB-AFB5-4F10-88C0-392406708F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4" name="Elipse 4853">
          <a:extLst>
            <a:ext uri="{FF2B5EF4-FFF2-40B4-BE49-F238E27FC236}">
              <a16:creationId xmlns:a16="http://schemas.microsoft.com/office/drawing/2014/main" id="{CF1D4051-880A-4FD2-9FBF-CE8B2BAB66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5" name="Elipse 4854">
          <a:extLst>
            <a:ext uri="{FF2B5EF4-FFF2-40B4-BE49-F238E27FC236}">
              <a16:creationId xmlns:a16="http://schemas.microsoft.com/office/drawing/2014/main" id="{763B5432-CDAE-4ED2-93F6-781F09C3B9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6" name="Elipse 4855">
          <a:extLst>
            <a:ext uri="{FF2B5EF4-FFF2-40B4-BE49-F238E27FC236}">
              <a16:creationId xmlns:a16="http://schemas.microsoft.com/office/drawing/2014/main" id="{8CA87EAD-5CDB-4D6C-A387-52D355CAE1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7" name="Elipse 4856">
          <a:extLst>
            <a:ext uri="{FF2B5EF4-FFF2-40B4-BE49-F238E27FC236}">
              <a16:creationId xmlns:a16="http://schemas.microsoft.com/office/drawing/2014/main" id="{8827FC17-2276-47A5-9FB1-A0684AF7EC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8" name="Elipse 4857">
          <a:extLst>
            <a:ext uri="{FF2B5EF4-FFF2-40B4-BE49-F238E27FC236}">
              <a16:creationId xmlns:a16="http://schemas.microsoft.com/office/drawing/2014/main" id="{34985C2A-02D7-44A0-9729-CCAC80D2DA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59" name="Elipse 4858">
          <a:extLst>
            <a:ext uri="{FF2B5EF4-FFF2-40B4-BE49-F238E27FC236}">
              <a16:creationId xmlns:a16="http://schemas.microsoft.com/office/drawing/2014/main" id="{26A3794E-79AB-48A5-B916-ED39E86460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0" name="Elipse 4859">
          <a:extLst>
            <a:ext uri="{FF2B5EF4-FFF2-40B4-BE49-F238E27FC236}">
              <a16:creationId xmlns:a16="http://schemas.microsoft.com/office/drawing/2014/main" id="{025FC797-B0B4-481E-9F78-A194A92D6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1" name="Elipse 4860">
          <a:extLst>
            <a:ext uri="{FF2B5EF4-FFF2-40B4-BE49-F238E27FC236}">
              <a16:creationId xmlns:a16="http://schemas.microsoft.com/office/drawing/2014/main" id="{0A5EE06B-8D55-4BAA-95DA-F7A9C34A90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2" name="Elipse 4861">
          <a:extLst>
            <a:ext uri="{FF2B5EF4-FFF2-40B4-BE49-F238E27FC236}">
              <a16:creationId xmlns:a16="http://schemas.microsoft.com/office/drawing/2014/main" id="{D8945D32-FD28-4863-8B9E-863847F68F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3" name="Elipse 4862">
          <a:extLst>
            <a:ext uri="{FF2B5EF4-FFF2-40B4-BE49-F238E27FC236}">
              <a16:creationId xmlns:a16="http://schemas.microsoft.com/office/drawing/2014/main" id="{FAA34C6D-A6BE-4322-B506-B95FBB0BFB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4" name="Elipse 4863">
          <a:extLst>
            <a:ext uri="{FF2B5EF4-FFF2-40B4-BE49-F238E27FC236}">
              <a16:creationId xmlns:a16="http://schemas.microsoft.com/office/drawing/2014/main" id="{9907791A-5290-4A46-9214-2D2B67BD28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5" name="Elipse 4864">
          <a:extLst>
            <a:ext uri="{FF2B5EF4-FFF2-40B4-BE49-F238E27FC236}">
              <a16:creationId xmlns:a16="http://schemas.microsoft.com/office/drawing/2014/main" id="{E143B224-4923-4FF5-BC36-CE3BBB0A09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6" name="Elipse 4865">
          <a:extLst>
            <a:ext uri="{FF2B5EF4-FFF2-40B4-BE49-F238E27FC236}">
              <a16:creationId xmlns:a16="http://schemas.microsoft.com/office/drawing/2014/main" id="{A2ADCC2E-D4B3-46A1-8F55-AC801D8AB4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7" name="Elipse 4866">
          <a:extLst>
            <a:ext uri="{FF2B5EF4-FFF2-40B4-BE49-F238E27FC236}">
              <a16:creationId xmlns:a16="http://schemas.microsoft.com/office/drawing/2014/main" id="{C2B2587C-EF34-42D7-932B-182B8E218A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8" name="Elipse 4867">
          <a:extLst>
            <a:ext uri="{FF2B5EF4-FFF2-40B4-BE49-F238E27FC236}">
              <a16:creationId xmlns:a16="http://schemas.microsoft.com/office/drawing/2014/main" id="{9CDB4ECF-00F0-415F-B3B5-51AF0EC737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69" name="Elipse 4868">
          <a:extLst>
            <a:ext uri="{FF2B5EF4-FFF2-40B4-BE49-F238E27FC236}">
              <a16:creationId xmlns:a16="http://schemas.microsoft.com/office/drawing/2014/main" id="{CF9780DF-950E-45AC-8DEB-753BBEB2A1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0" name="Elipse 4869">
          <a:extLst>
            <a:ext uri="{FF2B5EF4-FFF2-40B4-BE49-F238E27FC236}">
              <a16:creationId xmlns:a16="http://schemas.microsoft.com/office/drawing/2014/main" id="{24034B40-DA96-4DDC-BC7E-B2650BCF47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1" name="Elipse 4870">
          <a:extLst>
            <a:ext uri="{FF2B5EF4-FFF2-40B4-BE49-F238E27FC236}">
              <a16:creationId xmlns:a16="http://schemas.microsoft.com/office/drawing/2014/main" id="{155D154B-C3E4-412E-A17B-3D4F6CC953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2" name="Elipse 4871">
          <a:extLst>
            <a:ext uri="{FF2B5EF4-FFF2-40B4-BE49-F238E27FC236}">
              <a16:creationId xmlns:a16="http://schemas.microsoft.com/office/drawing/2014/main" id="{7806ECBE-9701-4B15-B64B-A4EBB7BF55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3" name="Elipse 4872">
          <a:extLst>
            <a:ext uri="{FF2B5EF4-FFF2-40B4-BE49-F238E27FC236}">
              <a16:creationId xmlns:a16="http://schemas.microsoft.com/office/drawing/2014/main" id="{913BF9E8-72BC-4B4F-9989-62A334727F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4" name="Elipse 4873">
          <a:extLst>
            <a:ext uri="{FF2B5EF4-FFF2-40B4-BE49-F238E27FC236}">
              <a16:creationId xmlns:a16="http://schemas.microsoft.com/office/drawing/2014/main" id="{0666C6D2-8C7D-4D50-9E22-D3D9A3168C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5" name="Elipse 4874">
          <a:extLst>
            <a:ext uri="{FF2B5EF4-FFF2-40B4-BE49-F238E27FC236}">
              <a16:creationId xmlns:a16="http://schemas.microsoft.com/office/drawing/2014/main" id="{77D9E636-B9D6-45AB-A53E-15ABE24E3E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6" name="Elipse 4875">
          <a:extLst>
            <a:ext uri="{FF2B5EF4-FFF2-40B4-BE49-F238E27FC236}">
              <a16:creationId xmlns:a16="http://schemas.microsoft.com/office/drawing/2014/main" id="{A7B279E8-CDCD-4AF3-9BB2-1E46643A35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7" name="Elipse 4876">
          <a:extLst>
            <a:ext uri="{FF2B5EF4-FFF2-40B4-BE49-F238E27FC236}">
              <a16:creationId xmlns:a16="http://schemas.microsoft.com/office/drawing/2014/main" id="{3DD76460-22AA-4B5F-A43B-38ACEEB1C7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8" name="Elipse 4877">
          <a:extLst>
            <a:ext uri="{FF2B5EF4-FFF2-40B4-BE49-F238E27FC236}">
              <a16:creationId xmlns:a16="http://schemas.microsoft.com/office/drawing/2014/main" id="{81B5F256-03FD-4EB7-A2FF-AC9730642F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79" name="Elipse 4878">
          <a:extLst>
            <a:ext uri="{FF2B5EF4-FFF2-40B4-BE49-F238E27FC236}">
              <a16:creationId xmlns:a16="http://schemas.microsoft.com/office/drawing/2014/main" id="{BEDCF76A-9E67-434C-B8EB-A48096A831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0" name="Elipse 4879">
          <a:extLst>
            <a:ext uri="{FF2B5EF4-FFF2-40B4-BE49-F238E27FC236}">
              <a16:creationId xmlns:a16="http://schemas.microsoft.com/office/drawing/2014/main" id="{1198D32A-5167-4FDC-9BDF-98AA1F795F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1" name="Elipse 4880">
          <a:extLst>
            <a:ext uri="{FF2B5EF4-FFF2-40B4-BE49-F238E27FC236}">
              <a16:creationId xmlns:a16="http://schemas.microsoft.com/office/drawing/2014/main" id="{39B9E0E0-3A50-4603-B776-C153A906BA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2" name="Elipse 4881">
          <a:extLst>
            <a:ext uri="{FF2B5EF4-FFF2-40B4-BE49-F238E27FC236}">
              <a16:creationId xmlns:a16="http://schemas.microsoft.com/office/drawing/2014/main" id="{BCDD6B43-79E7-47A6-A24C-E5BD1BAB77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3" name="Elipse 4882">
          <a:extLst>
            <a:ext uri="{FF2B5EF4-FFF2-40B4-BE49-F238E27FC236}">
              <a16:creationId xmlns:a16="http://schemas.microsoft.com/office/drawing/2014/main" id="{E9D6E675-529F-4929-8290-B80E4BA720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4" name="Elipse 4883">
          <a:extLst>
            <a:ext uri="{FF2B5EF4-FFF2-40B4-BE49-F238E27FC236}">
              <a16:creationId xmlns:a16="http://schemas.microsoft.com/office/drawing/2014/main" id="{6D99F85D-969A-4078-B67A-9E17D06187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5" name="Elipse 4884">
          <a:extLst>
            <a:ext uri="{FF2B5EF4-FFF2-40B4-BE49-F238E27FC236}">
              <a16:creationId xmlns:a16="http://schemas.microsoft.com/office/drawing/2014/main" id="{C340218D-300D-4169-A41E-FD4395E726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6" name="Elipse 4885">
          <a:extLst>
            <a:ext uri="{FF2B5EF4-FFF2-40B4-BE49-F238E27FC236}">
              <a16:creationId xmlns:a16="http://schemas.microsoft.com/office/drawing/2014/main" id="{B21AD95A-A783-4A24-91CA-FA38160315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7" name="Elipse 4886">
          <a:extLst>
            <a:ext uri="{FF2B5EF4-FFF2-40B4-BE49-F238E27FC236}">
              <a16:creationId xmlns:a16="http://schemas.microsoft.com/office/drawing/2014/main" id="{34C5DCCE-61B7-4137-9157-D380C82F74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8" name="Elipse 4887">
          <a:extLst>
            <a:ext uri="{FF2B5EF4-FFF2-40B4-BE49-F238E27FC236}">
              <a16:creationId xmlns:a16="http://schemas.microsoft.com/office/drawing/2014/main" id="{61AB7990-67DD-44CE-A029-5CE8D117B5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89" name="Elipse 4888">
          <a:extLst>
            <a:ext uri="{FF2B5EF4-FFF2-40B4-BE49-F238E27FC236}">
              <a16:creationId xmlns:a16="http://schemas.microsoft.com/office/drawing/2014/main" id="{8B563018-ABFF-49E2-89A9-CC05A9D3C6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0" name="Elipse 4889">
          <a:extLst>
            <a:ext uri="{FF2B5EF4-FFF2-40B4-BE49-F238E27FC236}">
              <a16:creationId xmlns:a16="http://schemas.microsoft.com/office/drawing/2014/main" id="{27BC783A-8C7E-4AB1-8A43-E6945C051D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1" name="Elipse 4890">
          <a:extLst>
            <a:ext uri="{FF2B5EF4-FFF2-40B4-BE49-F238E27FC236}">
              <a16:creationId xmlns:a16="http://schemas.microsoft.com/office/drawing/2014/main" id="{C53D36AB-47B9-4706-97A6-DA7911473D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2" name="Elipse 4891">
          <a:extLst>
            <a:ext uri="{FF2B5EF4-FFF2-40B4-BE49-F238E27FC236}">
              <a16:creationId xmlns:a16="http://schemas.microsoft.com/office/drawing/2014/main" id="{E4FA8610-87E4-4C35-8D8D-EA69FA4083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3" name="Elipse 4892">
          <a:extLst>
            <a:ext uri="{FF2B5EF4-FFF2-40B4-BE49-F238E27FC236}">
              <a16:creationId xmlns:a16="http://schemas.microsoft.com/office/drawing/2014/main" id="{C88CE080-0E98-4D40-BF9D-B75BC0BF40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4" name="Elipse 4893">
          <a:extLst>
            <a:ext uri="{FF2B5EF4-FFF2-40B4-BE49-F238E27FC236}">
              <a16:creationId xmlns:a16="http://schemas.microsoft.com/office/drawing/2014/main" id="{BFA693F3-0A40-4D90-ABBE-5C983873F0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5" name="Elipse 4894">
          <a:extLst>
            <a:ext uri="{FF2B5EF4-FFF2-40B4-BE49-F238E27FC236}">
              <a16:creationId xmlns:a16="http://schemas.microsoft.com/office/drawing/2014/main" id="{FC31CDF1-5E1B-4442-98F1-D48D112CBF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6" name="Elipse 4895">
          <a:extLst>
            <a:ext uri="{FF2B5EF4-FFF2-40B4-BE49-F238E27FC236}">
              <a16:creationId xmlns:a16="http://schemas.microsoft.com/office/drawing/2014/main" id="{C4857EC2-B19E-4F35-9A51-982681F71F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7" name="Elipse 4896">
          <a:extLst>
            <a:ext uri="{FF2B5EF4-FFF2-40B4-BE49-F238E27FC236}">
              <a16:creationId xmlns:a16="http://schemas.microsoft.com/office/drawing/2014/main" id="{64B6F2EF-E582-4089-AE12-0B575226BF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8" name="Elipse 4897">
          <a:extLst>
            <a:ext uri="{FF2B5EF4-FFF2-40B4-BE49-F238E27FC236}">
              <a16:creationId xmlns:a16="http://schemas.microsoft.com/office/drawing/2014/main" id="{E6AD345D-78DD-4E89-9B54-CDC1AC0915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899" name="Elipse 4898">
          <a:extLst>
            <a:ext uri="{FF2B5EF4-FFF2-40B4-BE49-F238E27FC236}">
              <a16:creationId xmlns:a16="http://schemas.microsoft.com/office/drawing/2014/main" id="{620D7483-1A57-4C84-8B0C-239C4EEC8F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0" name="Elipse 4899">
          <a:extLst>
            <a:ext uri="{FF2B5EF4-FFF2-40B4-BE49-F238E27FC236}">
              <a16:creationId xmlns:a16="http://schemas.microsoft.com/office/drawing/2014/main" id="{2FF033B8-E802-4D38-BFAA-3394CEDE48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1" name="Elipse 4900">
          <a:extLst>
            <a:ext uri="{FF2B5EF4-FFF2-40B4-BE49-F238E27FC236}">
              <a16:creationId xmlns:a16="http://schemas.microsoft.com/office/drawing/2014/main" id="{008D80C6-75BA-427A-8A01-BEC55A6B43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2" name="Elipse 4901">
          <a:extLst>
            <a:ext uri="{FF2B5EF4-FFF2-40B4-BE49-F238E27FC236}">
              <a16:creationId xmlns:a16="http://schemas.microsoft.com/office/drawing/2014/main" id="{E9B6B150-F23F-463D-A066-2740DCE425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3" name="Elipse 4902">
          <a:extLst>
            <a:ext uri="{FF2B5EF4-FFF2-40B4-BE49-F238E27FC236}">
              <a16:creationId xmlns:a16="http://schemas.microsoft.com/office/drawing/2014/main" id="{30C3F768-2F3D-433F-B199-7084285037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4" name="Elipse 4903">
          <a:extLst>
            <a:ext uri="{FF2B5EF4-FFF2-40B4-BE49-F238E27FC236}">
              <a16:creationId xmlns:a16="http://schemas.microsoft.com/office/drawing/2014/main" id="{65FA6BD9-4C51-42C3-A90F-36D088AD0C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5" name="Elipse 4904">
          <a:extLst>
            <a:ext uri="{FF2B5EF4-FFF2-40B4-BE49-F238E27FC236}">
              <a16:creationId xmlns:a16="http://schemas.microsoft.com/office/drawing/2014/main" id="{870621BF-622A-49D2-8299-240709BA83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6" name="Elipse 4905">
          <a:extLst>
            <a:ext uri="{FF2B5EF4-FFF2-40B4-BE49-F238E27FC236}">
              <a16:creationId xmlns:a16="http://schemas.microsoft.com/office/drawing/2014/main" id="{BB656EC0-593B-4D15-8F7A-EA8DB566D4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7" name="Elipse 4906">
          <a:extLst>
            <a:ext uri="{FF2B5EF4-FFF2-40B4-BE49-F238E27FC236}">
              <a16:creationId xmlns:a16="http://schemas.microsoft.com/office/drawing/2014/main" id="{64F7BA5B-C62A-463B-849B-4ACA7BFFF7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8" name="Elipse 4907">
          <a:extLst>
            <a:ext uri="{FF2B5EF4-FFF2-40B4-BE49-F238E27FC236}">
              <a16:creationId xmlns:a16="http://schemas.microsoft.com/office/drawing/2014/main" id="{405237CF-D44D-4F38-B2EF-B44E6BCD93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09" name="Elipse 4908">
          <a:extLst>
            <a:ext uri="{FF2B5EF4-FFF2-40B4-BE49-F238E27FC236}">
              <a16:creationId xmlns:a16="http://schemas.microsoft.com/office/drawing/2014/main" id="{30C87776-3B04-4C93-890E-313D84567C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0" name="Elipse 4909">
          <a:extLst>
            <a:ext uri="{FF2B5EF4-FFF2-40B4-BE49-F238E27FC236}">
              <a16:creationId xmlns:a16="http://schemas.microsoft.com/office/drawing/2014/main" id="{6ABA52B8-F3FA-4A46-B5C7-72C679138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1" name="Elipse 4910">
          <a:extLst>
            <a:ext uri="{FF2B5EF4-FFF2-40B4-BE49-F238E27FC236}">
              <a16:creationId xmlns:a16="http://schemas.microsoft.com/office/drawing/2014/main" id="{983D83C1-F826-46D8-9E1B-419C91036D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2" name="Elipse 4911">
          <a:extLst>
            <a:ext uri="{FF2B5EF4-FFF2-40B4-BE49-F238E27FC236}">
              <a16:creationId xmlns:a16="http://schemas.microsoft.com/office/drawing/2014/main" id="{C935A282-481D-4396-8590-BB9B2C4658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3" name="Elipse 4912">
          <a:extLst>
            <a:ext uri="{FF2B5EF4-FFF2-40B4-BE49-F238E27FC236}">
              <a16:creationId xmlns:a16="http://schemas.microsoft.com/office/drawing/2014/main" id="{B082E7AD-DB6D-4078-B625-35769B2E69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4" name="Elipse 4913">
          <a:extLst>
            <a:ext uri="{FF2B5EF4-FFF2-40B4-BE49-F238E27FC236}">
              <a16:creationId xmlns:a16="http://schemas.microsoft.com/office/drawing/2014/main" id="{2A60BF5D-7729-4135-A458-59812E0FEB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5" name="Elipse 4914">
          <a:extLst>
            <a:ext uri="{FF2B5EF4-FFF2-40B4-BE49-F238E27FC236}">
              <a16:creationId xmlns:a16="http://schemas.microsoft.com/office/drawing/2014/main" id="{50902ED6-787D-442B-9D46-2E9384E8B7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6" name="Elipse 4915">
          <a:extLst>
            <a:ext uri="{FF2B5EF4-FFF2-40B4-BE49-F238E27FC236}">
              <a16:creationId xmlns:a16="http://schemas.microsoft.com/office/drawing/2014/main" id="{5544BC70-2D05-4792-862E-3BC3A1F139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7" name="Elipse 4916">
          <a:extLst>
            <a:ext uri="{FF2B5EF4-FFF2-40B4-BE49-F238E27FC236}">
              <a16:creationId xmlns:a16="http://schemas.microsoft.com/office/drawing/2014/main" id="{06E67C23-5B4F-423C-94E1-A9E48E5FE3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8" name="Elipse 4917">
          <a:extLst>
            <a:ext uri="{FF2B5EF4-FFF2-40B4-BE49-F238E27FC236}">
              <a16:creationId xmlns:a16="http://schemas.microsoft.com/office/drawing/2014/main" id="{BE516C85-1B81-4B86-9CB8-2281E0AB44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19" name="Elipse 4918">
          <a:extLst>
            <a:ext uri="{FF2B5EF4-FFF2-40B4-BE49-F238E27FC236}">
              <a16:creationId xmlns:a16="http://schemas.microsoft.com/office/drawing/2014/main" id="{705DBB86-47AF-4C6A-BDD7-9CDEC332EB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0" name="Elipse 4919">
          <a:extLst>
            <a:ext uri="{FF2B5EF4-FFF2-40B4-BE49-F238E27FC236}">
              <a16:creationId xmlns:a16="http://schemas.microsoft.com/office/drawing/2014/main" id="{3432B6CF-9946-45B2-AD16-E9394E8A93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1" name="Elipse 4920">
          <a:extLst>
            <a:ext uri="{FF2B5EF4-FFF2-40B4-BE49-F238E27FC236}">
              <a16:creationId xmlns:a16="http://schemas.microsoft.com/office/drawing/2014/main" id="{7862FD60-997A-4F41-B4FF-0850F1E3A1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2" name="Elipse 4921">
          <a:extLst>
            <a:ext uri="{FF2B5EF4-FFF2-40B4-BE49-F238E27FC236}">
              <a16:creationId xmlns:a16="http://schemas.microsoft.com/office/drawing/2014/main" id="{804D2220-0EB9-4D1B-8EDE-7CAE2D4090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3" name="Elipse 4922">
          <a:extLst>
            <a:ext uri="{FF2B5EF4-FFF2-40B4-BE49-F238E27FC236}">
              <a16:creationId xmlns:a16="http://schemas.microsoft.com/office/drawing/2014/main" id="{EFB70745-F30A-4E73-8435-E5486BE403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4" name="Elipse 4923">
          <a:extLst>
            <a:ext uri="{FF2B5EF4-FFF2-40B4-BE49-F238E27FC236}">
              <a16:creationId xmlns:a16="http://schemas.microsoft.com/office/drawing/2014/main" id="{3D8B1EE9-2BFE-49D4-B86F-E423794ED1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5" name="Elipse 4924">
          <a:extLst>
            <a:ext uri="{FF2B5EF4-FFF2-40B4-BE49-F238E27FC236}">
              <a16:creationId xmlns:a16="http://schemas.microsoft.com/office/drawing/2014/main" id="{87536BB7-0C3E-4113-916B-74349F5FEA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6" name="Elipse 4925">
          <a:extLst>
            <a:ext uri="{FF2B5EF4-FFF2-40B4-BE49-F238E27FC236}">
              <a16:creationId xmlns:a16="http://schemas.microsoft.com/office/drawing/2014/main" id="{58E8B593-CA8C-46BF-9AB2-C739F5091A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7" name="Elipse 4926">
          <a:extLst>
            <a:ext uri="{FF2B5EF4-FFF2-40B4-BE49-F238E27FC236}">
              <a16:creationId xmlns:a16="http://schemas.microsoft.com/office/drawing/2014/main" id="{3D1AD90B-11B1-43C0-8714-83355D2F04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8" name="Elipse 4927">
          <a:extLst>
            <a:ext uri="{FF2B5EF4-FFF2-40B4-BE49-F238E27FC236}">
              <a16:creationId xmlns:a16="http://schemas.microsoft.com/office/drawing/2014/main" id="{D32D4626-8A02-434B-A562-AB9720939F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29" name="Elipse 4928">
          <a:extLst>
            <a:ext uri="{FF2B5EF4-FFF2-40B4-BE49-F238E27FC236}">
              <a16:creationId xmlns:a16="http://schemas.microsoft.com/office/drawing/2014/main" id="{033721A7-F2A7-4816-8D14-47C9E373D2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0" name="Elipse 4929">
          <a:extLst>
            <a:ext uri="{FF2B5EF4-FFF2-40B4-BE49-F238E27FC236}">
              <a16:creationId xmlns:a16="http://schemas.microsoft.com/office/drawing/2014/main" id="{A5A8E198-5852-4050-B478-3D9DE04C24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1" name="Elipse 4930">
          <a:extLst>
            <a:ext uri="{FF2B5EF4-FFF2-40B4-BE49-F238E27FC236}">
              <a16:creationId xmlns:a16="http://schemas.microsoft.com/office/drawing/2014/main" id="{168D45AD-37F8-47CC-B8E2-051416A60A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2" name="Elipse 4931">
          <a:extLst>
            <a:ext uri="{FF2B5EF4-FFF2-40B4-BE49-F238E27FC236}">
              <a16:creationId xmlns:a16="http://schemas.microsoft.com/office/drawing/2014/main" id="{AACD745D-7320-4977-8303-B2BCB8A9E3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3" name="Elipse 4932">
          <a:extLst>
            <a:ext uri="{FF2B5EF4-FFF2-40B4-BE49-F238E27FC236}">
              <a16:creationId xmlns:a16="http://schemas.microsoft.com/office/drawing/2014/main" id="{EACFFF40-DB98-440D-A4ED-012BABA1E0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4" name="Elipse 4933">
          <a:extLst>
            <a:ext uri="{FF2B5EF4-FFF2-40B4-BE49-F238E27FC236}">
              <a16:creationId xmlns:a16="http://schemas.microsoft.com/office/drawing/2014/main" id="{CBF42355-54A0-4E8C-BC21-AA7397DA71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5" name="Elipse 4934">
          <a:extLst>
            <a:ext uri="{FF2B5EF4-FFF2-40B4-BE49-F238E27FC236}">
              <a16:creationId xmlns:a16="http://schemas.microsoft.com/office/drawing/2014/main" id="{6E43CB78-31A3-419A-AD7B-F2F5AF5667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6" name="Elipse 4935">
          <a:extLst>
            <a:ext uri="{FF2B5EF4-FFF2-40B4-BE49-F238E27FC236}">
              <a16:creationId xmlns:a16="http://schemas.microsoft.com/office/drawing/2014/main" id="{5881E76B-2F15-4FAB-8208-5A185F222A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7" name="Elipse 4936">
          <a:extLst>
            <a:ext uri="{FF2B5EF4-FFF2-40B4-BE49-F238E27FC236}">
              <a16:creationId xmlns:a16="http://schemas.microsoft.com/office/drawing/2014/main" id="{944D87F7-4F69-4577-A9EE-881C25C8CD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8" name="Elipse 4937">
          <a:extLst>
            <a:ext uri="{FF2B5EF4-FFF2-40B4-BE49-F238E27FC236}">
              <a16:creationId xmlns:a16="http://schemas.microsoft.com/office/drawing/2014/main" id="{364BA1D6-CA81-4FB5-8BF3-7E1E2E43B1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39" name="Elipse 4938">
          <a:extLst>
            <a:ext uri="{FF2B5EF4-FFF2-40B4-BE49-F238E27FC236}">
              <a16:creationId xmlns:a16="http://schemas.microsoft.com/office/drawing/2014/main" id="{5BA64027-00EE-4359-BE4C-1BBFB9865D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0" name="Elipse 4939">
          <a:extLst>
            <a:ext uri="{FF2B5EF4-FFF2-40B4-BE49-F238E27FC236}">
              <a16:creationId xmlns:a16="http://schemas.microsoft.com/office/drawing/2014/main" id="{623605A1-910F-40E2-BCA2-19FBA6F7C7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1" name="Elipse 4940">
          <a:extLst>
            <a:ext uri="{FF2B5EF4-FFF2-40B4-BE49-F238E27FC236}">
              <a16:creationId xmlns:a16="http://schemas.microsoft.com/office/drawing/2014/main" id="{236826EB-986F-4D33-8713-D0C8390D5F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2" name="Elipse 4941">
          <a:extLst>
            <a:ext uri="{FF2B5EF4-FFF2-40B4-BE49-F238E27FC236}">
              <a16:creationId xmlns:a16="http://schemas.microsoft.com/office/drawing/2014/main" id="{4BD929E7-A741-4846-9CC3-71253095D0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3" name="Elipse 4942">
          <a:extLst>
            <a:ext uri="{FF2B5EF4-FFF2-40B4-BE49-F238E27FC236}">
              <a16:creationId xmlns:a16="http://schemas.microsoft.com/office/drawing/2014/main" id="{6576354E-28D2-4398-80FF-E0A9F0D62A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4" name="Elipse 4943">
          <a:extLst>
            <a:ext uri="{FF2B5EF4-FFF2-40B4-BE49-F238E27FC236}">
              <a16:creationId xmlns:a16="http://schemas.microsoft.com/office/drawing/2014/main" id="{7B9FC67B-A474-466B-BD66-98E3DAE785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5" name="Elipse 4944">
          <a:extLst>
            <a:ext uri="{FF2B5EF4-FFF2-40B4-BE49-F238E27FC236}">
              <a16:creationId xmlns:a16="http://schemas.microsoft.com/office/drawing/2014/main" id="{C973FFB4-E628-49D7-8651-1265BF7751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6" name="Elipse 4945">
          <a:extLst>
            <a:ext uri="{FF2B5EF4-FFF2-40B4-BE49-F238E27FC236}">
              <a16:creationId xmlns:a16="http://schemas.microsoft.com/office/drawing/2014/main" id="{ED8E7C17-F22E-4896-BC97-543E550D2D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7" name="Elipse 4946">
          <a:extLst>
            <a:ext uri="{FF2B5EF4-FFF2-40B4-BE49-F238E27FC236}">
              <a16:creationId xmlns:a16="http://schemas.microsoft.com/office/drawing/2014/main" id="{4CE5E17A-4F3B-449A-9B8D-83C66C56ED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8" name="Elipse 4947">
          <a:extLst>
            <a:ext uri="{FF2B5EF4-FFF2-40B4-BE49-F238E27FC236}">
              <a16:creationId xmlns:a16="http://schemas.microsoft.com/office/drawing/2014/main" id="{B93A5092-C54F-4664-B15B-57B9CBA44D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49" name="Elipse 4948">
          <a:extLst>
            <a:ext uri="{FF2B5EF4-FFF2-40B4-BE49-F238E27FC236}">
              <a16:creationId xmlns:a16="http://schemas.microsoft.com/office/drawing/2014/main" id="{87BB3008-7C8B-4DD2-9BD8-A281BFE0FD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0" name="Elipse 4949">
          <a:extLst>
            <a:ext uri="{FF2B5EF4-FFF2-40B4-BE49-F238E27FC236}">
              <a16:creationId xmlns:a16="http://schemas.microsoft.com/office/drawing/2014/main" id="{9713BAEE-D443-4F61-9CD5-BE339BA608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1" name="Elipse 4950">
          <a:extLst>
            <a:ext uri="{FF2B5EF4-FFF2-40B4-BE49-F238E27FC236}">
              <a16:creationId xmlns:a16="http://schemas.microsoft.com/office/drawing/2014/main" id="{6694FD75-404A-402A-8257-903FBCCAF2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2" name="Elipse 4951">
          <a:extLst>
            <a:ext uri="{FF2B5EF4-FFF2-40B4-BE49-F238E27FC236}">
              <a16:creationId xmlns:a16="http://schemas.microsoft.com/office/drawing/2014/main" id="{46B089E1-6552-4B29-A447-7D603C139C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3" name="Elipse 4952">
          <a:extLst>
            <a:ext uri="{FF2B5EF4-FFF2-40B4-BE49-F238E27FC236}">
              <a16:creationId xmlns:a16="http://schemas.microsoft.com/office/drawing/2014/main" id="{7B9AB7EB-24A3-4590-AD19-046CDE61FE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4" name="Elipse 4953">
          <a:extLst>
            <a:ext uri="{FF2B5EF4-FFF2-40B4-BE49-F238E27FC236}">
              <a16:creationId xmlns:a16="http://schemas.microsoft.com/office/drawing/2014/main" id="{8A995281-A134-4670-A1C5-EB49D0ABC9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5" name="Elipse 4954">
          <a:extLst>
            <a:ext uri="{FF2B5EF4-FFF2-40B4-BE49-F238E27FC236}">
              <a16:creationId xmlns:a16="http://schemas.microsoft.com/office/drawing/2014/main" id="{82CCAEF0-C6EA-41E0-A7B1-A76CA0DD0E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6" name="Elipse 4955">
          <a:extLst>
            <a:ext uri="{FF2B5EF4-FFF2-40B4-BE49-F238E27FC236}">
              <a16:creationId xmlns:a16="http://schemas.microsoft.com/office/drawing/2014/main" id="{E56DB1F6-8CC7-4443-8334-06078B03A5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7" name="Elipse 4956">
          <a:extLst>
            <a:ext uri="{FF2B5EF4-FFF2-40B4-BE49-F238E27FC236}">
              <a16:creationId xmlns:a16="http://schemas.microsoft.com/office/drawing/2014/main" id="{906B6FBE-2E24-43B7-AD41-2249F9BC8F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8" name="Elipse 4957">
          <a:extLst>
            <a:ext uri="{FF2B5EF4-FFF2-40B4-BE49-F238E27FC236}">
              <a16:creationId xmlns:a16="http://schemas.microsoft.com/office/drawing/2014/main" id="{C4E81650-544E-4593-9458-745315C22F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59" name="Elipse 4958">
          <a:extLst>
            <a:ext uri="{FF2B5EF4-FFF2-40B4-BE49-F238E27FC236}">
              <a16:creationId xmlns:a16="http://schemas.microsoft.com/office/drawing/2014/main" id="{7EC7A7C0-B888-4BDC-B396-F370820480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0" name="Elipse 4959">
          <a:extLst>
            <a:ext uri="{FF2B5EF4-FFF2-40B4-BE49-F238E27FC236}">
              <a16:creationId xmlns:a16="http://schemas.microsoft.com/office/drawing/2014/main" id="{584A13AD-1310-4BB2-86DB-C22360649D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1" name="Elipse 4960">
          <a:extLst>
            <a:ext uri="{FF2B5EF4-FFF2-40B4-BE49-F238E27FC236}">
              <a16:creationId xmlns:a16="http://schemas.microsoft.com/office/drawing/2014/main" id="{7A3E877E-ABB7-4A31-B8B7-21B9A2CC0B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2" name="Elipse 4961">
          <a:extLst>
            <a:ext uri="{FF2B5EF4-FFF2-40B4-BE49-F238E27FC236}">
              <a16:creationId xmlns:a16="http://schemas.microsoft.com/office/drawing/2014/main" id="{62910570-6268-4BBC-BDE9-DE8E5395D4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3" name="Elipse 4962">
          <a:extLst>
            <a:ext uri="{FF2B5EF4-FFF2-40B4-BE49-F238E27FC236}">
              <a16:creationId xmlns:a16="http://schemas.microsoft.com/office/drawing/2014/main" id="{C103BA76-092F-4319-A558-177C7A242A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4" name="Elipse 4963">
          <a:extLst>
            <a:ext uri="{FF2B5EF4-FFF2-40B4-BE49-F238E27FC236}">
              <a16:creationId xmlns:a16="http://schemas.microsoft.com/office/drawing/2014/main" id="{75F06927-42E2-4F23-A01B-A6ED5C5149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5" name="Elipse 4964">
          <a:extLst>
            <a:ext uri="{FF2B5EF4-FFF2-40B4-BE49-F238E27FC236}">
              <a16:creationId xmlns:a16="http://schemas.microsoft.com/office/drawing/2014/main" id="{D2A06510-C344-4BD5-911B-F7CD7F149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6" name="Elipse 4965">
          <a:extLst>
            <a:ext uri="{FF2B5EF4-FFF2-40B4-BE49-F238E27FC236}">
              <a16:creationId xmlns:a16="http://schemas.microsoft.com/office/drawing/2014/main" id="{5A4FB132-2222-49D0-AA2A-C84FCBADF4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7" name="Elipse 4966">
          <a:extLst>
            <a:ext uri="{FF2B5EF4-FFF2-40B4-BE49-F238E27FC236}">
              <a16:creationId xmlns:a16="http://schemas.microsoft.com/office/drawing/2014/main" id="{787D80E3-1C8E-4297-A1C5-19D575604B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8" name="Elipse 4967">
          <a:extLst>
            <a:ext uri="{FF2B5EF4-FFF2-40B4-BE49-F238E27FC236}">
              <a16:creationId xmlns:a16="http://schemas.microsoft.com/office/drawing/2014/main" id="{4CF5A3DB-FB13-4AA5-856F-EC911C4417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69" name="Elipse 4968">
          <a:extLst>
            <a:ext uri="{FF2B5EF4-FFF2-40B4-BE49-F238E27FC236}">
              <a16:creationId xmlns:a16="http://schemas.microsoft.com/office/drawing/2014/main" id="{0CDBF96D-CF13-45A3-9465-BC6CEC309C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0" name="Elipse 4969">
          <a:extLst>
            <a:ext uri="{FF2B5EF4-FFF2-40B4-BE49-F238E27FC236}">
              <a16:creationId xmlns:a16="http://schemas.microsoft.com/office/drawing/2014/main" id="{5ACF9F56-DAC4-404C-9C4E-60C6ECF671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1" name="Elipse 4970">
          <a:extLst>
            <a:ext uri="{FF2B5EF4-FFF2-40B4-BE49-F238E27FC236}">
              <a16:creationId xmlns:a16="http://schemas.microsoft.com/office/drawing/2014/main" id="{1E04A82A-75E0-4E2C-888B-F016FFEE76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2" name="Elipse 4971">
          <a:extLst>
            <a:ext uri="{FF2B5EF4-FFF2-40B4-BE49-F238E27FC236}">
              <a16:creationId xmlns:a16="http://schemas.microsoft.com/office/drawing/2014/main" id="{C87034C2-3D0F-4037-BA5F-A37D420D54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3" name="Elipse 4972">
          <a:extLst>
            <a:ext uri="{FF2B5EF4-FFF2-40B4-BE49-F238E27FC236}">
              <a16:creationId xmlns:a16="http://schemas.microsoft.com/office/drawing/2014/main" id="{84BC510D-7915-4FF0-9A8F-6CBF2CBBCB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4" name="Elipse 4973">
          <a:extLst>
            <a:ext uri="{FF2B5EF4-FFF2-40B4-BE49-F238E27FC236}">
              <a16:creationId xmlns:a16="http://schemas.microsoft.com/office/drawing/2014/main" id="{8203F8EA-8621-406C-AF55-A794AF6051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5" name="Elipse 4974">
          <a:extLst>
            <a:ext uri="{FF2B5EF4-FFF2-40B4-BE49-F238E27FC236}">
              <a16:creationId xmlns:a16="http://schemas.microsoft.com/office/drawing/2014/main" id="{58716193-C409-4805-A7BF-87BB986329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6" name="Elipse 4975">
          <a:extLst>
            <a:ext uri="{FF2B5EF4-FFF2-40B4-BE49-F238E27FC236}">
              <a16:creationId xmlns:a16="http://schemas.microsoft.com/office/drawing/2014/main" id="{4FB4B165-7E10-48F3-A455-F9EAE5D789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7" name="Elipse 4976">
          <a:extLst>
            <a:ext uri="{FF2B5EF4-FFF2-40B4-BE49-F238E27FC236}">
              <a16:creationId xmlns:a16="http://schemas.microsoft.com/office/drawing/2014/main" id="{81BDD150-2A6F-49DB-8CC5-23D97BA6F2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8" name="Elipse 4977">
          <a:extLst>
            <a:ext uri="{FF2B5EF4-FFF2-40B4-BE49-F238E27FC236}">
              <a16:creationId xmlns:a16="http://schemas.microsoft.com/office/drawing/2014/main" id="{91C02B0B-D6BD-4751-B9DA-45C171F7C9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79" name="Elipse 4978">
          <a:extLst>
            <a:ext uri="{FF2B5EF4-FFF2-40B4-BE49-F238E27FC236}">
              <a16:creationId xmlns:a16="http://schemas.microsoft.com/office/drawing/2014/main" id="{53B495D8-0C62-405D-95E3-8B4245ED98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0" name="Elipse 4979">
          <a:extLst>
            <a:ext uri="{FF2B5EF4-FFF2-40B4-BE49-F238E27FC236}">
              <a16:creationId xmlns:a16="http://schemas.microsoft.com/office/drawing/2014/main" id="{A560F9FB-47F3-45D7-8FA1-45C0FD75B5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1" name="Elipse 4980">
          <a:extLst>
            <a:ext uri="{FF2B5EF4-FFF2-40B4-BE49-F238E27FC236}">
              <a16:creationId xmlns:a16="http://schemas.microsoft.com/office/drawing/2014/main" id="{56C1051E-5157-4BF4-998D-EDD91B83CB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2" name="Elipse 4981">
          <a:extLst>
            <a:ext uri="{FF2B5EF4-FFF2-40B4-BE49-F238E27FC236}">
              <a16:creationId xmlns:a16="http://schemas.microsoft.com/office/drawing/2014/main" id="{9A0BCC5E-792E-4E8B-857D-A64D3351EC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3" name="Elipse 4982">
          <a:extLst>
            <a:ext uri="{FF2B5EF4-FFF2-40B4-BE49-F238E27FC236}">
              <a16:creationId xmlns:a16="http://schemas.microsoft.com/office/drawing/2014/main" id="{7972E694-99A7-422E-8498-A55D224906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4" name="Elipse 4983">
          <a:extLst>
            <a:ext uri="{FF2B5EF4-FFF2-40B4-BE49-F238E27FC236}">
              <a16:creationId xmlns:a16="http://schemas.microsoft.com/office/drawing/2014/main" id="{DA7FFF7D-29A3-4D3F-BB15-411FCF9AE5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5" name="Elipse 4984">
          <a:extLst>
            <a:ext uri="{FF2B5EF4-FFF2-40B4-BE49-F238E27FC236}">
              <a16:creationId xmlns:a16="http://schemas.microsoft.com/office/drawing/2014/main" id="{1922382E-C3CC-4698-91E4-713C28C787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6" name="Elipse 4985">
          <a:extLst>
            <a:ext uri="{FF2B5EF4-FFF2-40B4-BE49-F238E27FC236}">
              <a16:creationId xmlns:a16="http://schemas.microsoft.com/office/drawing/2014/main" id="{B2E36F6E-C8B3-4973-BDC5-AEBAF8C906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7" name="Elipse 4986">
          <a:extLst>
            <a:ext uri="{FF2B5EF4-FFF2-40B4-BE49-F238E27FC236}">
              <a16:creationId xmlns:a16="http://schemas.microsoft.com/office/drawing/2014/main" id="{A7157FFF-AF07-49DB-9C3B-48B4982995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8" name="Elipse 4987">
          <a:extLst>
            <a:ext uri="{FF2B5EF4-FFF2-40B4-BE49-F238E27FC236}">
              <a16:creationId xmlns:a16="http://schemas.microsoft.com/office/drawing/2014/main" id="{70DFB4CB-CB03-4472-A576-74BCF71C1A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89" name="Elipse 4988">
          <a:extLst>
            <a:ext uri="{FF2B5EF4-FFF2-40B4-BE49-F238E27FC236}">
              <a16:creationId xmlns:a16="http://schemas.microsoft.com/office/drawing/2014/main" id="{185198E0-672F-4D25-B2A0-CD00072323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0" name="Elipse 4989">
          <a:extLst>
            <a:ext uri="{FF2B5EF4-FFF2-40B4-BE49-F238E27FC236}">
              <a16:creationId xmlns:a16="http://schemas.microsoft.com/office/drawing/2014/main" id="{17C9691E-84C3-4CEA-A8C2-380866A7CC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1" name="Elipse 4990">
          <a:extLst>
            <a:ext uri="{FF2B5EF4-FFF2-40B4-BE49-F238E27FC236}">
              <a16:creationId xmlns:a16="http://schemas.microsoft.com/office/drawing/2014/main" id="{F87B56F3-6404-4BA1-ADE0-482A0CC08A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2" name="Elipse 4991">
          <a:extLst>
            <a:ext uri="{FF2B5EF4-FFF2-40B4-BE49-F238E27FC236}">
              <a16:creationId xmlns:a16="http://schemas.microsoft.com/office/drawing/2014/main" id="{4CC6A863-3715-4829-8128-DFF4E45A76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3" name="Elipse 4992">
          <a:extLst>
            <a:ext uri="{FF2B5EF4-FFF2-40B4-BE49-F238E27FC236}">
              <a16:creationId xmlns:a16="http://schemas.microsoft.com/office/drawing/2014/main" id="{C9CF4986-D8AC-4E1F-A5F2-C7B7B1F7AF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4" name="Elipse 4993">
          <a:extLst>
            <a:ext uri="{FF2B5EF4-FFF2-40B4-BE49-F238E27FC236}">
              <a16:creationId xmlns:a16="http://schemas.microsoft.com/office/drawing/2014/main" id="{1B7FE25A-C948-42B6-95D1-95DED09FCB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5" name="Elipse 4994">
          <a:extLst>
            <a:ext uri="{FF2B5EF4-FFF2-40B4-BE49-F238E27FC236}">
              <a16:creationId xmlns:a16="http://schemas.microsoft.com/office/drawing/2014/main" id="{0D724F02-6221-4AF1-A7DC-1901696CC3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6" name="Elipse 4995">
          <a:extLst>
            <a:ext uri="{FF2B5EF4-FFF2-40B4-BE49-F238E27FC236}">
              <a16:creationId xmlns:a16="http://schemas.microsoft.com/office/drawing/2014/main" id="{47316065-532C-48F8-949E-7AB89D010F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7" name="Elipse 4996">
          <a:extLst>
            <a:ext uri="{FF2B5EF4-FFF2-40B4-BE49-F238E27FC236}">
              <a16:creationId xmlns:a16="http://schemas.microsoft.com/office/drawing/2014/main" id="{F83D3E28-158A-4ED5-B98F-B36EEE500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8" name="Elipse 4997">
          <a:extLst>
            <a:ext uri="{FF2B5EF4-FFF2-40B4-BE49-F238E27FC236}">
              <a16:creationId xmlns:a16="http://schemas.microsoft.com/office/drawing/2014/main" id="{4F6E6118-21CF-4E0C-9D75-372C49E6A4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999" name="Elipse 4998">
          <a:extLst>
            <a:ext uri="{FF2B5EF4-FFF2-40B4-BE49-F238E27FC236}">
              <a16:creationId xmlns:a16="http://schemas.microsoft.com/office/drawing/2014/main" id="{5787940A-15AE-4F06-962B-37BB88D271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0" name="Elipse 4999">
          <a:extLst>
            <a:ext uri="{FF2B5EF4-FFF2-40B4-BE49-F238E27FC236}">
              <a16:creationId xmlns:a16="http://schemas.microsoft.com/office/drawing/2014/main" id="{4547411F-FE32-4514-8D3D-0CC6C9D9D5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1" name="Elipse 5000">
          <a:extLst>
            <a:ext uri="{FF2B5EF4-FFF2-40B4-BE49-F238E27FC236}">
              <a16:creationId xmlns:a16="http://schemas.microsoft.com/office/drawing/2014/main" id="{E8B4E487-1974-4091-BF39-4A22F8C0BE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2" name="Elipse 5001">
          <a:extLst>
            <a:ext uri="{FF2B5EF4-FFF2-40B4-BE49-F238E27FC236}">
              <a16:creationId xmlns:a16="http://schemas.microsoft.com/office/drawing/2014/main" id="{B8DCB586-405D-44B4-A2BF-F90FC6036A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3" name="Elipse 5002">
          <a:extLst>
            <a:ext uri="{FF2B5EF4-FFF2-40B4-BE49-F238E27FC236}">
              <a16:creationId xmlns:a16="http://schemas.microsoft.com/office/drawing/2014/main" id="{27D077AD-6ADB-4354-9C24-42B343B2A6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4" name="Elipse 5003">
          <a:extLst>
            <a:ext uri="{FF2B5EF4-FFF2-40B4-BE49-F238E27FC236}">
              <a16:creationId xmlns:a16="http://schemas.microsoft.com/office/drawing/2014/main" id="{0D2F6C72-B9A1-4FBF-B34F-A6DB904AB1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5" name="Elipse 5004">
          <a:extLst>
            <a:ext uri="{FF2B5EF4-FFF2-40B4-BE49-F238E27FC236}">
              <a16:creationId xmlns:a16="http://schemas.microsoft.com/office/drawing/2014/main" id="{F91C5220-6C51-4213-A7C3-6C6AA1C345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6" name="Elipse 5005">
          <a:extLst>
            <a:ext uri="{FF2B5EF4-FFF2-40B4-BE49-F238E27FC236}">
              <a16:creationId xmlns:a16="http://schemas.microsoft.com/office/drawing/2014/main" id="{97E5A7B8-EF1F-4026-BBA2-1B30E3DFB0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7" name="Elipse 5006">
          <a:extLst>
            <a:ext uri="{FF2B5EF4-FFF2-40B4-BE49-F238E27FC236}">
              <a16:creationId xmlns:a16="http://schemas.microsoft.com/office/drawing/2014/main" id="{A235FA80-2A81-4429-A58B-D86499DC85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8" name="Elipse 5007">
          <a:extLst>
            <a:ext uri="{FF2B5EF4-FFF2-40B4-BE49-F238E27FC236}">
              <a16:creationId xmlns:a16="http://schemas.microsoft.com/office/drawing/2014/main" id="{700AB857-4E45-4A45-B5B5-DBC70B7D05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09" name="Elipse 5008">
          <a:extLst>
            <a:ext uri="{FF2B5EF4-FFF2-40B4-BE49-F238E27FC236}">
              <a16:creationId xmlns:a16="http://schemas.microsoft.com/office/drawing/2014/main" id="{08CCE576-E62A-49DF-9545-3561ECC21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0" name="Elipse 5009">
          <a:extLst>
            <a:ext uri="{FF2B5EF4-FFF2-40B4-BE49-F238E27FC236}">
              <a16:creationId xmlns:a16="http://schemas.microsoft.com/office/drawing/2014/main" id="{E1FCC2A7-E388-474E-87BB-D56157CA9B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1" name="Elipse 5010">
          <a:extLst>
            <a:ext uri="{FF2B5EF4-FFF2-40B4-BE49-F238E27FC236}">
              <a16:creationId xmlns:a16="http://schemas.microsoft.com/office/drawing/2014/main" id="{F494C133-87DA-4CAC-A447-D444349643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2" name="Elipse 5011">
          <a:extLst>
            <a:ext uri="{FF2B5EF4-FFF2-40B4-BE49-F238E27FC236}">
              <a16:creationId xmlns:a16="http://schemas.microsoft.com/office/drawing/2014/main" id="{4AA9EDE0-130A-41F2-B5F2-B071783E35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3" name="Elipse 5012">
          <a:extLst>
            <a:ext uri="{FF2B5EF4-FFF2-40B4-BE49-F238E27FC236}">
              <a16:creationId xmlns:a16="http://schemas.microsoft.com/office/drawing/2014/main" id="{40CF11ED-1A33-4B91-AC19-4806A4A297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4" name="Elipse 5013">
          <a:extLst>
            <a:ext uri="{FF2B5EF4-FFF2-40B4-BE49-F238E27FC236}">
              <a16:creationId xmlns:a16="http://schemas.microsoft.com/office/drawing/2014/main" id="{89C6E2DF-FB64-41FF-AD56-D238CED4DD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5" name="Elipse 5014">
          <a:extLst>
            <a:ext uri="{FF2B5EF4-FFF2-40B4-BE49-F238E27FC236}">
              <a16:creationId xmlns:a16="http://schemas.microsoft.com/office/drawing/2014/main" id="{5685B283-18F0-43AC-A2C5-9B053327FF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6" name="Elipse 5015">
          <a:extLst>
            <a:ext uri="{FF2B5EF4-FFF2-40B4-BE49-F238E27FC236}">
              <a16:creationId xmlns:a16="http://schemas.microsoft.com/office/drawing/2014/main" id="{0F4128D3-0F6B-4B6D-865A-82AF80B48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7" name="Elipse 5016">
          <a:extLst>
            <a:ext uri="{FF2B5EF4-FFF2-40B4-BE49-F238E27FC236}">
              <a16:creationId xmlns:a16="http://schemas.microsoft.com/office/drawing/2014/main" id="{3A06904D-7EDD-406F-8CA9-030098132A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8" name="Elipse 5017">
          <a:extLst>
            <a:ext uri="{FF2B5EF4-FFF2-40B4-BE49-F238E27FC236}">
              <a16:creationId xmlns:a16="http://schemas.microsoft.com/office/drawing/2014/main" id="{C88A4BE5-00AD-4815-8F1F-2B69005F1B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19" name="Elipse 5018">
          <a:extLst>
            <a:ext uri="{FF2B5EF4-FFF2-40B4-BE49-F238E27FC236}">
              <a16:creationId xmlns:a16="http://schemas.microsoft.com/office/drawing/2014/main" id="{FA962BFD-DD3A-4F33-8C17-EDA5D8480F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0" name="Elipse 5019">
          <a:extLst>
            <a:ext uri="{FF2B5EF4-FFF2-40B4-BE49-F238E27FC236}">
              <a16:creationId xmlns:a16="http://schemas.microsoft.com/office/drawing/2014/main" id="{E6A6F0DE-4EA4-42D2-9A63-8F4EC3DC38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1" name="Elipse 5020">
          <a:extLst>
            <a:ext uri="{FF2B5EF4-FFF2-40B4-BE49-F238E27FC236}">
              <a16:creationId xmlns:a16="http://schemas.microsoft.com/office/drawing/2014/main" id="{A7109E04-11BD-49CB-9F9D-EDE64F732A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2" name="Elipse 5021">
          <a:extLst>
            <a:ext uri="{FF2B5EF4-FFF2-40B4-BE49-F238E27FC236}">
              <a16:creationId xmlns:a16="http://schemas.microsoft.com/office/drawing/2014/main" id="{0BFDC9F4-0BAA-4DD3-8675-86901A32D9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3" name="Elipse 5022">
          <a:extLst>
            <a:ext uri="{FF2B5EF4-FFF2-40B4-BE49-F238E27FC236}">
              <a16:creationId xmlns:a16="http://schemas.microsoft.com/office/drawing/2014/main" id="{0C814A86-EFFA-4CAC-8282-B69936A20E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4" name="Elipse 5023">
          <a:extLst>
            <a:ext uri="{FF2B5EF4-FFF2-40B4-BE49-F238E27FC236}">
              <a16:creationId xmlns:a16="http://schemas.microsoft.com/office/drawing/2014/main" id="{42B36819-CE96-41FC-9898-DD6CF70CF9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5" name="Elipse 5024">
          <a:extLst>
            <a:ext uri="{FF2B5EF4-FFF2-40B4-BE49-F238E27FC236}">
              <a16:creationId xmlns:a16="http://schemas.microsoft.com/office/drawing/2014/main" id="{0A2520B5-D023-499C-9ACD-229E144A9C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6" name="Elipse 5025">
          <a:extLst>
            <a:ext uri="{FF2B5EF4-FFF2-40B4-BE49-F238E27FC236}">
              <a16:creationId xmlns:a16="http://schemas.microsoft.com/office/drawing/2014/main" id="{C5A523FC-1DFD-4FB1-9E6A-7034A1C3C7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7" name="Elipse 5026">
          <a:extLst>
            <a:ext uri="{FF2B5EF4-FFF2-40B4-BE49-F238E27FC236}">
              <a16:creationId xmlns:a16="http://schemas.microsoft.com/office/drawing/2014/main" id="{E023D3D7-FD68-4C5D-A35B-FDB9357C2F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8" name="Elipse 5027">
          <a:extLst>
            <a:ext uri="{FF2B5EF4-FFF2-40B4-BE49-F238E27FC236}">
              <a16:creationId xmlns:a16="http://schemas.microsoft.com/office/drawing/2014/main" id="{DF489B83-25E7-4CBE-971B-D13993FF7D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29" name="Elipse 5028">
          <a:extLst>
            <a:ext uri="{FF2B5EF4-FFF2-40B4-BE49-F238E27FC236}">
              <a16:creationId xmlns:a16="http://schemas.microsoft.com/office/drawing/2014/main" id="{EFF5B80D-7D42-448C-95D3-CDB91577B7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0" name="Elipse 5029">
          <a:extLst>
            <a:ext uri="{FF2B5EF4-FFF2-40B4-BE49-F238E27FC236}">
              <a16:creationId xmlns:a16="http://schemas.microsoft.com/office/drawing/2014/main" id="{318B591F-0D2F-4AA1-B867-E8A13B659E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1" name="Elipse 5030">
          <a:extLst>
            <a:ext uri="{FF2B5EF4-FFF2-40B4-BE49-F238E27FC236}">
              <a16:creationId xmlns:a16="http://schemas.microsoft.com/office/drawing/2014/main" id="{73BF6172-D73B-49AF-950B-972BB4ACC0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2" name="Elipse 5031">
          <a:extLst>
            <a:ext uri="{FF2B5EF4-FFF2-40B4-BE49-F238E27FC236}">
              <a16:creationId xmlns:a16="http://schemas.microsoft.com/office/drawing/2014/main" id="{B6CAAA70-DA4E-4974-BB0D-4E712F2DE3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3" name="Elipse 5032">
          <a:extLst>
            <a:ext uri="{FF2B5EF4-FFF2-40B4-BE49-F238E27FC236}">
              <a16:creationId xmlns:a16="http://schemas.microsoft.com/office/drawing/2014/main" id="{12E5705D-ABDE-4719-A2BD-58827B2CB6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4" name="Elipse 5033">
          <a:extLst>
            <a:ext uri="{FF2B5EF4-FFF2-40B4-BE49-F238E27FC236}">
              <a16:creationId xmlns:a16="http://schemas.microsoft.com/office/drawing/2014/main" id="{A35F23BB-2B63-4E4C-A0EE-8C5D5A4A3B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5" name="Elipse 5034">
          <a:extLst>
            <a:ext uri="{FF2B5EF4-FFF2-40B4-BE49-F238E27FC236}">
              <a16:creationId xmlns:a16="http://schemas.microsoft.com/office/drawing/2014/main" id="{32CEED1E-C35A-4B90-B736-2A0FDC0DF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6" name="Elipse 5035">
          <a:extLst>
            <a:ext uri="{FF2B5EF4-FFF2-40B4-BE49-F238E27FC236}">
              <a16:creationId xmlns:a16="http://schemas.microsoft.com/office/drawing/2014/main" id="{6654A4A5-3164-41F7-BDDD-AA7FF45968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7" name="Elipse 5036">
          <a:extLst>
            <a:ext uri="{FF2B5EF4-FFF2-40B4-BE49-F238E27FC236}">
              <a16:creationId xmlns:a16="http://schemas.microsoft.com/office/drawing/2014/main" id="{9D20278D-75B3-4DD4-BCC2-2BAE01E790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8" name="Elipse 5037">
          <a:extLst>
            <a:ext uri="{FF2B5EF4-FFF2-40B4-BE49-F238E27FC236}">
              <a16:creationId xmlns:a16="http://schemas.microsoft.com/office/drawing/2014/main" id="{2906DDCA-D512-40B8-AFC8-3C7F3FC629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39" name="Elipse 5038">
          <a:extLst>
            <a:ext uri="{FF2B5EF4-FFF2-40B4-BE49-F238E27FC236}">
              <a16:creationId xmlns:a16="http://schemas.microsoft.com/office/drawing/2014/main" id="{1D10303E-9BA2-4B87-8893-517B54D9E9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0" name="Elipse 5039">
          <a:extLst>
            <a:ext uri="{FF2B5EF4-FFF2-40B4-BE49-F238E27FC236}">
              <a16:creationId xmlns:a16="http://schemas.microsoft.com/office/drawing/2014/main" id="{988752C9-861E-4139-BA22-124DB58861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1" name="Elipse 5040">
          <a:extLst>
            <a:ext uri="{FF2B5EF4-FFF2-40B4-BE49-F238E27FC236}">
              <a16:creationId xmlns:a16="http://schemas.microsoft.com/office/drawing/2014/main" id="{9ACE3021-7B7B-449A-AD7A-23A01E605B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2" name="Elipse 5041">
          <a:extLst>
            <a:ext uri="{FF2B5EF4-FFF2-40B4-BE49-F238E27FC236}">
              <a16:creationId xmlns:a16="http://schemas.microsoft.com/office/drawing/2014/main" id="{D0841123-50A7-4EE4-B614-B1212E149A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3" name="Elipse 5042">
          <a:extLst>
            <a:ext uri="{FF2B5EF4-FFF2-40B4-BE49-F238E27FC236}">
              <a16:creationId xmlns:a16="http://schemas.microsoft.com/office/drawing/2014/main" id="{FAED865A-7DF5-4EC4-9C55-2EA81FF5F7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4" name="Elipse 5043">
          <a:extLst>
            <a:ext uri="{FF2B5EF4-FFF2-40B4-BE49-F238E27FC236}">
              <a16:creationId xmlns:a16="http://schemas.microsoft.com/office/drawing/2014/main" id="{A3502990-7834-42F4-9F40-357057693C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5" name="Elipse 5044">
          <a:extLst>
            <a:ext uri="{FF2B5EF4-FFF2-40B4-BE49-F238E27FC236}">
              <a16:creationId xmlns:a16="http://schemas.microsoft.com/office/drawing/2014/main" id="{0944989E-5DC7-4110-914B-ECB29615E6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6" name="Elipse 5045">
          <a:extLst>
            <a:ext uri="{FF2B5EF4-FFF2-40B4-BE49-F238E27FC236}">
              <a16:creationId xmlns:a16="http://schemas.microsoft.com/office/drawing/2014/main" id="{5BF007D4-47EC-4B52-970C-5210AE448B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7" name="Elipse 5046">
          <a:extLst>
            <a:ext uri="{FF2B5EF4-FFF2-40B4-BE49-F238E27FC236}">
              <a16:creationId xmlns:a16="http://schemas.microsoft.com/office/drawing/2014/main" id="{57357BCF-2BDB-471C-AD8E-E39BCEB24C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8" name="Elipse 5047">
          <a:extLst>
            <a:ext uri="{FF2B5EF4-FFF2-40B4-BE49-F238E27FC236}">
              <a16:creationId xmlns:a16="http://schemas.microsoft.com/office/drawing/2014/main" id="{C519F37B-FCFF-4ED5-8D9A-9912C518E5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49" name="Elipse 5048">
          <a:extLst>
            <a:ext uri="{FF2B5EF4-FFF2-40B4-BE49-F238E27FC236}">
              <a16:creationId xmlns:a16="http://schemas.microsoft.com/office/drawing/2014/main" id="{3E450B2C-0591-4234-9DA9-2251514A51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0" name="Elipse 5049">
          <a:extLst>
            <a:ext uri="{FF2B5EF4-FFF2-40B4-BE49-F238E27FC236}">
              <a16:creationId xmlns:a16="http://schemas.microsoft.com/office/drawing/2014/main" id="{2EA8BE41-5B4B-443D-A698-C726692875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1" name="Elipse 5050">
          <a:extLst>
            <a:ext uri="{FF2B5EF4-FFF2-40B4-BE49-F238E27FC236}">
              <a16:creationId xmlns:a16="http://schemas.microsoft.com/office/drawing/2014/main" id="{692E9B83-8DDD-4B7E-B75F-3D67A12665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2" name="Elipse 5051">
          <a:extLst>
            <a:ext uri="{FF2B5EF4-FFF2-40B4-BE49-F238E27FC236}">
              <a16:creationId xmlns:a16="http://schemas.microsoft.com/office/drawing/2014/main" id="{B50DDE37-5918-4C82-B427-CF2CA06ACC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3" name="Elipse 5052">
          <a:extLst>
            <a:ext uri="{FF2B5EF4-FFF2-40B4-BE49-F238E27FC236}">
              <a16:creationId xmlns:a16="http://schemas.microsoft.com/office/drawing/2014/main" id="{3E4C45DA-F21C-4F82-BE2C-BFB279F6BB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4" name="Elipse 5053">
          <a:extLst>
            <a:ext uri="{FF2B5EF4-FFF2-40B4-BE49-F238E27FC236}">
              <a16:creationId xmlns:a16="http://schemas.microsoft.com/office/drawing/2014/main" id="{6FE95135-0A4D-46FE-8DF9-6304739941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5" name="Elipse 5054">
          <a:extLst>
            <a:ext uri="{FF2B5EF4-FFF2-40B4-BE49-F238E27FC236}">
              <a16:creationId xmlns:a16="http://schemas.microsoft.com/office/drawing/2014/main" id="{A6778C5C-48CD-4C2C-B8CB-75347598B6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6" name="Elipse 5055">
          <a:extLst>
            <a:ext uri="{FF2B5EF4-FFF2-40B4-BE49-F238E27FC236}">
              <a16:creationId xmlns:a16="http://schemas.microsoft.com/office/drawing/2014/main" id="{F0F57B8B-B2F1-44AD-9A09-BEE5BA6721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7" name="Elipse 5056">
          <a:extLst>
            <a:ext uri="{FF2B5EF4-FFF2-40B4-BE49-F238E27FC236}">
              <a16:creationId xmlns:a16="http://schemas.microsoft.com/office/drawing/2014/main" id="{C2258321-B1E5-45DB-BD97-A0A7FBAB9D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8" name="Elipse 5057">
          <a:extLst>
            <a:ext uri="{FF2B5EF4-FFF2-40B4-BE49-F238E27FC236}">
              <a16:creationId xmlns:a16="http://schemas.microsoft.com/office/drawing/2014/main" id="{F776513B-B8CF-4298-BED7-191B122631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59" name="Elipse 5058">
          <a:extLst>
            <a:ext uri="{FF2B5EF4-FFF2-40B4-BE49-F238E27FC236}">
              <a16:creationId xmlns:a16="http://schemas.microsoft.com/office/drawing/2014/main" id="{111A061B-BDEF-4D67-84FB-C1AC2C9C8C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0" name="Elipse 5059">
          <a:extLst>
            <a:ext uri="{FF2B5EF4-FFF2-40B4-BE49-F238E27FC236}">
              <a16:creationId xmlns:a16="http://schemas.microsoft.com/office/drawing/2014/main" id="{28BC5C86-A579-427F-96AF-B329F963FB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1" name="Elipse 5060">
          <a:extLst>
            <a:ext uri="{FF2B5EF4-FFF2-40B4-BE49-F238E27FC236}">
              <a16:creationId xmlns:a16="http://schemas.microsoft.com/office/drawing/2014/main" id="{34E9802D-476B-4473-8DD4-FDE841533F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2" name="Elipse 5061">
          <a:extLst>
            <a:ext uri="{FF2B5EF4-FFF2-40B4-BE49-F238E27FC236}">
              <a16:creationId xmlns:a16="http://schemas.microsoft.com/office/drawing/2014/main" id="{7DE36120-89E0-4210-98C0-B706B0B32B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3" name="Elipse 5062">
          <a:extLst>
            <a:ext uri="{FF2B5EF4-FFF2-40B4-BE49-F238E27FC236}">
              <a16:creationId xmlns:a16="http://schemas.microsoft.com/office/drawing/2014/main" id="{A49DBF08-BF0E-4F3E-993A-7FDC7499E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4" name="Elipse 5063">
          <a:extLst>
            <a:ext uri="{FF2B5EF4-FFF2-40B4-BE49-F238E27FC236}">
              <a16:creationId xmlns:a16="http://schemas.microsoft.com/office/drawing/2014/main" id="{CB455E8A-5BEA-4EB8-A4D2-E1AF8F9D82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5" name="Elipse 5064">
          <a:extLst>
            <a:ext uri="{FF2B5EF4-FFF2-40B4-BE49-F238E27FC236}">
              <a16:creationId xmlns:a16="http://schemas.microsoft.com/office/drawing/2014/main" id="{B9E82DA1-E66B-472E-8845-3DD4780379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6" name="Elipse 5065">
          <a:extLst>
            <a:ext uri="{FF2B5EF4-FFF2-40B4-BE49-F238E27FC236}">
              <a16:creationId xmlns:a16="http://schemas.microsoft.com/office/drawing/2014/main" id="{F5B85BE0-F984-4FAD-BF19-248AC60C94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7" name="Elipse 5066">
          <a:extLst>
            <a:ext uri="{FF2B5EF4-FFF2-40B4-BE49-F238E27FC236}">
              <a16:creationId xmlns:a16="http://schemas.microsoft.com/office/drawing/2014/main" id="{B8ACB790-F050-4B8D-ADFC-12C4C25F5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8" name="Elipse 5067">
          <a:extLst>
            <a:ext uri="{FF2B5EF4-FFF2-40B4-BE49-F238E27FC236}">
              <a16:creationId xmlns:a16="http://schemas.microsoft.com/office/drawing/2014/main" id="{2BA1252F-F4E6-4328-8646-E7FB7B6BF5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69" name="Elipse 5068">
          <a:extLst>
            <a:ext uri="{FF2B5EF4-FFF2-40B4-BE49-F238E27FC236}">
              <a16:creationId xmlns:a16="http://schemas.microsoft.com/office/drawing/2014/main" id="{E0D65086-9CE2-46F5-A832-F45387F091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0" name="Elipse 5069">
          <a:extLst>
            <a:ext uri="{FF2B5EF4-FFF2-40B4-BE49-F238E27FC236}">
              <a16:creationId xmlns:a16="http://schemas.microsoft.com/office/drawing/2014/main" id="{200C9CF6-8716-478E-B3DA-7E2CD46CDC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1" name="Elipse 5070">
          <a:extLst>
            <a:ext uri="{FF2B5EF4-FFF2-40B4-BE49-F238E27FC236}">
              <a16:creationId xmlns:a16="http://schemas.microsoft.com/office/drawing/2014/main" id="{9DF47A0F-96B1-4029-B567-68B111A02E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2" name="Elipse 5071">
          <a:extLst>
            <a:ext uri="{FF2B5EF4-FFF2-40B4-BE49-F238E27FC236}">
              <a16:creationId xmlns:a16="http://schemas.microsoft.com/office/drawing/2014/main" id="{4301415E-2000-477A-841D-E46CC47114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3" name="Elipse 5072">
          <a:extLst>
            <a:ext uri="{FF2B5EF4-FFF2-40B4-BE49-F238E27FC236}">
              <a16:creationId xmlns:a16="http://schemas.microsoft.com/office/drawing/2014/main" id="{2A84A621-5577-4578-A439-2CFE1C39DD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4" name="Elipse 5073">
          <a:extLst>
            <a:ext uri="{FF2B5EF4-FFF2-40B4-BE49-F238E27FC236}">
              <a16:creationId xmlns:a16="http://schemas.microsoft.com/office/drawing/2014/main" id="{5BF56990-112B-4F19-8E59-8CCA1DADC9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5" name="Elipse 5074">
          <a:extLst>
            <a:ext uri="{FF2B5EF4-FFF2-40B4-BE49-F238E27FC236}">
              <a16:creationId xmlns:a16="http://schemas.microsoft.com/office/drawing/2014/main" id="{997462A6-4BE6-4B33-BF5D-F151CBA096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6" name="Elipse 5075">
          <a:extLst>
            <a:ext uri="{FF2B5EF4-FFF2-40B4-BE49-F238E27FC236}">
              <a16:creationId xmlns:a16="http://schemas.microsoft.com/office/drawing/2014/main" id="{32A844C1-DFF2-48BA-A490-0E7208B973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7" name="Elipse 5076">
          <a:extLst>
            <a:ext uri="{FF2B5EF4-FFF2-40B4-BE49-F238E27FC236}">
              <a16:creationId xmlns:a16="http://schemas.microsoft.com/office/drawing/2014/main" id="{B3396B0E-789D-429C-B9A9-A43B652F2B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8" name="Elipse 5077">
          <a:extLst>
            <a:ext uri="{FF2B5EF4-FFF2-40B4-BE49-F238E27FC236}">
              <a16:creationId xmlns:a16="http://schemas.microsoft.com/office/drawing/2014/main" id="{DE6C6BB9-9EC0-4F6A-A772-2413BCB08F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79" name="Elipse 5078">
          <a:extLst>
            <a:ext uri="{FF2B5EF4-FFF2-40B4-BE49-F238E27FC236}">
              <a16:creationId xmlns:a16="http://schemas.microsoft.com/office/drawing/2014/main" id="{223077AE-DAE6-4FC4-BB66-AC6EA6D614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0" name="Elipse 5079">
          <a:extLst>
            <a:ext uri="{FF2B5EF4-FFF2-40B4-BE49-F238E27FC236}">
              <a16:creationId xmlns:a16="http://schemas.microsoft.com/office/drawing/2014/main" id="{91831466-4DF1-429B-90DB-DF918A9C6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1" name="Elipse 5080">
          <a:extLst>
            <a:ext uri="{FF2B5EF4-FFF2-40B4-BE49-F238E27FC236}">
              <a16:creationId xmlns:a16="http://schemas.microsoft.com/office/drawing/2014/main" id="{389678DC-504F-4A64-B5F3-4F59B5FD15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2" name="Elipse 5081">
          <a:extLst>
            <a:ext uri="{FF2B5EF4-FFF2-40B4-BE49-F238E27FC236}">
              <a16:creationId xmlns:a16="http://schemas.microsoft.com/office/drawing/2014/main" id="{C657B612-837A-4A2A-A3B4-C6CF963631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3" name="Elipse 5082">
          <a:extLst>
            <a:ext uri="{FF2B5EF4-FFF2-40B4-BE49-F238E27FC236}">
              <a16:creationId xmlns:a16="http://schemas.microsoft.com/office/drawing/2014/main" id="{E285CE3F-6418-4B13-9FFC-320040D290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4" name="Elipse 5083">
          <a:extLst>
            <a:ext uri="{FF2B5EF4-FFF2-40B4-BE49-F238E27FC236}">
              <a16:creationId xmlns:a16="http://schemas.microsoft.com/office/drawing/2014/main" id="{C4751680-ABB4-49A6-8AD1-4F383896C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5" name="Elipse 5084">
          <a:extLst>
            <a:ext uri="{FF2B5EF4-FFF2-40B4-BE49-F238E27FC236}">
              <a16:creationId xmlns:a16="http://schemas.microsoft.com/office/drawing/2014/main" id="{31033E66-A2BD-40A3-A182-138FFABBE0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6" name="Elipse 5085">
          <a:extLst>
            <a:ext uri="{FF2B5EF4-FFF2-40B4-BE49-F238E27FC236}">
              <a16:creationId xmlns:a16="http://schemas.microsoft.com/office/drawing/2014/main" id="{FBCBCB28-8A46-4111-92B6-B66326695D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7" name="Elipse 5086">
          <a:extLst>
            <a:ext uri="{FF2B5EF4-FFF2-40B4-BE49-F238E27FC236}">
              <a16:creationId xmlns:a16="http://schemas.microsoft.com/office/drawing/2014/main" id="{141DD98A-1C9F-4736-B6D7-D80AB52F65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8" name="Elipse 5087">
          <a:extLst>
            <a:ext uri="{FF2B5EF4-FFF2-40B4-BE49-F238E27FC236}">
              <a16:creationId xmlns:a16="http://schemas.microsoft.com/office/drawing/2014/main" id="{762A9C6B-39F8-4EE5-96A8-46BF7B7C43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89" name="Elipse 5088">
          <a:extLst>
            <a:ext uri="{FF2B5EF4-FFF2-40B4-BE49-F238E27FC236}">
              <a16:creationId xmlns:a16="http://schemas.microsoft.com/office/drawing/2014/main" id="{248E711A-E8FB-4DEF-82F4-38C931D171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0" name="Elipse 5089">
          <a:extLst>
            <a:ext uri="{FF2B5EF4-FFF2-40B4-BE49-F238E27FC236}">
              <a16:creationId xmlns:a16="http://schemas.microsoft.com/office/drawing/2014/main" id="{67E60EFA-C86B-46D7-BC00-B2176376E1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1" name="Elipse 5090">
          <a:extLst>
            <a:ext uri="{FF2B5EF4-FFF2-40B4-BE49-F238E27FC236}">
              <a16:creationId xmlns:a16="http://schemas.microsoft.com/office/drawing/2014/main" id="{2785422B-6C86-4D3E-9659-672F91E05B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2" name="Elipse 5091">
          <a:extLst>
            <a:ext uri="{FF2B5EF4-FFF2-40B4-BE49-F238E27FC236}">
              <a16:creationId xmlns:a16="http://schemas.microsoft.com/office/drawing/2014/main" id="{6F8DF19A-F008-4A25-90D1-6D94A82C0A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3" name="Elipse 5092">
          <a:extLst>
            <a:ext uri="{FF2B5EF4-FFF2-40B4-BE49-F238E27FC236}">
              <a16:creationId xmlns:a16="http://schemas.microsoft.com/office/drawing/2014/main" id="{6AF62C3C-E682-455C-8F14-AEEB2DBE75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4" name="Elipse 5093">
          <a:extLst>
            <a:ext uri="{FF2B5EF4-FFF2-40B4-BE49-F238E27FC236}">
              <a16:creationId xmlns:a16="http://schemas.microsoft.com/office/drawing/2014/main" id="{03D19C26-93FB-4809-BBB8-62C4E7297D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5" name="Elipse 5094">
          <a:extLst>
            <a:ext uri="{FF2B5EF4-FFF2-40B4-BE49-F238E27FC236}">
              <a16:creationId xmlns:a16="http://schemas.microsoft.com/office/drawing/2014/main" id="{B2DFF679-D783-4B54-8E6C-49EEE1FFCA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6" name="Elipse 5095">
          <a:extLst>
            <a:ext uri="{FF2B5EF4-FFF2-40B4-BE49-F238E27FC236}">
              <a16:creationId xmlns:a16="http://schemas.microsoft.com/office/drawing/2014/main" id="{B348106D-55EA-4D43-9010-E28F9EC424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7" name="Elipse 5096">
          <a:extLst>
            <a:ext uri="{FF2B5EF4-FFF2-40B4-BE49-F238E27FC236}">
              <a16:creationId xmlns:a16="http://schemas.microsoft.com/office/drawing/2014/main" id="{6EAAF6F7-7919-4FE9-8152-D5B9E9E83D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8" name="Elipse 5097">
          <a:extLst>
            <a:ext uri="{FF2B5EF4-FFF2-40B4-BE49-F238E27FC236}">
              <a16:creationId xmlns:a16="http://schemas.microsoft.com/office/drawing/2014/main" id="{9419ACE1-09CF-44E6-B4E1-CFB4DFD8C7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099" name="Elipse 5098">
          <a:extLst>
            <a:ext uri="{FF2B5EF4-FFF2-40B4-BE49-F238E27FC236}">
              <a16:creationId xmlns:a16="http://schemas.microsoft.com/office/drawing/2014/main" id="{32E683EE-1B71-4F87-8A85-1CDBE13B3B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0" name="Elipse 5099">
          <a:extLst>
            <a:ext uri="{FF2B5EF4-FFF2-40B4-BE49-F238E27FC236}">
              <a16:creationId xmlns:a16="http://schemas.microsoft.com/office/drawing/2014/main" id="{75C8553E-1809-48D0-86E7-37CD563AAB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1" name="Elipse 5100">
          <a:extLst>
            <a:ext uri="{FF2B5EF4-FFF2-40B4-BE49-F238E27FC236}">
              <a16:creationId xmlns:a16="http://schemas.microsoft.com/office/drawing/2014/main" id="{BE3D19C3-8E0D-463C-AF07-7B3BBFD3B5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2" name="Elipse 5101">
          <a:extLst>
            <a:ext uri="{FF2B5EF4-FFF2-40B4-BE49-F238E27FC236}">
              <a16:creationId xmlns:a16="http://schemas.microsoft.com/office/drawing/2014/main" id="{D26F2FCA-B119-40F9-AC46-4F0082DD74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3" name="Elipse 5102">
          <a:extLst>
            <a:ext uri="{FF2B5EF4-FFF2-40B4-BE49-F238E27FC236}">
              <a16:creationId xmlns:a16="http://schemas.microsoft.com/office/drawing/2014/main" id="{FB64F163-9491-4E4A-9C96-DCA61DCD65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4" name="Elipse 5103">
          <a:extLst>
            <a:ext uri="{FF2B5EF4-FFF2-40B4-BE49-F238E27FC236}">
              <a16:creationId xmlns:a16="http://schemas.microsoft.com/office/drawing/2014/main" id="{1B5B1299-DB94-4035-9ABF-6D62A9E21A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5" name="Elipse 5104">
          <a:extLst>
            <a:ext uri="{FF2B5EF4-FFF2-40B4-BE49-F238E27FC236}">
              <a16:creationId xmlns:a16="http://schemas.microsoft.com/office/drawing/2014/main" id="{F3AD5FAD-62EE-4C90-8908-0FF4D72B02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6" name="Elipse 5105">
          <a:extLst>
            <a:ext uri="{FF2B5EF4-FFF2-40B4-BE49-F238E27FC236}">
              <a16:creationId xmlns:a16="http://schemas.microsoft.com/office/drawing/2014/main" id="{8FA5FE66-E602-4AF4-8AB0-875F88FA6A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7" name="Elipse 5106">
          <a:extLst>
            <a:ext uri="{FF2B5EF4-FFF2-40B4-BE49-F238E27FC236}">
              <a16:creationId xmlns:a16="http://schemas.microsoft.com/office/drawing/2014/main" id="{F5A07D23-33FF-42E7-B7B1-2F300CEBEB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8" name="Elipse 5107">
          <a:extLst>
            <a:ext uri="{FF2B5EF4-FFF2-40B4-BE49-F238E27FC236}">
              <a16:creationId xmlns:a16="http://schemas.microsoft.com/office/drawing/2014/main" id="{0F598E73-3231-4AE7-BE8E-507607810B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09" name="Elipse 5108">
          <a:extLst>
            <a:ext uri="{FF2B5EF4-FFF2-40B4-BE49-F238E27FC236}">
              <a16:creationId xmlns:a16="http://schemas.microsoft.com/office/drawing/2014/main" id="{13F2F500-2C94-4BD2-8D50-DDA672D178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0" name="Elipse 5109">
          <a:extLst>
            <a:ext uri="{FF2B5EF4-FFF2-40B4-BE49-F238E27FC236}">
              <a16:creationId xmlns:a16="http://schemas.microsoft.com/office/drawing/2014/main" id="{3B972372-6FC6-421B-B2F4-45F2BD68D3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1" name="Elipse 5110">
          <a:extLst>
            <a:ext uri="{FF2B5EF4-FFF2-40B4-BE49-F238E27FC236}">
              <a16:creationId xmlns:a16="http://schemas.microsoft.com/office/drawing/2014/main" id="{46B54C92-B75F-43B4-BE3E-7DB01DB006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2" name="Elipse 5111">
          <a:extLst>
            <a:ext uri="{FF2B5EF4-FFF2-40B4-BE49-F238E27FC236}">
              <a16:creationId xmlns:a16="http://schemas.microsoft.com/office/drawing/2014/main" id="{97250393-BBDB-4A20-88D3-DA147CCDDB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3" name="Elipse 5112">
          <a:extLst>
            <a:ext uri="{FF2B5EF4-FFF2-40B4-BE49-F238E27FC236}">
              <a16:creationId xmlns:a16="http://schemas.microsoft.com/office/drawing/2014/main" id="{484A2768-3E1B-474B-9908-4D7153FE66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4" name="Elipse 5113">
          <a:extLst>
            <a:ext uri="{FF2B5EF4-FFF2-40B4-BE49-F238E27FC236}">
              <a16:creationId xmlns:a16="http://schemas.microsoft.com/office/drawing/2014/main" id="{1FCE4C45-A756-4234-BBDF-52FF56FFC8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5" name="Elipse 5114">
          <a:extLst>
            <a:ext uri="{FF2B5EF4-FFF2-40B4-BE49-F238E27FC236}">
              <a16:creationId xmlns:a16="http://schemas.microsoft.com/office/drawing/2014/main" id="{76996756-AB11-4027-82C6-C576B8DEBC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6" name="Elipse 5115">
          <a:extLst>
            <a:ext uri="{FF2B5EF4-FFF2-40B4-BE49-F238E27FC236}">
              <a16:creationId xmlns:a16="http://schemas.microsoft.com/office/drawing/2014/main" id="{09F3B031-F990-4C86-A334-7696779501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7" name="Elipse 5116">
          <a:extLst>
            <a:ext uri="{FF2B5EF4-FFF2-40B4-BE49-F238E27FC236}">
              <a16:creationId xmlns:a16="http://schemas.microsoft.com/office/drawing/2014/main" id="{271E4FE5-9CA0-4EDC-B864-6A0B96FBAC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8" name="Elipse 5117">
          <a:extLst>
            <a:ext uri="{FF2B5EF4-FFF2-40B4-BE49-F238E27FC236}">
              <a16:creationId xmlns:a16="http://schemas.microsoft.com/office/drawing/2014/main" id="{9D3BFDBB-FE19-429B-9E65-63C121C2D8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19" name="Elipse 5118">
          <a:extLst>
            <a:ext uri="{FF2B5EF4-FFF2-40B4-BE49-F238E27FC236}">
              <a16:creationId xmlns:a16="http://schemas.microsoft.com/office/drawing/2014/main" id="{E80F71A9-73F7-4A66-ACB2-3B21296EE2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0" name="Elipse 5119">
          <a:extLst>
            <a:ext uri="{FF2B5EF4-FFF2-40B4-BE49-F238E27FC236}">
              <a16:creationId xmlns:a16="http://schemas.microsoft.com/office/drawing/2014/main" id="{0BADB23D-F8D4-470D-BAC6-D2DC44F494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1" name="Elipse 5120">
          <a:extLst>
            <a:ext uri="{FF2B5EF4-FFF2-40B4-BE49-F238E27FC236}">
              <a16:creationId xmlns:a16="http://schemas.microsoft.com/office/drawing/2014/main" id="{7F1CBB89-002F-4F76-9CBA-F15DEB365D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2" name="Elipse 5121">
          <a:extLst>
            <a:ext uri="{FF2B5EF4-FFF2-40B4-BE49-F238E27FC236}">
              <a16:creationId xmlns:a16="http://schemas.microsoft.com/office/drawing/2014/main" id="{A6242E87-483E-4120-BA0F-D37F4CDB55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3" name="Elipse 5122">
          <a:extLst>
            <a:ext uri="{FF2B5EF4-FFF2-40B4-BE49-F238E27FC236}">
              <a16:creationId xmlns:a16="http://schemas.microsoft.com/office/drawing/2014/main" id="{FCF6346F-D732-4D03-9B46-0FD782514C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4" name="Elipse 5123">
          <a:extLst>
            <a:ext uri="{FF2B5EF4-FFF2-40B4-BE49-F238E27FC236}">
              <a16:creationId xmlns:a16="http://schemas.microsoft.com/office/drawing/2014/main" id="{11959675-ACAC-4EB0-A3F5-763C104ADA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5" name="Elipse 5124">
          <a:extLst>
            <a:ext uri="{FF2B5EF4-FFF2-40B4-BE49-F238E27FC236}">
              <a16:creationId xmlns:a16="http://schemas.microsoft.com/office/drawing/2014/main" id="{30F228D0-57CB-4CE5-B6E9-89A0A4B211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6" name="Elipse 5125">
          <a:extLst>
            <a:ext uri="{FF2B5EF4-FFF2-40B4-BE49-F238E27FC236}">
              <a16:creationId xmlns:a16="http://schemas.microsoft.com/office/drawing/2014/main" id="{4DD8748A-F087-4AB0-A506-FEF528FBF2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7" name="Elipse 5126">
          <a:extLst>
            <a:ext uri="{FF2B5EF4-FFF2-40B4-BE49-F238E27FC236}">
              <a16:creationId xmlns:a16="http://schemas.microsoft.com/office/drawing/2014/main" id="{0416852C-EFD4-4D39-BD0F-B18486C878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8" name="Elipse 5127">
          <a:extLst>
            <a:ext uri="{FF2B5EF4-FFF2-40B4-BE49-F238E27FC236}">
              <a16:creationId xmlns:a16="http://schemas.microsoft.com/office/drawing/2014/main" id="{0E828C8E-C37A-4050-A325-CAAC2994D6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29" name="Elipse 5128">
          <a:extLst>
            <a:ext uri="{FF2B5EF4-FFF2-40B4-BE49-F238E27FC236}">
              <a16:creationId xmlns:a16="http://schemas.microsoft.com/office/drawing/2014/main" id="{7BE99ADD-5802-40BE-A268-F9DF135F13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0" name="Elipse 5129">
          <a:extLst>
            <a:ext uri="{FF2B5EF4-FFF2-40B4-BE49-F238E27FC236}">
              <a16:creationId xmlns:a16="http://schemas.microsoft.com/office/drawing/2014/main" id="{D9EC30C6-6C5C-4476-900B-040FCDE530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1" name="Elipse 5130">
          <a:extLst>
            <a:ext uri="{FF2B5EF4-FFF2-40B4-BE49-F238E27FC236}">
              <a16:creationId xmlns:a16="http://schemas.microsoft.com/office/drawing/2014/main" id="{CB3791F2-0BD8-40A5-BB26-8801644B3C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2" name="Elipse 5131">
          <a:extLst>
            <a:ext uri="{FF2B5EF4-FFF2-40B4-BE49-F238E27FC236}">
              <a16:creationId xmlns:a16="http://schemas.microsoft.com/office/drawing/2014/main" id="{C889D34D-CAFB-4FD9-9E00-0E1B0BECFD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3" name="Elipse 5132">
          <a:extLst>
            <a:ext uri="{FF2B5EF4-FFF2-40B4-BE49-F238E27FC236}">
              <a16:creationId xmlns:a16="http://schemas.microsoft.com/office/drawing/2014/main" id="{B6912BDC-52DF-4B1A-9F99-AC4C134AD1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4" name="Elipse 5133">
          <a:extLst>
            <a:ext uri="{FF2B5EF4-FFF2-40B4-BE49-F238E27FC236}">
              <a16:creationId xmlns:a16="http://schemas.microsoft.com/office/drawing/2014/main" id="{17CAA0A6-B7CE-45C7-A478-CD637ADE2D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5" name="Elipse 5134">
          <a:extLst>
            <a:ext uri="{FF2B5EF4-FFF2-40B4-BE49-F238E27FC236}">
              <a16:creationId xmlns:a16="http://schemas.microsoft.com/office/drawing/2014/main" id="{A6D4C343-2FE8-4FE2-87A7-AD22D95561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6" name="Elipse 5135">
          <a:extLst>
            <a:ext uri="{FF2B5EF4-FFF2-40B4-BE49-F238E27FC236}">
              <a16:creationId xmlns:a16="http://schemas.microsoft.com/office/drawing/2014/main" id="{83EEE5AC-4D56-4A82-A044-DF63C6E0BF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7" name="Elipse 5136">
          <a:extLst>
            <a:ext uri="{FF2B5EF4-FFF2-40B4-BE49-F238E27FC236}">
              <a16:creationId xmlns:a16="http://schemas.microsoft.com/office/drawing/2014/main" id="{0DD3E812-BE0E-4FE8-89AA-93E7AB58B9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8" name="Elipse 5137">
          <a:extLst>
            <a:ext uri="{FF2B5EF4-FFF2-40B4-BE49-F238E27FC236}">
              <a16:creationId xmlns:a16="http://schemas.microsoft.com/office/drawing/2014/main" id="{AF2BA843-8BFA-45E6-871A-83DDDCCD02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39" name="Elipse 5138">
          <a:extLst>
            <a:ext uri="{FF2B5EF4-FFF2-40B4-BE49-F238E27FC236}">
              <a16:creationId xmlns:a16="http://schemas.microsoft.com/office/drawing/2014/main" id="{E5D2F5ED-479B-4369-BE17-0F09A6B49F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0" name="Elipse 5139">
          <a:extLst>
            <a:ext uri="{FF2B5EF4-FFF2-40B4-BE49-F238E27FC236}">
              <a16:creationId xmlns:a16="http://schemas.microsoft.com/office/drawing/2014/main" id="{86B655F3-4E7F-41D2-B1D3-39DF63C8CD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1" name="Elipse 5140">
          <a:extLst>
            <a:ext uri="{FF2B5EF4-FFF2-40B4-BE49-F238E27FC236}">
              <a16:creationId xmlns:a16="http://schemas.microsoft.com/office/drawing/2014/main" id="{33D451E3-4414-4193-8C7B-F8205F55C5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2" name="Elipse 5141">
          <a:extLst>
            <a:ext uri="{FF2B5EF4-FFF2-40B4-BE49-F238E27FC236}">
              <a16:creationId xmlns:a16="http://schemas.microsoft.com/office/drawing/2014/main" id="{CDC59650-E900-4F12-BFAC-2242CF8016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3" name="Elipse 5142">
          <a:extLst>
            <a:ext uri="{FF2B5EF4-FFF2-40B4-BE49-F238E27FC236}">
              <a16:creationId xmlns:a16="http://schemas.microsoft.com/office/drawing/2014/main" id="{1F8FA202-B1A4-47BA-957A-C91AE44B71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4" name="Elipse 5143">
          <a:extLst>
            <a:ext uri="{FF2B5EF4-FFF2-40B4-BE49-F238E27FC236}">
              <a16:creationId xmlns:a16="http://schemas.microsoft.com/office/drawing/2014/main" id="{55552E9B-E819-423D-B182-B1AE1FCA91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5" name="Elipse 5144">
          <a:extLst>
            <a:ext uri="{FF2B5EF4-FFF2-40B4-BE49-F238E27FC236}">
              <a16:creationId xmlns:a16="http://schemas.microsoft.com/office/drawing/2014/main" id="{CCE3923A-AAC7-43C7-BF22-761373D9E4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6" name="Elipse 5145">
          <a:extLst>
            <a:ext uri="{FF2B5EF4-FFF2-40B4-BE49-F238E27FC236}">
              <a16:creationId xmlns:a16="http://schemas.microsoft.com/office/drawing/2014/main" id="{E323623F-9660-4D65-A920-3C155660A0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7" name="Elipse 5146">
          <a:extLst>
            <a:ext uri="{FF2B5EF4-FFF2-40B4-BE49-F238E27FC236}">
              <a16:creationId xmlns:a16="http://schemas.microsoft.com/office/drawing/2014/main" id="{C6B264D6-EADC-4904-AF52-F20D7B1EC5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8" name="Elipse 5147">
          <a:extLst>
            <a:ext uri="{FF2B5EF4-FFF2-40B4-BE49-F238E27FC236}">
              <a16:creationId xmlns:a16="http://schemas.microsoft.com/office/drawing/2014/main" id="{0EAB8C12-7921-46D9-A292-2A370A2264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49" name="Elipse 5148">
          <a:extLst>
            <a:ext uri="{FF2B5EF4-FFF2-40B4-BE49-F238E27FC236}">
              <a16:creationId xmlns:a16="http://schemas.microsoft.com/office/drawing/2014/main" id="{21D5C15C-561C-41AE-A463-A396CAD44D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0" name="Elipse 5149">
          <a:extLst>
            <a:ext uri="{FF2B5EF4-FFF2-40B4-BE49-F238E27FC236}">
              <a16:creationId xmlns:a16="http://schemas.microsoft.com/office/drawing/2014/main" id="{807391E7-ADDB-486C-924D-C40D52A1A0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1" name="Elipse 5150">
          <a:extLst>
            <a:ext uri="{FF2B5EF4-FFF2-40B4-BE49-F238E27FC236}">
              <a16:creationId xmlns:a16="http://schemas.microsoft.com/office/drawing/2014/main" id="{6CE68397-CBF5-4221-8F80-94F3EC007E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2" name="Elipse 5151">
          <a:extLst>
            <a:ext uri="{FF2B5EF4-FFF2-40B4-BE49-F238E27FC236}">
              <a16:creationId xmlns:a16="http://schemas.microsoft.com/office/drawing/2014/main" id="{4C2EF399-4C0E-456D-B0D9-21E105940D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3" name="Elipse 5152">
          <a:extLst>
            <a:ext uri="{FF2B5EF4-FFF2-40B4-BE49-F238E27FC236}">
              <a16:creationId xmlns:a16="http://schemas.microsoft.com/office/drawing/2014/main" id="{6EF0BDE5-0474-4DC1-9072-F9F740293C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4" name="Elipse 5153">
          <a:extLst>
            <a:ext uri="{FF2B5EF4-FFF2-40B4-BE49-F238E27FC236}">
              <a16:creationId xmlns:a16="http://schemas.microsoft.com/office/drawing/2014/main" id="{2E7A5E9F-F99C-490E-B94D-1437B5E5BC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5" name="Elipse 5154">
          <a:extLst>
            <a:ext uri="{FF2B5EF4-FFF2-40B4-BE49-F238E27FC236}">
              <a16:creationId xmlns:a16="http://schemas.microsoft.com/office/drawing/2014/main" id="{BE91297E-EDBF-4290-9A66-33994A7B7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6" name="Elipse 5155">
          <a:extLst>
            <a:ext uri="{FF2B5EF4-FFF2-40B4-BE49-F238E27FC236}">
              <a16:creationId xmlns:a16="http://schemas.microsoft.com/office/drawing/2014/main" id="{A4B7B189-C0DC-4317-925B-4FAB54F2E8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7" name="Elipse 5156">
          <a:extLst>
            <a:ext uri="{FF2B5EF4-FFF2-40B4-BE49-F238E27FC236}">
              <a16:creationId xmlns:a16="http://schemas.microsoft.com/office/drawing/2014/main" id="{6FB7A951-2B4C-4C3C-BCB3-8FED7C8BC6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8" name="Elipse 5157">
          <a:extLst>
            <a:ext uri="{FF2B5EF4-FFF2-40B4-BE49-F238E27FC236}">
              <a16:creationId xmlns:a16="http://schemas.microsoft.com/office/drawing/2014/main" id="{25CCE981-D43A-4601-A39D-A84B4C154C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59" name="Elipse 5158">
          <a:extLst>
            <a:ext uri="{FF2B5EF4-FFF2-40B4-BE49-F238E27FC236}">
              <a16:creationId xmlns:a16="http://schemas.microsoft.com/office/drawing/2014/main" id="{87E1D9E6-9FFF-4B25-A8D9-CE9F480FE3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0" name="Elipse 5159">
          <a:extLst>
            <a:ext uri="{FF2B5EF4-FFF2-40B4-BE49-F238E27FC236}">
              <a16:creationId xmlns:a16="http://schemas.microsoft.com/office/drawing/2014/main" id="{BF0F3CFF-50F8-4BC6-9660-12A7069CA6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1" name="Elipse 5160">
          <a:extLst>
            <a:ext uri="{FF2B5EF4-FFF2-40B4-BE49-F238E27FC236}">
              <a16:creationId xmlns:a16="http://schemas.microsoft.com/office/drawing/2014/main" id="{A78D3ADF-68FA-4629-8153-31C0C71CE3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2" name="Elipse 5161">
          <a:extLst>
            <a:ext uri="{FF2B5EF4-FFF2-40B4-BE49-F238E27FC236}">
              <a16:creationId xmlns:a16="http://schemas.microsoft.com/office/drawing/2014/main" id="{69942A5B-F324-402C-A666-374B01C95B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3" name="Elipse 5162">
          <a:extLst>
            <a:ext uri="{FF2B5EF4-FFF2-40B4-BE49-F238E27FC236}">
              <a16:creationId xmlns:a16="http://schemas.microsoft.com/office/drawing/2014/main" id="{CD333062-8307-4AC1-B7A0-D9131BE2D9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4" name="Elipse 5163">
          <a:extLst>
            <a:ext uri="{FF2B5EF4-FFF2-40B4-BE49-F238E27FC236}">
              <a16:creationId xmlns:a16="http://schemas.microsoft.com/office/drawing/2014/main" id="{50F2DA07-9E89-4B2F-BD84-50767085AD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5" name="Elipse 5164">
          <a:extLst>
            <a:ext uri="{FF2B5EF4-FFF2-40B4-BE49-F238E27FC236}">
              <a16:creationId xmlns:a16="http://schemas.microsoft.com/office/drawing/2014/main" id="{D09A4A81-39F4-414B-9068-6AE7CEC708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6" name="Elipse 5165">
          <a:extLst>
            <a:ext uri="{FF2B5EF4-FFF2-40B4-BE49-F238E27FC236}">
              <a16:creationId xmlns:a16="http://schemas.microsoft.com/office/drawing/2014/main" id="{75E051B4-8EC0-4AF9-964C-4BF5BCA4BE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7" name="Elipse 5166">
          <a:extLst>
            <a:ext uri="{FF2B5EF4-FFF2-40B4-BE49-F238E27FC236}">
              <a16:creationId xmlns:a16="http://schemas.microsoft.com/office/drawing/2014/main" id="{84FD0466-0343-43ED-AEFC-D33398D917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8" name="Elipse 5167">
          <a:extLst>
            <a:ext uri="{FF2B5EF4-FFF2-40B4-BE49-F238E27FC236}">
              <a16:creationId xmlns:a16="http://schemas.microsoft.com/office/drawing/2014/main" id="{B23E40D7-629F-42A2-818A-BD2D494F99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69" name="Elipse 5168">
          <a:extLst>
            <a:ext uri="{FF2B5EF4-FFF2-40B4-BE49-F238E27FC236}">
              <a16:creationId xmlns:a16="http://schemas.microsoft.com/office/drawing/2014/main" id="{7FC54B09-8FA1-44BB-ADFE-1A11346F1A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0" name="Elipse 5169">
          <a:extLst>
            <a:ext uri="{FF2B5EF4-FFF2-40B4-BE49-F238E27FC236}">
              <a16:creationId xmlns:a16="http://schemas.microsoft.com/office/drawing/2014/main" id="{1D045136-7D85-4E17-B37C-F620647BA2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1" name="Elipse 5170">
          <a:extLst>
            <a:ext uri="{FF2B5EF4-FFF2-40B4-BE49-F238E27FC236}">
              <a16:creationId xmlns:a16="http://schemas.microsoft.com/office/drawing/2014/main" id="{9473E7F9-171D-469C-B82C-1D87B3ECBF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2" name="Elipse 5171">
          <a:extLst>
            <a:ext uri="{FF2B5EF4-FFF2-40B4-BE49-F238E27FC236}">
              <a16:creationId xmlns:a16="http://schemas.microsoft.com/office/drawing/2014/main" id="{AC73CEB6-6279-4126-B29D-21CD62B848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3" name="Elipse 5172">
          <a:extLst>
            <a:ext uri="{FF2B5EF4-FFF2-40B4-BE49-F238E27FC236}">
              <a16:creationId xmlns:a16="http://schemas.microsoft.com/office/drawing/2014/main" id="{64E97EC6-3A21-4999-B001-AC91172629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4" name="Elipse 5173">
          <a:extLst>
            <a:ext uri="{FF2B5EF4-FFF2-40B4-BE49-F238E27FC236}">
              <a16:creationId xmlns:a16="http://schemas.microsoft.com/office/drawing/2014/main" id="{A8CCE2AA-BA47-437E-ADD6-F436EA8BFD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5" name="Elipse 5174">
          <a:extLst>
            <a:ext uri="{FF2B5EF4-FFF2-40B4-BE49-F238E27FC236}">
              <a16:creationId xmlns:a16="http://schemas.microsoft.com/office/drawing/2014/main" id="{500B919C-1240-4D7D-98F8-617193F345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6" name="Elipse 5175">
          <a:extLst>
            <a:ext uri="{FF2B5EF4-FFF2-40B4-BE49-F238E27FC236}">
              <a16:creationId xmlns:a16="http://schemas.microsoft.com/office/drawing/2014/main" id="{436FBC7B-879B-4709-89FE-BD817A4CD1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7" name="Elipse 5176">
          <a:extLst>
            <a:ext uri="{FF2B5EF4-FFF2-40B4-BE49-F238E27FC236}">
              <a16:creationId xmlns:a16="http://schemas.microsoft.com/office/drawing/2014/main" id="{24B06DE0-746B-465E-943E-4E7B29FE2F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8" name="Elipse 5177">
          <a:extLst>
            <a:ext uri="{FF2B5EF4-FFF2-40B4-BE49-F238E27FC236}">
              <a16:creationId xmlns:a16="http://schemas.microsoft.com/office/drawing/2014/main" id="{11FA9C57-8F2A-47CC-99E8-DA27E698FB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79" name="Elipse 5178">
          <a:extLst>
            <a:ext uri="{FF2B5EF4-FFF2-40B4-BE49-F238E27FC236}">
              <a16:creationId xmlns:a16="http://schemas.microsoft.com/office/drawing/2014/main" id="{9D88F9A8-2DB6-4F35-A95A-05DE08E0BE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0" name="Elipse 5179">
          <a:extLst>
            <a:ext uri="{FF2B5EF4-FFF2-40B4-BE49-F238E27FC236}">
              <a16:creationId xmlns:a16="http://schemas.microsoft.com/office/drawing/2014/main" id="{C4322491-C71B-4DF2-937C-329C922D40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1" name="Elipse 5180">
          <a:extLst>
            <a:ext uri="{FF2B5EF4-FFF2-40B4-BE49-F238E27FC236}">
              <a16:creationId xmlns:a16="http://schemas.microsoft.com/office/drawing/2014/main" id="{B6569AF6-7020-4778-BFEF-17F56BA51A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2" name="Elipse 5181">
          <a:extLst>
            <a:ext uri="{FF2B5EF4-FFF2-40B4-BE49-F238E27FC236}">
              <a16:creationId xmlns:a16="http://schemas.microsoft.com/office/drawing/2014/main" id="{54CAE4BA-980F-4707-AC00-52EBFC1453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3" name="Elipse 5182">
          <a:extLst>
            <a:ext uri="{FF2B5EF4-FFF2-40B4-BE49-F238E27FC236}">
              <a16:creationId xmlns:a16="http://schemas.microsoft.com/office/drawing/2014/main" id="{29B2BABF-5BD8-4E53-A7B8-139A925384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4" name="Elipse 5183">
          <a:extLst>
            <a:ext uri="{FF2B5EF4-FFF2-40B4-BE49-F238E27FC236}">
              <a16:creationId xmlns:a16="http://schemas.microsoft.com/office/drawing/2014/main" id="{45DDD952-DADF-440B-8E74-DF5B998451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5" name="Elipse 5184">
          <a:extLst>
            <a:ext uri="{FF2B5EF4-FFF2-40B4-BE49-F238E27FC236}">
              <a16:creationId xmlns:a16="http://schemas.microsoft.com/office/drawing/2014/main" id="{3D7D2AC3-5E19-4191-B987-CD811CA21A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6" name="Elipse 5185">
          <a:extLst>
            <a:ext uri="{FF2B5EF4-FFF2-40B4-BE49-F238E27FC236}">
              <a16:creationId xmlns:a16="http://schemas.microsoft.com/office/drawing/2014/main" id="{26891BC9-C81F-40C9-9F75-69EF1C1533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7" name="Elipse 5186">
          <a:extLst>
            <a:ext uri="{FF2B5EF4-FFF2-40B4-BE49-F238E27FC236}">
              <a16:creationId xmlns:a16="http://schemas.microsoft.com/office/drawing/2014/main" id="{D4E89B33-EF82-4B62-8553-7050A8F4E8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8" name="Elipse 5187">
          <a:extLst>
            <a:ext uri="{FF2B5EF4-FFF2-40B4-BE49-F238E27FC236}">
              <a16:creationId xmlns:a16="http://schemas.microsoft.com/office/drawing/2014/main" id="{6E705F18-3439-42DF-9211-7B822D758A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89" name="Elipse 5188">
          <a:extLst>
            <a:ext uri="{FF2B5EF4-FFF2-40B4-BE49-F238E27FC236}">
              <a16:creationId xmlns:a16="http://schemas.microsoft.com/office/drawing/2014/main" id="{128C6CFA-201B-4A77-B891-6811B1EB88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0" name="Elipse 5189">
          <a:extLst>
            <a:ext uri="{FF2B5EF4-FFF2-40B4-BE49-F238E27FC236}">
              <a16:creationId xmlns:a16="http://schemas.microsoft.com/office/drawing/2014/main" id="{C3A4FF1E-AE0A-4FB5-A41F-3CFA315556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1" name="Elipse 5190">
          <a:extLst>
            <a:ext uri="{FF2B5EF4-FFF2-40B4-BE49-F238E27FC236}">
              <a16:creationId xmlns:a16="http://schemas.microsoft.com/office/drawing/2014/main" id="{AC1DF68D-560F-4F75-9728-91724562B3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2" name="Elipse 5191">
          <a:extLst>
            <a:ext uri="{FF2B5EF4-FFF2-40B4-BE49-F238E27FC236}">
              <a16:creationId xmlns:a16="http://schemas.microsoft.com/office/drawing/2014/main" id="{80A0581B-3527-4682-AADF-345D64A27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3" name="Elipse 5192">
          <a:extLst>
            <a:ext uri="{FF2B5EF4-FFF2-40B4-BE49-F238E27FC236}">
              <a16:creationId xmlns:a16="http://schemas.microsoft.com/office/drawing/2014/main" id="{624933C2-E328-46B9-A50B-4959C4255B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4" name="Elipse 5193">
          <a:extLst>
            <a:ext uri="{FF2B5EF4-FFF2-40B4-BE49-F238E27FC236}">
              <a16:creationId xmlns:a16="http://schemas.microsoft.com/office/drawing/2014/main" id="{E8801E3D-110B-4171-AF48-27783A062B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5" name="Elipse 5194">
          <a:extLst>
            <a:ext uri="{FF2B5EF4-FFF2-40B4-BE49-F238E27FC236}">
              <a16:creationId xmlns:a16="http://schemas.microsoft.com/office/drawing/2014/main" id="{C9AEB13A-0C48-416F-86E9-5B3009BD92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6" name="Elipse 5195">
          <a:extLst>
            <a:ext uri="{FF2B5EF4-FFF2-40B4-BE49-F238E27FC236}">
              <a16:creationId xmlns:a16="http://schemas.microsoft.com/office/drawing/2014/main" id="{CC5C3317-2A25-45F1-8615-F5A4FCA271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7" name="Elipse 5196">
          <a:extLst>
            <a:ext uri="{FF2B5EF4-FFF2-40B4-BE49-F238E27FC236}">
              <a16:creationId xmlns:a16="http://schemas.microsoft.com/office/drawing/2014/main" id="{7DE6C80F-3326-4B4C-B695-A96F1255C3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8" name="Elipse 5197">
          <a:extLst>
            <a:ext uri="{FF2B5EF4-FFF2-40B4-BE49-F238E27FC236}">
              <a16:creationId xmlns:a16="http://schemas.microsoft.com/office/drawing/2014/main" id="{3FF99093-8CCD-4BB0-B8B8-96E6F5D3A0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199" name="Elipse 5198">
          <a:extLst>
            <a:ext uri="{FF2B5EF4-FFF2-40B4-BE49-F238E27FC236}">
              <a16:creationId xmlns:a16="http://schemas.microsoft.com/office/drawing/2014/main" id="{0C757606-5B45-4044-A531-D05FD054CF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0" name="Elipse 5199">
          <a:extLst>
            <a:ext uri="{FF2B5EF4-FFF2-40B4-BE49-F238E27FC236}">
              <a16:creationId xmlns:a16="http://schemas.microsoft.com/office/drawing/2014/main" id="{F91D951B-0DA1-45EC-80FB-1CC5A0D058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1" name="Elipse 5200">
          <a:extLst>
            <a:ext uri="{FF2B5EF4-FFF2-40B4-BE49-F238E27FC236}">
              <a16:creationId xmlns:a16="http://schemas.microsoft.com/office/drawing/2014/main" id="{C39C73F2-1AB1-4046-A556-2E104F2D5A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2" name="Elipse 5201">
          <a:extLst>
            <a:ext uri="{FF2B5EF4-FFF2-40B4-BE49-F238E27FC236}">
              <a16:creationId xmlns:a16="http://schemas.microsoft.com/office/drawing/2014/main" id="{3A81909B-B166-4B02-AFAF-D581DCED47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3" name="Elipse 5202">
          <a:extLst>
            <a:ext uri="{FF2B5EF4-FFF2-40B4-BE49-F238E27FC236}">
              <a16:creationId xmlns:a16="http://schemas.microsoft.com/office/drawing/2014/main" id="{56BBD440-B0B4-4922-82FB-AD40EE852F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4" name="Elipse 5203">
          <a:extLst>
            <a:ext uri="{FF2B5EF4-FFF2-40B4-BE49-F238E27FC236}">
              <a16:creationId xmlns:a16="http://schemas.microsoft.com/office/drawing/2014/main" id="{8A849C2C-48AB-4950-A550-4E322F72A1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5" name="Elipse 5204">
          <a:extLst>
            <a:ext uri="{FF2B5EF4-FFF2-40B4-BE49-F238E27FC236}">
              <a16:creationId xmlns:a16="http://schemas.microsoft.com/office/drawing/2014/main" id="{01C69355-9929-4AB1-85C2-5108B5D2BA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6" name="Elipse 5205">
          <a:extLst>
            <a:ext uri="{FF2B5EF4-FFF2-40B4-BE49-F238E27FC236}">
              <a16:creationId xmlns:a16="http://schemas.microsoft.com/office/drawing/2014/main" id="{D163CC8D-75B2-4375-9A91-DC3F0612E0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7" name="Elipse 5206">
          <a:extLst>
            <a:ext uri="{FF2B5EF4-FFF2-40B4-BE49-F238E27FC236}">
              <a16:creationId xmlns:a16="http://schemas.microsoft.com/office/drawing/2014/main" id="{236F12AE-AADC-465D-A537-4A6BD74F8A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8" name="Elipse 5207">
          <a:extLst>
            <a:ext uri="{FF2B5EF4-FFF2-40B4-BE49-F238E27FC236}">
              <a16:creationId xmlns:a16="http://schemas.microsoft.com/office/drawing/2014/main" id="{B2111A84-5DFE-4492-90BC-DE575A5EF5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09" name="Elipse 5208">
          <a:extLst>
            <a:ext uri="{FF2B5EF4-FFF2-40B4-BE49-F238E27FC236}">
              <a16:creationId xmlns:a16="http://schemas.microsoft.com/office/drawing/2014/main" id="{124B95FF-A9A6-42CA-8BE7-A94F35A01E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0" name="Elipse 5209">
          <a:extLst>
            <a:ext uri="{FF2B5EF4-FFF2-40B4-BE49-F238E27FC236}">
              <a16:creationId xmlns:a16="http://schemas.microsoft.com/office/drawing/2014/main" id="{33616B47-DE60-4946-97E9-DAACC15F27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1" name="Elipse 5210">
          <a:extLst>
            <a:ext uri="{FF2B5EF4-FFF2-40B4-BE49-F238E27FC236}">
              <a16:creationId xmlns:a16="http://schemas.microsoft.com/office/drawing/2014/main" id="{A69ADAFB-9741-4B71-AD7A-CBE2EB5991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2" name="Elipse 5211">
          <a:extLst>
            <a:ext uri="{FF2B5EF4-FFF2-40B4-BE49-F238E27FC236}">
              <a16:creationId xmlns:a16="http://schemas.microsoft.com/office/drawing/2014/main" id="{622CF1BE-B779-4808-9642-ED90BB53C9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3" name="Elipse 5212">
          <a:extLst>
            <a:ext uri="{FF2B5EF4-FFF2-40B4-BE49-F238E27FC236}">
              <a16:creationId xmlns:a16="http://schemas.microsoft.com/office/drawing/2014/main" id="{8CF9E1F6-F783-4754-9AB7-A6AE35ECAA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4" name="Elipse 5213">
          <a:extLst>
            <a:ext uri="{FF2B5EF4-FFF2-40B4-BE49-F238E27FC236}">
              <a16:creationId xmlns:a16="http://schemas.microsoft.com/office/drawing/2014/main" id="{04792E0C-5336-4F0D-BB35-3B740A53F6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5" name="Elipse 5214">
          <a:extLst>
            <a:ext uri="{FF2B5EF4-FFF2-40B4-BE49-F238E27FC236}">
              <a16:creationId xmlns:a16="http://schemas.microsoft.com/office/drawing/2014/main" id="{7875DE75-9E09-4BBF-8694-BF6D5D8DB4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6" name="Elipse 5215">
          <a:extLst>
            <a:ext uri="{FF2B5EF4-FFF2-40B4-BE49-F238E27FC236}">
              <a16:creationId xmlns:a16="http://schemas.microsoft.com/office/drawing/2014/main" id="{05945BD3-4E5E-431A-8D64-E01D3883F8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7" name="Elipse 5216">
          <a:extLst>
            <a:ext uri="{FF2B5EF4-FFF2-40B4-BE49-F238E27FC236}">
              <a16:creationId xmlns:a16="http://schemas.microsoft.com/office/drawing/2014/main" id="{011E832B-490D-43E3-8B9D-057B5536B8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8" name="Elipse 5217">
          <a:extLst>
            <a:ext uri="{FF2B5EF4-FFF2-40B4-BE49-F238E27FC236}">
              <a16:creationId xmlns:a16="http://schemas.microsoft.com/office/drawing/2014/main" id="{AB2F8D3A-47AD-45DE-BB3C-443DB47DEE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19" name="Elipse 5218">
          <a:extLst>
            <a:ext uri="{FF2B5EF4-FFF2-40B4-BE49-F238E27FC236}">
              <a16:creationId xmlns:a16="http://schemas.microsoft.com/office/drawing/2014/main" id="{1EE959D9-31C5-423C-B025-5A01A54F60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0" name="Elipse 5219">
          <a:extLst>
            <a:ext uri="{FF2B5EF4-FFF2-40B4-BE49-F238E27FC236}">
              <a16:creationId xmlns:a16="http://schemas.microsoft.com/office/drawing/2014/main" id="{29CAA1E3-DF2C-4AEB-8831-293D79C64E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1" name="Elipse 5220">
          <a:extLst>
            <a:ext uri="{FF2B5EF4-FFF2-40B4-BE49-F238E27FC236}">
              <a16:creationId xmlns:a16="http://schemas.microsoft.com/office/drawing/2014/main" id="{2C252EEC-90BE-44DC-A788-6F1CF81A21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2" name="Elipse 5221">
          <a:extLst>
            <a:ext uri="{FF2B5EF4-FFF2-40B4-BE49-F238E27FC236}">
              <a16:creationId xmlns:a16="http://schemas.microsoft.com/office/drawing/2014/main" id="{BD8C2890-BEE3-4488-BCA6-FA9FB9ADD8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3" name="Elipse 5222">
          <a:extLst>
            <a:ext uri="{FF2B5EF4-FFF2-40B4-BE49-F238E27FC236}">
              <a16:creationId xmlns:a16="http://schemas.microsoft.com/office/drawing/2014/main" id="{3216223F-BA55-4ED8-84DD-D604D97996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4" name="Elipse 5223">
          <a:extLst>
            <a:ext uri="{FF2B5EF4-FFF2-40B4-BE49-F238E27FC236}">
              <a16:creationId xmlns:a16="http://schemas.microsoft.com/office/drawing/2014/main" id="{F5053B84-F3DC-40B2-BD5A-10756344A3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5" name="Elipse 5224">
          <a:extLst>
            <a:ext uri="{FF2B5EF4-FFF2-40B4-BE49-F238E27FC236}">
              <a16:creationId xmlns:a16="http://schemas.microsoft.com/office/drawing/2014/main" id="{B0347146-B6FE-4470-A767-E632158457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6" name="Elipse 5225">
          <a:extLst>
            <a:ext uri="{FF2B5EF4-FFF2-40B4-BE49-F238E27FC236}">
              <a16:creationId xmlns:a16="http://schemas.microsoft.com/office/drawing/2014/main" id="{885BDBF8-90C1-4A64-B9E9-C03AB89E02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7" name="Elipse 5226">
          <a:extLst>
            <a:ext uri="{FF2B5EF4-FFF2-40B4-BE49-F238E27FC236}">
              <a16:creationId xmlns:a16="http://schemas.microsoft.com/office/drawing/2014/main" id="{54D17ECC-7083-483F-AB21-93C6520D20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8" name="Elipse 5227">
          <a:extLst>
            <a:ext uri="{FF2B5EF4-FFF2-40B4-BE49-F238E27FC236}">
              <a16:creationId xmlns:a16="http://schemas.microsoft.com/office/drawing/2014/main" id="{6F9E8EA5-A641-4D83-864A-7A7490FB02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29" name="Elipse 5228">
          <a:extLst>
            <a:ext uri="{FF2B5EF4-FFF2-40B4-BE49-F238E27FC236}">
              <a16:creationId xmlns:a16="http://schemas.microsoft.com/office/drawing/2014/main" id="{F8551C8A-CB07-4504-8D95-A3A70E4671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0" name="Elipse 5229">
          <a:extLst>
            <a:ext uri="{FF2B5EF4-FFF2-40B4-BE49-F238E27FC236}">
              <a16:creationId xmlns:a16="http://schemas.microsoft.com/office/drawing/2014/main" id="{55528DC2-21EC-4301-8602-095F7A393C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1" name="Elipse 5230">
          <a:extLst>
            <a:ext uri="{FF2B5EF4-FFF2-40B4-BE49-F238E27FC236}">
              <a16:creationId xmlns:a16="http://schemas.microsoft.com/office/drawing/2014/main" id="{62006252-D858-43BA-A45A-5F0CE9CF48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2" name="Elipse 5231">
          <a:extLst>
            <a:ext uri="{FF2B5EF4-FFF2-40B4-BE49-F238E27FC236}">
              <a16:creationId xmlns:a16="http://schemas.microsoft.com/office/drawing/2014/main" id="{9DC2771A-84E1-4BAE-8DD3-0D6130523C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3" name="Elipse 5232">
          <a:extLst>
            <a:ext uri="{FF2B5EF4-FFF2-40B4-BE49-F238E27FC236}">
              <a16:creationId xmlns:a16="http://schemas.microsoft.com/office/drawing/2014/main" id="{CED92371-E414-446C-B2CF-983202FD2E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4" name="Elipse 5233">
          <a:extLst>
            <a:ext uri="{FF2B5EF4-FFF2-40B4-BE49-F238E27FC236}">
              <a16:creationId xmlns:a16="http://schemas.microsoft.com/office/drawing/2014/main" id="{F3EA901E-BD00-4497-8D58-14455616B1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5" name="Elipse 5234">
          <a:extLst>
            <a:ext uri="{FF2B5EF4-FFF2-40B4-BE49-F238E27FC236}">
              <a16:creationId xmlns:a16="http://schemas.microsoft.com/office/drawing/2014/main" id="{639D4268-7D35-4BDF-8710-5EE87363D3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6" name="Elipse 5235">
          <a:extLst>
            <a:ext uri="{FF2B5EF4-FFF2-40B4-BE49-F238E27FC236}">
              <a16:creationId xmlns:a16="http://schemas.microsoft.com/office/drawing/2014/main" id="{8EE5A939-F5BA-40D4-99F7-0C3B520343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7" name="Elipse 5236">
          <a:extLst>
            <a:ext uri="{FF2B5EF4-FFF2-40B4-BE49-F238E27FC236}">
              <a16:creationId xmlns:a16="http://schemas.microsoft.com/office/drawing/2014/main" id="{B0B842E8-0EE4-4A12-B0CD-29231C62ED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8" name="Elipse 5237">
          <a:extLst>
            <a:ext uri="{FF2B5EF4-FFF2-40B4-BE49-F238E27FC236}">
              <a16:creationId xmlns:a16="http://schemas.microsoft.com/office/drawing/2014/main" id="{95304CE0-05AD-4397-8361-8DD7FA3B65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39" name="Elipse 5238">
          <a:extLst>
            <a:ext uri="{FF2B5EF4-FFF2-40B4-BE49-F238E27FC236}">
              <a16:creationId xmlns:a16="http://schemas.microsoft.com/office/drawing/2014/main" id="{225E89F5-032C-4911-AFDF-53B44C5632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0" name="Elipse 5239">
          <a:extLst>
            <a:ext uri="{FF2B5EF4-FFF2-40B4-BE49-F238E27FC236}">
              <a16:creationId xmlns:a16="http://schemas.microsoft.com/office/drawing/2014/main" id="{E642E315-3BFF-4F38-8279-4499D2C7F0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1" name="Elipse 5240">
          <a:extLst>
            <a:ext uri="{FF2B5EF4-FFF2-40B4-BE49-F238E27FC236}">
              <a16:creationId xmlns:a16="http://schemas.microsoft.com/office/drawing/2014/main" id="{E5C4DCFE-3D59-4C83-A274-0B1C4A3384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2" name="Elipse 5241">
          <a:extLst>
            <a:ext uri="{FF2B5EF4-FFF2-40B4-BE49-F238E27FC236}">
              <a16:creationId xmlns:a16="http://schemas.microsoft.com/office/drawing/2014/main" id="{D0482618-C792-4A5B-913E-EEA977E4F3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3" name="Elipse 5242">
          <a:extLst>
            <a:ext uri="{FF2B5EF4-FFF2-40B4-BE49-F238E27FC236}">
              <a16:creationId xmlns:a16="http://schemas.microsoft.com/office/drawing/2014/main" id="{F9C624F4-800C-471F-AD54-442B40C9FA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4" name="Elipse 5243">
          <a:extLst>
            <a:ext uri="{FF2B5EF4-FFF2-40B4-BE49-F238E27FC236}">
              <a16:creationId xmlns:a16="http://schemas.microsoft.com/office/drawing/2014/main" id="{AF66FE2E-A821-4A10-BE19-9ED09B5AA1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5" name="Elipse 5244">
          <a:extLst>
            <a:ext uri="{FF2B5EF4-FFF2-40B4-BE49-F238E27FC236}">
              <a16:creationId xmlns:a16="http://schemas.microsoft.com/office/drawing/2014/main" id="{66C1837F-D97E-4399-A8A5-0BBDC2E24B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6" name="Elipse 5245">
          <a:extLst>
            <a:ext uri="{FF2B5EF4-FFF2-40B4-BE49-F238E27FC236}">
              <a16:creationId xmlns:a16="http://schemas.microsoft.com/office/drawing/2014/main" id="{43F5852B-2826-4B25-BD0A-B824F03FA7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7" name="Elipse 5246">
          <a:extLst>
            <a:ext uri="{FF2B5EF4-FFF2-40B4-BE49-F238E27FC236}">
              <a16:creationId xmlns:a16="http://schemas.microsoft.com/office/drawing/2014/main" id="{CE565860-6923-4122-B10C-59856EDBFB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8" name="Elipse 5247">
          <a:extLst>
            <a:ext uri="{FF2B5EF4-FFF2-40B4-BE49-F238E27FC236}">
              <a16:creationId xmlns:a16="http://schemas.microsoft.com/office/drawing/2014/main" id="{2C410018-E601-4F76-BF77-3C091D8D48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49" name="Elipse 5248">
          <a:extLst>
            <a:ext uri="{FF2B5EF4-FFF2-40B4-BE49-F238E27FC236}">
              <a16:creationId xmlns:a16="http://schemas.microsoft.com/office/drawing/2014/main" id="{D022532E-ECA1-447A-8DF4-80EE41023A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0" name="Elipse 5249">
          <a:extLst>
            <a:ext uri="{FF2B5EF4-FFF2-40B4-BE49-F238E27FC236}">
              <a16:creationId xmlns:a16="http://schemas.microsoft.com/office/drawing/2014/main" id="{2164F825-DC52-46DB-BFA8-E8F7939501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1" name="Elipse 5250">
          <a:extLst>
            <a:ext uri="{FF2B5EF4-FFF2-40B4-BE49-F238E27FC236}">
              <a16:creationId xmlns:a16="http://schemas.microsoft.com/office/drawing/2014/main" id="{50A78275-3B90-4F9E-8748-151AD1EA1A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2" name="Elipse 5251">
          <a:extLst>
            <a:ext uri="{FF2B5EF4-FFF2-40B4-BE49-F238E27FC236}">
              <a16:creationId xmlns:a16="http://schemas.microsoft.com/office/drawing/2014/main" id="{4384A9CE-643A-46BE-867F-6F54EF7551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3" name="Elipse 5252">
          <a:extLst>
            <a:ext uri="{FF2B5EF4-FFF2-40B4-BE49-F238E27FC236}">
              <a16:creationId xmlns:a16="http://schemas.microsoft.com/office/drawing/2014/main" id="{A22BEB3E-DB33-43F6-B6A0-1E55F77AC3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4" name="Elipse 5253">
          <a:extLst>
            <a:ext uri="{FF2B5EF4-FFF2-40B4-BE49-F238E27FC236}">
              <a16:creationId xmlns:a16="http://schemas.microsoft.com/office/drawing/2014/main" id="{AD17FE4C-B7A5-4006-AFA0-A1D507049E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5" name="Elipse 5254">
          <a:extLst>
            <a:ext uri="{FF2B5EF4-FFF2-40B4-BE49-F238E27FC236}">
              <a16:creationId xmlns:a16="http://schemas.microsoft.com/office/drawing/2014/main" id="{FAB76D1A-1348-4CD9-AD70-8BBB3D7778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6" name="Elipse 5255">
          <a:extLst>
            <a:ext uri="{FF2B5EF4-FFF2-40B4-BE49-F238E27FC236}">
              <a16:creationId xmlns:a16="http://schemas.microsoft.com/office/drawing/2014/main" id="{2513DFF4-9489-4DDD-A039-99FB7888FC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7" name="Elipse 5256">
          <a:extLst>
            <a:ext uri="{FF2B5EF4-FFF2-40B4-BE49-F238E27FC236}">
              <a16:creationId xmlns:a16="http://schemas.microsoft.com/office/drawing/2014/main" id="{A9E8A40A-7D92-4CEC-9941-A152B843BE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8" name="Elipse 5257">
          <a:extLst>
            <a:ext uri="{FF2B5EF4-FFF2-40B4-BE49-F238E27FC236}">
              <a16:creationId xmlns:a16="http://schemas.microsoft.com/office/drawing/2014/main" id="{3CA073B0-B8BC-469E-A4DC-62362EB24F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59" name="Elipse 5258">
          <a:extLst>
            <a:ext uri="{FF2B5EF4-FFF2-40B4-BE49-F238E27FC236}">
              <a16:creationId xmlns:a16="http://schemas.microsoft.com/office/drawing/2014/main" id="{3F4D7A41-E477-4CA8-824F-15DEA0B0CA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0" name="Elipse 5259">
          <a:extLst>
            <a:ext uri="{FF2B5EF4-FFF2-40B4-BE49-F238E27FC236}">
              <a16:creationId xmlns:a16="http://schemas.microsoft.com/office/drawing/2014/main" id="{3F087CF1-449D-4EE7-A372-F5C43F316B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1" name="Elipse 5260">
          <a:extLst>
            <a:ext uri="{FF2B5EF4-FFF2-40B4-BE49-F238E27FC236}">
              <a16:creationId xmlns:a16="http://schemas.microsoft.com/office/drawing/2014/main" id="{F84A713C-2CFD-42B1-8122-42BD324EE5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2" name="Elipse 5261">
          <a:extLst>
            <a:ext uri="{FF2B5EF4-FFF2-40B4-BE49-F238E27FC236}">
              <a16:creationId xmlns:a16="http://schemas.microsoft.com/office/drawing/2014/main" id="{BDF69A5C-EB36-4191-8756-51B89AD945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3" name="Elipse 5262">
          <a:extLst>
            <a:ext uri="{FF2B5EF4-FFF2-40B4-BE49-F238E27FC236}">
              <a16:creationId xmlns:a16="http://schemas.microsoft.com/office/drawing/2014/main" id="{ACCAD963-0990-41B7-B927-8A4B4BE90D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4" name="Elipse 5263">
          <a:extLst>
            <a:ext uri="{FF2B5EF4-FFF2-40B4-BE49-F238E27FC236}">
              <a16:creationId xmlns:a16="http://schemas.microsoft.com/office/drawing/2014/main" id="{BE7AA322-8A69-49F9-815B-D20C0434B4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5" name="Elipse 5264">
          <a:extLst>
            <a:ext uri="{FF2B5EF4-FFF2-40B4-BE49-F238E27FC236}">
              <a16:creationId xmlns:a16="http://schemas.microsoft.com/office/drawing/2014/main" id="{E3E1C83B-EE82-4C0C-8FCE-9E8929EA0C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6" name="Elipse 5265">
          <a:extLst>
            <a:ext uri="{FF2B5EF4-FFF2-40B4-BE49-F238E27FC236}">
              <a16:creationId xmlns:a16="http://schemas.microsoft.com/office/drawing/2014/main" id="{9D90CA9A-8016-4FA5-945B-D00F056895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7" name="Elipse 5266">
          <a:extLst>
            <a:ext uri="{FF2B5EF4-FFF2-40B4-BE49-F238E27FC236}">
              <a16:creationId xmlns:a16="http://schemas.microsoft.com/office/drawing/2014/main" id="{F0836F02-0254-49C5-9C44-7FE423D6E2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8" name="Elipse 5267">
          <a:extLst>
            <a:ext uri="{FF2B5EF4-FFF2-40B4-BE49-F238E27FC236}">
              <a16:creationId xmlns:a16="http://schemas.microsoft.com/office/drawing/2014/main" id="{AB3AF65E-66F7-43B1-AD81-1148D7B2D6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69" name="Elipse 5268">
          <a:extLst>
            <a:ext uri="{FF2B5EF4-FFF2-40B4-BE49-F238E27FC236}">
              <a16:creationId xmlns:a16="http://schemas.microsoft.com/office/drawing/2014/main" id="{82458EE1-4E76-4AD5-A861-5A6E110628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0" name="Elipse 5269">
          <a:extLst>
            <a:ext uri="{FF2B5EF4-FFF2-40B4-BE49-F238E27FC236}">
              <a16:creationId xmlns:a16="http://schemas.microsoft.com/office/drawing/2014/main" id="{8650732E-A7AD-45DC-83BF-F4191914B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1" name="Elipse 5270">
          <a:extLst>
            <a:ext uri="{FF2B5EF4-FFF2-40B4-BE49-F238E27FC236}">
              <a16:creationId xmlns:a16="http://schemas.microsoft.com/office/drawing/2014/main" id="{1D242502-BF75-4554-B327-A66A1C2D4E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2" name="Elipse 5271">
          <a:extLst>
            <a:ext uri="{FF2B5EF4-FFF2-40B4-BE49-F238E27FC236}">
              <a16:creationId xmlns:a16="http://schemas.microsoft.com/office/drawing/2014/main" id="{995AD4D3-B2A5-482F-9CAA-7216BD8EA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3" name="Elipse 5272">
          <a:extLst>
            <a:ext uri="{FF2B5EF4-FFF2-40B4-BE49-F238E27FC236}">
              <a16:creationId xmlns:a16="http://schemas.microsoft.com/office/drawing/2014/main" id="{4FE376C3-606E-4B0C-8C52-A81C23C347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4" name="Elipse 5273">
          <a:extLst>
            <a:ext uri="{FF2B5EF4-FFF2-40B4-BE49-F238E27FC236}">
              <a16:creationId xmlns:a16="http://schemas.microsoft.com/office/drawing/2014/main" id="{699E7B03-ED0A-4854-8741-A0B8FCDCF8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5" name="Elipse 5274">
          <a:extLst>
            <a:ext uri="{FF2B5EF4-FFF2-40B4-BE49-F238E27FC236}">
              <a16:creationId xmlns:a16="http://schemas.microsoft.com/office/drawing/2014/main" id="{9EF2CA96-0214-4A1A-AF0C-E9C485BB3F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6" name="Elipse 5275">
          <a:extLst>
            <a:ext uri="{FF2B5EF4-FFF2-40B4-BE49-F238E27FC236}">
              <a16:creationId xmlns:a16="http://schemas.microsoft.com/office/drawing/2014/main" id="{9FBF839D-CAD3-4743-B34D-C45BBAA78A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7" name="Elipse 5276">
          <a:extLst>
            <a:ext uri="{FF2B5EF4-FFF2-40B4-BE49-F238E27FC236}">
              <a16:creationId xmlns:a16="http://schemas.microsoft.com/office/drawing/2014/main" id="{E95CD415-9474-43BF-8DCA-3B4851CCCE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8" name="Elipse 5277">
          <a:extLst>
            <a:ext uri="{FF2B5EF4-FFF2-40B4-BE49-F238E27FC236}">
              <a16:creationId xmlns:a16="http://schemas.microsoft.com/office/drawing/2014/main" id="{556A4904-E1F5-4C95-9B87-4148D8F0F9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79" name="Elipse 5278">
          <a:extLst>
            <a:ext uri="{FF2B5EF4-FFF2-40B4-BE49-F238E27FC236}">
              <a16:creationId xmlns:a16="http://schemas.microsoft.com/office/drawing/2014/main" id="{B5AD76A7-230D-44E0-8B89-DA9D9CC6B4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0" name="Elipse 5279">
          <a:extLst>
            <a:ext uri="{FF2B5EF4-FFF2-40B4-BE49-F238E27FC236}">
              <a16:creationId xmlns:a16="http://schemas.microsoft.com/office/drawing/2014/main" id="{09A3E2A8-8DBD-44F0-B389-226A018C92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1" name="Elipse 5280">
          <a:extLst>
            <a:ext uri="{FF2B5EF4-FFF2-40B4-BE49-F238E27FC236}">
              <a16:creationId xmlns:a16="http://schemas.microsoft.com/office/drawing/2014/main" id="{1A02B12B-4F06-48AE-BEC5-A12BEEEED3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2" name="Elipse 5281">
          <a:extLst>
            <a:ext uri="{FF2B5EF4-FFF2-40B4-BE49-F238E27FC236}">
              <a16:creationId xmlns:a16="http://schemas.microsoft.com/office/drawing/2014/main" id="{23272209-2354-43A7-823F-C23B4504DD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3" name="Elipse 5282">
          <a:extLst>
            <a:ext uri="{FF2B5EF4-FFF2-40B4-BE49-F238E27FC236}">
              <a16:creationId xmlns:a16="http://schemas.microsoft.com/office/drawing/2014/main" id="{BC467A60-F187-4841-A3D0-95F900F5CE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4" name="Elipse 5283">
          <a:extLst>
            <a:ext uri="{FF2B5EF4-FFF2-40B4-BE49-F238E27FC236}">
              <a16:creationId xmlns:a16="http://schemas.microsoft.com/office/drawing/2014/main" id="{BCC678B0-A3C7-4D23-A946-872C25D406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5" name="Elipse 5284">
          <a:extLst>
            <a:ext uri="{FF2B5EF4-FFF2-40B4-BE49-F238E27FC236}">
              <a16:creationId xmlns:a16="http://schemas.microsoft.com/office/drawing/2014/main" id="{DB07E90D-478E-4A51-8D48-991810C685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6" name="Elipse 5285">
          <a:extLst>
            <a:ext uri="{FF2B5EF4-FFF2-40B4-BE49-F238E27FC236}">
              <a16:creationId xmlns:a16="http://schemas.microsoft.com/office/drawing/2014/main" id="{55A8C2EB-4758-4F4F-892A-31F3071A2F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7" name="Elipse 5286">
          <a:extLst>
            <a:ext uri="{FF2B5EF4-FFF2-40B4-BE49-F238E27FC236}">
              <a16:creationId xmlns:a16="http://schemas.microsoft.com/office/drawing/2014/main" id="{A680322D-5869-4BDA-9CF3-CFF74BBF89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8" name="Elipse 5287">
          <a:extLst>
            <a:ext uri="{FF2B5EF4-FFF2-40B4-BE49-F238E27FC236}">
              <a16:creationId xmlns:a16="http://schemas.microsoft.com/office/drawing/2014/main" id="{A968A541-E6EF-4DE1-8E0D-5562B644E9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89" name="Elipse 5288">
          <a:extLst>
            <a:ext uri="{FF2B5EF4-FFF2-40B4-BE49-F238E27FC236}">
              <a16:creationId xmlns:a16="http://schemas.microsoft.com/office/drawing/2014/main" id="{34046C23-67E2-4DDB-9EC0-7951FD456E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0" name="Elipse 5289">
          <a:extLst>
            <a:ext uri="{FF2B5EF4-FFF2-40B4-BE49-F238E27FC236}">
              <a16:creationId xmlns:a16="http://schemas.microsoft.com/office/drawing/2014/main" id="{DB7C0A96-AC42-4E2A-908D-1E4FE3D437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1" name="Elipse 5290">
          <a:extLst>
            <a:ext uri="{FF2B5EF4-FFF2-40B4-BE49-F238E27FC236}">
              <a16:creationId xmlns:a16="http://schemas.microsoft.com/office/drawing/2014/main" id="{17F0789A-7645-49DF-A603-7BF3517057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2" name="Elipse 5291">
          <a:extLst>
            <a:ext uri="{FF2B5EF4-FFF2-40B4-BE49-F238E27FC236}">
              <a16:creationId xmlns:a16="http://schemas.microsoft.com/office/drawing/2014/main" id="{F68CB2E3-8417-4EAA-99B7-4A2A2F1E60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3" name="Elipse 5292">
          <a:extLst>
            <a:ext uri="{FF2B5EF4-FFF2-40B4-BE49-F238E27FC236}">
              <a16:creationId xmlns:a16="http://schemas.microsoft.com/office/drawing/2014/main" id="{196C8702-968C-457A-89E0-B2975F31B2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4" name="Elipse 5293">
          <a:extLst>
            <a:ext uri="{FF2B5EF4-FFF2-40B4-BE49-F238E27FC236}">
              <a16:creationId xmlns:a16="http://schemas.microsoft.com/office/drawing/2014/main" id="{64C3A50D-6345-4988-933C-BBB86A1182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5" name="Elipse 5294">
          <a:extLst>
            <a:ext uri="{FF2B5EF4-FFF2-40B4-BE49-F238E27FC236}">
              <a16:creationId xmlns:a16="http://schemas.microsoft.com/office/drawing/2014/main" id="{7FB884AE-0295-485E-AD7F-C651681A1B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6" name="Elipse 5295">
          <a:extLst>
            <a:ext uri="{FF2B5EF4-FFF2-40B4-BE49-F238E27FC236}">
              <a16:creationId xmlns:a16="http://schemas.microsoft.com/office/drawing/2014/main" id="{9E6903BE-08D9-40A1-BDD8-0CFD732DEF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7" name="Elipse 5296">
          <a:extLst>
            <a:ext uri="{FF2B5EF4-FFF2-40B4-BE49-F238E27FC236}">
              <a16:creationId xmlns:a16="http://schemas.microsoft.com/office/drawing/2014/main" id="{6783E654-8428-41DA-B87F-B29F6B11F4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8" name="Elipse 5297">
          <a:extLst>
            <a:ext uri="{FF2B5EF4-FFF2-40B4-BE49-F238E27FC236}">
              <a16:creationId xmlns:a16="http://schemas.microsoft.com/office/drawing/2014/main" id="{ADBAAA04-6BCF-4032-B1BB-381D66BB26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299" name="Elipse 5298">
          <a:extLst>
            <a:ext uri="{FF2B5EF4-FFF2-40B4-BE49-F238E27FC236}">
              <a16:creationId xmlns:a16="http://schemas.microsoft.com/office/drawing/2014/main" id="{B52CBD20-A0C1-4018-8435-C38FD3E175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0" name="Elipse 5299">
          <a:extLst>
            <a:ext uri="{FF2B5EF4-FFF2-40B4-BE49-F238E27FC236}">
              <a16:creationId xmlns:a16="http://schemas.microsoft.com/office/drawing/2014/main" id="{D05D0B18-B5C5-47C7-898C-D6321E0621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1" name="Elipse 5300">
          <a:extLst>
            <a:ext uri="{FF2B5EF4-FFF2-40B4-BE49-F238E27FC236}">
              <a16:creationId xmlns:a16="http://schemas.microsoft.com/office/drawing/2014/main" id="{B65EB1FD-7518-4451-8DD2-26C129CE31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2" name="Elipse 5301">
          <a:extLst>
            <a:ext uri="{FF2B5EF4-FFF2-40B4-BE49-F238E27FC236}">
              <a16:creationId xmlns:a16="http://schemas.microsoft.com/office/drawing/2014/main" id="{B952CC9D-12A4-4DD3-9D1C-4308BB1679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3" name="Elipse 5302">
          <a:extLst>
            <a:ext uri="{FF2B5EF4-FFF2-40B4-BE49-F238E27FC236}">
              <a16:creationId xmlns:a16="http://schemas.microsoft.com/office/drawing/2014/main" id="{2D98F711-B56B-4191-85C3-B219F97FB1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4" name="Elipse 5303">
          <a:extLst>
            <a:ext uri="{FF2B5EF4-FFF2-40B4-BE49-F238E27FC236}">
              <a16:creationId xmlns:a16="http://schemas.microsoft.com/office/drawing/2014/main" id="{4793445C-339F-4BFA-A518-48FB886937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5" name="Elipse 5304">
          <a:extLst>
            <a:ext uri="{FF2B5EF4-FFF2-40B4-BE49-F238E27FC236}">
              <a16:creationId xmlns:a16="http://schemas.microsoft.com/office/drawing/2014/main" id="{CDBF4298-8EF0-45DC-B017-C9D5543A6B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6" name="Elipse 5305">
          <a:extLst>
            <a:ext uri="{FF2B5EF4-FFF2-40B4-BE49-F238E27FC236}">
              <a16:creationId xmlns:a16="http://schemas.microsoft.com/office/drawing/2014/main" id="{8B906644-3B5A-474D-8830-8C1DCCFDE0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7" name="Elipse 5306">
          <a:extLst>
            <a:ext uri="{FF2B5EF4-FFF2-40B4-BE49-F238E27FC236}">
              <a16:creationId xmlns:a16="http://schemas.microsoft.com/office/drawing/2014/main" id="{2ED10734-8DCB-4536-9531-A88F432BDA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8" name="Elipse 5307">
          <a:extLst>
            <a:ext uri="{FF2B5EF4-FFF2-40B4-BE49-F238E27FC236}">
              <a16:creationId xmlns:a16="http://schemas.microsoft.com/office/drawing/2014/main" id="{742C420E-254A-4017-BD99-A86C41BBF3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09" name="Elipse 5308">
          <a:extLst>
            <a:ext uri="{FF2B5EF4-FFF2-40B4-BE49-F238E27FC236}">
              <a16:creationId xmlns:a16="http://schemas.microsoft.com/office/drawing/2014/main" id="{73C04CBE-E759-48E7-8067-A22584548A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0" name="Elipse 5309">
          <a:extLst>
            <a:ext uri="{FF2B5EF4-FFF2-40B4-BE49-F238E27FC236}">
              <a16:creationId xmlns:a16="http://schemas.microsoft.com/office/drawing/2014/main" id="{D1AC3B00-7EAA-44FD-8D09-065EC13544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1" name="Elipse 5310">
          <a:extLst>
            <a:ext uri="{FF2B5EF4-FFF2-40B4-BE49-F238E27FC236}">
              <a16:creationId xmlns:a16="http://schemas.microsoft.com/office/drawing/2014/main" id="{B44B96A2-F3C3-43C4-BEBE-5ADB878827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2" name="Elipse 5311">
          <a:extLst>
            <a:ext uri="{FF2B5EF4-FFF2-40B4-BE49-F238E27FC236}">
              <a16:creationId xmlns:a16="http://schemas.microsoft.com/office/drawing/2014/main" id="{0623561C-B839-4477-B062-07C6EBC26F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3" name="Elipse 5312">
          <a:extLst>
            <a:ext uri="{FF2B5EF4-FFF2-40B4-BE49-F238E27FC236}">
              <a16:creationId xmlns:a16="http://schemas.microsoft.com/office/drawing/2014/main" id="{6B691795-D224-47B3-AB30-2DDBFD9279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4" name="Elipse 5313">
          <a:extLst>
            <a:ext uri="{FF2B5EF4-FFF2-40B4-BE49-F238E27FC236}">
              <a16:creationId xmlns:a16="http://schemas.microsoft.com/office/drawing/2014/main" id="{0A3D2293-D7DF-4B39-AF2D-16D095FDD9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5" name="Elipse 5314">
          <a:extLst>
            <a:ext uri="{FF2B5EF4-FFF2-40B4-BE49-F238E27FC236}">
              <a16:creationId xmlns:a16="http://schemas.microsoft.com/office/drawing/2014/main" id="{2E3B3EB3-ACC8-43BE-AC0A-1525C17939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6" name="Elipse 5315">
          <a:extLst>
            <a:ext uri="{FF2B5EF4-FFF2-40B4-BE49-F238E27FC236}">
              <a16:creationId xmlns:a16="http://schemas.microsoft.com/office/drawing/2014/main" id="{037E133F-D91B-4AE4-906F-CF1111FA3A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7" name="Elipse 5316">
          <a:extLst>
            <a:ext uri="{FF2B5EF4-FFF2-40B4-BE49-F238E27FC236}">
              <a16:creationId xmlns:a16="http://schemas.microsoft.com/office/drawing/2014/main" id="{ADC39DB2-F99A-463D-A664-4393F21C65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8" name="Elipse 5317">
          <a:extLst>
            <a:ext uri="{FF2B5EF4-FFF2-40B4-BE49-F238E27FC236}">
              <a16:creationId xmlns:a16="http://schemas.microsoft.com/office/drawing/2014/main" id="{4C02C088-8253-43E1-B4BD-7D93B3CCC7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19" name="Elipse 5318">
          <a:extLst>
            <a:ext uri="{FF2B5EF4-FFF2-40B4-BE49-F238E27FC236}">
              <a16:creationId xmlns:a16="http://schemas.microsoft.com/office/drawing/2014/main" id="{1265BFC9-3F17-40A4-AD8F-6036EAA5FE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0" name="Elipse 5319">
          <a:extLst>
            <a:ext uri="{FF2B5EF4-FFF2-40B4-BE49-F238E27FC236}">
              <a16:creationId xmlns:a16="http://schemas.microsoft.com/office/drawing/2014/main" id="{45DF3484-3505-4D76-8BFF-C4E0960F4A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1" name="Elipse 5320">
          <a:extLst>
            <a:ext uri="{FF2B5EF4-FFF2-40B4-BE49-F238E27FC236}">
              <a16:creationId xmlns:a16="http://schemas.microsoft.com/office/drawing/2014/main" id="{B12FD849-CE6A-49A2-A69E-1F754211C5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2" name="Elipse 5321">
          <a:extLst>
            <a:ext uri="{FF2B5EF4-FFF2-40B4-BE49-F238E27FC236}">
              <a16:creationId xmlns:a16="http://schemas.microsoft.com/office/drawing/2014/main" id="{263472E5-C2C4-40D7-87E0-790F12826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3" name="Elipse 5322">
          <a:extLst>
            <a:ext uri="{FF2B5EF4-FFF2-40B4-BE49-F238E27FC236}">
              <a16:creationId xmlns:a16="http://schemas.microsoft.com/office/drawing/2014/main" id="{6577F53B-5570-4545-825C-B909B0B92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4" name="Elipse 5323">
          <a:extLst>
            <a:ext uri="{FF2B5EF4-FFF2-40B4-BE49-F238E27FC236}">
              <a16:creationId xmlns:a16="http://schemas.microsoft.com/office/drawing/2014/main" id="{AF6D58C6-927A-47D5-8B79-A9F70DA7E9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5" name="Elipse 5324">
          <a:extLst>
            <a:ext uri="{FF2B5EF4-FFF2-40B4-BE49-F238E27FC236}">
              <a16:creationId xmlns:a16="http://schemas.microsoft.com/office/drawing/2014/main" id="{0898EEE9-E93B-4EB7-85A1-61619518A1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6" name="Elipse 5325">
          <a:extLst>
            <a:ext uri="{FF2B5EF4-FFF2-40B4-BE49-F238E27FC236}">
              <a16:creationId xmlns:a16="http://schemas.microsoft.com/office/drawing/2014/main" id="{7D7ADEC6-B806-4A4E-8A8A-CA9088A4A9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7" name="Elipse 5326">
          <a:extLst>
            <a:ext uri="{FF2B5EF4-FFF2-40B4-BE49-F238E27FC236}">
              <a16:creationId xmlns:a16="http://schemas.microsoft.com/office/drawing/2014/main" id="{CAD7FFB1-924E-4567-AE32-F4FC8981AA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8" name="Elipse 5327">
          <a:extLst>
            <a:ext uri="{FF2B5EF4-FFF2-40B4-BE49-F238E27FC236}">
              <a16:creationId xmlns:a16="http://schemas.microsoft.com/office/drawing/2014/main" id="{98A4B029-9D99-4FEE-B0D7-BA549986B3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29" name="Elipse 5328">
          <a:extLst>
            <a:ext uri="{FF2B5EF4-FFF2-40B4-BE49-F238E27FC236}">
              <a16:creationId xmlns:a16="http://schemas.microsoft.com/office/drawing/2014/main" id="{98C9C064-42A5-447E-B8DA-B6AA9DE97B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0" name="Elipse 5329">
          <a:extLst>
            <a:ext uri="{FF2B5EF4-FFF2-40B4-BE49-F238E27FC236}">
              <a16:creationId xmlns:a16="http://schemas.microsoft.com/office/drawing/2014/main" id="{2570C349-3A92-45FE-B648-AD1B981226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1" name="Elipse 5330">
          <a:extLst>
            <a:ext uri="{FF2B5EF4-FFF2-40B4-BE49-F238E27FC236}">
              <a16:creationId xmlns:a16="http://schemas.microsoft.com/office/drawing/2014/main" id="{253D3C5E-0FAB-49E9-BDB8-A63457338A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2" name="Elipse 5331">
          <a:extLst>
            <a:ext uri="{FF2B5EF4-FFF2-40B4-BE49-F238E27FC236}">
              <a16:creationId xmlns:a16="http://schemas.microsoft.com/office/drawing/2014/main" id="{B48AEFB0-3F81-4084-B8F2-8E2232A55E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3" name="Elipse 5332">
          <a:extLst>
            <a:ext uri="{FF2B5EF4-FFF2-40B4-BE49-F238E27FC236}">
              <a16:creationId xmlns:a16="http://schemas.microsoft.com/office/drawing/2014/main" id="{CE7B2E0D-8076-4F74-8ED6-49FD297384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4" name="Elipse 5333">
          <a:extLst>
            <a:ext uri="{FF2B5EF4-FFF2-40B4-BE49-F238E27FC236}">
              <a16:creationId xmlns:a16="http://schemas.microsoft.com/office/drawing/2014/main" id="{B73DFC74-F0EA-49A5-A898-D0024D6D62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5" name="Elipse 5334">
          <a:extLst>
            <a:ext uri="{FF2B5EF4-FFF2-40B4-BE49-F238E27FC236}">
              <a16:creationId xmlns:a16="http://schemas.microsoft.com/office/drawing/2014/main" id="{1BBC04AB-EF03-4757-97C3-47CC7A401F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6" name="Elipse 5335">
          <a:extLst>
            <a:ext uri="{FF2B5EF4-FFF2-40B4-BE49-F238E27FC236}">
              <a16:creationId xmlns:a16="http://schemas.microsoft.com/office/drawing/2014/main" id="{776BAC25-C1F6-4E78-AE12-E1CC82B01A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7" name="Elipse 5336">
          <a:extLst>
            <a:ext uri="{FF2B5EF4-FFF2-40B4-BE49-F238E27FC236}">
              <a16:creationId xmlns:a16="http://schemas.microsoft.com/office/drawing/2014/main" id="{BD19ABC5-906D-47F5-9B85-A80266D3C4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8" name="Elipse 5337">
          <a:extLst>
            <a:ext uri="{FF2B5EF4-FFF2-40B4-BE49-F238E27FC236}">
              <a16:creationId xmlns:a16="http://schemas.microsoft.com/office/drawing/2014/main" id="{A6E6FE2F-B7A7-4749-A79A-4B81D20407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39" name="Elipse 5338">
          <a:extLst>
            <a:ext uri="{FF2B5EF4-FFF2-40B4-BE49-F238E27FC236}">
              <a16:creationId xmlns:a16="http://schemas.microsoft.com/office/drawing/2014/main" id="{732B67E5-CAD9-4CB7-921B-DB71031E8E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0" name="Elipse 5339">
          <a:extLst>
            <a:ext uri="{FF2B5EF4-FFF2-40B4-BE49-F238E27FC236}">
              <a16:creationId xmlns:a16="http://schemas.microsoft.com/office/drawing/2014/main" id="{333029C8-8757-4B5F-9DAF-57C5204966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1" name="Elipse 5340">
          <a:extLst>
            <a:ext uri="{FF2B5EF4-FFF2-40B4-BE49-F238E27FC236}">
              <a16:creationId xmlns:a16="http://schemas.microsoft.com/office/drawing/2014/main" id="{997AF021-D98F-4318-8DFA-8417029591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2" name="Elipse 5341">
          <a:extLst>
            <a:ext uri="{FF2B5EF4-FFF2-40B4-BE49-F238E27FC236}">
              <a16:creationId xmlns:a16="http://schemas.microsoft.com/office/drawing/2014/main" id="{2EF26E20-0E22-48A9-9A80-79277E5CC7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3" name="Elipse 5342">
          <a:extLst>
            <a:ext uri="{FF2B5EF4-FFF2-40B4-BE49-F238E27FC236}">
              <a16:creationId xmlns:a16="http://schemas.microsoft.com/office/drawing/2014/main" id="{4F41BAFF-C1E9-41CF-9CAE-237BB004F2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4" name="Elipse 5343">
          <a:extLst>
            <a:ext uri="{FF2B5EF4-FFF2-40B4-BE49-F238E27FC236}">
              <a16:creationId xmlns:a16="http://schemas.microsoft.com/office/drawing/2014/main" id="{72B4C72D-8E74-4001-9AF0-4AA66AF91D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5" name="Elipse 5344">
          <a:extLst>
            <a:ext uri="{FF2B5EF4-FFF2-40B4-BE49-F238E27FC236}">
              <a16:creationId xmlns:a16="http://schemas.microsoft.com/office/drawing/2014/main" id="{B3FF45EB-E542-49B0-9E8F-A9304A9B63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6" name="Elipse 5345">
          <a:extLst>
            <a:ext uri="{FF2B5EF4-FFF2-40B4-BE49-F238E27FC236}">
              <a16:creationId xmlns:a16="http://schemas.microsoft.com/office/drawing/2014/main" id="{DEEDFBDC-99AE-402D-B2ED-421CC925E8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7" name="Elipse 5346">
          <a:extLst>
            <a:ext uri="{FF2B5EF4-FFF2-40B4-BE49-F238E27FC236}">
              <a16:creationId xmlns:a16="http://schemas.microsoft.com/office/drawing/2014/main" id="{75149361-BB47-4F3E-8C82-0F6A69FB3C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8" name="Elipse 5347">
          <a:extLst>
            <a:ext uri="{FF2B5EF4-FFF2-40B4-BE49-F238E27FC236}">
              <a16:creationId xmlns:a16="http://schemas.microsoft.com/office/drawing/2014/main" id="{6548A80B-1D20-4070-BC15-D1EB811946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49" name="Elipse 5348">
          <a:extLst>
            <a:ext uri="{FF2B5EF4-FFF2-40B4-BE49-F238E27FC236}">
              <a16:creationId xmlns:a16="http://schemas.microsoft.com/office/drawing/2014/main" id="{95917EBA-1695-4558-86AC-73B1B9655E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0" name="Elipse 5349">
          <a:extLst>
            <a:ext uri="{FF2B5EF4-FFF2-40B4-BE49-F238E27FC236}">
              <a16:creationId xmlns:a16="http://schemas.microsoft.com/office/drawing/2014/main" id="{9C666268-00D4-4800-BF20-E580C4E45F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1" name="Elipse 5350">
          <a:extLst>
            <a:ext uri="{FF2B5EF4-FFF2-40B4-BE49-F238E27FC236}">
              <a16:creationId xmlns:a16="http://schemas.microsoft.com/office/drawing/2014/main" id="{9EAB03CF-D8B0-4BE6-9A52-B0264ADD74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2" name="Elipse 5351">
          <a:extLst>
            <a:ext uri="{FF2B5EF4-FFF2-40B4-BE49-F238E27FC236}">
              <a16:creationId xmlns:a16="http://schemas.microsoft.com/office/drawing/2014/main" id="{98959669-BB21-4092-847A-C74F65254A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3" name="Elipse 5352">
          <a:extLst>
            <a:ext uri="{FF2B5EF4-FFF2-40B4-BE49-F238E27FC236}">
              <a16:creationId xmlns:a16="http://schemas.microsoft.com/office/drawing/2014/main" id="{CA6C6A58-ACE8-4436-A20A-1C4FF90330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4" name="Elipse 5353">
          <a:extLst>
            <a:ext uri="{FF2B5EF4-FFF2-40B4-BE49-F238E27FC236}">
              <a16:creationId xmlns:a16="http://schemas.microsoft.com/office/drawing/2014/main" id="{15EF83CF-E9B0-4E60-95F8-08E47C5AF1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5" name="Elipse 5354">
          <a:extLst>
            <a:ext uri="{FF2B5EF4-FFF2-40B4-BE49-F238E27FC236}">
              <a16:creationId xmlns:a16="http://schemas.microsoft.com/office/drawing/2014/main" id="{E38BD30C-DA4A-461C-8753-A46319AABB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6" name="Elipse 5355">
          <a:extLst>
            <a:ext uri="{FF2B5EF4-FFF2-40B4-BE49-F238E27FC236}">
              <a16:creationId xmlns:a16="http://schemas.microsoft.com/office/drawing/2014/main" id="{5E855E03-8ED9-469C-BA53-357C541998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7" name="Elipse 5356">
          <a:extLst>
            <a:ext uri="{FF2B5EF4-FFF2-40B4-BE49-F238E27FC236}">
              <a16:creationId xmlns:a16="http://schemas.microsoft.com/office/drawing/2014/main" id="{5AF30DF8-D8B3-4A93-8B30-E3CBF09D4C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8" name="Elipse 5357">
          <a:extLst>
            <a:ext uri="{FF2B5EF4-FFF2-40B4-BE49-F238E27FC236}">
              <a16:creationId xmlns:a16="http://schemas.microsoft.com/office/drawing/2014/main" id="{B6437D24-368A-4E80-9E8F-B211CCFCD5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59" name="Elipse 5358">
          <a:extLst>
            <a:ext uri="{FF2B5EF4-FFF2-40B4-BE49-F238E27FC236}">
              <a16:creationId xmlns:a16="http://schemas.microsoft.com/office/drawing/2014/main" id="{FB92BD5C-6BD4-4921-8045-1D0CD018EB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0" name="Elipse 5359">
          <a:extLst>
            <a:ext uri="{FF2B5EF4-FFF2-40B4-BE49-F238E27FC236}">
              <a16:creationId xmlns:a16="http://schemas.microsoft.com/office/drawing/2014/main" id="{17571A76-89FF-4AB8-B57C-5B33B896C4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1" name="Elipse 5360">
          <a:extLst>
            <a:ext uri="{FF2B5EF4-FFF2-40B4-BE49-F238E27FC236}">
              <a16:creationId xmlns:a16="http://schemas.microsoft.com/office/drawing/2014/main" id="{A8E26057-3CC7-4747-8F6B-47235C913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2" name="Elipse 5361">
          <a:extLst>
            <a:ext uri="{FF2B5EF4-FFF2-40B4-BE49-F238E27FC236}">
              <a16:creationId xmlns:a16="http://schemas.microsoft.com/office/drawing/2014/main" id="{0DAEA029-2036-41E8-B45E-6FF9E77C71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3" name="Elipse 5362">
          <a:extLst>
            <a:ext uri="{FF2B5EF4-FFF2-40B4-BE49-F238E27FC236}">
              <a16:creationId xmlns:a16="http://schemas.microsoft.com/office/drawing/2014/main" id="{B057B617-47C8-41D9-B8D3-91F692C9C6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4" name="Elipse 5363">
          <a:extLst>
            <a:ext uri="{FF2B5EF4-FFF2-40B4-BE49-F238E27FC236}">
              <a16:creationId xmlns:a16="http://schemas.microsoft.com/office/drawing/2014/main" id="{21DBAC8B-EED6-45EE-A282-CDD2A77C7D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5" name="Elipse 5364">
          <a:extLst>
            <a:ext uri="{FF2B5EF4-FFF2-40B4-BE49-F238E27FC236}">
              <a16:creationId xmlns:a16="http://schemas.microsoft.com/office/drawing/2014/main" id="{358745B0-8D0D-4B63-9049-0B528BD97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6" name="Elipse 5365">
          <a:extLst>
            <a:ext uri="{FF2B5EF4-FFF2-40B4-BE49-F238E27FC236}">
              <a16:creationId xmlns:a16="http://schemas.microsoft.com/office/drawing/2014/main" id="{16991C8D-DB8C-41D4-BE5F-C94B86D6E3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7" name="Elipse 5366">
          <a:extLst>
            <a:ext uri="{FF2B5EF4-FFF2-40B4-BE49-F238E27FC236}">
              <a16:creationId xmlns:a16="http://schemas.microsoft.com/office/drawing/2014/main" id="{8B0EDA8E-C927-4585-A7C9-6BB4664371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8" name="Elipse 5367">
          <a:extLst>
            <a:ext uri="{FF2B5EF4-FFF2-40B4-BE49-F238E27FC236}">
              <a16:creationId xmlns:a16="http://schemas.microsoft.com/office/drawing/2014/main" id="{1FE70301-078B-40EE-8908-0963B54270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69" name="Elipse 5368">
          <a:extLst>
            <a:ext uri="{FF2B5EF4-FFF2-40B4-BE49-F238E27FC236}">
              <a16:creationId xmlns:a16="http://schemas.microsoft.com/office/drawing/2014/main" id="{B1FC4A50-6CDB-4CD7-BBCC-9B04D5C7FB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0" name="Elipse 5369">
          <a:extLst>
            <a:ext uri="{FF2B5EF4-FFF2-40B4-BE49-F238E27FC236}">
              <a16:creationId xmlns:a16="http://schemas.microsoft.com/office/drawing/2014/main" id="{66742ADE-29AC-4A00-BE67-5BB7DC733E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1" name="Elipse 5370">
          <a:extLst>
            <a:ext uri="{FF2B5EF4-FFF2-40B4-BE49-F238E27FC236}">
              <a16:creationId xmlns:a16="http://schemas.microsoft.com/office/drawing/2014/main" id="{934B4E86-C929-4578-9393-FB541FFDB0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2" name="Elipse 5371">
          <a:extLst>
            <a:ext uri="{FF2B5EF4-FFF2-40B4-BE49-F238E27FC236}">
              <a16:creationId xmlns:a16="http://schemas.microsoft.com/office/drawing/2014/main" id="{C56B9D7E-C723-4B9B-AC2A-1CB44EDCF7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3" name="Elipse 5372">
          <a:extLst>
            <a:ext uri="{FF2B5EF4-FFF2-40B4-BE49-F238E27FC236}">
              <a16:creationId xmlns:a16="http://schemas.microsoft.com/office/drawing/2014/main" id="{A087DFA4-9F33-4D3F-A988-F28C00D60D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4" name="Elipse 5373">
          <a:extLst>
            <a:ext uri="{FF2B5EF4-FFF2-40B4-BE49-F238E27FC236}">
              <a16:creationId xmlns:a16="http://schemas.microsoft.com/office/drawing/2014/main" id="{69DCEF6A-6E86-473E-8F12-8D2A579E9A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5" name="Elipse 5374">
          <a:extLst>
            <a:ext uri="{FF2B5EF4-FFF2-40B4-BE49-F238E27FC236}">
              <a16:creationId xmlns:a16="http://schemas.microsoft.com/office/drawing/2014/main" id="{76ED0B3C-026D-46F2-AF18-4351E0FE2C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6" name="Elipse 5375">
          <a:extLst>
            <a:ext uri="{FF2B5EF4-FFF2-40B4-BE49-F238E27FC236}">
              <a16:creationId xmlns:a16="http://schemas.microsoft.com/office/drawing/2014/main" id="{1ECA4A04-4497-4B91-8D8B-C1B68E6968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7" name="Elipse 5376">
          <a:extLst>
            <a:ext uri="{FF2B5EF4-FFF2-40B4-BE49-F238E27FC236}">
              <a16:creationId xmlns:a16="http://schemas.microsoft.com/office/drawing/2014/main" id="{08BFA16A-33C3-423B-8D6F-A38421D99A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8" name="Elipse 5377">
          <a:extLst>
            <a:ext uri="{FF2B5EF4-FFF2-40B4-BE49-F238E27FC236}">
              <a16:creationId xmlns:a16="http://schemas.microsoft.com/office/drawing/2014/main" id="{B7BF69A4-A3F6-43BA-911C-28256E416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79" name="Elipse 5378">
          <a:extLst>
            <a:ext uri="{FF2B5EF4-FFF2-40B4-BE49-F238E27FC236}">
              <a16:creationId xmlns:a16="http://schemas.microsoft.com/office/drawing/2014/main" id="{9DB67D9B-5AFE-41F6-92E0-50BD0F18ED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0" name="Elipse 5379">
          <a:extLst>
            <a:ext uri="{FF2B5EF4-FFF2-40B4-BE49-F238E27FC236}">
              <a16:creationId xmlns:a16="http://schemas.microsoft.com/office/drawing/2014/main" id="{3A430C98-EDD2-4479-970E-F13F552A53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1" name="Elipse 5380">
          <a:extLst>
            <a:ext uri="{FF2B5EF4-FFF2-40B4-BE49-F238E27FC236}">
              <a16:creationId xmlns:a16="http://schemas.microsoft.com/office/drawing/2014/main" id="{15DC3693-E11A-4C55-8192-A37054943C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2" name="Elipse 5381">
          <a:extLst>
            <a:ext uri="{FF2B5EF4-FFF2-40B4-BE49-F238E27FC236}">
              <a16:creationId xmlns:a16="http://schemas.microsoft.com/office/drawing/2014/main" id="{B289FD1D-FDFD-400B-9B2A-E40923DCEC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3" name="Elipse 5382">
          <a:extLst>
            <a:ext uri="{FF2B5EF4-FFF2-40B4-BE49-F238E27FC236}">
              <a16:creationId xmlns:a16="http://schemas.microsoft.com/office/drawing/2014/main" id="{BB644EE5-6DE7-4C31-9849-7C9ADA7671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4" name="Elipse 5383">
          <a:extLst>
            <a:ext uri="{FF2B5EF4-FFF2-40B4-BE49-F238E27FC236}">
              <a16:creationId xmlns:a16="http://schemas.microsoft.com/office/drawing/2014/main" id="{A2DE0F52-2E45-4DD2-9DEF-C21EA61D78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5" name="Elipse 5384">
          <a:extLst>
            <a:ext uri="{FF2B5EF4-FFF2-40B4-BE49-F238E27FC236}">
              <a16:creationId xmlns:a16="http://schemas.microsoft.com/office/drawing/2014/main" id="{30B6E6BE-83E1-4FFE-9DD7-4FFE47BE8B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6" name="Elipse 5385">
          <a:extLst>
            <a:ext uri="{FF2B5EF4-FFF2-40B4-BE49-F238E27FC236}">
              <a16:creationId xmlns:a16="http://schemas.microsoft.com/office/drawing/2014/main" id="{C775EEC0-E5BA-4517-A67C-5A8898B764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7" name="Elipse 5386">
          <a:extLst>
            <a:ext uri="{FF2B5EF4-FFF2-40B4-BE49-F238E27FC236}">
              <a16:creationId xmlns:a16="http://schemas.microsoft.com/office/drawing/2014/main" id="{5A50DE52-580F-4BA7-8CA9-C3AA533652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8" name="Elipse 5387">
          <a:extLst>
            <a:ext uri="{FF2B5EF4-FFF2-40B4-BE49-F238E27FC236}">
              <a16:creationId xmlns:a16="http://schemas.microsoft.com/office/drawing/2014/main" id="{14027714-2D1F-4CD6-A141-A8F58125CC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89" name="Elipse 5388">
          <a:extLst>
            <a:ext uri="{FF2B5EF4-FFF2-40B4-BE49-F238E27FC236}">
              <a16:creationId xmlns:a16="http://schemas.microsoft.com/office/drawing/2014/main" id="{EF48640E-D9A8-44CB-B00A-2E5BBA4F96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0" name="Elipse 5389">
          <a:extLst>
            <a:ext uri="{FF2B5EF4-FFF2-40B4-BE49-F238E27FC236}">
              <a16:creationId xmlns:a16="http://schemas.microsoft.com/office/drawing/2014/main" id="{7FC9D16E-AD02-4434-9209-D961A358C5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1" name="Elipse 5390">
          <a:extLst>
            <a:ext uri="{FF2B5EF4-FFF2-40B4-BE49-F238E27FC236}">
              <a16:creationId xmlns:a16="http://schemas.microsoft.com/office/drawing/2014/main" id="{F8717FCF-180E-4FC4-9B77-F28F970BF4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2" name="Elipse 5391">
          <a:extLst>
            <a:ext uri="{FF2B5EF4-FFF2-40B4-BE49-F238E27FC236}">
              <a16:creationId xmlns:a16="http://schemas.microsoft.com/office/drawing/2014/main" id="{4E587C14-4AB8-444E-93F9-B21FF4902D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3" name="Elipse 5392">
          <a:extLst>
            <a:ext uri="{FF2B5EF4-FFF2-40B4-BE49-F238E27FC236}">
              <a16:creationId xmlns:a16="http://schemas.microsoft.com/office/drawing/2014/main" id="{AC22DFA7-4E27-4D2C-98BA-DFF21B594F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4" name="Elipse 5393">
          <a:extLst>
            <a:ext uri="{FF2B5EF4-FFF2-40B4-BE49-F238E27FC236}">
              <a16:creationId xmlns:a16="http://schemas.microsoft.com/office/drawing/2014/main" id="{3B6FA24E-2E0E-4636-95B5-528E77EC09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5" name="Elipse 5394">
          <a:extLst>
            <a:ext uri="{FF2B5EF4-FFF2-40B4-BE49-F238E27FC236}">
              <a16:creationId xmlns:a16="http://schemas.microsoft.com/office/drawing/2014/main" id="{EB45D421-2B15-436A-96FE-DCAD44A9FA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6" name="Elipse 5395">
          <a:extLst>
            <a:ext uri="{FF2B5EF4-FFF2-40B4-BE49-F238E27FC236}">
              <a16:creationId xmlns:a16="http://schemas.microsoft.com/office/drawing/2014/main" id="{F03C9D36-4E59-4297-B6B0-A56D97DB01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7" name="Elipse 5396">
          <a:extLst>
            <a:ext uri="{FF2B5EF4-FFF2-40B4-BE49-F238E27FC236}">
              <a16:creationId xmlns:a16="http://schemas.microsoft.com/office/drawing/2014/main" id="{D4A503B4-B9F5-4BDC-A7ED-94763F4442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8" name="Elipse 5397">
          <a:extLst>
            <a:ext uri="{FF2B5EF4-FFF2-40B4-BE49-F238E27FC236}">
              <a16:creationId xmlns:a16="http://schemas.microsoft.com/office/drawing/2014/main" id="{FD89457C-6FA4-4F78-82D2-A4D12A630E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399" name="Elipse 5398">
          <a:extLst>
            <a:ext uri="{FF2B5EF4-FFF2-40B4-BE49-F238E27FC236}">
              <a16:creationId xmlns:a16="http://schemas.microsoft.com/office/drawing/2014/main" id="{5CCA3C17-5209-423F-B6EF-CDB033F50E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0" name="Elipse 5399">
          <a:extLst>
            <a:ext uri="{FF2B5EF4-FFF2-40B4-BE49-F238E27FC236}">
              <a16:creationId xmlns:a16="http://schemas.microsoft.com/office/drawing/2014/main" id="{645DB8E3-0A2A-4145-B939-09A9A24D74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1" name="Elipse 5400">
          <a:extLst>
            <a:ext uri="{FF2B5EF4-FFF2-40B4-BE49-F238E27FC236}">
              <a16:creationId xmlns:a16="http://schemas.microsoft.com/office/drawing/2014/main" id="{5DB3C699-B830-4093-84C0-503B65734D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2" name="Elipse 5401">
          <a:extLst>
            <a:ext uri="{FF2B5EF4-FFF2-40B4-BE49-F238E27FC236}">
              <a16:creationId xmlns:a16="http://schemas.microsoft.com/office/drawing/2014/main" id="{168E88AC-4AA7-45FA-80EB-48ADA60930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3" name="Elipse 5402">
          <a:extLst>
            <a:ext uri="{FF2B5EF4-FFF2-40B4-BE49-F238E27FC236}">
              <a16:creationId xmlns:a16="http://schemas.microsoft.com/office/drawing/2014/main" id="{5ECD2169-64DA-4DA0-A7E8-BC10F210B4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4" name="Elipse 5403">
          <a:extLst>
            <a:ext uri="{FF2B5EF4-FFF2-40B4-BE49-F238E27FC236}">
              <a16:creationId xmlns:a16="http://schemas.microsoft.com/office/drawing/2014/main" id="{73DED3D1-BDF5-40A5-927B-25EABC52C2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5" name="Elipse 5404">
          <a:extLst>
            <a:ext uri="{FF2B5EF4-FFF2-40B4-BE49-F238E27FC236}">
              <a16:creationId xmlns:a16="http://schemas.microsoft.com/office/drawing/2014/main" id="{94D0253B-25F0-410C-B140-65E6CDB17F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6" name="Elipse 5405">
          <a:extLst>
            <a:ext uri="{FF2B5EF4-FFF2-40B4-BE49-F238E27FC236}">
              <a16:creationId xmlns:a16="http://schemas.microsoft.com/office/drawing/2014/main" id="{F3C9145A-E5FE-42FE-BC46-5B08CD8582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7" name="Elipse 5406">
          <a:extLst>
            <a:ext uri="{FF2B5EF4-FFF2-40B4-BE49-F238E27FC236}">
              <a16:creationId xmlns:a16="http://schemas.microsoft.com/office/drawing/2014/main" id="{95C6CDCD-B5AF-4D78-A073-E8186F9788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8" name="Elipse 5407">
          <a:extLst>
            <a:ext uri="{FF2B5EF4-FFF2-40B4-BE49-F238E27FC236}">
              <a16:creationId xmlns:a16="http://schemas.microsoft.com/office/drawing/2014/main" id="{7D1C93AD-CA9A-4FB5-8502-BBBF490E1B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09" name="Elipse 5408">
          <a:extLst>
            <a:ext uri="{FF2B5EF4-FFF2-40B4-BE49-F238E27FC236}">
              <a16:creationId xmlns:a16="http://schemas.microsoft.com/office/drawing/2014/main" id="{88C605D9-6397-400C-BE3E-9D12BA27DD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0" name="Elipse 5409">
          <a:extLst>
            <a:ext uri="{FF2B5EF4-FFF2-40B4-BE49-F238E27FC236}">
              <a16:creationId xmlns:a16="http://schemas.microsoft.com/office/drawing/2014/main" id="{2A20C635-E42D-4111-8A47-EA2CA3D6AF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1" name="Elipse 5410">
          <a:extLst>
            <a:ext uri="{FF2B5EF4-FFF2-40B4-BE49-F238E27FC236}">
              <a16:creationId xmlns:a16="http://schemas.microsoft.com/office/drawing/2014/main" id="{035316D3-EA69-4BE5-BB5D-FB835B60AD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2" name="Elipse 5411">
          <a:extLst>
            <a:ext uri="{FF2B5EF4-FFF2-40B4-BE49-F238E27FC236}">
              <a16:creationId xmlns:a16="http://schemas.microsoft.com/office/drawing/2014/main" id="{C4F4D4AF-C266-42BC-92E0-9776047F0C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3" name="Elipse 5412">
          <a:extLst>
            <a:ext uri="{FF2B5EF4-FFF2-40B4-BE49-F238E27FC236}">
              <a16:creationId xmlns:a16="http://schemas.microsoft.com/office/drawing/2014/main" id="{57DC6794-6C24-4708-AB47-E58B05199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4" name="Elipse 5413">
          <a:extLst>
            <a:ext uri="{FF2B5EF4-FFF2-40B4-BE49-F238E27FC236}">
              <a16:creationId xmlns:a16="http://schemas.microsoft.com/office/drawing/2014/main" id="{78619AF2-C35E-4947-88F6-80321311BB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5" name="Elipse 5414">
          <a:extLst>
            <a:ext uri="{FF2B5EF4-FFF2-40B4-BE49-F238E27FC236}">
              <a16:creationId xmlns:a16="http://schemas.microsoft.com/office/drawing/2014/main" id="{AE434194-1237-43E3-8B12-8634353905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6" name="Elipse 5415">
          <a:extLst>
            <a:ext uri="{FF2B5EF4-FFF2-40B4-BE49-F238E27FC236}">
              <a16:creationId xmlns:a16="http://schemas.microsoft.com/office/drawing/2014/main" id="{408047F9-43C9-4569-AD6B-A1779238CF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7" name="Elipse 5416">
          <a:extLst>
            <a:ext uri="{FF2B5EF4-FFF2-40B4-BE49-F238E27FC236}">
              <a16:creationId xmlns:a16="http://schemas.microsoft.com/office/drawing/2014/main" id="{723593C8-9A64-4E4F-9800-5D62FB89F4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8" name="Elipse 5417">
          <a:extLst>
            <a:ext uri="{FF2B5EF4-FFF2-40B4-BE49-F238E27FC236}">
              <a16:creationId xmlns:a16="http://schemas.microsoft.com/office/drawing/2014/main" id="{0CCFCA57-1314-43D6-A0B2-49C7753F92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19" name="Elipse 5418">
          <a:extLst>
            <a:ext uri="{FF2B5EF4-FFF2-40B4-BE49-F238E27FC236}">
              <a16:creationId xmlns:a16="http://schemas.microsoft.com/office/drawing/2014/main" id="{0A9F98E6-3E0B-477C-86E1-4808E62478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0" name="Elipse 5419">
          <a:extLst>
            <a:ext uri="{FF2B5EF4-FFF2-40B4-BE49-F238E27FC236}">
              <a16:creationId xmlns:a16="http://schemas.microsoft.com/office/drawing/2014/main" id="{3ECF79E6-52E7-426D-8F63-0542BF8CBB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1" name="Elipse 5420">
          <a:extLst>
            <a:ext uri="{FF2B5EF4-FFF2-40B4-BE49-F238E27FC236}">
              <a16:creationId xmlns:a16="http://schemas.microsoft.com/office/drawing/2014/main" id="{974961E6-6546-499C-8FF3-64AE1124C6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2" name="Elipse 5421">
          <a:extLst>
            <a:ext uri="{FF2B5EF4-FFF2-40B4-BE49-F238E27FC236}">
              <a16:creationId xmlns:a16="http://schemas.microsoft.com/office/drawing/2014/main" id="{AC07D05F-ACC6-458E-A6A0-EDE2A1C9E0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3" name="Elipse 5422">
          <a:extLst>
            <a:ext uri="{FF2B5EF4-FFF2-40B4-BE49-F238E27FC236}">
              <a16:creationId xmlns:a16="http://schemas.microsoft.com/office/drawing/2014/main" id="{B62AA012-1CAA-44FB-9E3C-6464CC583B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4" name="Elipse 5423">
          <a:extLst>
            <a:ext uri="{FF2B5EF4-FFF2-40B4-BE49-F238E27FC236}">
              <a16:creationId xmlns:a16="http://schemas.microsoft.com/office/drawing/2014/main" id="{BB701390-76A4-47EE-BAED-5D85320522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5" name="Elipse 5424">
          <a:extLst>
            <a:ext uri="{FF2B5EF4-FFF2-40B4-BE49-F238E27FC236}">
              <a16:creationId xmlns:a16="http://schemas.microsoft.com/office/drawing/2014/main" id="{5580B9B9-3415-480A-911A-3FF5D57266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6" name="Elipse 5425">
          <a:extLst>
            <a:ext uri="{FF2B5EF4-FFF2-40B4-BE49-F238E27FC236}">
              <a16:creationId xmlns:a16="http://schemas.microsoft.com/office/drawing/2014/main" id="{4265F6D3-65EB-48A3-B79F-6CCD808974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7" name="Elipse 5426">
          <a:extLst>
            <a:ext uri="{FF2B5EF4-FFF2-40B4-BE49-F238E27FC236}">
              <a16:creationId xmlns:a16="http://schemas.microsoft.com/office/drawing/2014/main" id="{EF0196B7-193C-44C8-AAFC-89A73C739D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8" name="Elipse 5427">
          <a:extLst>
            <a:ext uri="{FF2B5EF4-FFF2-40B4-BE49-F238E27FC236}">
              <a16:creationId xmlns:a16="http://schemas.microsoft.com/office/drawing/2014/main" id="{2EFB6B93-8304-42F2-8531-7A2E4AFEB2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29" name="Elipse 5428">
          <a:extLst>
            <a:ext uri="{FF2B5EF4-FFF2-40B4-BE49-F238E27FC236}">
              <a16:creationId xmlns:a16="http://schemas.microsoft.com/office/drawing/2014/main" id="{BCF16A5A-9BDF-43BD-8748-F70802327F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0" name="Elipse 5429">
          <a:extLst>
            <a:ext uri="{FF2B5EF4-FFF2-40B4-BE49-F238E27FC236}">
              <a16:creationId xmlns:a16="http://schemas.microsoft.com/office/drawing/2014/main" id="{1C7F1870-2FDF-4635-B308-80E7A29CD3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1" name="Elipse 5430">
          <a:extLst>
            <a:ext uri="{FF2B5EF4-FFF2-40B4-BE49-F238E27FC236}">
              <a16:creationId xmlns:a16="http://schemas.microsoft.com/office/drawing/2014/main" id="{B4F7966A-137F-4480-8B0B-6B73B1AA62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2" name="Elipse 5431">
          <a:extLst>
            <a:ext uri="{FF2B5EF4-FFF2-40B4-BE49-F238E27FC236}">
              <a16:creationId xmlns:a16="http://schemas.microsoft.com/office/drawing/2014/main" id="{D6079B40-C7BB-461D-8126-092FAB6537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3" name="Elipse 5432">
          <a:extLst>
            <a:ext uri="{FF2B5EF4-FFF2-40B4-BE49-F238E27FC236}">
              <a16:creationId xmlns:a16="http://schemas.microsoft.com/office/drawing/2014/main" id="{B45B3D8A-0D9B-44E0-8B42-DF5B90B787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4" name="Elipse 5433">
          <a:extLst>
            <a:ext uri="{FF2B5EF4-FFF2-40B4-BE49-F238E27FC236}">
              <a16:creationId xmlns:a16="http://schemas.microsoft.com/office/drawing/2014/main" id="{F8A0FE29-3F14-4BB8-A510-2423C902B3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5" name="Elipse 5434">
          <a:extLst>
            <a:ext uri="{FF2B5EF4-FFF2-40B4-BE49-F238E27FC236}">
              <a16:creationId xmlns:a16="http://schemas.microsoft.com/office/drawing/2014/main" id="{1C875F9B-E8AE-4C9A-AC8C-80EF73AA3F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6" name="Elipse 5435">
          <a:extLst>
            <a:ext uri="{FF2B5EF4-FFF2-40B4-BE49-F238E27FC236}">
              <a16:creationId xmlns:a16="http://schemas.microsoft.com/office/drawing/2014/main" id="{C6D8607E-9E60-4493-8994-2ED6E2BC8B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7" name="Elipse 5436">
          <a:extLst>
            <a:ext uri="{FF2B5EF4-FFF2-40B4-BE49-F238E27FC236}">
              <a16:creationId xmlns:a16="http://schemas.microsoft.com/office/drawing/2014/main" id="{C2E01D8C-BFD1-475C-931C-B76C195CE0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8" name="Elipse 5437">
          <a:extLst>
            <a:ext uri="{FF2B5EF4-FFF2-40B4-BE49-F238E27FC236}">
              <a16:creationId xmlns:a16="http://schemas.microsoft.com/office/drawing/2014/main" id="{E2292A1F-FFAC-47E0-9D09-FD2EC1D431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39" name="Elipse 5438">
          <a:extLst>
            <a:ext uri="{FF2B5EF4-FFF2-40B4-BE49-F238E27FC236}">
              <a16:creationId xmlns:a16="http://schemas.microsoft.com/office/drawing/2014/main" id="{E468128B-0A8E-44C0-81B7-C764CDBA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0" name="Elipse 5439">
          <a:extLst>
            <a:ext uri="{FF2B5EF4-FFF2-40B4-BE49-F238E27FC236}">
              <a16:creationId xmlns:a16="http://schemas.microsoft.com/office/drawing/2014/main" id="{4DB210E6-4CAE-4151-B5E6-60C62109FB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1" name="Elipse 5440">
          <a:extLst>
            <a:ext uri="{FF2B5EF4-FFF2-40B4-BE49-F238E27FC236}">
              <a16:creationId xmlns:a16="http://schemas.microsoft.com/office/drawing/2014/main" id="{7E716F3D-800E-4658-8640-262CABE369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2" name="Elipse 5441">
          <a:extLst>
            <a:ext uri="{FF2B5EF4-FFF2-40B4-BE49-F238E27FC236}">
              <a16:creationId xmlns:a16="http://schemas.microsoft.com/office/drawing/2014/main" id="{299D8079-AAB9-4833-9582-8BEE7CE6F3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3" name="Elipse 5442">
          <a:extLst>
            <a:ext uri="{FF2B5EF4-FFF2-40B4-BE49-F238E27FC236}">
              <a16:creationId xmlns:a16="http://schemas.microsoft.com/office/drawing/2014/main" id="{804851EF-71E1-490E-AA60-35FC4A6242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4" name="Elipse 5443">
          <a:extLst>
            <a:ext uri="{FF2B5EF4-FFF2-40B4-BE49-F238E27FC236}">
              <a16:creationId xmlns:a16="http://schemas.microsoft.com/office/drawing/2014/main" id="{9D222E30-7A5C-4D1C-A4FE-E27FEB636C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5" name="Elipse 5444">
          <a:extLst>
            <a:ext uri="{FF2B5EF4-FFF2-40B4-BE49-F238E27FC236}">
              <a16:creationId xmlns:a16="http://schemas.microsoft.com/office/drawing/2014/main" id="{C1245382-CDFB-45C7-93D4-3478D017A0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6" name="Elipse 5445">
          <a:extLst>
            <a:ext uri="{FF2B5EF4-FFF2-40B4-BE49-F238E27FC236}">
              <a16:creationId xmlns:a16="http://schemas.microsoft.com/office/drawing/2014/main" id="{A2A1C157-735A-4107-B496-5C716F60E0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7" name="Elipse 5446">
          <a:extLst>
            <a:ext uri="{FF2B5EF4-FFF2-40B4-BE49-F238E27FC236}">
              <a16:creationId xmlns:a16="http://schemas.microsoft.com/office/drawing/2014/main" id="{5FDB6B19-C73A-4050-9E0A-35D89C4889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8" name="Elipse 5447">
          <a:extLst>
            <a:ext uri="{FF2B5EF4-FFF2-40B4-BE49-F238E27FC236}">
              <a16:creationId xmlns:a16="http://schemas.microsoft.com/office/drawing/2014/main" id="{77843E67-7D48-4EE8-9175-95BF5CE57D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49" name="Elipse 5448">
          <a:extLst>
            <a:ext uri="{FF2B5EF4-FFF2-40B4-BE49-F238E27FC236}">
              <a16:creationId xmlns:a16="http://schemas.microsoft.com/office/drawing/2014/main" id="{D95944C3-8206-44C6-A703-A501B89C4E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0" name="Elipse 5449">
          <a:extLst>
            <a:ext uri="{FF2B5EF4-FFF2-40B4-BE49-F238E27FC236}">
              <a16:creationId xmlns:a16="http://schemas.microsoft.com/office/drawing/2014/main" id="{EB91153C-8267-4548-906E-AD4AA71EC2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1" name="Elipse 5450">
          <a:extLst>
            <a:ext uri="{FF2B5EF4-FFF2-40B4-BE49-F238E27FC236}">
              <a16:creationId xmlns:a16="http://schemas.microsoft.com/office/drawing/2014/main" id="{472A7BEC-CE33-42D9-A65F-BDFFCF86AE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2" name="Elipse 5451">
          <a:extLst>
            <a:ext uri="{FF2B5EF4-FFF2-40B4-BE49-F238E27FC236}">
              <a16:creationId xmlns:a16="http://schemas.microsoft.com/office/drawing/2014/main" id="{2BD4229B-8961-413F-BE7B-EBC3CD40D0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3" name="Elipse 5452">
          <a:extLst>
            <a:ext uri="{FF2B5EF4-FFF2-40B4-BE49-F238E27FC236}">
              <a16:creationId xmlns:a16="http://schemas.microsoft.com/office/drawing/2014/main" id="{79ECCB71-FFBA-4AB0-9FC8-BAC2865A0B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4" name="Elipse 5453">
          <a:extLst>
            <a:ext uri="{FF2B5EF4-FFF2-40B4-BE49-F238E27FC236}">
              <a16:creationId xmlns:a16="http://schemas.microsoft.com/office/drawing/2014/main" id="{2836968E-9003-4EDB-AB68-2DA8602386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5" name="Elipse 5454">
          <a:extLst>
            <a:ext uri="{FF2B5EF4-FFF2-40B4-BE49-F238E27FC236}">
              <a16:creationId xmlns:a16="http://schemas.microsoft.com/office/drawing/2014/main" id="{75031029-C99B-455C-AA71-35C2DB250C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6" name="Elipse 5455">
          <a:extLst>
            <a:ext uri="{FF2B5EF4-FFF2-40B4-BE49-F238E27FC236}">
              <a16:creationId xmlns:a16="http://schemas.microsoft.com/office/drawing/2014/main" id="{AC5BF800-3E73-45FB-9E51-2C917EAFC2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7" name="Elipse 5456">
          <a:extLst>
            <a:ext uri="{FF2B5EF4-FFF2-40B4-BE49-F238E27FC236}">
              <a16:creationId xmlns:a16="http://schemas.microsoft.com/office/drawing/2014/main" id="{587D6C70-14C0-4269-B636-E72B5E8295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8" name="Elipse 5457">
          <a:extLst>
            <a:ext uri="{FF2B5EF4-FFF2-40B4-BE49-F238E27FC236}">
              <a16:creationId xmlns:a16="http://schemas.microsoft.com/office/drawing/2014/main" id="{B6DC9011-11AF-40C1-9125-5C312AE401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59" name="Elipse 5458">
          <a:extLst>
            <a:ext uri="{FF2B5EF4-FFF2-40B4-BE49-F238E27FC236}">
              <a16:creationId xmlns:a16="http://schemas.microsoft.com/office/drawing/2014/main" id="{B8C7DD9D-D905-4031-A736-6B0606DCA7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0" name="Elipse 5459">
          <a:extLst>
            <a:ext uri="{FF2B5EF4-FFF2-40B4-BE49-F238E27FC236}">
              <a16:creationId xmlns:a16="http://schemas.microsoft.com/office/drawing/2014/main" id="{C69959E9-1B7A-44BD-81D3-CD2D7457CA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1" name="Elipse 5460">
          <a:extLst>
            <a:ext uri="{FF2B5EF4-FFF2-40B4-BE49-F238E27FC236}">
              <a16:creationId xmlns:a16="http://schemas.microsoft.com/office/drawing/2014/main" id="{F662BEC0-BB6F-4166-A73F-DDB4FBBA20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2" name="Elipse 5461">
          <a:extLst>
            <a:ext uri="{FF2B5EF4-FFF2-40B4-BE49-F238E27FC236}">
              <a16:creationId xmlns:a16="http://schemas.microsoft.com/office/drawing/2014/main" id="{BAFE9148-6915-4FF9-B3F0-2633E3E806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3" name="Elipse 5462">
          <a:extLst>
            <a:ext uri="{FF2B5EF4-FFF2-40B4-BE49-F238E27FC236}">
              <a16:creationId xmlns:a16="http://schemas.microsoft.com/office/drawing/2014/main" id="{E06524F0-C74A-409A-B517-3882EB73F2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4" name="Elipse 5463">
          <a:extLst>
            <a:ext uri="{FF2B5EF4-FFF2-40B4-BE49-F238E27FC236}">
              <a16:creationId xmlns:a16="http://schemas.microsoft.com/office/drawing/2014/main" id="{75D35731-9A38-4478-8ED3-62AD6017B2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5" name="Elipse 5464">
          <a:extLst>
            <a:ext uri="{FF2B5EF4-FFF2-40B4-BE49-F238E27FC236}">
              <a16:creationId xmlns:a16="http://schemas.microsoft.com/office/drawing/2014/main" id="{AAA94A41-5272-442A-A18D-2724CFBC4A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6" name="Elipse 5465">
          <a:extLst>
            <a:ext uri="{FF2B5EF4-FFF2-40B4-BE49-F238E27FC236}">
              <a16:creationId xmlns:a16="http://schemas.microsoft.com/office/drawing/2014/main" id="{92CD6A68-E5A2-4B3D-90F0-0A01ADFFEE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7" name="Elipse 5466">
          <a:extLst>
            <a:ext uri="{FF2B5EF4-FFF2-40B4-BE49-F238E27FC236}">
              <a16:creationId xmlns:a16="http://schemas.microsoft.com/office/drawing/2014/main" id="{5AC86DA6-5B13-4697-890C-06F97F2E32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8" name="Elipse 5467">
          <a:extLst>
            <a:ext uri="{FF2B5EF4-FFF2-40B4-BE49-F238E27FC236}">
              <a16:creationId xmlns:a16="http://schemas.microsoft.com/office/drawing/2014/main" id="{DEBCF136-53C7-466E-87F5-D7B3062A49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69" name="Elipse 5468">
          <a:extLst>
            <a:ext uri="{FF2B5EF4-FFF2-40B4-BE49-F238E27FC236}">
              <a16:creationId xmlns:a16="http://schemas.microsoft.com/office/drawing/2014/main" id="{E9F6836D-74D7-41AB-AD84-F19DD530D4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0" name="Elipse 5469">
          <a:extLst>
            <a:ext uri="{FF2B5EF4-FFF2-40B4-BE49-F238E27FC236}">
              <a16:creationId xmlns:a16="http://schemas.microsoft.com/office/drawing/2014/main" id="{CBF22A56-7F94-4075-9C11-800D946D20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1" name="Elipse 5470">
          <a:extLst>
            <a:ext uri="{FF2B5EF4-FFF2-40B4-BE49-F238E27FC236}">
              <a16:creationId xmlns:a16="http://schemas.microsoft.com/office/drawing/2014/main" id="{7640E3BF-3DBC-4793-B8CA-2809ABD4AF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2" name="Elipse 5471">
          <a:extLst>
            <a:ext uri="{FF2B5EF4-FFF2-40B4-BE49-F238E27FC236}">
              <a16:creationId xmlns:a16="http://schemas.microsoft.com/office/drawing/2014/main" id="{A2C923EE-8A1E-46C3-B50F-80DFE66331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3" name="Elipse 5472">
          <a:extLst>
            <a:ext uri="{FF2B5EF4-FFF2-40B4-BE49-F238E27FC236}">
              <a16:creationId xmlns:a16="http://schemas.microsoft.com/office/drawing/2014/main" id="{257169A4-591E-43B5-BB0A-9A588E4C8E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4" name="Elipse 5473">
          <a:extLst>
            <a:ext uri="{FF2B5EF4-FFF2-40B4-BE49-F238E27FC236}">
              <a16:creationId xmlns:a16="http://schemas.microsoft.com/office/drawing/2014/main" id="{41BB01B2-82E0-4C8F-B146-1AFA81A00E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5" name="Elipse 5474">
          <a:extLst>
            <a:ext uri="{FF2B5EF4-FFF2-40B4-BE49-F238E27FC236}">
              <a16:creationId xmlns:a16="http://schemas.microsoft.com/office/drawing/2014/main" id="{4B237A93-AE6E-45C5-9E1A-B551B21CEA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6" name="Elipse 5475">
          <a:extLst>
            <a:ext uri="{FF2B5EF4-FFF2-40B4-BE49-F238E27FC236}">
              <a16:creationId xmlns:a16="http://schemas.microsoft.com/office/drawing/2014/main" id="{60F93DB7-4ED3-421A-BD13-C83A454A73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7" name="Elipse 5476">
          <a:extLst>
            <a:ext uri="{FF2B5EF4-FFF2-40B4-BE49-F238E27FC236}">
              <a16:creationId xmlns:a16="http://schemas.microsoft.com/office/drawing/2014/main" id="{6993BB6B-7246-4AE3-B075-AD1507F68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8" name="Elipse 5477">
          <a:extLst>
            <a:ext uri="{FF2B5EF4-FFF2-40B4-BE49-F238E27FC236}">
              <a16:creationId xmlns:a16="http://schemas.microsoft.com/office/drawing/2014/main" id="{9837EDDA-AE24-484D-9C34-A408F6748B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79" name="Elipse 5478">
          <a:extLst>
            <a:ext uri="{FF2B5EF4-FFF2-40B4-BE49-F238E27FC236}">
              <a16:creationId xmlns:a16="http://schemas.microsoft.com/office/drawing/2014/main" id="{580EAD87-D0BD-4945-A111-22FBFE7D6B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0" name="Elipse 5479">
          <a:extLst>
            <a:ext uri="{FF2B5EF4-FFF2-40B4-BE49-F238E27FC236}">
              <a16:creationId xmlns:a16="http://schemas.microsoft.com/office/drawing/2014/main" id="{0AC9C5EF-82C4-4ADB-AE24-5AE4952F72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1" name="Elipse 5480">
          <a:extLst>
            <a:ext uri="{FF2B5EF4-FFF2-40B4-BE49-F238E27FC236}">
              <a16:creationId xmlns:a16="http://schemas.microsoft.com/office/drawing/2014/main" id="{2CD38D83-0CB5-4B5B-8E9B-D511655DF8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2" name="Elipse 5481">
          <a:extLst>
            <a:ext uri="{FF2B5EF4-FFF2-40B4-BE49-F238E27FC236}">
              <a16:creationId xmlns:a16="http://schemas.microsoft.com/office/drawing/2014/main" id="{FF24483C-B203-44CC-B5B9-D08FCC8A2C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3" name="Elipse 5482">
          <a:extLst>
            <a:ext uri="{FF2B5EF4-FFF2-40B4-BE49-F238E27FC236}">
              <a16:creationId xmlns:a16="http://schemas.microsoft.com/office/drawing/2014/main" id="{413F2012-C4CB-4F6F-AE79-E08865C544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4" name="Elipse 5483">
          <a:extLst>
            <a:ext uri="{FF2B5EF4-FFF2-40B4-BE49-F238E27FC236}">
              <a16:creationId xmlns:a16="http://schemas.microsoft.com/office/drawing/2014/main" id="{438DFCF8-4033-433B-9157-50599C6F72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5" name="Elipse 5484">
          <a:extLst>
            <a:ext uri="{FF2B5EF4-FFF2-40B4-BE49-F238E27FC236}">
              <a16:creationId xmlns:a16="http://schemas.microsoft.com/office/drawing/2014/main" id="{BB4216D9-D606-4F29-B8A0-81DCC42A1F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6" name="Elipse 5485">
          <a:extLst>
            <a:ext uri="{FF2B5EF4-FFF2-40B4-BE49-F238E27FC236}">
              <a16:creationId xmlns:a16="http://schemas.microsoft.com/office/drawing/2014/main" id="{E876187A-F15D-41BA-81D8-294317001E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7" name="Elipse 5486">
          <a:extLst>
            <a:ext uri="{FF2B5EF4-FFF2-40B4-BE49-F238E27FC236}">
              <a16:creationId xmlns:a16="http://schemas.microsoft.com/office/drawing/2014/main" id="{23A5F9FA-AFDA-434A-8995-6E3A2EF4CE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8" name="Elipse 5487">
          <a:extLst>
            <a:ext uri="{FF2B5EF4-FFF2-40B4-BE49-F238E27FC236}">
              <a16:creationId xmlns:a16="http://schemas.microsoft.com/office/drawing/2014/main" id="{F3D49C70-945B-48AA-B697-46262EDD3F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89" name="Elipse 5488">
          <a:extLst>
            <a:ext uri="{FF2B5EF4-FFF2-40B4-BE49-F238E27FC236}">
              <a16:creationId xmlns:a16="http://schemas.microsoft.com/office/drawing/2014/main" id="{2113035F-2D27-4C57-8A8C-50C41FB4AD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0" name="Elipse 5489">
          <a:extLst>
            <a:ext uri="{FF2B5EF4-FFF2-40B4-BE49-F238E27FC236}">
              <a16:creationId xmlns:a16="http://schemas.microsoft.com/office/drawing/2014/main" id="{A63C2986-074C-4CE6-AE57-4DDD05E5CC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1" name="Elipse 5490">
          <a:extLst>
            <a:ext uri="{FF2B5EF4-FFF2-40B4-BE49-F238E27FC236}">
              <a16:creationId xmlns:a16="http://schemas.microsoft.com/office/drawing/2014/main" id="{A6417244-25C1-486E-90A3-F1F0F14E81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2" name="Elipse 5491">
          <a:extLst>
            <a:ext uri="{FF2B5EF4-FFF2-40B4-BE49-F238E27FC236}">
              <a16:creationId xmlns:a16="http://schemas.microsoft.com/office/drawing/2014/main" id="{BA26F438-9EBC-4AAB-A547-A4E679EE55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3" name="Elipse 5492">
          <a:extLst>
            <a:ext uri="{FF2B5EF4-FFF2-40B4-BE49-F238E27FC236}">
              <a16:creationId xmlns:a16="http://schemas.microsoft.com/office/drawing/2014/main" id="{57FED421-AF1B-4F23-A98E-D59313A3F5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4" name="Elipse 5493">
          <a:extLst>
            <a:ext uri="{FF2B5EF4-FFF2-40B4-BE49-F238E27FC236}">
              <a16:creationId xmlns:a16="http://schemas.microsoft.com/office/drawing/2014/main" id="{FF16A492-A419-4E37-AC7F-962EF0ED14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5" name="Elipse 5494">
          <a:extLst>
            <a:ext uri="{FF2B5EF4-FFF2-40B4-BE49-F238E27FC236}">
              <a16:creationId xmlns:a16="http://schemas.microsoft.com/office/drawing/2014/main" id="{C6710B02-9B46-4A87-9221-8E152829D4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6" name="Elipse 5495">
          <a:extLst>
            <a:ext uri="{FF2B5EF4-FFF2-40B4-BE49-F238E27FC236}">
              <a16:creationId xmlns:a16="http://schemas.microsoft.com/office/drawing/2014/main" id="{E44EB2F8-A789-45FC-A5F0-CD599ECC9E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7" name="Elipse 5496">
          <a:extLst>
            <a:ext uri="{FF2B5EF4-FFF2-40B4-BE49-F238E27FC236}">
              <a16:creationId xmlns:a16="http://schemas.microsoft.com/office/drawing/2014/main" id="{A599EA5B-1CA3-470F-827C-2D72C5F206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8" name="Elipse 5497">
          <a:extLst>
            <a:ext uri="{FF2B5EF4-FFF2-40B4-BE49-F238E27FC236}">
              <a16:creationId xmlns:a16="http://schemas.microsoft.com/office/drawing/2014/main" id="{AE7B5F75-2B6E-494F-900C-F16E3B24F3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499" name="Elipse 5498">
          <a:extLst>
            <a:ext uri="{FF2B5EF4-FFF2-40B4-BE49-F238E27FC236}">
              <a16:creationId xmlns:a16="http://schemas.microsoft.com/office/drawing/2014/main" id="{0C72600B-3D73-477A-B53D-6F7811AD47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0" name="Elipse 5499">
          <a:extLst>
            <a:ext uri="{FF2B5EF4-FFF2-40B4-BE49-F238E27FC236}">
              <a16:creationId xmlns:a16="http://schemas.microsoft.com/office/drawing/2014/main" id="{E5EB38E7-7E17-40B1-87ED-642C42A512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1" name="Elipse 5500">
          <a:extLst>
            <a:ext uri="{FF2B5EF4-FFF2-40B4-BE49-F238E27FC236}">
              <a16:creationId xmlns:a16="http://schemas.microsoft.com/office/drawing/2014/main" id="{C5CAF19D-4DDC-4CEE-835B-65D69B044B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2" name="Elipse 5501">
          <a:extLst>
            <a:ext uri="{FF2B5EF4-FFF2-40B4-BE49-F238E27FC236}">
              <a16:creationId xmlns:a16="http://schemas.microsoft.com/office/drawing/2014/main" id="{273200C6-EAAF-4A2C-89FA-3EE45B200B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3" name="Elipse 5502">
          <a:extLst>
            <a:ext uri="{FF2B5EF4-FFF2-40B4-BE49-F238E27FC236}">
              <a16:creationId xmlns:a16="http://schemas.microsoft.com/office/drawing/2014/main" id="{EC9A162D-6AFE-4D52-B26D-FEA3DC4285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4" name="Elipse 5503">
          <a:extLst>
            <a:ext uri="{FF2B5EF4-FFF2-40B4-BE49-F238E27FC236}">
              <a16:creationId xmlns:a16="http://schemas.microsoft.com/office/drawing/2014/main" id="{327CF8E3-D776-4919-8F8C-273B59CF23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5" name="Elipse 5504">
          <a:extLst>
            <a:ext uri="{FF2B5EF4-FFF2-40B4-BE49-F238E27FC236}">
              <a16:creationId xmlns:a16="http://schemas.microsoft.com/office/drawing/2014/main" id="{DC3A9808-6429-4DB6-97DA-FA9970C0ED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6" name="Elipse 5505">
          <a:extLst>
            <a:ext uri="{FF2B5EF4-FFF2-40B4-BE49-F238E27FC236}">
              <a16:creationId xmlns:a16="http://schemas.microsoft.com/office/drawing/2014/main" id="{9D12D653-1F17-40DE-AC30-8CD6495787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7" name="Elipse 5506">
          <a:extLst>
            <a:ext uri="{FF2B5EF4-FFF2-40B4-BE49-F238E27FC236}">
              <a16:creationId xmlns:a16="http://schemas.microsoft.com/office/drawing/2014/main" id="{EDE3110B-23AD-4E31-8B44-178B3FC2C3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8" name="Elipse 5507">
          <a:extLst>
            <a:ext uri="{FF2B5EF4-FFF2-40B4-BE49-F238E27FC236}">
              <a16:creationId xmlns:a16="http://schemas.microsoft.com/office/drawing/2014/main" id="{E6910C34-453B-49A6-9AB0-53A206534C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09" name="Elipse 5508">
          <a:extLst>
            <a:ext uri="{FF2B5EF4-FFF2-40B4-BE49-F238E27FC236}">
              <a16:creationId xmlns:a16="http://schemas.microsoft.com/office/drawing/2014/main" id="{734B58B4-A6F4-4585-AAA2-F0185EA96B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0" name="Elipse 5509">
          <a:extLst>
            <a:ext uri="{FF2B5EF4-FFF2-40B4-BE49-F238E27FC236}">
              <a16:creationId xmlns:a16="http://schemas.microsoft.com/office/drawing/2014/main" id="{4BCCB728-1095-49AF-B15A-29F6F87341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1" name="Elipse 5510">
          <a:extLst>
            <a:ext uri="{FF2B5EF4-FFF2-40B4-BE49-F238E27FC236}">
              <a16:creationId xmlns:a16="http://schemas.microsoft.com/office/drawing/2014/main" id="{BBD3CDFC-4852-45BA-B121-8C1982D455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2" name="Elipse 5511">
          <a:extLst>
            <a:ext uri="{FF2B5EF4-FFF2-40B4-BE49-F238E27FC236}">
              <a16:creationId xmlns:a16="http://schemas.microsoft.com/office/drawing/2014/main" id="{2B53ABF9-BBA7-4A0E-9782-DD069D6C97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3" name="Elipse 5512">
          <a:extLst>
            <a:ext uri="{FF2B5EF4-FFF2-40B4-BE49-F238E27FC236}">
              <a16:creationId xmlns:a16="http://schemas.microsoft.com/office/drawing/2014/main" id="{C04074EF-13C5-4409-B585-51E1B6A6B4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4" name="Elipse 5513">
          <a:extLst>
            <a:ext uri="{FF2B5EF4-FFF2-40B4-BE49-F238E27FC236}">
              <a16:creationId xmlns:a16="http://schemas.microsoft.com/office/drawing/2014/main" id="{44E09E92-B464-4CE9-8A53-4B2EBBE36A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5" name="Elipse 5514">
          <a:extLst>
            <a:ext uri="{FF2B5EF4-FFF2-40B4-BE49-F238E27FC236}">
              <a16:creationId xmlns:a16="http://schemas.microsoft.com/office/drawing/2014/main" id="{743E5911-B7D2-4AF5-A983-97D5FCEE0A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6" name="Elipse 5515">
          <a:extLst>
            <a:ext uri="{FF2B5EF4-FFF2-40B4-BE49-F238E27FC236}">
              <a16:creationId xmlns:a16="http://schemas.microsoft.com/office/drawing/2014/main" id="{8948E3D9-6ECF-4888-86A7-4ABD66463B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7" name="Elipse 5516">
          <a:extLst>
            <a:ext uri="{FF2B5EF4-FFF2-40B4-BE49-F238E27FC236}">
              <a16:creationId xmlns:a16="http://schemas.microsoft.com/office/drawing/2014/main" id="{EB509AEE-1A37-4681-9490-94D331A2F7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8" name="Elipse 5517">
          <a:extLst>
            <a:ext uri="{FF2B5EF4-FFF2-40B4-BE49-F238E27FC236}">
              <a16:creationId xmlns:a16="http://schemas.microsoft.com/office/drawing/2014/main" id="{AB789555-B5EC-49D4-98F3-88E300CC06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19" name="Elipse 5518">
          <a:extLst>
            <a:ext uri="{FF2B5EF4-FFF2-40B4-BE49-F238E27FC236}">
              <a16:creationId xmlns:a16="http://schemas.microsoft.com/office/drawing/2014/main" id="{51C745A5-2A1E-485D-9F8C-0715140B8D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0" name="Elipse 5519">
          <a:extLst>
            <a:ext uri="{FF2B5EF4-FFF2-40B4-BE49-F238E27FC236}">
              <a16:creationId xmlns:a16="http://schemas.microsoft.com/office/drawing/2014/main" id="{98B25616-C84E-433D-A5FD-71D48FC18F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1" name="Elipse 5520">
          <a:extLst>
            <a:ext uri="{FF2B5EF4-FFF2-40B4-BE49-F238E27FC236}">
              <a16:creationId xmlns:a16="http://schemas.microsoft.com/office/drawing/2014/main" id="{373AF1A7-457E-436E-8756-11953A06F7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2" name="Elipse 5521">
          <a:extLst>
            <a:ext uri="{FF2B5EF4-FFF2-40B4-BE49-F238E27FC236}">
              <a16:creationId xmlns:a16="http://schemas.microsoft.com/office/drawing/2014/main" id="{17121FB3-4508-4DF5-B326-A8AE2B8CA8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3" name="Elipse 5522">
          <a:extLst>
            <a:ext uri="{FF2B5EF4-FFF2-40B4-BE49-F238E27FC236}">
              <a16:creationId xmlns:a16="http://schemas.microsoft.com/office/drawing/2014/main" id="{44E076EC-7B94-48A3-8AF9-C57C7D704A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4" name="Elipse 5523">
          <a:extLst>
            <a:ext uri="{FF2B5EF4-FFF2-40B4-BE49-F238E27FC236}">
              <a16:creationId xmlns:a16="http://schemas.microsoft.com/office/drawing/2014/main" id="{9539E8A1-0C82-4256-AB86-AB46E5CCA8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5" name="Elipse 5524">
          <a:extLst>
            <a:ext uri="{FF2B5EF4-FFF2-40B4-BE49-F238E27FC236}">
              <a16:creationId xmlns:a16="http://schemas.microsoft.com/office/drawing/2014/main" id="{01D6B0B2-7728-4596-B635-5C6239BD12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6" name="Elipse 5525">
          <a:extLst>
            <a:ext uri="{FF2B5EF4-FFF2-40B4-BE49-F238E27FC236}">
              <a16:creationId xmlns:a16="http://schemas.microsoft.com/office/drawing/2014/main" id="{8409038F-D549-4FC4-9B21-8E260C4FDB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7" name="Elipse 5526">
          <a:extLst>
            <a:ext uri="{FF2B5EF4-FFF2-40B4-BE49-F238E27FC236}">
              <a16:creationId xmlns:a16="http://schemas.microsoft.com/office/drawing/2014/main" id="{F239D84F-ADD2-4B9C-8AD6-8B760B7373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8" name="Elipse 5527">
          <a:extLst>
            <a:ext uri="{FF2B5EF4-FFF2-40B4-BE49-F238E27FC236}">
              <a16:creationId xmlns:a16="http://schemas.microsoft.com/office/drawing/2014/main" id="{6F118C4E-B498-4DD0-9BE9-E173C52E48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29" name="Elipse 5528">
          <a:extLst>
            <a:ext uri="{FF2B5EF4-FFF2-40B4-BE49-F238E27FC236}">
              <a16:creationId xmlns:a16="http://schemas.microsoft.com/office/drawing/2014/main" id="{4C97A932-DC54-497F-B5CE-465A647CD3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0" name="Elipse 5529">
          <a:extLst>
            <a:ext uri="{FF2B5EF4-FFF2-40B4-BE49-F238E27FC236}">
              <a16:creationId xmlns:a16="http://schemas.microsoft.com/office/drawing/2014/main" id="{50F835C5-53A8-4D2B-853B-873E492D03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1" name="Elipse 5530">
          <a:extLst>
            <a:ext uri="{FF2B5EF4-FFF2-40B4-BE49-F238E27FC236}">
              <a16:creationId xmlns:a16="http://schemas.microsoft.com/office/drawing/2014/main" id="{9953B90F-698D-4D38-8ACF-12860391EE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2" name="Elipse 5531">
          <a:extLst>
            <a:ext uri="{FF2B5EF4-FFF2-40B4-BE49-F238E27FC236}">
              <a16:creationId xmlns:a16="http://schemas.microsoft.com/office/drawing/2014/main" id="{D336C589-32AF-4574-838B-F53B294F44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3" name="Elipse 5532">
          <a:extLst>
            <a:ext uri="{FF2B5EF4-FFF2-40B4-BE49-F238E27FC236}">
              <a16:creationId xmlns:a16="http://schemas.microsoft.com/office/drawing/2014/main" id="{BEAD86EF-A551-4831-87B0-7555A4561D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4" name="Elipse 5533">
          <a:extLst>
            <a:ext uri="{FF2B5EF4-FFF2-40B4-BE49-F238E27FC236}">
              <a16:creationId xmlns:a16="http://schemas.microsoft.com/office/drawing/2014/main" id="{82AE5F17-34D2-43C8-9C77-DFCBC793D9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5" name="Elipse 5534">
          <a:extLst>
            <a:ext uri="{FF2B5EF4-FFF2-40B4-BE49-F238E27FC236}">
              <a16:creationId xmlns:a16="http://schemas.microsoft.com/office/drawing/2014/main" id="{5E2A9C12-5A2A-406F-8F88-93E4E87878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6" name="Elipse 5535">
          <a:extLst>
            <a:ext uri="{FF2B5EF4-FFF2-40B4-BE49-F238E27FC236}">
              <a16:creationId xmlns:a16="http://schemas.microsoft.com/office/drawing/2014/main" id="{B615EBEE-5371-4CA6-8D81-402E0F9F47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7" name="Elipse 5536">
          <a:extLst>
            <a:ext uri="{FF2B5EF4-FFF2-40B4-BE49-F238E27FC236}">
              <a16:creationId xmlns:a16="http://schemas.microsoft.com/office/drawing/2014/main" id="{D88BC1C8-AF44-42D7-8838-BB4D173E9B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8" name="Elipse 5537">
          <a:extLst>
            <a:ext uri="{FF2B5EF4-FFF2-40B4-BE49-F238E27FC236}">
              <a16:creationId xmlns:a16="http://schemas.microsoft.com/office/drawing/2014/main" id="{330343B8-9786-45AA-9438-7A78380AEB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39" name="Elipse 5538">
          <a:extLst>
            <a:ext uri="{FF2B5EF4-FFF2-40B4-BE49-F238E27FC236}">
              <a16:creationId xmlns:a16="http://schemas.microsoft.com/office/drawing/2014/main" id="{00C8F4C8-1BBB-4A12-BF3D-F11C36C522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0" name="Elipse 5539">
          <a:extLst>
            <a:ext uri="{FF2B5EF4-FFF2-40B4-BE49-F238E27FC236}">
              <a16:creationId xmlns:a16="http://schemas.microsoft.com/office/drawing/2014/main" id="{6A4029C0-628C-481D-B62F-12779040B8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1" name="Elipse 5540">
          <a:extLst>
            <a:ext uri="{FF2B5EF4-FFF2-40B4-BE49-F238E27FC236}">
              <a16:creationId xmlns:a16="http://schemas.microsoft.com/office/drawing/2014/main" id="{3A251CDA-96D8-4AC7-A39D-8F84502BA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2" name="Elipse 5541">
          <a:extLst>
            <a:ext uri="{FF2B5EF4-FFF2-40B4-BE49-F238E27FC236}">
              <a16:creationId xmlns:a16="http://schemas.microsoft.com/office/drawing/2014/main" id="{69E9A30E-6D79-46A6-825D-1DA31594C9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3" name="Elipse 5542">
          <a:extLst>
            <a:ext uri="{FF2B5EF4-FFF2-40B4-BE49-F238E27FC236}">
              <a16:creationId xmlns:a16="http://schemas.microsoft.com/office/drawing/2014/main" id="{C32853F4-D82C-445C-AFFD-98EB60CAF1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4" name="Elipse 5543">
          <a:extLst>
            <a:ext uri="{FF2B5EF4-FFF2-40B4-BE49-F238E27FC236}">
              <a16:creationId xmlns:a16="http://schemas.microsoft.com/office/drawing/2014/main" id="{11A703D6-DFC4-4110-ADAF-AB6C67CDBE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5" name="Elipse 5544">
          <a:extLst>
            <a:ext uri="{FF2B5EF4-FFF2-40B4-BE49-F238E27FC236}">
              <a16:creationId xmlns:a16="http://schemas.microsoft.com/office/drawing/2014/main" id="{5482034E-21D8-464C-8CD0-5676F2F45D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6" name="Elipse 5545">
          <a:extLst>
            <a:ext uri="{FF2B5EF4-FFF2-40B4-BE49-F238E27FC236}">
              <a16:creationId xmlns:a16="http://schemas.microsoft.com/office/drawing/2014/main" id="{156F023F-79D4-4C48-846C-C5693FE1F4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7" name="Elipse 5546">
          <a:extLst>
            <a:ext uri="{FF2B5EF4-FFF2-40B4-BE49-F238E27FC236}">
              <a16:creationId xmlns:a16="http://schemas.microsoft.com/office/drawing/2014/main" id="{7B6621EE-F7FB-44EA-99F7-5DB8CE8ADE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8" name="Elipse 5547">
          <a:extLst>
            <a:ext uri="{FF2B5EF4-FFF2-40B4-BE49-F238E27FC236}">
              <a16:creationId xmlns:a16="http://schemas.microsoft.com/office/drawing/2014/main" id="{EEEF0319-A465-49B2-B96C-BFF77973C7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49" name="Elipse 5548">
          <a:extLst>
            <a:ext uri="{FF2B5EF4-FFF2-40B4-BE49-F238E27FC236}">
              <a16:creationId xmlns:a16="http://schemas.microsoft.com/office/drawing/2014/main" id="{FA072B9B-1B34-4744-B0B4-A0BD1DFF5C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0" name="Elipse 5549">
          <a:extLst>
            <a:ext uri="{FF2B5EF4-FFF2-40B4-BE49-F238E27FC236}">
              <a16:creationId xmlns:a16="http://schemas.microsoft.com/office/drawing/2014/main" id="{EA8A6C73-91E9-48CB-85DD-15FD2A1F89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1" name="Elipse 5550">
          <a:extLst>
            <a:ext uri="{FF2B5EF4-FFF2-40B4-BE49-F238E27FC236}">
              <a16:creationId xmlns:a16="http://schemas.microsoft.com/office/drawing/2014/main" id="{5859BA81-455B-48F9-83B3-EC869AC4A9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2" name="Elipse 5551">
          <a:extLst>
            <a:ext uri="{FF2B5EF4-FFF2-40B4-BE49-F238E27FC236}">
              <a16:creationId xmlns:a16="http://schemas.microsoft.com/office/drawing/2014/main" id="{C254D6AC-4110-43E8-BD9C-706B34B89C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3" name="Elipse 5552">
          <a:extLst>
            <a:ext uri="{FF2B5EF4-FFF2-40B4-BE49-F238E27FC236}">
              <a16:creationId xmlns:a16="http://schemas.microsoft.com/office/drawing/2014/main" id="{56F0EB7D-ECEA-427A-BADB-E77BBCD3C9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4" name="Elipse 5553">
          <a:extLst>
            <a:ext uri="{FF2B5EF4-FFF2-40B4-BE49-F238E27FC236}">
              <a16:creationId xmlns:a16="http://schemas.microsoft.com/office/drawing/2014/main" id="{A34A3E99-846D-41F7-A5C6-ECEDA2554D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5" name="Elipse 5554">
          <a:extLst>
            <a:ext uri="{FF2B5EF4-FFF2-40B4-BE49-F238E27FC236}">
              <a16:creationId xmlns:a16="http://schemas.microsoft.com/office/drawing/2014/main" id="{7A7315C1-241B-4D5E-9458-11E4697CD8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6" name="Elipse 5555">
          <a:extLst>
            <a:ext uri="{FF2B5EF4-FFF2-40B4-BE49-F238E27FC236}">
              <a16:creationId xmlns:a16="http://schemas.microsoft.com/office/drawing/2014/main" id="{CE2CFF8E-959C-4DF1-AD29-3CEF92A50A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7" name="Elipse 5556">
          <a:extLst>
            <a:ext uri="{FF2B5EF4-FFF2-40B4-BE49-F238E27FC236}">
              <a16:creationId xmlns:a16="http://schemas.microsoft.com/office/drawing/2014/main" id="{C99C4C9B-44E6-4092-9FF5-067F4FA7AB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8" name="Elipse 5557">
          <a:extLst>
            <a:ext uri="{FF2B5EF4-FFF2-40B4-BE49-F238E27FC236}">
              <a16:creationId xmlns:a16="http://schemas.microsoft.com/office/drawing/2014/main" id="{EDEFE4FA-C104-435F-B595-53F3D2144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59" name="Elipse 5558">
          <a:extLst>
            <a:ext uri="{FF2B5EF4-FFF2-40B4-BE49-F238E27FC236}">
              <a16:creationId xmlns:a16="http://schemas.microsoft.com/office/drawing/2014/main" id="{728E460C-5200-460E-8A57-48F9C83B39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0" name="Elipse 5559">
          <a:extLst>
            <a:ext uri="{FF2B5EF4-FFF2-40B4-BE49-F238E27FC236}">
              <a16:creationId xmlns:a16="http://schemas.microsoft.com/office/drawing/2014/main" id="{CE4C498B-326E-43BD-9765-0AF143D214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1" name="Elipse 5560">
          <a:extLst>
            <a:ext uri="{FF2B5EF4-FFF2-40B4-BE49-F238E27FC236}">
              <a16:creationId xmlns:a16="http://schemas.microsoft.com/office/drawing/2014/main" id="{DCD2DB3A-A844-4F10-9D48-CBF63BC6B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2" name="Elipse 5561">
          <a:extLst>
            <a:ext uri="{FF2B5EF4-FFF2-40B4-BE49-F238E27FC236}">
              <a16:creationId xmlns:a16="http://schemas.microsoft.com/office/drawing/2014/main" id="{C9920B2D-DF73-4852-8317-CD85363CBD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3" name="Elipse 5562">
          <a:extLst>
            <a:ext uri="{FF2B5EF4-FFF2-40B4-BE49-F238E27FC236}">
              <a16:creationId xmlns:a16="http://schemas.microsoft.com/office/drawing/2014/main" id="{217CFADD-6834-48AF-B58D-B9910F1226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4" name="Elipse 5563">
          <a:extLst>
            <a:ext uri="{FF2B5EF4-FFF2-40B4-BE49-F238E27FC236}">
              <a16:creationId xmlns:a16="http://schemas.microsoft.com/office/drawing/2014/main" id="{7A486A0F-7F7C-4F12-865A-C5730ED4CF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5" name="Elipse 5564">
          <a:extLst>
            <a:ext uri="{FF2B5EF4-FFF2-40B4-BE49-F238E27FC236}">
              <a16:creationId xmlns:a16="http://schemas.microsoft.com/office/drawing/2014/main" id="{B35C038C-13C5-4DBB-BD1D-3A4D7CBFE1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6" name="Elipse 5565">
          <a:extLst>
            <a:ext uri="{FF2B5EF4-FFF2-40B4-BE49-F238E27FC236}">
              <a16:creationId xmlns:a16="http://schemas.microsoft.com/office/drawing/2014/main" id="{8536A2D8-BC69-4C2C-8715-C7E58DF502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7" name="Elipse 5566">
          <a:extLst>
            <a:ext uri="{FF2B5EF4-FFF2-40B4-BE49-F238E27FC236}">
              <a16:creationId xmlns:a16="http://schemas.microsoft.com/office/drawing/2014/main" id="{9F8D48E4-8CFF-4BDA-BD80-CF07DB5112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8" name="Elipse 5567">
          <a:extLst>
            <a:ext uri="{FF2B5EF4-FFF2-40B4-BE49-F238E27FC236}">
              <a16:creationId xmlns:a16="http://schemas.microsoft.com/office/drawing/2014/main" id="{D4F2A962-F79E-4A9D-8429-FBBC329261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69" name="Elipse 5568">
          <a:extLst>
            <a:ext uri="{FF2B5EF4-FFF2-40B4-BE49-F238E27FC236}">
              <a16:creationId xmlns:a16="http://schemas.microsoft.com/office/drawing/2014/main" id="{A130DDBB-12E8-4E82-8CA0-3D20FAED17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0" name="Elipse 5569">
          <a:extLst>
            <a:ext uri="{FF2B5EF4-FFF2-40B4-BE49-F238E27FC236}">
              <a16:creationId xmlns:a16="http://schemas.microsoft.com/office/drawing/2014/main" id="{315FF84B-E786-40F8-8AAA-2C74F0800B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1" name="Elipse 5570">
          <a:extLst>
            <a:ext uri="{FF2B5EF4-FFF2-40B4-BE49-F238E27FC236}">
              <a16:creationId xmlns:a16="http://schemas.microsoft.com/office/drawing/2014/main" id="{9540EF2B-CC87-43D3-948A-F34CA37ABB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2" name="Elipse 5571">
          <a:extLst>
            <a:ext uri="{FF2B5EF4-FFF2-40B4-BE49-F238E27FC236}">
              <a16:creationId xmlns:a16="http://schemas.microsoft.com/office/drawing/2014/main" id="{564D23DF-E628-4D2A-9D32-DB96C4BBDE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3" name="Elipse 5572">
          <a:extLst>
            <a:ext uri="{FF2B5EF4-FFF2-40B4-BE49-F238E27FC236}">
              <a16:creationId xmlns:a16="http://schemas.microsoft.com/office/drawing/2014/main" id="{FC3FD074-7AC4-4BA3-9AA6-85EBDFE21E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4" name="Elipse 5573">
          <a:extLst>
            <a:ext uri="{FF2B5EF4-FFF2-40B4-BE49-F238E27FC236}">
              <a16:creationId xmlns:a16="http://schemas.microsoft.com/office/drawing/2014/main" id="{C3386331-BD2E-4F76-94D8-1ED6D383E2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5" name="Elipse 5574">
          <a:extLst>
            <a:ext uri="{FF2B5EF4-FFF2-40B4-BE49-F238E27FC236}">
              <a16:creationId xmlns:a16="http://schemas.microsoft.com/office/drawing/2014/main" id="{F50FE1CA-AA42-4A0B-951A-8C0292305C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6" name="Elipse 5575">
          <a:extLst>
            <a:ext uri="{FF2B5EF4-FFF2-40B4-BE49-F238E27FC236}">
              <a16:creationId xmlns:a16="http://schemas.microsoft.com/office/drawing/2014/main" id="{B1508B10-8E27-44D4-A4E3-263234DA6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7" name="Elipse 5576">
          <a:extLst>
            <a:ext uri="{FF2B5EF4-FFF2-40B4-BE49-F238E27FC236}">
              <a16:creationId xmlns:a16="http://schemas.microsoft.com/office/drawing/2014/main" id="{C66411DF-BC10-4F0A-A404-F7E4B45C1A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8" name="Elipse 5577">
          <a:extLst>
            <a:ext uri="{FF2B5EF4-FFF2-40B4-BE49-F238E27FC236}">
              <a16:creationId xmlns:a16="http://schemas.microsoft.com/office/drawing/2014/main" id="{C99F9481-C3E5-4482-97FA-0B29C5271F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79" name="Elipse 5578">
          <a:extLst>
            <a:ext uri="{FF2B5EF4-FFF2-40B4-BE49-F238E27FC236}">
              <a16:creationId xmlns:a16="http://schemas.microsoft.com/office/drawing/2014/main" id="{FDFDB07F-6730-416F-BD86-504546457F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0" name="Elipse 5579">
          <a:extLst>
            <a:ext uri="{FF2B5EF4-FFF2-40B4-BE49-F238E27FC236}">
              <a16:creationId xmlns:a16="http://schemas.microsoft.com/office/drawing/2014/main" id="{0F6226BE-DBFC-46D3-AC6A-5C22FCCDA1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1" name="Elipse 5580">
          <a:extLst>
            <a:ext uri="{FF2B5EF4-FFF2-40B4-BE49-F238E27FC236}">
              <a16:creationId xmlns:a16="http://schemas.microsoft.com/office/drawing/2014/main" id="{42B808DB-3FA4-4E9C-8DE4-247BB332E6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2" name="Elipse 5581">
          <a:extLst>
            <a:ext uri="{FF2B5EF4-FFF2-40B4-BE49-F238E27FC236}">
              <a16:creationId xmlns:a16="http://schemas.microsoft.com/office/drawing/2014/main" id="{6C1561AE-FE16-4063-8C4E-2070D74A2F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3" name="Elipse 5582">
          <a:extLst>
            <a:ext uri="{FF2B5EF4-FFF2-40B4-BE49-F238E27FC236}">
              <a16:creationId xmlns:a16="http://schemas.microsoft.com/office/drawing/2014/main" id="{237E176E-A547-4B70-9FA9-B45417100D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4" name="Elipse 5583">
          <a:extLst>
            <a:ext uri="{FF2B5EF4-FFF2-40B4-BE49-F238E27FC236}">
              <a16:creationId xmlns:a16="http://schemas.microsoft.com/office/drawing/2014/main" id="{181F4649-BFE9-4F62-9FFC-BAE1DC9DA1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5" name="Elipse 5584">
          <a:extLst>
            <a:ext uri="{FF2B5EF4-FFF2-40B4-BE49-F238E27FC236}">
              <a16:creationId xmlns:a16="http://schemas.microsoft.com/office/drawing/2014/main" id="{2B017163-30AD-40EA-8BEE-855FD07900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6" name="Elipse 5585">
          <a:extLst>
            <a:ext uri="{FF2B5EF4-FFF2-40B4-BE49-F238E27FC236}">
              <a16:creationId xmlns:a16="http://schemas.microsoft.com/office/drawing/2014/main" id="{DB3F1B4B-50D1-4EB5-BF75-F4A34E02CC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7" name="Elipse 5586">
          <a:extLst>
            <a:ext uri="{FF2B5EF4-FFF2-40B4-BE49-F238E27FC236}">
              <a16:creationId xmlns:a16="http://schemas.microsoft.com/office/drawing/2014/main" id="{F73F81FF-92FE-4F6C-A579-76567662CE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8" name="Elipse 5587">
          <a:extLst>
            <a:ext uri="{FF2B5EF4-FFF2-40B4-BE49-F238E27FC236}">
              <a16:creationId xmlns:a16="http://schemas.microsoft.com/office/drawing/2014/main" id="{B9EF9207-D87F-493E-BAC9-ACFAA510FB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89" name="Elipse 5588">
          <a:extLst>
            <a:ext uri="{FF2B5EF4-FFF2-40B4-BE49-F238E27FC236}">
              <a16:creationId xmlns:a16="http://schemas.microsoft.com/office/drawing/2014/main" id="{C389221F-EFC4-4AB7-861A-D2E0831629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0" name="Elipse 5589">
          <a:extLst>
            <a:ext uri="{FF2B5EF4-FFF2-40B4-BE49-F238E27FC236}">
              <a16:creationId xmlns:a16="http://schemas.microsoft.com/office/drawing/2014/main" id="{7578BC7C-A84B-41BD-9621-98A8184C12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1" name="Elipse 5590">
          <a:extLst>
            <a:ext uri="{FF2B5EF4-FFF2-40B4-BE49-F238E27FC236}">
              <a16:creationId xmlns:a16="http://schemas.microsoft.com/office/drawing/2014/main" id="{A284BB0F-4B9D-4819-9F55-ECEDA07133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2" name="Elipse 5591">
          <a:extLst>
            <a:ext uri="{FF2B5EF4-FFF2-40B4-BE49-F238E27FC236}">
              <a16:creationId xmlns:a16="http://schemas.microsoft.com/office/drawing/2014/main" id="{E28CF24F-529A-48BF-944A-9C788F2CF9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3" name="Elipse 5592">
          <a:extLst>
            <a:ext uri="{FF2B5EF4-FFF2-40B4-BE49-F238E27FC236}">
              <a16:creationId xmlns:a16="http://schemas.microsoft.com/office/drawing/2014/main" id="{0EA28EF6-7334-44D3-A233-379E499A1B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4" name="Elipse 5593">
          <a:extLst>
            <a:ext uri="{FF2B5EF4-FFF2-40B4-BE49-F238E27FC236}">
              <a16:creationId xmlns:a16="http://schemas.microsoft.com/office/drawing/2014/main" id="{ECD13137-756A-4D5D-A2E2-278EFD4F90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5" name="Elipse 5594">
          <a:extLst>
            <a:ext uri="{FF2B5EF4-FFF2-40B4-BE49-F238E27FC236}">
              <a16:creationId xmlns:a16="http://schemas.microsoft.com/office/drawing/2014/main" id="{B6346BA5-1DA7-4293-BF7F-2F9035D670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6" name="Elipse 5595">
          <a:extLst>
            <a:ext uri="{FF2B5EF4-FFF2-40B4-BE49-F238E27FC236}">
              <a16:creationId xmlns:a16="http://schemas.microsoft.com/office/drawing/2014/main" id="{F9A3B8F6-F264-4523-AE06-5AC698DB70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7" name="Elipse 5596">
          <a:extLst>
            <a:ext uri="{FF2B5EF4-FFF2-40B4-BE49-F238E27FC236}">
              <a16:creationId xmlns:a16="http://schemas.microsoft.com/office/drawing/2014/main" id="{810A02AE-3AC1-47CB-BA6C-7AE5F58555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8" name="Elipse 5597">
          <a:extLst>
            <a:ext uri="{FF2B5EF4-FFF2-40B4-BE49-F238E27FC236}">
              <a16:creationId xmlns:a16="http://schemas.microsoft.com/office/drawing/2014/main" id="{6489AF0A-D317-4CCC-B3CA-8B469C52FF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599" name="Elipse 5598">
          <a:extLst>
            <a:ext uri="{FF2B5EF4-FFF2-40B4-BE49-F238E27FC236}">
              <a16:creationId xmlns:a16="http://schemas.microsoft.com/office/drawing/2014/main" id="{A8CF1A54-9B45-4BB2-8F48-F96AF6F3C4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0" name="Elipse 5599">
          <a:extLst>
            <a:ext uri="{FF2B5EF4-FFF2-40B4-BE49-F238E27FC236}">
              <a16:creationId xmlns:a16="http://schemas.microsoft.com/office/drawing/2014/main" id="{61C5220C-C78B-4D76-BC00-7156DEAFEB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1" name="Elipse 5600">
          <a:extLst>
            <a:ext uri="{FF2B5EF4-FFF2-40B4-BE49-F238E27FC236}">
              <a16:creationId xmlns:a16="http://schemas.microsoft.com/office/drawing/2014/main" id="{535F7C63-8E5B-4BDE-BAB0-99B4FED105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2" name="Elipse 5601">
          <a:extLst>
            <a:ext uri="{FF2B5EF4-FFF2-40B4-BE49-F238E27FC236}">
              <a16:creationId xmlns:a16="http://schemas.microsoft.com/office/drawing/2014/main" id="{A7BA59DE-342A-4428-942E-8C4BDB02DB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3" name="Elipse 5602">
          <a:extLst>
            <a:ext uri="{FF2B5EF4-FFF2-40B4-BE49-F238E27FC236}">
              <a16:creationId xmlns:a16="http://schemas.microsoft.com/office/drawing/2014/main" id="{452FDC2E-09B8-4B48-BEC2-10DE4CB84E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4" name="Elipse 5603">
          <a:extLst>
            <a:ext uri="{FF2B5EF4-FFF2-40B4-BE49-F238E27FC236}">
              <a16:creationId xmlns:a16="http://schemas.microsoft.com/office/drawing/2014/main" id="{FD75A184-FB42-452E-917E-EDE2F09493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5" name="Elipse 5604">
          <a:extLst>
            <a:ext uri="{FF2B5EF4-FFF2-40B4-BE49-F238E27FC236}">
              <a16:creationId xmlns:a16="http://schemas.microsoft.com/office/drawing/2014/main" id="{859461EE-0C73-4431-923A-E56FA5BB57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6" name="Elipse 5605">
          <a:extLst>
            <a:ext uri="{FF2B5EF4-FFF2-40B4-BE49-F238E27FC236}">
              <a16:creationId xmlns:a16="http://schemas.microsoft.com/office/drawing/2014/main" id="{E35AF5CA-9C40-422C-83FB-9940C07A5D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7" name="Elipse 5606">
          <a:extLst>
            <a:ext uri="{FF2B5EF4-FFF2-40B4-BE49-F238E27FC236}">
              <a16:creationId xmlns:a16="http://schemas.microsoft.com/office/drawing/2014/main" id="{177ABC89-AD9C-42AC-B3FB-5491CC5681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8" name="Elipse 5607">
          <a:extLst>
            <a:ext uri="{FF2B5EF4-FFF2-40B4-BE49-F238E27FC236}">
              <a16:creationId xmlns:a16="http://schemas.microsoft.com/office/drawing/2014/main" id="{671F7652-61BB-4FC2-BD9D-686620E181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09" name="Elipse 5608">
          <a:extLst>
            <a:ext uri="{FF2B5EF4-FFF2-40B4-BE49-F238E27FC236}">
              <a16:creationId xmlns:a16="http://schemas.microsoft.com/office/drawing/2014/main" id="{F7368E96-5DE9-4113-ABF9-1C90F6D2B5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0" name="Elipse 5609">
          <a:extLst>
            <a:ext uri="{FF2B5EF4-FFF2-40B4-BE49-F238E27FC236}">
              <a16:creationId xmlns:a16="http://schemas.microsoft.com/office/drawing/2014/main" id="{E69E63D6-9205-4A05-B263-DEA05FA6ED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1" name="Elipse 5610">
          <a:extLst>
            <a:ext uri="{FF2B5EF4-FFF2-40B4-BE49-F238E27FC236}">
              <a16:creationId xmlns:a16="http://schemas.microsoft.com/office/drawing/2014/main" id="{FC53FBA7-65F2-4D7C-BA5B-6974C98AF8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2" name="Elipse 5611">
          <a:extLst>
            <a:ext uri="{FF2B5EF4-FFF2-40B4-BE49-F238E27FC236}">
              <a16:creationId xmlns:a16="http://schemas.microsoft.com/office/drawing/2014/main" id="{00020F9E-DE95-454A-986C-65B5C26E5E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3" name="Elipse 5612">
          <a:extLst>
            <a:ext uri="{FF2B5EF4-FFF2-40B4-BE49-F238E27FC236}">
              <a16:creationId xmlns:a16="http://schemas.microsoft.com/office/drawing/2014/main" id="{07DF69C9-925C-49A0-8978-6F957F690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4" name="Elipse 5613">
          <a:extLst>
            <a:ext uri="{FF2B5EF4-FFF2-40B4-BE49-F238E27FC236}">
              <a16:creationId xmlns:a16="http://schemas.microsoft.com/office/drawing/2014/main" id="{A0F17D6C-7F5A-4C6E-B13E-5DBFDE33B2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5" name="Elipse 5614">
          <a:extLst>
            <a:ext uri="{FF2B5EF4-FFF2-40B4-BE49-F238E27FC236}">
              <a16:creationId xmlns:a16="http://schemas.microsoft.com/office/drawing/2014/main" id="{EBFE7932-A94D-4BB1-A001-380FF62CE6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6" name="Elipse 5615">
          <a:extLst>
            <a:ext uri="{FF2B5EF4-FFF2-40B4-BE49-F238E27FC236}">
              <a16:creationId xmlns:a16="http://schemas.microsoft.com/office/drawing/2014/main" id="{8D4AB0F0-C40D-4B59-A886-88BCFF4F0B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7" name="Elipse 5616">
          <a:extLst>
            <a:ext uri="{FF2B5EF4-FFF2-40B4-BE49-F238E27FC236}">
              <a16:creationId xmlns:a16="http://schemas.microsoft.com/office/drawing/2014/main" id="{AEE911D7-9212-4EB8-B80F-BE1CA72982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8" name="Elipse 5617">
          <a:extLst>
            <a:ext uri="{FF2B5EF4-FFF2-40B4-BE49-F238E27FC236}">
              <a16:creationId xmlns:a16="http://schemas.microsoft.com/office/drawing/2014/main" id="{407DABF9-4BDB-439B-A545-8931B41D3E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19" name="Elipse 5618">
          <a:extLst>
            <a:ext uri="{FF2B5EF4-FFF2-40B4-BE49-F238E27FC236}">
              <a16:creationId xmlns:a16="http://schemas.microsoft.com/office/drawing/2014/main" id="{5DA535D6-7E46-40FD-B990-9EB5FE1B6C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0" name="Elipse 5619">
          <a:extLst>
            <a:ext uri="{FF2B5EF4-FFF2-40B4-BE49-F238E27FC236}">
              <a16:creationId xmlns:a16="http://schemas.microsoft.com/office/drawing/2014/main" id="{EC8637D1-EC0D-492B-BF61-BCB4FA4815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1" name="Elipse 5620">
          <a:extLst>
            <a:ext uri="{FF2B5EF4-FFF2-40B4-BE49-F238E27FC236}">
              <a16:creationId xmlns:a16="http://schemas.microsoft.com/office/drawing/2014/main" id="{84BDA6CA-F3EE-4D39-BF6A-C90088EAC6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2" name="Elipse 5621">
          <a:extLst>
            <a:ext uri="{FF2B5EF4-FFF2-40B4-BE49-F238E27FC236}">
              <a16:creationId xmlns:a16="http://schemas.microsoft.com/office/drawing/2014/main" id="{200BC95B-7691-4217-A86F-F12904A89C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3" name="Elipse 5622">
          <a:extLst>
            <a:ext uri="{FF2B5EF4-FFF2-40B4-BE49-F238E27FC236}">
              <a16:creationId xmlns:a16="http://schemas.microsoft.com/office/drawing/2014/main" id="{ED937F97-0040-40A7-BD40-57D135A948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4" name="Elipse 5623">
          <a:extLst>
            <a:ext uri="{FF2B5EF4-FFF2-40B4-BE49-F238E27FC236}">
              <a16:creationId xmlns:a16="http://schemas.microsoft.com/office/drawing/2014/main" id="{CC3F5A01-2D3E-45B3-873C-76FDD1303B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5" name="Elipse 5624">
          <a:extLst>
            <a:ext uri="{FF2B5EF4-FFF2-40B4-BE49-F238E27FC236}">
              <a16:creationId xmlns:a16="http://schemas.microsoft.com/office/drawing/2014/main" id="{EFBCEBB7-AD83-43E6-B146-27D4817076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6" name="Elipse 5625">
          <a:extLst>
            <a:ext uri="{FF2B5EF4-FFF2-40B4-BE49-F238E27FC236}">
              <a16:creationId xmlns:a16="http://schemas.microsoft.com/office/drawing/2014/main" id="{1AC039B9-9584-488E-BFF1-78C8E3AB48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7" name="Elipse 5626">
          <a:extLst>
            <a:ext uri="{FF2B5EF4-FFF2-40B4-BE49-F238E27FC236}">
              <a16:creationId xmlns:a16="http://schemas.microsoft.com/office/drawing/2014/main" id="{6C8A1641-08CE-4B93-BB4F-7469A2AB73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8" name="Elipse 5627">
          <a:extLst>
            <a:ext uri="{FF2B5EF4-FFF2-40B4-BE49-F238E27FC236}">
              <a16:creationId xmlns:a16="http://schemas.microsoft.com/office/drawing/2014/main" id="{D3B0C152-81C1-4995-864B-5C58241482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29" name="Elipse 5628">
          <a:extLst>
            <a:ext uri="{FF2B5EF4-FFF2-40B4-BE49-F238E27FC236}">
              <a16:creationId xmlns:a16="http://schemas.microsoft.com/office/drawing/2014/main" id="{6FEC541E-A8B6-46B8-9766-98C69D2952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0" name="Elipse 5629">
          <a:extLst>
            <a:ext uri="{FF2B5EF4-FFF2-40B4-BE49-F238E27FC236}">
              <a16:creationId xmlns:a16="http://schemas.microsoft.com/office/drawing/2014/main" id="{6506D85C-B780-430D-9935-4479F515AA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1" name="Elipse 5630">
          <a:extLst>
            <a:ext uri="{FF2B5EF4-FFF2-40B4-BE49-F238E27FC236}">
              <a16:creationId xmlns:a16="http://schemas.microsoft.com/office/drawing/2014/main" id="{97C52F83-3B22-49E8-8C4B-E61361424C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2" name="Elipse 5631">
          <a:extLst>
            <a:ext uri="{FF2B5EF4-FFF2-40B4-BE49-F238E27FC236}">
              <a16:creationId xmlns:a16="http://schemas.microsoft.com/office/drawing/2014/main" id="{17927202-3BA8-4409-9210-62EF46CA09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3" name="Elipse 5632">
          <a:extLst>
            <a:ext uri="{FF2B5EF4-FFF2-40B4-BE49-F238E27FC236}">
              <a16:creationId xmlns:a16="http://schemas.microsoft.com/office/drawing/2014/main" id="{E70CA153-3967-48C7-9C0F-4CB7BAB0B3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4" name="Elipse 5633">
          <a:extLst>
            <a:ext uri="{FF2B5EF4-FFF2-40B4-BE49-F238E27FC236}">
              <a16:creationId xmlns:a16="http://schemas.microsoft.com/office/drawing/2014/main" id="{4CC17212-5EED-4006-85FD-C48C2F53ED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5" name="Elipse 5634">
          <a:extLst>
            <a:ext uri="{FF2B5EF4-FFF2-40B4-BE49-F238E27FC236}">
              <a16:creationId xmlns:a16="http://schemas.microsoft.com/office/drawing/2014/main" id="{6CE768E8-D55B-4FBC-BDF6-9F698868C0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6" name="Elipse 5635">
          <a:extLst>
            <a:ext uri="{FF2B5EF4-FFF2-40B4-BE49-F238E27FC236}">
              <a16:creationId xmlns:a16="http://schemas.microsoft.com/office/drawing/2014/main" id="{D6BAFC5B-19FB-47D3-86AE-F25D210EDA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7" name="Elipse 5636">
          <a:extLst>
            <a:ext uri="{FF2B5EF4-FFF2-40B4-BE49-F238E27FC236}">
              <a16:creationId xmlns:a16="http://schemas.microsoft.com/office/drawing/2014/main" id="{CF68295C-FD4C-4AFE-B6F4-295A768D61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8" name="Elipse 5637">
          <a:extLst>
            <a:ext uri="{FF2B5EF4-FFF2-40B4-BE49-F238E27FC236}">
              <a16:creationId xmlns:a16="http://schemas.microsoft.com/office/drawing/2014/main" id="{3ED104E3-34DF-43CA-A933-E8F8280F56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39" name="Elipse 5638">
          <a:extLst>
            <a:ext uri="{FF2B5EF4-FFF2-40B4-BE49-F238E27FC236}">
              <a16:creationId xmlns:a16="http://schemas.microsoft.com/office/drawing/2014/main" id="{6D82C64E-3B7C-4562-A489-9067053B11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0" name="Elipse 5639">
          <a:extLst>
            <a:ext uri="{FF2B5EF4-FFF2-40B4-BE49-F238E27FC236}">
              <a16:creationId xmlns:a16="http://schemas.microsoft.com/office/drawing/2014/main" id="{A8E346F1-62CE-41ED-AF8D-0F890C7867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1" name="Elipse 5640">
          <a:extLst>
            <a:ext uri="{FF2B5EF4-FFF2-40B4-BE49-F238E27FC236}">
              <a16:creationId xmlns:a16="http://schemas.microsoft.com/office/drawing/2014/main" id="{84C5DF3A-1BE1-4C07-A483-494D966864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2" name="Elipse 5641">
          <a:extLst>
            <a:ext uri="{FF2B5EF4-FFF2-40B4-BE49-F238E27FC236}">
              <a16:creationId xmlns:a16="http://schemas.microsoft.com/office/drawing/2014/main" id="{BC8D4DE2-EDA2-4E11-81D3-C6F36F99E3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3" name="Elipse 5642">
          <a:extLst>
            <a:ext uri="{FF2B5EF4-FFF2-40B4-BE49-F238E27FC236}">
              <a16:creationId xmlns:a16="http://schemas.microsoft.com/office/drawing/2014/main" id="{76F0B200-E6CF-47F8-9843-32B53182D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4" name="Elipse 5643">
          <a:extLst>
            <a:ext uri="{FF2B5EF4-FFF2-40B4-BE49-F238E27FC236}">
              <a16:creationId xmlns:a16="http://schemas.microsoft.com/office/drawing/2014/main" id="{BF1D7EAC-4C73-493B-B813-02304A1455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5" name="Elipse 5644">
          <a:extLst>
            <a:ext uri="{FF2B5EF4-FFF2-40B4-BE49-F238E27FC236}">
              <a16:creationId xmlns:a16="http://schemas.microsoft.com/office/drawing/2014/main" id="{BBA79C82-5737-41B4-9101-B3B367B5CB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6" name="Elipse 5645">
          <a:extLst>
            <a:ext uri="{FF2B5EF4-FFF2-40B4-BE49-F238E27FC236}">
              <a16:creationId xmlns:a16="http://schemas.microsoft.com/office/drawing/2014/main" id="{AF26F55C-0AD1-4DFE-AB5F-04A9053767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7" name="Elipse 5646">
          <a:extLst>
            <a:ext uri="{FF2B5EF4-FFF2-40B4-BE49-F238E27FC236}">
              <a16:creationId xmlns:a16="http://schemas.microsoft.com/office/drawing/2014/main" id="{026F7B54-91F5-40BE-A34F-9BA2DDE9A1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8" name="Elipse 5647">
          <a:extLst>
            <a:ext uri="{FF2B5EF4-FFF2-40B4-BE49-F238E27FC236}">
              <a16:creationId xmlns:a16="http://schemas.microsoft.com/office/drawing/2014/main" id="{805BBB84-AAAC-4F8D-A105-5949A338ED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49" name="Elipse 5648">
          <a:extLst>
            <a:ext uri="{FF2B5EF4-FFF2-40B4-BE49-F238E27FC236}">
              <a16:creationId xmlns:a16="http://schemas.microsoft.com/office/drawing/2014/main" id="{8E5A7002-D588-436B-98D1-3C3FA65288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0" name="Elipse 5649">
          <a:extLst>
            <a:ext uri="{FF2B5EF4-FFF2-40B4-BE49-F238E27FC236}">
              <a16:creationId xmlns:a16="http://schemas.microsoft.com/office/drawing/2014/main" id="{C3B69E48-9724-4AF8-A18B-3FDDEF7510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1" name="Elipse 5650">
          <a:extLst>
            <a:ext uri="{FF2B5EF4-FFF2-40B4-BE49-F238E27FC236}">
              <a16:creationId xmlns:a16="http://schemas.microsoft.com/office/drawing/2014/main" id="{26ED7B78-D7A6-4418-92B9-80DBA31453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2" name="Elipse 5651">
          <a:extLst>
            <a:ext uri="{FF2B5EF4-FFF2-40B4-BE49-F238E27FC236}">
              <a16:creationId xmlns:a16="http://schemas.microsoft.com/office/drawing/2014/main" id="{A231FD8D-1AC8-4182-A3E0-FFDA7A811A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3" name="Elipse 5652">
          <a:extLst>
            <a:ext uri="{FF2B5EF4-FFF2-40B4-BE49-F238E27FC236}">
              <a16:creationId xmlns:a16="http://schemas.microsoft.com/office/drawing/2014/main" id="{70478098-E824-4B9F-B7F5-5931E7A484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4" name="Elipse 5653">
          <a:extLst>
            <a:ext uri="{FF2B5EF4-FFF2-40B4-BE49-F238E27FC236}">
              <a16:creationId xmlns:a16="http://schemas.microsoft.com/office/drawing/2014/main" id="{BA922223-74E5-489B-80B7-5743A8D572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5" name="Elipse 5654">
          <a:extLst>
            <a:ext uri="{FF2B5EF4-FFF2-40B4-BE49-F238E27FC236}">
              <a16:creationId xmlns:a16="http://schemas.microsoft.com/office/drawing/2014/main" id="{6C65BDD3-E517-472A-A393-5EBC7B2889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6" name="Elipse 5655">
          <a:extLst>
            <a:ext uri="{FF2B5EF4-FFF2-40B4-BE49-F238E27FC236}">
              <a16:creationId xmlns:a16="http://schemas.microsoft.com/office/drawing/2014/main" id="{E148B368-65A9-4142-ADE6-55497C3B24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7" name="Elipse 5656">
          <a:extLst>
            <a:ext uri="{FF2B5EF4-FFF2-40B4-BE49-F238E27FC236}">
              <a16:creationId xmlns:a16="http://schemas.microsoft.com/office/drawing/2014/main" id="{B85602B9-3B03-42F8-B788-F6C20728F3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8" name="Elipse 5657">
          <a:extLst>
            <a:ext uri="{FF2B5EF4-FFF2-40B4-BE49-F238E27FC236}">
              <a16:creationId xmlns:a16="http://schemas.microsoft.com/office/drawing/2014/main" id="{FF36ACA9-F1DC-4C1C-9C9C-3B8042D1FC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59" name="Elipse 5658">
          <a:extLst>
            <a:ext uri="{FF2B5EF4-FFF2-40B4-BE49-F238E27FC236}">
              <a16:creationId xmlns:a16="http://schemas.microsoft.com/office/drawing/2014/main" id="{062EA884-D2A4-43C8-8213-AD8591A52C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0" name="Elipse 5659">
          <a:extLst>
            <a:ext uri="{FF2B5EF4-FFF2-40B4-BE49-F238E27FC236}">
              <a16:creationId xmlns:a16="http://schemas.microsoft.com/office/drawing/2014/main" id="{BB67D2B3-030C-47F7-AA29-1AE2014761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1" name="Elipse 5660">
          <a:extLst>
            <a:ext uri="{FF2B5EF4-FFF2-40B4-BE49-F238E27FC236}">
              <a16:creationId xmlns:a16="http://schemas.microsoft.com/office/drawing/2014/main" id="{A1C866AE-E4E4-44BC-9E4D-07EDD16CD1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2" name="Elipse 5661">
          <a:extLst>
            <a:ext uri="{FF2B5EF4-FFF2-40B4-BE49-F238E27FC236}">
              <a16:creationId xmlns:a16="http://schemas.microsoft.com/office/drawing/2014/main" id="{2843CE4F-40B8-4226-82F1-083136FEDE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3" name="Elipse 5662">
          <a:extLst>
            <a:ext uri="{FF2B5EF4-FFF2-40B4-BE49-F238E27FC236}">
              <a16:creationId xmlns:a16="http://schemas.microsoft.com/office/drawing/2014/main" id="{F103F0AB-28CA-4677-997A-765DBA4CE7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4" name="Elipse 5663">
          <a:extLst>
            <a:ext uri="{FF2B5EF4-FFF2-40B4-BE49-F238E27FC236}">
              <a16:creationId xmlns:a16="http://schemas.microsoft.com/office/drawing/2014/main" id="{D9BEC83F-3575-4A0B-8D77-6BBBBDCBB6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5" name="Elipse 5664">
          <a:extLst>
            <a:ext uri="{FF2B5EF4-FFF2-40B4-BE49-F238E27FC236}">
              <a16:creationId xmlns:a16="http://schemas.microsoft.com/office/drawing/2014/main" id="{8FA7F75C-0886-406D-B277-AFE649ABBA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6" name="Elipse 5665">
          <a:extLst>
            <a:ext uri="{FF2B5EF4-FFF2-40B4-BE49-F238E27FC236}">
              <a16:creationId xmlns:a16="http://schemas.microsoft.com/office/drawing/2014/main" id="{C5CFA935-862E-4DCD-9E1D-45C691E5CB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7" name="Elipse 5666">
          <a:extLst>
            <a:ext uri="{FF2B5EF4-FFF2-40B4-BE49-F238E27FC236}">
              <a16:creationId xmlns:a16="http://schemas.microsoft.com/office/drawing/2014/main" id="{E633C90B-F150-4200-80F1-20163647DE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8" name="Elipse 5667">
          <a:extLst>
            <a:ext uri="{FF2B5EF4-FFF2-40B4-BE49-F238E27FC236}">
              <a16:creationId xmlns:a16="http://schemas.microsoft.com/office/drawing/2014/main" id="{5905CB4D-DBC7-4902-BB26-F2201520E9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69" name="Elipse 5668">
          <a:extLst>
            <a:ext uri="{FF2B5EF4-FFF2-40B4-BE49-F238E27FC236}">
              <a16:creationId xmlns:a16="http://schemas.microsoft.com/office/drawing/2014/main" id="{A3912443-2369-4F56-9AFF-BEE8281384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0" name="Elipse 5669">
          <a:extLst>
            <a:ext uri="{FF2B5EF4-FFF2-40B4-BE49-F238E27FC236}">
              <a16:creationId xmlns:a16="http://schemas.microsoft.com/office/drawing/2014/main" id="{1B44F3CD-9B76-4228-A48C-120A97D97E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1" name="Elipse 5670">
          <a:extLst>
            <a:ext uri="{FF2B5EF4-FFF2-40B4-BE49-F238E27FC236}">
              <a16:creationId xmlns:a16="http://schemas.microsoft.com/office/drawing/2014/main" id="{4B87C40D-A9BF-4B3A-A5CE-F3B8874927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2" name="Elipse 5671">
          <a:extLst>
            <a:ext uri="{FF2B5EF4-FFF2-40B4-BE49-F238E27FC236}">
              <a16:creationId xmlns:a16="http://schemas.microsoft.com/office/drawing/2014/main" id="{2A8F8363-FAA3-4276-8B10-7900AD2E79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3" name="Elipse 5672">
          <a:extLst>
            <a:ext uri="{FF2B5EF4-FFF2-40B4-BE49-F238E27FC236}">
              <a16:creationId xmlns:a16="http://schemas.microsoft.com/office/drawing/2014/main" id="{8EB5FD26-C357-4050-88E5-0FB581D259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4" name="Elipse 5673">
          <a:extLst>
            <a:ext uri="{FF2B5EF4-FFF2-40B4-BE49-F238E27FC236}">
              <a16:creationId xmlns:a16="http://schemas.microsoft.com/office/drawing/2014/main" id="{14F0631E-08F9-4B48-A5B1-3F4C190C13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5" name="Elipse 5674">
          <a:extLst>
            <a:ext uri="{FF2B5EF4-FFF2-40B4-BE49-F238E27FC236}">
              <a16:creationId xmlns:a16="http://schemas.microsoft.com/office/drawing/2014/main" id="{0D60C0A3-7ACF-41D7-B02D-785AA96323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6" name="Elipse 5675">
          <a:extLst>
            <a:ext uri="{FF2B5EF4-FFF2-40B4-BE49-F238E27FC236}">
              <a16:creationId xmlns:a16="http://schemas.microsoft.com/office/drawing/2014/main" id="{9887D0DC-0C19-4708-B7AA-2DDAF4FBF9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7" name="Elipse 5676">
          <a:extLst>
            <a:ext uri="{FF2B5EF4-FFF2-40B4-BE49-F238E27FC236}">
              <a16:creationId xmlns:a16="http://schemas.microsoft.com/office/drawing/2014/main" id="{91AADA27-780C-4393-B6A8-CA2EE742C0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8" name="Elipse 5677">
          <a:extLst>
            <a:ext uri="{FF2B5EF4-FFF2-40B4-BE49-F238E27FC236}">
              <a16:creationId xmlns:a16="http://schemas.microsoft.com/office/drawing/2014/main" id="{A4B2841D-6055-4CEC-928E-88B9AEE75F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79" name="Elipse 5678">
          <a:extLst>
            <a:ext uri="{FF2B5EF4-FFF2-40B4-BE49-F238E27FC236}">
              <a16:creationId xmlns:a16="http://schemas.microsoft.com/office/drawing/2014/main" id="{27DE416C-D52D-4AF7-95D4-AE79E38204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0" name="Elipse 5679">
          <a:extLst>
            <a:ext uri="{FF2B5EF4-FFF2-40B4-BE49-F238E27FC236}">
              <a16:creationId xmlns:a16="http://schemas.microsoft.com/office/drawing/2014/main" id="{D056F528-D1DF-4EF8-898D-D92246100B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1" name="Elipse 5680">
          <a:extLst>
            <a:ext uri="{FF2B5EF4-FFF2-40B4-BE49-F238E27FC236}">
              <a16:creationId xmlns:a16="http://schemas.microsoft.com/office/drawing/2014/main" id="{3267CCCE-50CA-4995-8622-5ADBA4C48A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2" name="Elipse 5681">
          <a:extLst>
            <a:ext uri="{FF2B5EF4-FFF2-40B4-BE49-F238E27FC236}">
              <a16:creationId xmlns:a16="http://schemas.microsoft.com/office/drawing/2014/main" id="{0CAFE8C3-5FEF-4AB2-BA0A-E6FA052C8C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3" name="Elipse 5682">
          <a:extLst>
            <a:ext uri="{FF2B5EF4-FFF2-40B4-BE49-F238E27FC236}">
              <a16:creationId xmlns:a16="http://schemas.microsoft.com/office/drawing/2014/main" id="{B00AA155-3CB4-4FFA-804A-B4C5816D00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4" name="Elipse 5683">
          <a:extLst>
            <a:ext uri="{FF2B5EF4-FFF2-40B4-BE49-F238E27FC236}">
              <a16:creationId xmlns:a16="http://schemas.microsoft.com/office/drawing/2014/main" id="{1AC3CB53-EFFE-4B06-93B8-0EB439107D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5" name="Elipse 5684">
          <a:extLst>
            <a:ext uri="{FF2B5EF4-FFF2-40B4-BE49-F238E27FC236}">
              <a16:creationId xmlns:a16="http://schemas.microsoft.com/office/drawing/2014/main" id="{A52F289A-3DA9-49C6-96D4-7D6A34A4FC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6" name="Elipse 5685">
          <a:extLst>
            <a:ext uri="{FF2B5EF4-FFF2-40B4-BE49-F238E27FC236}">
              <a16:creationId xmlns:a16="http://schemas.microsoft.com/office/drawing/2014/main" id="{2E276D4D-4149-4B08-B6F3-91A19993AD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7" name="Elipse 5686">
          <a:extLst>
            <a:ext uri="{FF2B5EF4-FFF2-40B4-BE49-F238E27FC236}">
              <a16:creationId xmlns:a16="http://schemas.microsoft.com/office/drawing/2014/main" id="{8AF61FA6-3777-49E5-8F1F-7E6AB7CA2A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8" name="Elipse 5687">
          <a:extLst>
            <a:ext uri="{FF2B5EF4-FFF2-40B4-BE49-F238E27FC236}">
              <a16:creationId xmlns:a16="http://schemas.microsoft.com/office/drawing/2014/main" id="{DD817434-E0C2-484F-9472-7E9F444E74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89" name="Elipse 5688">
          <a:extLst>
            <a:ext uri="{FF2B5EF4-FFF2-40B4-BE49-F238E27FC236}">
              <a16:creationId xmlns:a16="http://schemas.microsoft.com/office/drawing/2014/main" id="{80D7844A-D862-4088-87F4-95117C0A26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0" name="Elipse 5689">
          <a:extLst>
            <a:ext uri="{FF2B5EF4-FFF2-40B4-BE49-F238E27FC236}">
              <a16:creationId xmlns:a16="http://schemas.microsoft.com/office/drawing/2014/main" id="{C2D76A21-294F-4CFF-95F8-CCFE869751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1" name="Elipse 5690">
          <a:extLst>
            <a:ext uri="{FF2B5EF4-FFF2-40B4-BE49-F238E27FC236}">
              <a16:creationId xmlns:a16="http://schemas.microsoft.com/office/drawing/2014/main" id="{A862DCD7-9874-4645-9FD1-75950A5757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2" name="Elipse 5691">
          <a:extLst>
            <a:ext uri="{FF2B5EF4-FFF2-40B4-BE49-F238E27FC236}">
              <a16:creationId xmlns:a16="http://schemas.microsoft.com/office/drawing/2014/main" id="{5479E719-B566-4626-B88D-76D360345F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3" name="Elipse 5692">
          <a:extLst>
            <a:ext uri="{FF2B5EF4-FFF2-40B4-BE49-F238E27FC236}">
              <a16:creationId xmlns:a16="http://schemas.microsoft.com/office/drawing/2014/main" id="{AF7AF667-926E-4D39-AC70-8296FFA2D6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4" name="Elipse 5693">
          <a:extLst>
            <a:ext uri="{FF2B5EF4-FFF2-40B4-BE49-F238E27FC236}">
              <a16:creationId xmlns:a16="http://schemas.microsoft.com/office/drawing/2014/main" id="{9C67174E-0ADE-40D0-B934-C8A54BFE03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5" name="Elipse 5694">
          <a:extLst>
            <a:ext uri="{FF2B5EF4-FFF2-40B4-BE49-F238E27FC236}">
              <a16:creationId xmlns:a16="http://schemas.microsoft.com/office/drawing/2014/main" id="{D557BA05-BFC6-4619-9B1F-C07CB83A40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6" name="Elipse 5695">
          <a:extLst>
            <a:ext uri="{FF2B5EF4-FFF2-40B4-BE49-F238E27FC236}">
              <a16:creationId xmlns:a16="http://schemas.microsoft.com/office/drawing/2014/main" id="{499F7A6D-A634-40DE-9ADF-6AC3E994DF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7" name="Elipse 5696">
          <a:extLst>
            <a:ext uri="{FF2B5EF4-FFF2-40B4-BE49-F238E27FC236}">
              <a16:creationId xmlns:a16="http://schemas.microsoft.com/office/drawing/2014/main" id="{21E14F5D-3D73-4AD1-9CD6-BF695862AB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8" name="Elipse 5697">
          <a:extLst>
            <a:ext uri="{FF2B5EF4-FFF2-40B4-BE49-F238E27FC236}">
              <a16:creationId xmlns:a16="http://schemas.microsoft.com/office/drawing/2014/main" id="{20638654-CCC7-49DE-93EB-F39E5C4B36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699" name="Elipse 5698">
          <a:extLst>
            <a:ext uri="{FF2B5EF4-FFF2-40B4-BE49-F238E27FC236}">
              <a16:creationId xmlns:a16="http://schemas.microsoft.com/office/drawing/2014/main" id="{853F6DB3-AC74-4670-AE78-071EE4F15D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0" name="Elipse 5699">
          <a:extLst>
            <a:ext uri="{FF2B5EF4-FFF2-40B4-BE49-F238E27FC236}">
              <a16:creationId xmlns:a16="http://schemas.microsoft.com/office/drawing/2014/main" id="{81D34F1C-D1DA-42FA-8C94-7BEFDFEE2B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1" name="Elipse 5700">
          <a:extLst>
            <a:ext uri="{FF2B5EF4-FFF2-40B4-BE49-F238E27FC236}">
              <a16:creationId xmlns:a16="http://schemas.microsoft.com/office/drawing/2014/main" id="{6D7D4B75-6621-49E8-98A7-A6924331D6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2" name="Elipse 5701">
          <a:extLst>
            <a:ext uri="{FF2B5EF4-FFF2-40B4-BE49-F238E27FC236}">
              <a16:creationId xmlns:a16="http://schemas.microsoft.com/office/drawing/2014/main" id="{F64B9D29-642E-43C1-921F-12BF5D11B0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3" name="Elipse 5702">
          <a:extLst>
            <a:ext uri="{FF2B5EF4-FFF2-40B4-BE49-F238E27FC236}">
              <a16:creationId xmlns:a16="http://schemas.microsoft.com/office/drawing/2014/main" id="{FB426DC3-33F1-49C2-A375-44200FB820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4" name="Elipse 5703">
          <a:extLst>
            <a:ext uri="{FF2B5EF4-FFF2-40B4-BE49-F238E27FC236}">
              <a16:creationId xmlns:a16="http://schemas.microsoft.com/office/drawing/2014/main" id="{E85597C7-5C35-4790-8686-7EB53C8A4A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5" name="Elipse 5704">
          <a:extLst>
            <a:ext uri="{FF2B5EF4-FFF2-40B4-BE49-F238E27FC236}">
              <a16:creationId xmlns:a16="http://schemas.microsoft.com/office/drawing/2014/main" id="{277ED4E6-FEB4-4EBF-BA02-47CCA3CC42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6" name="Elipse 5705">
          <a:extLst>
            <a:ext uri="{FF2B5EF4-FFF2-40B4-BE49-F238E27FC236}">
              <a16:creationId xmlns:a16="http://schemas.microsoft.com/office/drawing/2014/main" id="{D9BFE19C-CB1F-4291-AA10-CC01440942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7" name="Elipse 5706">
          <a:extLst>
            <a:ext uri="{FF2B5EF4-FFF2-40B4-BE49-F238E27FC236}">
              <a16:creationId xmlns:a16="http://schemas.microsoft.com/office/drawing/2014/main" id="{4E356785-537B-460B-816D-CA538A2B69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8" name="Elipse 5707">
          <a:extLst>
            <a:ext uri="{FF2B5EF4-FFF2-40B4-BE49-F238E27FC236}">
              <a16:creationId xmlns:a16="http://schemas.microsoft.com/office/drawing/2014/main" id="{8477FFAC-2D76-4CBB-8429-AE1DE92382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09" name="Elipse 5708">
          <a:extLst>
            <a:ext uri="{FF2B5EF4-FFF2-40B4-BE49-F238E27FC236}">
              <a16:creationId xmlns:a16="http://schemas.microsoft.com/office/drawing/2014/main" id="{DDDE622F-9D38-43BA-AC95-C678AC043D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0" name="Elipse 5709">
          <a:extLst>
            <a:ext uri="{FF2B5EF4-FFF2-40B4-BE49-F238E27FC236}">
              <a16:creationId xmlns:a16="http://schemas.microsoft.com/office/drawing/2014/main" id="{BD694286-6DFF-4F0D-8363-90B5ED2EF1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1" name="Elipse 5710">
          <a:extLst>
            <a:ext uri="{FF2B5EF4-FFF2-40B4-BE49-F238E27FC236}">
              <a16:creationId xmlns:a16="http://schemas.microsoft.com/office/drawing/2014/main" id="{221A64EA-82C4-4B29-8274-29FC2857EC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2" name="Elipse 5711">
          <a:extLst>
            <a:ext uri="{FF2B5EF4-FFF2-40B4-BE49-F238E27FC236}">
              <a16:creationId xmlns:a16="http://schemas.microsoft.com/office/drawing/2014/main" id="{4C850586-E505-4320-8F6D-FCD732B48B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3" name="Elipse 5712">
          <a:extLst>
            <a:ext uri="{FF2B5EF4-FFF2-40B4-BE49-F238E27FC236}">
              <a16:creationId xmlns:a16="http://schemas.microsoft.com/office/drawing/2014/main" id="{5AEA3A5F-E0C7-4BBF-8475-EE6017707C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4" name="Elipse 5713">
          <a:extLst>
            <a:ext uri="{FF2B5EF4-FFF2-40B4-BE49-F238E27FC236}">
              <a16:creationId xmlns:a16="http://schemas.microsoft.com/office/drawing/2014/main" id="{9EE07F36-9734-4E81-A53A-8D3383D82E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5" name="Elipse 5714">
          <a:extLst>
            <a:ext uri="{FF2B5EF4-FFF2-40B4-BE49-F238E27FC236}">
              <a16:creationId xmlns:a16="http://schemas.microsoft.com/office/drawing/2014/main" id="{2581F7CA-66B7-4E9E-92BD-A9F181E76F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6" name="Elipse 5715">
          <a:extLst>
            <a:ext uri="{FF2B5EF4-FFF2-40B4-BE49-F238E27FC236}">
              <a16:creationId xmlns:a16="http://schemas.microsoft.com/office/drawing/2014/main" id="{5DA9AD7E-139F-4A6A-821E-0DD791612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7" name="Elipse 5716">
          <a:extLst>
            <a:ext uri="{FF2B5EF4-FFF2-40B4-BE49-F238E27FC236}">
              <a16:creationId xmlns:a16="http://schemas.microsoft.com/office/drawing/2014/main" id="{1848E081-FED7-44A8-9366-C2A6526D25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8" name="Elipse 5717">
          <a:extLst>
            <a:ext uri="{FF2B5EF4-FFF2-40B4-BE49-F238E27FC236}">
              <a16:creationId xmlns:a16="http://schemas.microsoft.com/office/drawing/2014/main" id="{406EC3EF-AE6C-43AD-ACE2-2346ACF04F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19" name="Elipse 5718">
          <a:extLst>
            <a:ext uri="{FF2B5EF4-FFF2-40B4-BE49-F238E27FC236}">
              <a16:creationId xmlns:a16="http://schemas.microsoft.com/office/drawing/2014/main" id="{6971216C-6E8B-4C3E-9122-904F3A068F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0" name="Elipse 5719">
          <a:extLst>
            <a:ext uri="{FF2B5EF4-FFF2-40B4-BE49-F238E27FC236}">
              <a16:creationId xmlns:a16="http://schemas.microsoft.com/office/drawing/2014/main" id="{B3221C1C-3726-4EC9-A37B-51981E1FE4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1" name="Elipse 5720">
          <a:extLst>
            <a:ext uri="{FF2B5EF4-FFF2-40B4-BE49-F238E27FC236}">
              <a16:creationId xmlns:a16="http://schemas.microsoft.com/office/drawing/2014/main" id="{970CB6A4-D494-418F-9EFE-7487884EE2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2" name="Elipse 5721">
          <a:extLst>
            <a:ext uri="{FF2B5EF4-FFF2-40B4-BE49-F238E27FC236}">
              <a16:creationId xmlns:a16="http://schemas.microsoft.com/office/drawing/2014/main" id="{AACAEA24-CE07-40A8-8196-3D84514FD5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3" name="Elipse 5722">
          <a:extLst>
            <a:ext uri="{FF2B5EF4-FFF2-40B4-BE49-F238E27FC236}">
              <a16:creationId xmlns:a16="http://schemas.microsoft.com/office/drawing/2014/main" id="{110A0268-B419-4873-9329-2519D56943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4" name="Elipse 5723">
          <a:extLst>
            <a:ext uri="{FF2B5EF4-FFF2-40B4-BE49-F238E27FC236}">
              <a16:creationId xmlns:a16="http://schemas.microsoft.com/office/drawing/2014/main" id="{890E2271-A7C5-41DB-A62A-92425B9B2A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5" name="Elipse 5724">
          <a:extLst>
            <a:ext uri="{FF2B5EF4-FFF2-40B4-BE49-F238E27FC236}">
              <a16:creationId xmlns:a16="http://schemas.microsoft.com/office/drawing/2014/main" id="{6F185668-BB83-408C-8A92-E0F5276882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6" name="Elipse 5725">
          <a:extLst>
            <a:ext uri="{FF2B5EF4-FFF2-40B4-BE49-F238E27FC236}">
              <a16:creationId xmlns:a16="http://schemas.microsoft.com/office/drawing/2014/main" id="{F1F44951-6592-4897-A1E7-F98442A577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7" name="Elipse 5726">
          <a:extLst>
            <a:ext uri="{FF2B5EF4-FFF2-40B4-BE49-F238E27FC236}">
              <a16:creationId xmlns:a16="http://schemas.microsoft.com/office/drawing/2014/main" id="{8F44FC8D-94D9-4D43-8339-FE27D920AC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8" name="Elipse 5727">
          <a:extLst>
            <a:ext uri="{FF2B5EF4-FFF2-40B4-BE49-F238E27FC236}">
              <a16:creationId xmlns:a16="http://schemas.microsoft.com/office/drawing/2014/main" id="{E85E61A3-00C3-4705-BEBE-A0B826AE20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29" name="Elipse 5728">
          <a:extLst>
            <a:ext uri="{FF2B5EF4-FFF2-40B4-BE49-F238E27FC236}">
              <a16:creationId xmlns:a16="http://schemas.microsoft.com/office/drawing/2014/main" id="{FA1ED760-1D4F-4E7B-AAFE-05FCF6900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0" name="Elipse 5729">
          <a:extLst>
            <a:ext uri="{FF2B5EF4-FFF2-40B4-BE49-F238E27FC236}">
              <a16:creationId xmlns:a16="http://schemas.microsoft.com/office/drawing/2014/main" id="{B2F613BB-F0EE-4544-B250-F0841F66B0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1" name="Elipse 5730">
          <a:extLst>
            <a:ext uri="{FF2B5EF4-FFF2-40B4-BE49-F238E27FC236}">
              <a16:creationId xmlns:a16="http://schemas.microsoft.com/office/drawing/2014/main" id="{03961A05-A150-4E89-93EE-0ACE7DAB15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2" name="Elipse 5731">
          <a:extLst>
            <a:ext uri="{FF2B5EF4-FFF2-40B4-BE49-F238E27FC236}">
              <a16:creationId xmlns:a16="http://schemas.microsoft.com/office/drawing/2014/main" id="{55C9A6AA-7F39-4F4F-8EC5-80C288CD4E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3" name="Elipse 5732">
          <a:extLst>
            <a:ext uri="{FF2B5EF4-FFF2-40B4-BE49-F238E27FC236}">
              <a16:creationId xmlns:a16="http://schemas.microsoft.com/office/drawing/2014/main" id="{D515E872-7820-4727-8A4B-AF7134CCD0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4" name="Elipse 5733">
          <a:extLst>
            <a:ext uri="{FF2B5EF4-FFF2-40B4-BE49-F238E27FC236}">
              <a16:creationId xmlns:a16="http://schemas.microsoft.com/office/drawing/2014/main" id="{71847D75-6E55-44C7-B763-ED2ECDBC6F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5" name="Elipse 5734">
          <a:extLst>
            <a:ext uri="{FF2B5EF4-FFF2-40B4-BE49-F238E27FC236}">
              <a16:creationId xmlns:a16="http://schemas.microsoft.com/office/drawing/2014/main" id="{BEBA24EC-F6C9-4F9B-B86F-DBB64379AE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6" name="Elipse 5735">
          <a:extLst>
            <a:ext uri="{FF2B5EF4-FFF2-40B4-BE49-F238E27FC236}">
              <a16:creationId xmlns:a16="http://schemas.microsoft.com/office/drawing/2014/main" id="{7C9D73A1-A4AE-4A0F-A39A-31197D38AA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7" name="Elipse 5736">
          <a:extLst>
            <a:ext uri="{FF2B5EF4-FFF2-40B4-BE49-F238E27FC236}">
              <a16:creationId xmlns:a16="http://schemas.microsoft.com/office/drawing/2014/main" id="{F014623F-3763-4C0C-AA03-6F853BDC6D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8" name="Elipse 5737">
          <a:extLst>
            <a:ext uri="{FF2B5EF4-FFF2-40B4-BE49-F238E27FC236}">
              <a16:creationId xmlns:a16="http://schemas.microsoft.com/office/drawing/2014/main" id="{73750621-2CD0-4C7C-AD7F-ED131DFFD5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39" name="Elipse 5738">
          <a:extLst>
            <a:ext uri="{FF2B5EF4-FFF2-40B4-BE49-F238E27FC236}">
              <a16:creationId xmlns:a16="http://schemas.microsoft.com/office/drawing/2014/main" id="{300D9C3A-76EC-4B36-B9F3-9A4B8A79B3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0" name="Elipse 5739">
          <a:extLst>
            <a:ext uri="{FF2B5EF4-FFF2-40B4-BE49-F238E27FC236}">
              <a16:creationId xmlns:a16="http://schemas.microsoft.com/office/drawing/2014/main" id="{7049912B-59B5-47F1-AEB9-0C9025D084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1" name="Elipse 5740">
          <a:extLst>
            <a:ext uri="{FF2B5EF4-FFF2-40B4-BE49-F238E27FC236}">
              <a16:creationId xmlns:a16="http://schemas.microsoft.com/office/drawing/2014/main" id="{4C741DA4-6A04-4B0D-8612-C0492BD2AB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2" name="Elipse 5741">
          <a:extLst>
            <a:ext uri="{FF2B5EF4-FFF2-40B4-BE49-F238E27FC236}">
              <a16:creationId xmlns:a16="http://schemas.microsoft.com/office/drawing/2014/main" id="{FC80F2BD-934A-4077-843F-146236EAD0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3" name="Elipse 5742">
          <a:extLst>
            <a:ext uri="{FF2B5EF4-FFF2-40B4-BE49-F238E27FC236}">
              <a16:creationId xmlns:a16="http://schemas.microsoft.com/office/drawing/2014/main" id="{CD675147-F44E-40C8-B4A7-B4FC6D8C40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4" name="Elipse 5743">
          <a:extLst>
            <a:ext uri="{FF2B5EF4-FFF2-40B4-BE49-F238E27FC236}">
              <a16:creationId xmlns:a16="http://schemas.microsoft.com/office/drawing/2014/main" id="{F1079E31-7305-43C6-A2DC-82257D047F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5" name="Elipse 5744">
          <a:extLst>
            <a:ext uri="{FF2B5EF4-FFF2-40B4-BE49-F238E27FC236}">
              <a16:creationId xmlns:a16="http://schemas.microsoft.com/office/drawing/2014/main" id="{E23A0AB2-791E-4E1E-938C-07A5B48AA9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6" name="Elipse 5745">
          <a:extLst>
            <a:ext uri="{FF2B5EF4-FFF2-40B4-BE49-F238E27FC236}">
              <a16:creationId xmlns:a16="http://schemas.microsoft.com/office/drawing/2014/main" id="{B0A7A2D0-3065-4F10-A794-BE318D8D0D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7" name="Elipse 5746">
          <a:extLst>
            <a:ext uri="{FF2B5EF4-FFF2-40B4-BE49-F238E27FC236}">
              <a16:creationId xmlns:a16="http://schemas.microsoft.com/office/drawing/2014/main" id="{698AF9C5-AD08-4271-AA94-9948E4328A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8" name="Elipse 5747">
          <a:extLst>
            <a:ext uri="{FF2B5EF4-FFF2-40B4-BE49-F238E27FC236}">
              <a16:creationId xmlns:a16="http://schemas.microsoft.com/office/drawing/2014/main" id="{DE5409A2-6E2A-40E8-A36F-589E6F2129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49" name="Elipse 5748">
          <a:extLst>
            <a:ext uri="{FF2B5EF4-FFF2-40B4-BE49-F238E27FC236}">
              <a16:creationId xmlns:a16="http://schemas.microsoft.com/office/drawing/2014/main" id="{0B3C2DC9-A77D-441E-A6BB-12F351EA80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0" name="Elipse 5749">
          <a:extLst>
            <a:ext uri="{FF2B5EF4-FFF2-40B4-BE49-F238E27FC236}">
              <a16:creationId xmlns:a16="http://schemas.microsoft.com/office/drawing/2014/main" id="{D81AA917-C4DA-444C-924E-0946BC2BB5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1" name="Elipse 5750">
          <a:extLst>
            <a:ext uri="{FF2B5EF4-FFF2-40B4-BE49-F238E27FC236}">
              <a16:creationId xmlns:a16="http://schemas.microsoft.com/office/drawing/2014/main" id="{2DC80CF7-DA40-4BC6-87B8-01D6F12472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2" name="Elipse 5751">
          <a:extLst>
            <a:ext uri="{FF2B5EF4-FFF2-40B4-BE49-F238E27FC236}">
              <a16:creationId xmlns:a16="http://schemas.microsoft.com/office/drawing/2014/main" id="{0A087552-3009-4563-A43A-80449A4CD0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3" name="Elipse 5752">
          <a:extLst>
            <a:ext uri="{FF2B5EF4-FFF2-40B4-BE49-F238E27FC236}">
              <a16:creationId xmlns:a16="http://schemas.microsoft.com/office/drawing/2014/main" id="{68CB908B-35D0-466C-9AA1-C6B3C71DE8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4" name="Elipse 5753">
          <a:extLst>
            <a:ext uri="{FF2B5EF4-FFF2-40B4-BE49-F238E27FC236}">
              <a16:creationId xmlns:a16="http://schemas.microsoft.com/office/drawing/2014/main" id="{DF8384C9-A88D-41E6-A03F-3DDE08CB0D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5" name="Elipse 5754">
          <a:extLst>
            <a:ext uri="{FF2B5EF4-FFF2-40B4-BE49-F238E27FC236}">
              <a16:creationId xmlns:a16="http://schemas.microsoft.com/office/drawing/2014/main" id="{2D335B1E-AD65-435A-AB0C-632BCE0362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6" name="Elipse 5755">
          <a:extLst>
            <a:ext uri="{FF2B5EF4-FFF2-40B4-BE49-F238E27FC236}">
              <a16:creationId xmlns:a16="http://schemas.microsoft.com/office/drawing/2014/main" id="{BB77628A-1229-4A62-84F5-2060CBBFC7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7" name="Elipse 5756">
          <a:extLst>
            <a:ext uri="{FF2B5EF4-FFF2-40B4-BE49-F238E27FC236}">
              <a16:creationId xmlns:a16="http://schemas.microsoft.com/office/drawing/2014/main" id="{EA1F4845-B543-4C4D-8310-3992C6167D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8" name="Elipse 5757">
          <a:extLst>
            <a:ext uri="{FF2B5EF4-FFF2-40B4-BE49-F238E27FC236}">
              <a16:creationId xmlns:a16="http://schemas.microsoft.com/office/drawing/2014/main" id="{74294019-4CD3-48B6-B01B-19129F0645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59" name="Elipse 5758">
          <a:extLst>
            <a:ext uri="{FF2B5EF4-FFF2-40B4-BE49-F238E27FC236}">
              <a16:creationId xmlns:a16="http://schemas.microsoft.com/office/drawing/2014/main" id="{D9BCCA5A-E505-4D40-A913-0DC4727EE9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0" name="Elipse 5759">
          <a:extLst>
            <a:ext uri="{FF2B5EF4-FFF2-40B4-BE49-F238E27FC236}">
              <a16:creationId xmlns:a16="http://schemas.microsoft.com/office/drawing/2014/main" id="{B12D3A83-03AD-4381-B4F8-1049DE4D96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1" name="Elipse 5760">
          <a:extLst>
            <a:ext uri="{FF2B5EF4-FFF2-40B4-BE49-F238E27FC236}">
              <a16:creationId xmlns:a16="http://schemas.microsoft.com/office/drawing/2014/main" id="{C9230A5E-312A-4AF8-875D-743BD040F4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2" name="Elipse 5761">
          <a:extLst>
            <a:ext uri="{FF2B5EF4-FFF2-40B4-BE49-F238E27FC236}">
              <a16:creationId xmlns:a16="http://schemas.microsoft.com/office/drawing/2014/main" id="{6AAB7D6C-F466-47C9-A168-A30746E68E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3" name="Elipse 5762">
          <a:extLst>
            <a:ext uri="{FF2B5EF4-FFF2-40B4-BE49-F238E27FC236}">
              <a16:creationId xmlns:a16="http://schemas.microsoft.com/office/drawing/2014/main" id="{1678A797-71CF-43A1-8E6D-08F2416DC9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4" name="Elipse 5763">
          <a:extLst>
            <a:ext uri="{FF2B5EF4-FFF2-40B4-BE49-F238E27FC236}">
              <a16:creationId xmlns:a16="http://schemas.microsoft.com/office/drawing/2014/main" id="{6808E976-1197-45F3-93A7-139E8C4041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5" name="Elipse 5764">
          <a:extLst>
            <a:ext uri="{FF2B5EF4-FFF2-40B4-BE49-F238E27FC236}">
              <a16:creationId xmlns:a16="http://schemas.microsoft.com/office/drawing/2014/main" id="{EE1788CE-3386-4BCE-9E7E-AE3A354151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6" name="Elipse 5765">
          <a:extLst>
            <a:ext uri="{FF2B5EF4-FFF2-40B4-BE49-F238E27FC236}">
              <a16:creationId xmlns:a16="http://schemas.microsoft.com/office/drawing/2014/main" id="{2556901C-10A0-481E-9D44-15A570C015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7" name="Elipse 5766">
          <a:extLst>
            <a:ext uri="{FF2B5EF4-FFF2-40B4-BE49-F238E27FC236}">
              <a16:creationId xmlns:a16="http://schemas.microsoft.com/office/drawing/2014/main" id="{3D7A4FA4-7BD5-4AA9-A3D6-05A0D3610A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8" name="Elipse 5767">
          <a:extLst>
            <a:ext uri="{FF2B5EF4-FFF2-40B4-BE49-F238E27FC236}">
              <a16:creationId xmlns:a16="http://schemas.microsoft.com/office/drawing/2014/main" id="{0BAB7C78-3C37-46A0-9D54-18D91F82BF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69" name="Elipse 5768">
          <a:extLst>
            <a:ext uri="{FF2B5EF4-FFF2-40B4-BE49-F238E27FC236}">
              <a16:creationId xmlns:a16="http://schemas.microsoft.com/office/drawing/2014/main" id="{7FEDFF90-8DC0-49BD-9BF3-758376ECCB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0" name="Elipse 5769">
          <a:extLst>
            <a:ext uri="{FF2B5EF4-FFF2-40B4-BE49-F238E27FC236}">
              <a16:creationId xmlns:a16="http://schemas.microsoft.com/office/drawing/2014/main" id="{41D4A702-BD72-46C6-A1EA-BB2C5CAD59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1" name="Elipse 5770">
          <a:extLst>
            <a:ext uri="{FF2B5EF4-FFF2-40B4-BE49-F238E27FC236}">
              <a16:creationId xmlns:a16="http://schemas.microsoft.com/office/drawing/2014/main" id="{7641757E-A279-4D63-8A1C-85FCCE6777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2" name="Elipse 5771">
          <a:extLst>
            <a:ext uri="{FF2B5EF4-FFF2-40B4-BE49-F238E27FC236}">
              <a16:creationId xmlns:a16="http://schemas.microsoft.com/office/drawing/2014/main" id="{0C13567B-76D2-4C52-9A83-E22B87B95E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3" name="Elipse 5772">
          <a:extLst>
            <a:ext uri="{FF2B5EF4-FFF2-40B4-BE49-F238E27FC236}">
              <a16:creationId xmlns:a16="http://schemas.microsoft.com/office/drawing/2014/main" id="{7A5129BB-8212-406C-9789-CF3E1855BA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4" name="Elipse 5773">
          <a:extLst>
            <a:ext uri="{FF2B5EF4-FFF2-40B4-BE49-F238E27FC236}">
              <a16:creationId xmlns:a16="http://schemas.microsoft.com/office/drawing/2014/main" id="{DE2BB1D2-CC07-4777-8547-43A08FEBDF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5" name="Elipse 5774">
          <a:extLst>
            <a:ext uri="{FF2B5EF4-FFF2-40B4-BE49-F238E27FC236}">
              <a16:creationId xmlns:a16="http://schemas.microsoft.com/office/drawing/2014/main" id="{3EA78A05-20AE-4590-ABCA-8E82B97AA5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6" name="Elipse 5775">
          <a:extLst>
            <a:ext uri="{FF2B5EF4-FFF2-40B4-BE49-F238E27FC236}">
              <a16:creationId xmlns:a16="http://schemas.microsoft.com/office/drawing/2014/main" id="{BBCF0FC3-7E9F-45D4-895E-80A4C92C36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7" name="Elipse 5776">
          <a:extLst>
            <a:ext uri="{FF2B5EF4-FFF2-40B4-BE49-F238E27FC236}">
              <a16:creationId xmlns:a16="http://schemas.microsoft.com/office/drawing/2014/main" id="{9915B583-12C8-4260-856B-0137C70004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8" name="Elipse 5777">
          <a:extLst>
            <a:ext uri="{FF2B5EF4-FFF2-40B4-BE49-F238E27FC236}">
              <a16:creationId xmlns:a16="http://schemas.microsoft.com/office/drawing/2014/main" id="{8F7103C3-1C37-4C4C-9821-2AED25637C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79" name="Elipse 5778">
          <a:extLst>
            <a:ext uri="{FF2B5EF4-FFF2-40B4-BE49-F238E27FC236}">
              <a16:creationId xmlns:a16="http://schemas.microsoft.com/office/drawing/2014/main" id="{60685871-02EF-42F3-8FB2-36DA9AB7F1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0" name="Elipse 5779">
          <a:extLst>
            <a:ext uri="{FF2B5EF4-FFF2-40B4-BE49-F238E27FC236}">
              <a16:creationId xmlns:a16="http://schemas.microsoft.com/office/drawing/2014/main" id="{EF7C00DD-60F8-434D-8954-946D8D759F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1" name="Elipse 5780">
          <a:extLst>
            <a:ext uri="{FF2B5EF4-FFF2-40B4-BE49-F238E27FC236}">
              <a16:creationId xmlns:a16="http://schemas.microsoft.com/office/drawing/2014/main" id="{70FC56E5-FBC0-4C9D-A8FE-AB35E8DD1C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2" name="Elipse 5781">
          <a:extLst>
            <a:ext uri="{FF2B5EF4-FFF2-40B4-BE49-F238E27FC236}">
              <a16:creationId xmlns:a16="http://schemas.microsoft.com/office/drawing/2014/main" id="{141FE3F3-54BB-45DE-BC09-9E74AC96DE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3" name="Elipse 5782">
          <a:extLst>
            <a:ext uri="{FF2B5EF4-FFF2-40B4-BE49-F238E27FC236}">
              <a16:creationId xmlns:a16="http://schemas.microsoft.com/office/drawing/2014/main" id="{5F3CF951-B565-474A-9AFD-7D6C6BA11F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4" name="Elipse 5783">
          <a:extLst>
            <a:ext uri="{FF2B5EF4-FFF2-40B4-BE49-F238E27FC236}">
              <a16:creationId xmlns:a16="http://schemas.microsoft.com/office/drawing/2014/main" id="{A4537F20-598D-4694-A2A7-71EC563FC6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5" name="Elipse 5784">
          <a:extLst>
            <a:ext uri="{FF2B5EF4-FFF2-40B4-BE49-F238E27FC236}">
              <a16:creationId xmlns:a16="http://schemas.microsoft.com/office/drawing/2014/main" id="{7B7E31CF-C9C8-4427-86F5-2CFD20EFF3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6" name="Elipse 5785">
          <a:extLst>
            <a:ext uri="{FF2B5EF4-FFF2-40B4-BE49-F238E27FC236}">
              <a16:creationId xmlns:a16="http://schemas.microsoft.com/office/drawing/2014/main" id="{A6CCB02B-FD97-45AA-B221-7CC1B9A337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7" name="Elipse 5786">
          <a:extLst>
            <a:ext uri="{FF2B5EF4-FFF2-40B4-BE49-F238E27FC236}">
              <a16:creationId xmlns:a16="http://schemas.microsoft.com/office/drawing/2014/main" id="{1FD25623-6D48-4CED-A9FF-8DA3EEBC8B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8" name="Elipse 5787">
          <a:extLst>
            <a:ext uri="{FF2B5EF4-FFF2-40B4-BE49-F238E27FC236}">
              <a16:creationId xmlns:a16="http://schemas.microsoft.com/office/drawing/2014/main" id="{7444C092-576A-4261-867E-1FF45F102D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89" name="Elipse 5788">
          <a:extLst>
            <a:ext uri="{FF2B5EF4-FFF2-40B4-BE49-F238E27FC236}">
              <a16:creationId xmlns:a16="http://schemas.microsoft.com/office/drawing/2014/main" id="{7DD1199F-2F9F-48DF-856C-2BE1748DC3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0" name="Elipse 5789">
          <a:extLst>
            <a:ext uri="{FF2B5EF4-FFF2-40B4-BE49-F238E27FC236}">
              <a16:creationId xmlns:a16="http://schemas.microsoft.com/office/drawing/2014/main" id="{0E1113F8-1F44-44E6-950C-AFCC710DC1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1" name="Elipse 5790">
          <a:extLst>
            <a:ext uri="{FF2B5EF4-FFF2-40B4-BE49-F238E27FC236}">
              <a16:creationId xmlns:a16="http://schemas.microsoft.com/office/drawing/2014/main" id="{A1409D9E-C5EC-4C91-BE5B-A55B374AE5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2" name="Elipse 5791">
          <a:extLst>
            <a:ext uri="{FF2B5EF4-FFF2-40B4-BE49-F238E27FC236}">
              <a16:creationId xmlns:a16="http://schemas.microsoft.com/office/drawing/2014/main" id="{8BB1ECAE-712F-4EB5-8A40-4D134DBD6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3" name="Elipse 5792">
          <a:extLst>
            <a:ext uri="{FF2B5EF4-FFF2-40B4-BE49-F238E27FC236}">
              <a16:creationId xmlns:a16="http://schemas.microsoft.com/office/drawing/2014/main" id="{E16F5C29-2F67-4E20-89DC-B0B4E5BEC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4" name="Elipse 5793">
          <a:extLst>
            <a:ext uri="{FF2B5EF4-FFF2-40B4-BE49-F238E27FC236}">
              <a16:creationId xmlns:a16="http://schemas.microsoft.com/office/drawing/2014/main" id="{E4E94F2F-66C5-4CA0-9D9B-9E70F0D790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5" name="Elipse 5794">
          <a:extLst>
            <a:ext uri="{FF2B5EF4-FFF2-40B4-BE49-F238E27FC236}">
              <a16:creationId xmlns:a16="http://schemas.microsoft.com/office/drawing/2014/main" id="{97D04A21-F94E-4DFC-A0BA-6419C4A63E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6" name="Elipse 5795">
          <a:extLst>
            <a:ext uri="{FF2B5EF4-FFF2-40B4-BE49-F238E27FC236}">
              <a16:creationId xmlns:a16="http://schemas.microsoft.com/office/drawing/2014/main" id="{A8E065DB-32CC-4555-B886-25FC744012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7" name="Elipse 5796">
          <a:extLst>
            <a:ext uri="{FF2B5EF4-FFF2-40B4-BE49-F238E27FC236}">
              <a16:creationId xmlns:a16="http://schemas.microsoft.com/office/drawing/2014/main" id="{B1870EE1-9D3F-4925-8583-0FD4E387A0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8" name="Elipse 5797">
          <a:extLst>
            <a:ext uri="{FF2B5EF4-FFF2-40B4-BE49-F238E27FC236}">
              <a16:creationId xmlns:a16="http://schemas.microsoft.com/office/drawing/2014/main" id="{9BE53D92-FD25-427D-809B-FEE470735A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799" name="Elipse 5798">
          <a:extLst>
            <a:ext uri="{FF2B5EF4-FFF2-40B4-BE49-F238E27FC236}">
              <a16:creationId xmlns:a16="http://schemas.microsoft.com/office/drawing/2014/main" id="{6B35423F-3FE6-4D3A-B5FA-CAAEBDCC6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0" name="Elipse 5799">
          <a:extLst>
            <a:ext uri="{FF2B5EF4-FFF2-40B4-BE49-F238E27FC236}">
              <a16:creationId xmlns:a16="http://schemas.microsoft.com/office/drawing/2014/main" id="{1190A95F-AE4D-4D9F-9C77-9C386637E7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1" name="Elipse 5800">
          <a:extLst>
            <a:ext uri="{FF2B5EF4-FFF2-40B4-BE49-F238E27FC236}">
              <a16:creationId xmlns:a16="http://schemas.microsoft.com/office/drawing/2014/main" id="{369AAEE0-46E4-412C-A93D-6D3BF0238B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2" name="Elipse 5801">
          <a:extLst>
            <a:ext uri="{FF2B5EF4-FFF2-40B4-BE49-F238E27FC236}">
              <a16:creationId xmlns:a16="http://schemas.microsoft.com/office/drawing/2014/main" id="{3C604DCF-67B1-4063-B0F5-BC774F67B2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3" name="Elipse 5802">
          <a:extLst>
            <a:ext uri="{FF2B5EF4-FFF2-40B4-BE49-F238E27FC236}">
              <a16:creationId xmlns:a16="http://schemas.microsoft.com/office/drawing/2014/main" id="{D4073EAC-B3C7-48B7-8E5A-0BC54B468D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4" name="Elipse 5803">
          <a:extLst>
            <a:ext uri="{FF2B5EF4-FFF2-40B4-BE49-F238E27FC236}">
              <a16:creationId xmlns:a16="http://schemas.microsoft.com/office/drawing/2014/main" id="{A3583AC3-A25A-4B32-B9A9-2E337C655E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5" name="Elipse 5804">
          <a:extLst>
            <a:ext uri="{FF2B5EF4-FFF2-40B4-BE49-F238E27FC236}">
              <a16:creationId xmlns:a16="http://schemas.microsoft.com/office/drawing/2014/main" id="{30B0A18C-2ED7-41EC-8109-CAECD4B04D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6" name="Elipse 5805">
          <a:extLst>
            <a:ext uri="{FF2B5EF4-FFF2-40B4-BE49-F238E27FC236}">
              <a16:creationId xmlns:a16="http://schemas.microsoft.com/office/drawing/2014/main" id="{23E340B1-37B6-43E7-A43E-1F004C94E2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7" name="Elipse 5806">
          <a:extLst>
            <a:ext uri="{FF2B5EF4-FFF2-40B4-BE49-F238E27FC236}">
              <a16:creationId xmlns:a16="http://schemas.microsoft.com/office/drawing/2014/main" id="{F6CD2CF3-B5AB-413C-8E5D-31855C4EB7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8" name="Elipse 5807">
          <a:extLst>
            <a:ext uri="{FF2B5EF4-FFF2-40B4-BE49-F238E27FC236}">
              <a16:creationId xmlns:a16="http://schemas.microsoft.com/office/drawing/2014/main" id="{0D4192CE-8519-4116-BAD5-3149B005BC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09" name="Elipse 5808">
          <a:extLst>
            <a:ext uri="{FF2B5EF4-FFF2-40B4-BE49-F238E27FC236}">
              <a16:creationId xmlns:a16="http://schemas.microsoft.com/office/drawing/2014/main" id="{F3783435-DC04-4B91-A5D9-0C65698276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0" name="Elipse 5809">
          <a:extLst>
            <a:ext uri="{FF2B5EF4-FFF2-40B4-BE49-F238E27FC236}">
              <a16:creationId xmlns:a16="http://schemas.microsoft.com/office/drawing/2014/main" id="{4732C276-9F28-44DA-93CE-9F5668E469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1" name="Elipse 5810">
          <a:extLst>
            <a:ext uri="{FF2B5EF4-FFF2-40B4-BE49-F238E27FC236}">
              <a16:creationId xmlns:a16="http://schemas.microsoft.com/office/drawing/2014/main" id="{CEEA8355-B38A-4EB8-BAC4-AB38CCCB32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2" name="Elipse 5811">
          <a:extLst>
            <a:ext uri="{FF2B5EF4-FFF2-40B4-BE49-F238E27FC236}">
              <a16:creationId xmlns:a16="http://schemas.microsoft.com/office/drawing/2014/main" id="{3D76E6E9-9379-4DC8-9232-60FD579AC1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3" name="Elipse 5812">
          <a:extLst>
            <a:ext uri="{FF2B5EF4-FFF2-40B4-BE49-F238E27FC236}">
              <a16:creationId xmlns:a16="http://schemas.microsoft.com/office/drawing/2014/main" id="{BCE4E352-BA37-4661-A9F2-9D93B12901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4" name="Elipse 5813">
          <a:extLst>
            <a:ext uri="{FF2B5EF4-FFF2-40B4-BE49-F238E27FC236}">
              <a16:creationId xmlns:a16="http://schemas.microsoft.com/office/drawing/2014/main" id="{C693F663-56F8-496B-90EC-902DBD4445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5" name="Elipse 5814">
          <a:extLst>
            <a:ext uri="{FF2B5EF4-FFF2-40B4-BE49-F238E27FC236}">
              <a16:creationId xmlns:a16="http://schemas.microsoft.com/office/drawing/2014/main" id="{67620048-DB3F-4017-AC59-5EE9022702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6" name="Elipse 5815">
          <a:extLst>
            <a:ext uri="{FF2B5EF4-FFF2-40B4-BE49-F238E27FC236}">
              <a16:creationId xmlns:a16="http://schemas.microsoft.com/office/drawing/2014/main" id="{5200A9A6-0A1F-499F-B9A3-014CE039D6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7" name="Elipse 5816">
          <a:extLst>
            <a:ext uri="{FF2B5EF4-FFF2-40B4-BE49-F238E27FC236}">
              <a16:creationId xmlns:a16="http://schemas.microsoft.com/office/drawing/2014/main" id="{EB223ACD-A67D-4630-ADDA-C019DB0D8B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8" name="Elipse 5817">
          <a:extLst>
            <a:ext uri="{FF2B5EF4-FFF2-40B4-BE49-F238E27FC236}">
              <a16:creationId xmlns:a16="http://schemas.microsoft.com/office/drawing/2014/main" id="{5E342660-2177-486E-9D39-2D762F4695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19" name="Elipse 5818">
          <a:extLst>
            <a:ext uri="{FF2B5EF4-FFF2-40B4-BE49-F238E27FC236}">
              <a16:creationId xmlns:a16="http://schemas.microsoft.com/office/drawing/2014/main" id="{7F3E9D0B-3FB0-4F9C-9D5F-50DF866BBE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0" name="Elipse 5819">
          <a:extLst>
            <a:ext uri="{FF2B5EF4-FFF2-40B4-BE49-F238E27FC236}">
              <a16:creationId xmlns:a16="http://schemas.microsoft.com/office/drawing/2014/main" id="{8F161614-FA2E-44F4-85B6-19FA1DA6D0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1" name="Elipse 5820">
          <a:extLst>
            <a:ext uri="{FF2B5EF4-FFF2-40B4-BE49-F238E27FC236}">
              <a16:creationId xmlns:a16="http://schemas.microsoft.com/office/drawing/2014/main" id="{3CB6104A-77AE-4E31-B577-A8A6BC9445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2" name="Elipse 5821">
          <a:extLst>
            <a:ext uri="{FF2B5EF4-FFF2-40B4-BE49-F238E27FC236}">
              <a16:creationId xmlns:a16="http://schemas.microsoft.com/office/drawing/2014/main" id="{5B67DA74-E68F-4629-B2B4-9B2B758402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3" name="Elipse 5822">
          <a:extLst>
            <a:ext uri="{FF2B5EF4-FFF2-40B4-BE49-F238E27FC236}">
              <a16:creationId xmlns:a16="http://schemas.microsoft.com/office/drawing/2014/main" id="{ABBE8E5A-8DB5-417D-9958-954DAF9596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4" name="Elipse 5823">
          <a:extLst>
            <a:ext uri="{FF2B5EF4-FFF2-40B4-BE49-F238E27FC236}">
              <a16:creationId xmlns:a16="http://schemas.microsoft.com/office/drawing/2014/main" id="{1F3E002B-E8BE-4CEB-967E-86C19EB61A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5" name="Elipse 5824">
          <a:extLst>
            <a:ext uri="{FF2B5EF4-FFF2-40B4-BE49-F238E27FC236}">
              <a16:creationId xmlns:a16="http://schemas.microsoft.com/office/drawing/2014/main" id="{BC587D46-2245-4777-8562-33DA832447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6" name="Elipse 5825">
          <a:extLst>
            <a:ext uri="{FF2B5EF4-FFF2-40B4-BE49-F238E27FC236}">
              <a16:creationId xmlns:a16="http://schemas.microsoft.com/office/drawing/2014/main" id="{F69CC740-A1F4-4063-93E4-5F6C405506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7" name="Elipse 5826">
          <a:extLst>
            <a:ext uri="{FF2B5EF4-FFF2-40B4-BE49-F238E27FC236}">
              <a16:creationId xmlns:a16="http://schemas.microsoft.com/office/drawing/2014/main" id="{79BBD2DD-EC30-4BE3-B014-83182AF1B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8" name="Elipse 5827">
          <a:extLst>
            <a:ext uri="{FF2B5EF4-FFF2-40B4-BE49-F238E27FC236}">
              <a16:creationId xmlns:a16="http://schemas.microsoft.com/office/drawing/2014/main" id="{CD470E02-9C57-42F8-9002-11296A278F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29" name="Elipse 5828">
          <a:extLst>
            <a:ext uri="{FF2B5EF4-FFF2-40B4-BE49-F238E27FC236}">
              <a16:creationId xmlns:a16="http://schemas.microsoft.com/office/drawing/2014/main" id="{49E0CFDA-68E3-494C-A984-552D15698B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0" name="Elipse 5829">
          <a:extLst>
            <a:ext uri="{FF2B5EF4-FFF2-40B4-BE49-F238E27FC236}">
              <a16:creationId xmlns:a16="http://schemas.microsoft.com/office/drawing/2014/main" id="{C532B4C4-5C45-4D68-9E14-A08AE9A058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1" name="Elipse 5830">
          <a:extLst>
            <a:ext uri="{FF2B5EF4-FFF2-40B4-BE49-F238E27FC236}">
              <a16:creationId xmlns:a16="http://schemas.microsoft.com/office/drawing/2014/main" id="{0582FE97-6A76-43D9-AE80-2DECB45094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2" name="Elipse 5831">
          <a:extLst>
            <a:ext uri="{FF2B5EF4-FFF2-40B4-BE49-F238E27FC236}">
              <a16:creationId xmlns:a16="http://schemas.microsoft.com/office/drawing/2014/main" id="{A6FA5ACE-027E-4435-9D37-47FA2AA34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3" name="Elipse 5832">
          <a:extLst>
            <a:ext uri="{FF2B5EF4-FFF2-40B4-BE49-F238E27FC236}">
              <a16:creationId xmlns:a16="http://schemas.microsoft.com/office/drawing/2014/main" id="{96991565-1058-480C-B7F6-D575B4C84C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4" name="Elipse 5833">
          <a:extLst>
            <a:ext uri="{FF2B5EF4-FFF2-40B4-BE49-F238E27FC236}">
              <a16:creationId xmlns:a16="http://schemas.microsoft.com/office/drawing/2014/main" id="{AE8D5E25-0A78-401F-9F6A-A786D8E63E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5" name="Elipse 5834">
          <a:extLst>
            <a:ext uri="{FF2B5EF4-FFF2-40B4-BE49-F238E27FC236}">
              <a16:creationId xmlns:a16="http://schemas.microsoft.com/office/drawing/2014/main" id="{37F9ECCF-2D52-4D3C-A2BD-9EE07CEA39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6" name="Elipse 5835">
          <a:extLst>
            <a:ext uri="{FF2B5EF4-FFF2-40B4-BE49-F238E27FC236}">
              <a16:creationId xmlns:a16="http://schemas.microsoft.com/office/drawing/2014/main" id="{3CF90610-82DB-49F0-8A69-0E41279643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7" name="Elipse 5836">
          <a:extLst>
            <a:ext uri="{FF2B5EF4-FFF2-40B4-BE49-F238E27FC236}">
              <a16:creationId xmlns:a16="http://schemas.microsoft.com/office/drawing/2014/main" id="{C2772337-8A62-4488-8330-6A872D2204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8" name="Elipse 5837">
          <a:extLst>
            <a:ext uri="{FF2B5EF4-FFF2-40B4-BE49-F238E27FC236}">
              <a16:creationId xmlns:a16="http://schemas.microsoft.com/office/drawing/2014/main" id="{7B4CB31B-064C-40A1-8C9D-7950772691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39" name="Elipse 5838">
          <a:extLst>
            <a:ext uri="{FF2B5EF4-FFF2-40B4-BE49-F238E27FC236}">
              <a16:creationId xmlns:a16="http://schemas.microsoft.com/office/drawing/2014/main" id="{08E2E7FE-AE0E-48D0-92C5-563474929A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0" name="Elipse 5839">
          <a:extLst>
            <a:ext uri="{FF2B5EF4-FFF2-40B4-BE49-F238E27FC236}">
              <a16:creationId xmlns:a16="http://schemas.microsoft.com/office/drawing/2014/main" id="{14032026-FB1B-4F28-8897-B4E1C59A4F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1" name="Elipse 5840">
          <a:extLst>
            <a:ext uri="{FF2B5EF4-FFF2-40B4-BE49-F238E27FC236}">
              <a16:creationId xmlns:a16="http://schemas.microsoft.com/office/drawing/2014/main" id="{769F088B-AE95-4311-80E0-DCB3B3136B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2" name="Elipse 5841">
          <a:extLst>
            <a:ext uri="{FF2B5EF4-FFF2-40B4-BE49-F238E27FC236}">
              <a16:creationId xmlns:a16="http://schemas.microsoft.com/office/drawing/2014/main" id="{FD4DA860-931C-4B15-8908-228980D9CC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3" name="Elipse 5842">
          <a:extLst>
            <a:ext uri="{FF2B5EF4-FFF2-40B4-BE49-F238E27FC236}">
              <a16:creationId xmlns:a16="http://schemas.microsoft.com/office/drawing/2014/main" id="{4323B9AE-D664-4B1B-BEE3-95BCCE0EF0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4" name="Elipse 5843">
          <a:extLst>
            <a:ext uri="{FF2B5EF4-FFF2-40B4-BE49-F238E27FC236}">
              <a16:creationId xmlns:a16="http://schemas.microsoft.com/office/drawing/2014/main" id="{12CC17FE-95F6-49DB-A1E2-C1496A2693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5" name="Elipse 5844">
          <a:extLst>
            <a:ext uri="{FF2B5EF4-FFF2-40B4-BE49-F238E27FC236}">
              <a16:creationId xmlns:a16="http://schemas.microsoft.com/office/drawing/2014/main" id="{0263A62C-0C8A-4165-A16E-3593075551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6" name="Elipse 5845">
          <a:extLst>
            <a:ext uri="{FF2B5EF4-FFF2-40B4-BE49-F238E27FC236}">
              <a16:creationId xmlns:a16="http://schemas.microsoft.com/office/drawing/2014/main" id="{7440F65D-E54F-45AC-9305-CD89EFD1C8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7" name="Elipse 5846">
          <a:extLst>
            <a:ext uri="{FF2B5EF4-FFF2-40B4-BE49-F238E27FC236}">
              <a16:creationId xmlns:a16="http://schemas.microsoft.com/office/drawing/2014/main" id="{08D313EB-27A9-4B15-AD70-B236371B7A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8" name="Elipse 5847">
          <a:extLst>
            <a:ext uri="{FF2B5EF4-FFF2-40B4-BE49-F238E27FC236}">
              <a16:creationId xmlns:a16="http://schemas.microsoft.com/office/drawing/2014/main" id="{C0ACA9D8-00F7-4AAB-B5E6-6DF9C5C9D3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49" name="Elipse 5848">
          <a:extLst>
            <a:ext uri="{FF2B5EF4-FFF2-40B4-BE49-F238E27FC236}">
              <a16:creationId xmlns:a16="http://schemas.microsoft.com/office/drawing/2014/main" id="{0BBD4B95-9184-4963-889B-52A73F77F4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0" name="Elipse 5849">
          <a:extLst>
            <a:ext uri="{FF2B5EF4-FFF2-40B4-BE49-F238E27FC236}">
              <a16:creationId xmlns:a16="http://schemas.microsoft.com/office/drawing/2014/main" id="{405A70D2-86FA-45D9-AAA5-6233BE2E31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1" name="Elipse 5850">
          <a:extLst>
            <a:ext uri="{FF2B5EF4-FFF2-40B4-BE49-F238E27FC236}">
              <a16:creationId xmlns:a16="http://schemas.microsoft.com/office/drawing/2014/main" id="{AAE59A58-37E6-44C2-866E-5C79019837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2" name="Elipse 5851">
          <a:extLst>
            <a:ext uri="{FF2B5EF4-FFF2-40B4-BE49-F238E27FC236}">
              <a16:creationId xmlns:a16="http://schemas.microsoft.com/office/drawing/2014/main" id="{458359A7-CB1B-480D-AA86-1AD7E45514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3" name="Elipse 5852">
          <a:extLst>
            <a:ext uri="{FF2B5EF4-FFF2-40B4-BE49-F238E27FC236}">
              <a16:creationId xmlns:a16="http://schemas.microsoft.com/office/drawing/2014/main" id="{4DE0ED3D-C24C-4224-8116-D2630AEFE8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4" name="Elipse 5853">
          <a:extLst>
            <a:ext uri="{FF2B5EF4-FFF2-40B4-BE49-F238E27FC236}">
              <a16:creationId xmlns:a16="http://schemas.microsoft.com/office/drawing/2014/main" id="{DDA9B69E-0BAB-43B4-BE83-7974BD9937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5" name="Elipse 5854">
          <a:extLst>
            <a:ext uri="{FF2B5EF4-FFF2-40B4-BE49-F238E27FC236}">
              <a16:creationId xmlns:a16="http://schemas.microsoft.com/office/drawing/2014/main" id="{5D44662D-1F3D-4AAD-A984-2434B57E30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6" name="Elipse 5855">
          <a:extLst>
            <a:ext uri="{FF2B5EF4-FFF2-40B4-BE49-F238E27FC236}">
              <a16:creationId xmlns:a16="http://schemas.microsoft.com/office/drawing/2014/main" id="{412F8360-24CF-4DB2-8596-BF4A58A77C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7" name="Elipse 5856">
          <a:extLst>
            <a:ext uri="{FF2B5EF4-FFF2-40B4-BE49-F238E27FC236}">
              <a16:creationId xmlns:a16="http://schemas.microsoft.com/office/drawing/2014/main" id="{AD720247-0004-4531-B403-EDBB04B175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8" name="Elipse 5857">
          <a:extLst>
            <a:ext uri="{FF2B5EF4-FFF2-40B4-BE49-F238E27FC236}">
              <a16:creationId xmlns:a16="http://schemas.microsoft.com/office/drawing/2014/main" id="{6C952A56-73DE-48D4-916B-D2A44A60C9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59" name="Elipse 5858">
          <a:extLst>
            <a:ext uri="{FF2B5EF4-FFF2-40B4-BE49-F238E27FC236}">
              <a16:creationId xmlns:a16="http://schemas.microsoft.com/office/drawing/2014/main" id="{6891A048-0AEE-4C97-AD96-D683A06C6D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0" name="Elipse 5859">
          <a:extLst>
            <a:ext uri="{FF2B5EF4-FFF2-40B4-BE49-F238E27FC236}">
              <a16:creationId xmlns:a16="http://schemas.microsoft.com/office/drawing/2014/main" id="{912C3D97-1023-4265-8699-3AD6638813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1" name="Elipse 5860">
          <a:extLst>
            <a:ext uri="{FF2B5EF4-FFF2-40B4-BE49-F238E27FC236}">
              <a16:creationId xmlns:a16="http://schemas.microsoft.com/office/drawing/2014/main" id="{D4F656E7-ED5D-40AE-A17E-F1B14A4C73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2" name="Elipse 5861">
          <a:extLst>
            <a:ext uri="{FF2B5EF4-FFF2-40B4-BE49-F238E27FC236}">
              <a16:creationId xmlns:a16="http://schemas.microsoft.com/office/drawing/2014/main" id="{495C30FC-E319-4410-9C95-9BFF98B288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3" name="Elipse 5862">
          <a:extLst>
            <a:ext uri="{FF2B5EF4-FFF2-40B4-BE49-F238E27FC236}">
              <a16:creationId xmlns:a16="http://schemas.microsoft.com/office/drawing/2014/main" id="{F0748C93-BF1E-4D4E-8622-B814836B6D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4" name="Elipse 5863">
          <a:extLst>
            <a:ext uri="{FF2B5EF4-FFF2-40B4-BE49-F238E27FC236}">
              <a16:creationId xmlns:a16="http://schemas.microsoft.com/office/drawing/2014/main" id="{BDB97322-055E-40CF-A206-13C9006FEB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5" name="Elipse 5864">
          <a:extLst>
            <a:ext uri="{FF2B5EF4-FFF2-40B4-BE49-F238E27FC236}">
              <a16:creationId xmlns:a16="http://schemas.microsoft.com/office/drawing/2014/main" id="{2BF7B272-9A7B-42A8-ACF5-CB2EAE7322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6" name="Elipse 5865">
          <a:extLst>
            <a:ext uri="{FF2B5EF4-FFF2-40B4-BE49-F238E27FC236}">
              <a16:creationId xmlns:a16="http://schemas.microsoft.com/office/drawing/2014/main" id="{E2EAF57C-6FDB-4C56-A1DA-72A9490C29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7" name="Elipse 5866">
          <a:extLst>
            <a:ext uri="{FF2B5EF4-FFF2-40B4-BE49-F238E27FC236}">
              <a16:creationId xmlns:a16="http://schemas.microsoft.com/office/drawing/2014/main" id="{FCDF9300-0014-44A6-A0EE-D867DA938E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8" name="Elipse 5867">
          <a:extLst>
            <a:ext uri="{FF2B5EF4-FFF2-40B4-BE49-F238E27FC236}">
              <a16:creationId xmlns:a16="http://schemas.microsoft.com/office/drawing/2014/main" id="{8FF56283-5D1A-4A44-94DA-2129CC074D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69" name="Elipse 5868">
          <a:extLst>
            <a:ext uri="{FF2B5EF4-FFF2-40B4-BE49-F238E27FC236}">
              <a16:creationId xmlns:a16="http://schemas.microsoft.com/office/drawing/2014/main" id="{D155389C-8764-4F10-A929-71F6530D92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0" name="Elipse 5869">
          <a:extLst>
            <a:ext uri="{FF2B5EF4-FFF2-40B4-BE49-F238E27FC236}">
              <a16:creationId xmlns:a16="http://schemas.microsoft.com/office/drawing/2014/main" id="{62609C6F-5B19-4B06-9A1C-1331CD6915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1" name="Elipse 5870">
          <a:extLst>
            <a:ext uri="{FF2B5EF4-FFF2-40B4-BE49-F238E27FC236}">
              <a16:creationId xmlns:a16="http://schemas.microsoft.com/office/drawing/2014/main" id="{75C4C894-CE8E-4909-A024-3375E59661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2" name="Elipse 5871">
          <a:extLst>
            <a:ext uri="{FF2B5EF4-FFF2-40B4-BE49-F238E27FC236}">
              <a16:creationId xmlns:a16="http://schemas.microsoft.com/office/drawing/2014/main" id="{6E223176-A1DD-4A06-85D4-C676FF8156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3" name="Elipse 5872">
          <a:extLst>
            <a:ext uri="{FF2B5EF4-FFF2-40B4-BE49-F238E27FC236}">
              <a16:creationId xmlns:a16="http://schemas.microsoft.com/office/drawing/2014/main" id="{6C6AB658-54A5-43DF-B0BB-29F78B4310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4" name="Elipse 5873">
          <a:extLst>
            <a:ext uri="{FF2B5EF4-FFF2-40B4-BE49-F238E27FC236}">
              <a16:creationId xmlns:a16="http://schemas.microsoft.com/office/drawing/2014/main" id="{BECC68A6-1A52-469E-9A41-958A0363FD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5" name="Elipse 5874">
          <a:extLst>
            <a:ext uri="{FF2B5EF4-FFF2-40B4-BE49-F238E27FC236}">
              <a16:creationId xmlns:a16="http://schemas.microsoft.com/office/drawing/2014/main" id="{1ECC66A8-A9F1-4948-9031-081D8B60C0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6" name="Elipse 5875">
          <a:extLst>
            <a:ext uri="{FF2B5EF4-FFF2-40B4-BE49-F238E27FC236}">
              <a16:creationId xmlns:a16="http://schemas.microsoft.com/office/drawing/2014/main" id="{07403A18-6B6A-4020-821F-5E524AEB56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7" name="Elipse 5876">
          <a:extLst>
            <a:ext uri="{FF2B5EF4-FFF2-40B4-BE49-F238E27FC236}">
              <a16:creationId xmlns:a16="http://schemas.microsoft.com/office/drawing/2014/main" id="{FDA8A4AA-A2EF-461B-93F2-11870CA05B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8" name="Elipse 5877">
          <a:extLst>
            <a:ext uri="{FF2B5EF4-FFF2-40B4-BE49-F238E27FC236}">
              <a16:creationId xmlns:a16="http://schemas.microsoft.com/office/drawing/2014/main" id="{4CFD0BE8-CA41-40C9-AC90-6A3D6ABAE3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79" name="Elipse 5878">
          <a:extLst>
            <a:ext uri="{FF2B5EF4-FFF2-40B4-BE49-F238E27FC236}">
              <a16:creationId xmlns:a16="http://schemas.microsoft.com/office/drawing/2014/main" id="{5A6CB96E-4CB5-4238-BC05-92F67B3083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0" name="Elipse 5879">
          <a:extLst>
            <a:ext uri="{FF2B5EF4-FFF2-40B4-BE49-F238E27FC236}">
              <a16:creationId xmlns:a16="http://schemas.microsoft.com/office/drawing/2014/main" id="{270B1BAE-64B3-4868-A18F-927687711C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1" name="Elipse 5880">
          <a:extLst>
            <a:ext uri="{FF2B5EF4-FFF2-40B4-BE49-F238E27FC236}">
              <a16:creationId xmlns:a16="http://schemas.microsoft.com/office/drawing/2014/main" id="{13540EB9-0247-4B99-BAFA-4439416071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2" name="Elipse 5881">
          <a:extLst>
            <a:ext uri="{FF2B5EF4-FFF2-40B4-BE49-F238E27FC236}">
              <a16:creationId xmlns:a16="http://schemas.microsoft.com/office/drawing/2014/main" id="{44E95F84-6CCC-42BC-990D-A84C49FA07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3" name="Elipse 5882">
          <a:extLst>
            <a:ext uri="{FF2B5EF4-FFF2-40B4-BE49-F238E27FC236}">
              <a16:creationId xmlns:a16="http://schemas.microsoft.com/office/drawing/2014/main" id="{DA753398-9F83-400E-98E6-589064A5FA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4" name="Elipse 5883">
          <a:extLst>
            <a:ext uri="{FF2B5EF4-FFF2-40B4-BE49-F238E27FC236}">
              <a16:creationId xmlns:a16="http://schemas.microsoft.com/office/drawing/2014/main" id="{13FAFCF4-0975-4EEB-B2FD-4F4205DD4B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5" name="Elipse 5884">
          <a:extLst>
            <a:ext uri="{FF2B5EF4-FFF2-40B4-BE49-F238E27FC236}">
              <a16:creationId xmlns:a16="http://schemas.microsoft.com/office/drawing/2014/main" id="{EE56DBDA-7A5D-48AF-9972-9F90465749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6" name="Elipse 5885">
          <a:extLst>
            <a:ext uri="{FF2B5EF4-FFF2-40B4-BE49-F238E27FC236}">
              <a16:creationId xmlns:a16="http://schemas.microsoft.com/office/drawing/2014/main" id="{268B4803-1289-4BAC-800A-C2AB99B7BC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7" name="Elipse 5886">
          <a:extLst>
            <a:ext uri="{FF2B5EF4-FFF2-40B4-BE49-F238E27FC236}">
              <a16:creationId xmlns:a16="http://schemas.microsoft.com/office/drawing/2014/main" id="{A560883A-0A5B-46B9-AC6B-09497006CA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8" name="Elipse 5887">
          <a:extLst>
            <a:ext uri="{FF2B5EF4-FFF2-40B4-BE49-F238E27FC236}">
              <a16:creationId xmlns:a16="http://schemas.microsoft.com/office/drawing/2014/main" id="{821083F4-5AA8-493C-85BD-EF2E81DA2B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89" name="Elipse 5888">
          <a:extLst>
            <a:ext uri="{FF2B5EF4-FFF2-40B4-BE49-F238E27FC236}">
              <a16:creationId xmlns:a16="http://schemas.microsoft.com/office/drawing/2014/main" id="{6BE7B02A-4491-426A-95E6-FDB9539A23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0" name="Elipse 5889">
          <a:extLst>
            <a:ext uri="{FF2B5EF4-FFF2-40B4-BE49-F238E27FC236}">
              <a16:creationId xmlns:a16="http://schemas.microsoft.com/office/drawing/2014/main" id="{904E9550-5B56-4F64-ADF0-F754D7BC52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1" name="Elipse 5890">
          <a:extLst>
            <a:ext uri="{FF2B5EF4-FFF2-40B4-BE49-F238E27FC236}">
              <a16:creationId xmlns:a16="http://schemas.microsoft.com/office/drawing/2014/main" id="{E43382F3-13F3-4E0B-99D8-D0A0408210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2" name="Elipse 5891">
          <a:extLst>
            <a:ext uri="{FF2B5EF4-FFF2-40B4-BE49-F238E27FC236}">
              <a16:creationId xmlns:a16="http://schemas.microsoft.com/office/drawing/2014/main" id="{56F1A627-A42B-4555-927E-DF6172D860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3" name="Elipse 5892">
          <a:extLst>
            <a:ext uri="{FF2B5EF4-FFF2-40B4-BE49-F238E27FC236}">
              <a16:creationId xmlns:a16="http://schemas.microsoft.com/office/drawing/2014/main" id="{27D99942-D4BF-4E52-8D1F-CB926B4788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4" name="Elipse 5893">
          <a:extLst>
            <a:ext uri="{FF2B5EF4-FFF2-40B4-BE49-F238E27FC236}">
              <a16:creationId xmlns:a16="http://schemas.microsoft.com/office/drawing/2014/main" id="{EBCDD219-C501-4847-BE55-49E31A5316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5" name="Elipse 5894">
          <a:extLst>
            <a:ext uri="{FF2B5EF4-FFF2-40B4-BE49-F238E27FC236}">
              <a16:creationId xmlns:a16="http://schemas.microsoft.com/office/drawing/2014/main" id="{6AA7AC92-6E72-4978-93E6-445C759AB5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6" name="Elipse 5895">
          <a:extLst>
            <a:ext uri="{FF2B5EF4-FFF2-40B4-BE49-F238E27FC236}">
              <a16:creationId xmlns:a16="http://schemas.microsoft.com/office/drawing/2014/main" id="{67259F17-4088-4E58-ABE6-F44088E805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7" name="Elipse 5896">
          <a:extLst>
            <a:ext uri="{FF2B5EF4-FFF2-40B4-BE49-F238E27FC236}">
              <a16:creationId xmlns:a16="http://schemas.microsoft.com/office/drawing/2014/main" id="{4F9AA9D6-3146-49B7-8D5B-3ABA0D8D20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8" name="Elipse 5897">
          <a:extLst>
            <a:ext uri="{FF2B5EF4-FFF2-40B4-BE49-F238E27FC236}">
              <a16:creationId xmlns:a16="http://schemas.microsoft.com/office/drawing/2014/main" id="{D6D883CD-F824-4BDD-AC9D-8F7F463F65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899" name="Elipse 5898">
          <a:extLst>
            <a:ext uri="{FF2B5EF4-FFF2-40B4-BE49-F238E27FC236}">
              <a16:creationId xmlns:a16="http://schemas.microsoft.com/office/drawing/2014/main" id="{FE7111BF-78BA-4D88-B2C0-659CC3FA2A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0" name="Elipse 5899">
          <a:extLst>
            <a:ext uri="{FF2B5EF4-FFF2-40B4-BE49-F238E27FC236}">
              <a16:creationId xmlns:a16="http://schemas.microsoft.com/office/drawing/2014/main" id="{D43B8BE9-0C0F-4572-AD81-49A082B718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1" name="Elipse 5900">
          <a:extLst>
            <a:ext uri="{FF2B5EF4-FFF2-40B4-BE49-F238E27FC236}">
              <a16:creationId xmlns:a16="http://schemas.microsoft.com/office/drawing/2014/main" id="{E19A9F87-A3ED-4EFA-BD06-8CA2B2727C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2" name="Elipse 5901">
          <a:extLst>
            <a:ext uri="{FF2B5EF4-FFF2-40B4-BE49-F238E27FC236}">
              <a16:creationId xmlns:a16="http://schemas.microsoft.com/office/drawing/2014/main" id="{A5D4931E-249B-4E81-BD8A-8B87D1AAED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3" name="Elipse 5902">
          <a:extLst>
            <a:ext uri="{FF2B5EF4-FFF2-40B4-BE49-F238E27FC236}">
              <a16:creationId xmlns:a16="http://schemas.microsoft.com/office/drawing/2014/main" id="{CA5B1225-C670-4689-9E26-25CDA30D2A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4" name="Elipse 5903">
          <a:extLst>
            <a:ext uri="{FF2B5EF4-FFF2-40B4-BE49-F238E27FC236}">
              <a16:creationId xmlns:a16="http://schemas.microsoft.com/office/drawing/2014/main" id="{ED9A9A00-0DAC-4526-8159-2C1395C81D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5" name="Elipse 5904">
          <a:extLst>
            <a:ext uri="{FF2B5EF4-FFF2-40B4-BE49-F238E27FC236}">
              <a16:creationId xmlns:a16="http://schemas.microsoft.com/office/drawing/2014/main" id="{B2CD4FAB-BE1A-4B76-87F7-92020F3347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6" name="Elipse 5905">
          <a:extLst>
            <a:ext uri="{FF2B5EF4-FFF2-40B4-BE49-F238E27FC236}">
              <a16:creationId xmlns:a16="http://schemas.microsoft.com/office/drawing/2014/main" id="{4E5B57BD-5329-4F15-97CB-C4290FF50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7" name="Elipse 5906">
          <a:extLst>
            <a:ext uri="{FF2B5EF4-FFF2-40B4-BE49-F238E27FC236}">
              <a16:creationId xmlns:a16="http://schemas.microsoft.com/office/drawing/2014/main" id="{8F3A2678-F966-41B7-AA15-9593032C6B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8" name="Elipse 5907">
          <a:extLst>
            <a:ext uri="{FF2B5EF4-FFF2-40B4-BE49-F238E27FC236}">
              <a16:creationId xmlns:a16="http://schemas.microsoft.com/office/drawing/2014/main" id="{DE68973C-D95B-4F01-96BE-453F8C984F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09" name="Elipse 5908">
          <a:extLst>
            <a:ext uri="{FF2B5EF4-FFF2-40B4-BE49-F238E27FC236}">
              <a16:creationId xmlns:a16="http://schemas.microsoft.com/office/drawing/2014/main" id="{EAF61D17-AE4A-41FA-849C-7547D704AE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0" name="Elipse 5909">
          <a:extLst>
            <a:ext uri="{FF2B5EF4-FFF2-40B4-BE49-F238E27FC236}">
              <a16:creationId xmlns:a16="http://schemas.microsoft.com/office/drawing/2014/main" id="{F6F0B312-E57B-4CCF-95BC-B996687639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1" name="Elipse 5910">
          <a:extLst>
            <a:ext uri="{FF2B5EF4-FFF2-40B4-BE49-F238E27FC236}">
              <a16:creationId xmlns:a16="http://schemas.microsoft.com/office/drawing/2014/main" id="{BA23DF57-0E85-46FE-B268-D171632402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2" name="Elipse 5911">
          <a:extLst>
            <a:ext uri="{FF2B5EF4-FFF2-40B4-BE49-F238E27FC236}">
              <a16:creationId xmlns:a16="http://schemas.microsoft.com/office/drawing/2014/main" id="{53F914FD-301D-436F-8B8A-B2C6C00065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3" name="Elipse 5912">
          <a:extLst>
            <a:ext uri="{FF2B5EF4-FFF2-40B4-BE49-F238E27FC236}">
              <a16:creationId xmlns:a16="http://schemas.microsoft.com/office/drawing/2014/main" id="{D9017F5A-AC67-41F5-A932-788B965BAF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4" name="Elipse 5913">
          <a:extLst>
            <a:ext uri="{FF2B5EF4-FFF2-40B4-BE49-F238E27FC236}">
              <a16:creationId xmlns:a16="http://schemas.microsoft.com/office/drawing/2014/main" id="{10A12144-056D-4DC3-A71F-DC61DC8DC8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5" name="Elipse 5914">
          <a:extLst>
            <a:ext uri="{FF2B5EF4-FFF2-40B4-BE49-F238E27FC236}">
              <a16:creationId xmlns:a16="http://schemas.microsoft.com/office/drawing/2014/main" id="{164FBAD9-5850-4407-877C-FCD17F8E29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6" name="Elipse 5915">
          <a:extLst>
            <a:ext uri="{FF2B5EF4-FFF2-40B4-BE49-F238E27FC236}">
              <a16:creationId xmlns:a16="http://schemas.microsoft.com/office/drawing/2014/main" id="{DE8A24ED-31AE-49A9-A42A-00B753F40A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7" name="Elipse 5916">
          <a:extLst>
            <a:ext uri="{FF2B5EF4-FFF2-40B4-BE49-F238E27FC236}">
              <a16:creationId xmlns:a16="http://schemas.microsoft.com/office/drawing/2014/main" id="{E001F508-9AC5-40FD-AC89-963AFD9E24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8" name="Elipse 5917">
          <a:extLst>
            <a:ext uri="{FF2B5EF4-FFF2-40B4-BE49-F238E27FC236}">
              <a16:creationId xmlns:a16="http://schemas.microsoft.com/office/drawing/2014/main" id="{B12347B3-13CC-4FDF-924C-7481C6598D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19" name="Elipse 5918">
          <a:extLst>
            <a:ext uri="{FF2B5EF4-FFF2-40B4-BE49-F238E27FC236}">
              <a16:creationId xmlns:a16="http://schemas.microsoft.com/office/drawing/2014/main" id="{EB8A4521-8D73-40BA-A330-59690FE8BA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0" name="Elipse 5919">
          <a:extLst>
            <a:ext uri="{FF2B5EF4-FFF2-40B4-BE49-F238E27FC236}">
              <a16:creationId xmlns:a16="http://schemas.microsoft.com/office/drawing/2014/main" id="{5ED5A525-B88D-440B-9F73-2E0DC850C8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1" name="Elipse 5920">
          <a:extLst>
            <a:ext uri="{FF2B5EF4-FFF2-40B4-BE49-F238E27FC236}">
              <a16:creationId xmlns:a16="http://schemas.microsoft.com/office/drawing/2014/main" id="{FE86A087-783B-4241-9095-6A358E157C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2" name="Elipse 5921">
          <a:extLst>
            <a:ext uri="{FF2B5EF4-FFF2-40B4-BE49-F238E27FC236}">
              <a16:creationId xmlns:a16="http://schemas.microsoft.com/office/drawing/2014/main" id="{79E151A1-4AF6-4CEC-BFE4-32D596DED7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3" name="Elipse 5922">
          <a:extLst>
            <a:ext uri="{FF2B5EF4-FFF2-40B4-BE49-F238E27FC236}">
              <a16:creationId xmlns:a16="http://schemas.microsoft.com/office/drawing/2014/main" id="{9A17156E-C9A6-45AF-A446-2C1F56BB00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4" name="Elipse 5923">
          <a:extLst>
            <a:ext uri="{FF2B5EF4-FFF2-40B4-BE49-F238E27FC236}">
              <a16:creationId xmlns:a16="http://schemas.microsoft.com/office/drawing/2014/main" id="{BAE7AA7B-4FBB-4C26-B9B1-8F2CB65994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5" name="Elipse 5924">
          <a:extLst>
            <a:ext uri="{FF2B5EF4-FFF2-40B4-BE49-F238E27FC236}">
              <a16:creationId xmlns:a16="http://schemas.microsoft.com/office/drawing/2014/main" id="{B3714544-CC4E-43FA-9DC8-9F31A8E639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6" name="Elipse 5925">
          <a:extLst>
            <a:ext uri="{FF2B5EF4-FFF2-40B4-BE49-F238E27FC236}">
              <a16:creationId xmlns:a16="http://schemas.microsoft.com/office/drawing/2014/main" id="{B6C21E76-849E-428A-9BF8-4C723C0C7A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7" name="Elipse 5926">
          <a:extLst>
            <a:ext uri="{FF2B5EF4-FFF2-40B4-BE49-F238E27FC236}">
              <a16:creationId xmlns:a16="http://schemas.microsoft.com/office/drawing/2014/main" id="{CBD0EA69-1759-40E6-9752-7A338C0FCB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8" name="Elipse 5927">
          <a:extLst>
            <a:ext uri="{FF2B5EF4-FFF2-40B4-BE49-F238E27FC236}">
              <a16:creationId xmlns:a16="http://schemas.microsoft.com/office/drawing/2014/main" id="{F2ABD601-E05E-470B-88C5-D3EE39BF21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29" name="Elipse 5928">
          <a:extLst>
            <a:ext uri="{FF2B5EF4-FFF2-40B4-BE49-F238E27FC236}">
              <a16:creationId xmlns:a16="http://schemas.microsoft.com/office/drawing/2014/main" id="{83511DC8-CE1C-453F-9D81-088E201EDB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0" name="Elipse 5929">
          <a:extLst>
            <a:ext uri="{FF2B5EF4-FFF2-40B4-BE49-F238E27FC236}">
              <a16:creationId xmlns:a16="http://schemas.microsoft.com/office/drawing/2014/main" id="{CA09CFC0-87E7-4E38-987C-85C74C525C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1" name="Elipse 5930">
          <a:extLst>
            <a:ext uri="{FF2B5EF4-FFF2-40B4-BE49-F238E27FC236}">
              <a16:creationId xmlns:a16="http://schemas.microsoft.com/office/drawing/2014/main" id="{E1738D16-79C3-4557-AE28-70CCA6EE8A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2" name="Elipse 5931">
          <a:extLst>
            <a:ext uri="{FF2B5EF4-FFF2-40B4-BE49-F238E27FC236}">
              <a16:creationId xmlns:a16="http://schemas.microsoft.com/office/drawing/2014/main" id="{A9C28F46-B6CC-4A48-8C3A-C373A7A056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3" name="Elipse 5932">
          <a:extLst>
            <a:ext uri="{FF2B5EF4-FFF2-40B4-BE49-F238E27FC236}">
              <a16:creationId xmlns:a16="http://schemas.microsoft.com/office/drawing/2014/main" id="{AF8FE18E-16A8-4921-BDA3-8B65440CDC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4" name="Elipse 5933">
          <a:extLst>
            <a:ext uri="{FF2B5EF4-FFF2-40B4-BE49-F238E27FC236}">
              <a16:creationId xmlns:a16="http://schemas.microsoft.com/office/drawing/2014/main" id="{F812A5D0-06BB-4006-9377-C2E855D8D6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5" name="Elipse 5934">
          <a:extLst>
            <a:ext uri="{FF2B5EF4-FFF2-40B4-BE49-F238E27FC236}">
              <a16:creationId xmlns:a16="http://schemas.microsoft.com/office/drawing/2014/main" id="{2498399C-DFC6-4D72-9B74-98F81DC3F0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6" name="Elipse 5935">
          <a:extLst>
            <a:ext uri="{FF2B5EF4-FFF2-40B4-BE49-F238E27FC236}">
              <a16:creationId xmlns:a16="http://schemas.microsoft.com/office/drawing/2014/main" id="{B8913398-3CF9-40C3-A37C-4E9C18003E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7" name="Elipse 5936">
          <a:extLst>
            <a:ext uri="{FF2B5EF4-FFF2-40B4-BE49-F238E27FC236}">
              <a16:creationId xmlns:a16="http://schemas.microsoft.com/office/drawing/2014/main" id="{C4071DDB-E70C-4ED1-BB3E-312F7F13A1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8" name="Elipse 5937">
          <a:extLst>
            <a:ext uri="{FF2B5EF4-FFF2-40B4-BE49-F238E27FC236}">
              <a16:creationId xmlns:a16="http://schemas.microsoft.com/office/drawing/2014/main" id="{758453CA-D9D5-4E02-ADEF-14250FA591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39" name="Elipse 5938">
          <a:extLst>
            <a:ext uri="{FF2B5EF4-FFF2-40B4-BE49-F238E27FC236}">
              <a16:creationId xmlns:a16="http://schemas.microsoft.com/office/drawing/2014/main" id="{757A0E14-C34A-432D-B5C9-C97E801566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0" name="Elipse 5939">
          <a:extLst>
            <a:ext uri="{FF2B5EF4-FFF2-40B4-BE49-F238E27FC236}">
              <a16:creationId xmlns:a16="http://schemas.microsoft.com/office/drawing/2014/main" id="{B48AE0EA-F8BF-45BF-AB75-7411B06134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1" name="Elipse 5940">
          <a:extLst>
            <a:ext uri="{FF2B5EF4-FFF2-40B4-BE49-F238E27FC236}">
              <a16:creationId xmlns:a16="http://schemas.microsoft.com/office/drawing/2014/main" id="{220EE2D4-9D0A-4106-86BE-31722299A2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2" name="Elipse 5941">
          <a:extLst>
            <a:ext uri="{FF2B5EF4-FFF2-40B4-BE49-F238E27FC236}">
              <a16:creationId xmlns:a16="http://schemas.microsoft.com/office/drawing/2014/main" id="{507BAC77-A833-40FA-B4F4-5BC6FC26C9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3" name="Elipse 5942">
          <a:extLst>
            <a:ext uri="{FF2B5EF4-FFF2-40B4-BE49-F238E27FC236}">
              <a16:creationId xmlns:a16="http://schemas.microsoft.com/office/drawing/2014/main" id="{3AB0D0AD-60E4-4FF2-8916-70A5F84C02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4" name="Elipse 5943">
          <a:extLst>
            <a:ext uri="{FF2B5EF4-FFF2-40B4-BE49-F238E27FC236}">
              <a16:creationId xmlns:a16="http://schemas.microsoft.com/office/drawing/2014/main" id="{1DCE812C-CDF0-4A51-9278-6D2B5FC2CC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5" name="Elipse 5944">
          <a:extLst>
            <a:ext uri="{FF2B5EF4-FFF2-40B4-BE49-F238E27FC236}">
              <a16:creationId xmlns:a16="http://schemas.microsoft.com/office/drawing/2014/main" id="{7E9B076B-82BE-48D5-9B43-B4857B5974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6" name="Elipse 5945">
          <a:extLst>
            <a:ext uri="{FF2B5EF4-FFF2-40B4-BE49-F238E27FC236}">
              <a16:creationId xmlns:a16="http://schemas.microsoft.com/office/drawing/2014/main" id="{8F97AD7D-1488-449A-A45C-D73EDE9814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7" name="Elipse 5946">
          <a:extLst>
            <a:ext uri="{FF2B5EF4-FFF2-40B4-BE49-F238E27FC236}">
              <a16:creationId xmlns:a16="http://schemas.microsoft.com/office/drawing/2014/main" id="{7CEA2085-112B-41B4-AE7F-11960039F2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8" name="Elipse 5947">
          <a:extLst>
            <a:ext uri="{FF2B5EF4-FFF2-40B4-BE49-F238E27FC236}">
              <a16:creationId xmlns:a16="http://schemas.microsoft.com/office/drawing/2014/main" id="{261FF5DC-D07D-4205-B491-568B262EC8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49" name="Elipse 5948">
          <a:extLst>
            <a:ext uri="{FF2B5EF4-FFF2-40B4-BE49-F238E27FC236}">
              <a16:creationId xmlns:a16="http://schemas.microsoft.com/office/drawing/2014/main" id="{18F3CDCE-88C5-4D9E-9ADB-E107BF299E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0" name="Elipse 5949">
          <a:extLst>
            <a:ext uri="{FF2B5EF4-FFF2-40B4-BE49-F238E27FC236}">
              <a16:creationId xmlns:a16="http://schemas.microsoft.com/office/drawing/2014/main" id="{A26332F1-F1C9-4587-9A10-5F58DC8D7A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1" name="Elipse 5950">
          <a:extLst>
            <a:ext uri="{FF2B5EF4-FFF2-40B4-BE49-F238E27FC236}">
              <a16:creationId xmlns:a16="http://schemas.microsoft.com/office/drawing/2014/main" id="{1B05D739-084E-49CA-94E3-1E203D2D69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2" name="Elipse 5951">
          <a:extLst>
            <a:ext uri="{FF2B5EF4-FFF2-40B4-BE49-F238E27FC236}">
              <a16:creationId xmlns:a16="http://schemas.microsoft.com/office/drawing/2014/main" id="{08D8C7A3-EBC1-488A-9E64-AA5223E154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3" name="Elipse 5952">
          <a:extLst>
            <a:ext uri="{FF2B5EF4-FFF2-40B4-BE49-F238E27FC236}">
              <a16:creationId xmlns:a16="http://schemas.microsoft.com/office/drawing/2014/main" id="{3D44252D-4F2F-46DF-9629-EF3B3B25E7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4" name="Elipse 5953">
          <a:extLst>
            <a:ext uri="{FF2B5EF4-FFF2-40B4-BE49-F238E27FC236}">
              <a16:creationId xmlns:a16="http://schemas.microsoft.com/office/drawing/2014/main" id="{B14E5F81-030C-4419-96CC-31F26D253B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5" name="Elipse 5954">
          <a:extLst>
            <a:ext uri="{FF2B5EF4-FFF2-40B4-BE49-F238E27FC236}">
              <a16:creationId xmlns:a16="http://schemas.microsoft.com/office/drawing/2014/main" id="{66F8C444-05E8-4B63-99FB-745B334E10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6" name="Elipse 5955">
          <a:extLst>
            <a:ext uri="{FF2B5EF4-FFF2-40B4-BE49-F238E27FC236}">
              <a16:creationId xmlns:a16="http://schemas.microsoft.com/office/drawing/2014/main" id="{6DB282FE-E049-4888-A04C-86E6C1C771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7" name="Elipse 5956">
          <a:extLst>
            <a:ext uri="{FF2B5EF4-FFF2-40B4-BE49-F238E27FC236}">
              <a16:creationId xmlns:a16="http://schemas.microsoft.com/office/drawing/2014/main" id="{F1CC19B4-BC83-4FC6-B95A-3878DACCCF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8" name="Elipse 5957">
          <a:extLst>
            <a:ext uri="{FF2B5EF4-FFF2-40B4-BE49-F238E27FC236}">
              <a16:creationId xmlns:a16="http://schemas.microsoft.com/office/drawing/2014/main" id="{D2102696-9120-49EC-A486-68C612E8B6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59" name="Elipse 5958">
          <a:extLst>
            <a:ext uri="{FF2B5EF4-FFF2-40B4-BE49-F238E27FC236}">
              <a16:creationId xmlns:a16="http://schemas.microsoft.com/office/drawing/2014/main" id="{6F968756-E7F3-44BB-979F-6DAAE8770C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0" name="Elipse 5959">
          <a:extLst>
            <a:ext uri="{FF2B5EF4-FFF2-40B4-BE49-F238E27FC236}">
              <a16:creationId xmlns:a16="http://schemas.microsoft.com/office/drawing/2014/main" id="{F146303B-32EF-4001-B966-F681ED00FD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1" name="Elipse 5960">
          <a:extLst>
            <a:ext uri="{FF2B5EF4-FFF2-40B4-BE49-F238E27FC236}">
              <a16:creationId xmlns:a16="http://schemas.microsoft.com/office/drawing/2014/main" id="{9FB92EAF-2068-427C-8770-7CF66E9DE2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2" name="Elipse 5961">
          <a:extLst>
            <a:ext uri="{FF2B5EF4-FFF2-40B4-BE49-F238E27FC236}">
              <a16:creationId xmlns:a16="http://schemas.microsoft.com/office/drawing/2014/main" id="{7A90D8A2-86A9-4CB1-8659-7369CA4FC6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3" name="Elipse 5962">
          <a:extLst>
            <a:ext uri="{FF2B5EF4-FFF2-40B4-BE49-F238E27FC236}">
              <a16:creationId xmlns:a16="http://schemas.microsoft.com/office/drawing/2014/main" id="{6EAFA63A-FB02-4B2D-977C-907503B367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4" name="Elipse 5963">
          <a:extLst>
            <a:ext uri="{FF2B5EF4-FFF2-40B4-BE49-F238E27FC236}">
              <a16:creationId xmlns:a16="http://schemas.microsoft.com/office/drawing/2014/main" id="{7DE18DD6-BD49-4841-BC64-65BE6534EA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5" name="Elipse 5964">
          <a:extLst>
            <a:ext uri="{FF2B5EF4-FFF2-40B4-BE49-F238E27FC236}">
              <a16:creationId xmlns:a16="http://schemas.microsoft.com/office/drawing/2014/main" id="{BD6DE6C9-E485-4326-93ED-6F9D162BF2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6" name="Elipse 5965">
          <a:extLst>
            <a:ext uri="{FF2B5EF4-FFF2-40B4-BE49-F238E27FC236}">
              <a16:creationId xmlns:a16="http://schemas.microsoft.com/office/drawing/2014/main" id="{8F6DE300-2EF0-41F1-96A0-662962871A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7" name="Elipse 5966">
          <a:extLst>
            <a:ext uri="{FF2B5EF4-FFF2-40B4-BE49-F238E27FC236}">
              <a16:creationId xmlns:a16="http://schemas.microsoft.com/office/drawing/2014/main" id="{CBF966D2-FBE7-432E-B014-267E0B6162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8" name="Elipse 5967">
          <a:extLst>
            <a:ext uri="{FF2B5EF4-FFF2-40B4-BE49-F238E27FC236}">
              <a16:creationId xmlns:a16="http://schemas.microsoft.com/office/drawing/2014/main" id="{F5002ABD-6B8B-444E-8087-D9092ADC95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69" name="Elipse 5968">
          <a:extLst>
            <a:ext uri="{FF2B5EF4-FFF2-40B4-BE49-F238E27FC236}">
              <a16:creationId xmlns:a16="http://schemas.microsoft.com/office/drawing/2014/main" id="{9158B92B-AEFC-4507-B38F-1A2C262639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0" name="Elipse 5969">
          <a:extLst>
            <a:ext uri="{FF2B5EF4-FFF2-40B4-BE49-F238E27FC236}">
              <a16:creationId xmlns:a16="http://schemas.microsoft.com/office/drawing/2014/main" id="{473A6EFB-FA3E-4A1E-B190-D9274B2834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1" name="Elipse 5970">
          <a:extLst>
            <a:ext uri="{FF2B5EF4-FFF2-40B4-BE49-F238E27FC236}">
              <a16:creationId xmlns:a16="http://schemas.microsoft.com/office/drawing/2014/main" id="{15FA182E-501B-4705-B953-7F6702E5D1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2" name="Elipse 5971">
          <a:extLst>
            <a:ext uri="{FF2B5EF4-FFF2-40B4-BE49-F238E27FC236}">
              <a16:creationId xmlns:a16="http://schemas.microsoft.com/office/drawing/2014/main" id="{B6706F41-AE1E-4CB5-9B8C-517894C5EA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3" name="Elipse 5972">
          <a:extLst>
            <a:ext uri="{FF2B5EF4-FFF2-40B4-BE49-F238E27FC236}">
              <a16:creationId xmlns:a16="http://schemas.microsoft.com/office/drawing/2014/main" id="{F1BE9FA8-5576-4EC0-A83D-D02DDE074B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4" name="Elipse 5973">
          <a:extLst>
            <a:ext uri="{FF2B5EF4-FFF2-40B4-BE49-F238E27FC236}">
              <a16:creationId xmlns:a16="http://schemas.microsoft.com/office/drawing/2014/main" id="{F3E60185-3A6A-4477-B698-24902B79C5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5" name="Elipse 5974">
          <a:extLst>
            <a:ext uri="{FF2B5EF4-FFF2-40B4-BE49-F238E27FC236}">
              <a16:creationId xmlns:a16="http://schemas.microsoft.com/office/drawing/2014/main" id="{40354EF9-259C-417A-93D9-CFF9D9D266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6" name="Elipse 5975">
          <a:extLst>
            <a:ext uri="{FF2B5EF4-FFF2-40B4-BE49-F238E27FC236}">
              <a16:creationId xmlns:a16="http://schemas.microsoft.com/office/drawing/2014/main" id="{64B9FFAE-AD2D-4429-B258-02DEF416D0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7" name="Elipse 5976">
          <a:extLst>
            <a:ext uri="{FF2B5EF4-FFF2-40B4-BE49-F238E27FC236}">
              <a16:creationId xmlns:a16="http://schemas.microsoft.com/office/drawing/2014/main" id="{0E93E45F-6A25-447E-B88B-4ACB1DA3A0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8" name="Elipse 5977">
          <a:extLst>
            <a:ext uri="{FF2B5EF4-FFF2-40B4-BE49-F238E27FC236}">
              <a16:creationId xmlns:a16="http://schemas.microsoft.com/office/drawing/2014/main" id="{D4B5E59B-1619-4EB9-BAB6-FA7E8979C9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79" name="Elipse 5978">
          <a:extLst>
            <a:ext uri="{FF2B5EF4-FFF2-40B4-BE49-F238E27FC236}">
              <a16:creationId xmlns:a16="http://schemas.microsoft.com/office/drawing/2014/main" id="{2F3B8310-7851-457C-9E95-1CCC553F3B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0" name="Elipse 5979">
          <a:extLst>
            <a:ext uri="{FF2B5EF4-FFF2-40B4-BE49-F238E27FC236}">
              <a16:creationId xmlns:a16="http://schemas.microsoft.com/office/drawing/2014/main" id="{CFB06942-DAC6-4BF1-92F9-3CB5F196EF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1" name="Elipse 5980">
          <a:extLst>
            <a:ext uri="{FF2B5EF4-FFF2-40B4-BE49-F238E27FC236}">
              <a16:creationId xmlns:a16="http://schemas.microsoft.com/office/drawing/2014/main" id="{A6E99E2A-89BB-420A-85D7-3BA556F095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2" name="Elipse 5981">
          <a:extLst>
            <a:ext uri="{FF2B5EF4-FFF2-40B4-BE49-F238E27FC236}">
              <a16:creationId xmlns:a16="http://schemas.microsoft.com/office/drawing/2014/main" id="{9E513048-2365-4D3F-98E2-E733F53FB4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3" name="Elipse 5982">
          <a:extLst>
            <a:ext uri="{FF2B5EF4-FFF2-40B4-BE49-F238E27FC236}">
              <a16:creationId xmlns:a16="http://schemas.microsoft.com/office/drawing/2014/main" id="{0E35C739-F5AA-46D9-9CF6-1AE6834AA6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4" name="Elipse 5983">
          <a:extLst>
            <a:ext uri="{FF2B5EF4-FFF2-40B4-BE49-F238E27FC236}">
              <a16:creationId xmlns:a16="http://schemas.microsoft.com/office/drawing/2014/main" id="{55CC09ED-BB6F-4076-94F5-2026FBC73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5" name="Elipse 5984">
          <a:extLst>
            <a:ext uri="{FF2B5EF4-FFF2-40B4-BE49-F238E27FC236}">
              <a16:creationId xmlns:a16="http://schemas.microsoft.com/office/drawing/2014/main" id="{7DFB4D50-E151-466F-BACC-D97BC2938A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6" name="Elipse 5985">
          <a:extLst>
            <a:ext uri="{FF2B5EF4-FFF2-40B4-BE49-F238E27FC236}">
              <a16:creationId xmlns:a16="http://schemas.microsoft.com/office/drawing/2014/main" id="{7D8D86F4-F96A-45A8-A59C-776009C656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7" name="Elipse 5986">
          <a:extLst>
            <a:ext uri="{FF2B5EF4-FFF2-40B4-BE49-F238E27FC236}">
              <a16:creationId xmlns:a16="http://schemas.microsoft.com/office/drawing/2014/main" id="{4AF7DC5B-D933-48F6-8897-7AAE4DB59F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8" name="Elipse 5987">
          <a:extLst>
            <a:ext uri="{FF2B5EF4-FFF2-40B4-BE49-F238E27FC236}">
              <a16:creationId xmlns:a16="http://schemas.microsoft.com/office/drawing/2014/main" id="{6F4320D6-7342-4D8B-A64C-62691D0010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89" name="Elipse 5988">
          <a:extLst>
            <a:ext uri="{FF2B5EF4-FFF2-40B4-BE49-F238E27FC236}">
              <a16:creationId xmlns:a16="http://schemas.microsoft.com/office/drawing/2014/main" id="{5B2BD8EF-EECB-44CF-BBC9-4665B8B371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0" name="Elipse 5989">
          <a:extLst>
            <a:ext uri="{FF2B5EF4-FFF2-40B4-BE49-F238E27FC236}">
              <a16:creationId xmlns:a16="http://schemas.microsoft.com/office/drawing/2014/main" id="{758E490B-FD0E-43CD-8554-BD47029B7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1" name="Elipse 5990">
          <a:extLst>
            <a:ext uri="{FF2B5EF4-FFF2-40B4-BE49-F238E27FC236}">
              <a16:creationId xmlns:a16="http://schemas.microsoft.com/office/drawing/2014/main" id="{11B75487-2637-4AEF-A602-732B5A1F71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2" name="Elipse 5991">
          <a:extLst>
            <a:ext uri="{FF2B5EF4-FFF2-40B4-BE49-F238E27FC236}">
              <a16:creationId xmlns:a16="http://schemas.microsoft.com/office/drawing/2014/main" id="{9ED22D9E-A474-48BB-8E00-B45B95174C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3" name="Elipse 5992">
          <a:extLst>
            <a:ext uri="{FF2B5EF4-FFF2-40B4-BE49-F238E27FC236}">
              <a16:creationId xmlns:a16="http://schemas.microsoft.com/office/drawing/2014/main" id="{A287335D-3FDF-424E-BE0F-9E06F85525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4" name="Elipse 5993">
          <a:extLst>
            <a:ext uri="{FF2B5EF4-FFF2-40B4-BE49-F238E27FC236}">
              <a16:creationId xmlns:a16="http://schemas.microsoft.com/office/drawing/2014/main" id="{F02EBE36-890A-422E-9B58-84B44BA82E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5" name="Elipse 5994">
          <a:extLst>
            <a:ext uri="{FF2B5EF4-FFF2-40B4-BE49-F238E27FC236}">
              <a16:creationId xmlns:a16="http://schemas.microsoft.com/office/drawing/2014/main" id="{6A27184C-85A4-4B54-A2C3-31CFED3F46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6" name="Elipse 5995">
          <a:extLst>
            <a:ext uri="{FF2B5EF4-FFF2-40B4-BE49-F238E27FC236}">
              <a16:creationId xmlns:a16="http://schemas.microsoft.com/office/drawing/2014/main" id="{3C09D1E7-E90E-4AFD-A745-510B6F1245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7" name="Elipse 5996">
          <a:extLst>
            <a:ext uri="{FF2B5EF4-FFF2-40B4-BE49-F238E27FC236}">
              <a16:creationId xmlns:a16="http://schemas.microsoft.com/office/drawing/2014/main" id="{7A13DE45-B3F6-4B89-8F79-A1C21057DE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8" name="Elipse 5997">
          <a:extLst>
            <a:ext uri="{FF2B5EF4-FFF2-40B4-BE49-F238E27FC236}">
              <a16:creationId xmlns:a16="http://schemas.microsoft.com/office/drawing/2014/main" id="{DEDDB241-1E9D-4DDE-99FA-9B43349761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999" name="Elipse 5998">
          <a:extLst>
            <a:ext uri="{FF2B5EF4-FFF2-40B4-BE49-F238E27FC236}">
              <a16:creationId xmlns:a16="http://schemas.microsoft.com/office/drawing/2014/main" id="{2E36F0EE-6B53-4059-B9F6-1DB6067D2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0" name="Elipse 5999">
          <a:extLst>
            <a:ext uri="{FF2B5EF4-FFF2-40B4-BE49-F238E27FC236}">
              <a16:creationId xmlns:a16="http://schemas.microsoft.com/office/drawing/2014/main" id="{53E341E8-8FAD-402B-8970-B0A3B9CB30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1" name="Elipse 6000">
          <a:extLst>
            <a:ext uri="{FF2B5EF4-FFF2-40B4-BE49-F238E27FC236}">
              <a16:creationId xmlns:a16="http://schemas.microsoft.com/office/drawing/2014/main" id="{CE5DB01F-2188-4C5A-89E5-9F149BDD1F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2" name="Elipse 6001">
          <a:extLst>
            <a:ext uri="{FF2B5EF4-FFF2-40B4-BE49-F238E27FC236}">
              <a16:creationId xmlns:a16="http://schemas.microsoft.com/office/drawing/2014/main" id="{793BB050-EA65-4150-B5AA-7FE2C9E7B5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3" name="Elipse 6002">
          <a:extLst>
            <a:ext uri="{FF2B5EF4-FFF2-40B4-BE49-F238E27FC236}">
              <a16:creationId xmlns:a16="http://schemas.microsoft.com/office/drawing/2014/main" id="{2D9E1231-9ECD-4C13-AA97-292288CD06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4" name="Elipse 6003">
          <a:extLst>
            <a:ext uri="{FF2B5EF4-FFF2-40B4-BE49-F238E27FC236}">
              <a16:creationId xmlns:a16="http://schemas.microsoft.com/office/drawing/2014/main" id="{E19A45BD-4F1A-4AEF-A6F5-542F13E7E2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5" name="Elipse 6004">
          <a:extLst>
            <a:ext uri="{FF2B5EF4-FFF2-40B4-BE49-F238E27FC236}">
              <a16:creationId xmlns:a16="http://schemas.microsoft.com/office/drawing/2014/main" id="{C368431D-E426-4287-AA4A-816F40B82A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6" name="Elipse 6005">
          <a:extLst>
            <a:ext uri="{FF2B5EF4-FFF2-40B4-BE49-F238E27FC236}">
              <a16:creationId xmlns:a16="http://schemas.microsoft.com/office/drawing/2014/main" id="{F15F3068-0A41-484D-AF66-5CBD09D3D3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7" name="Elipse 6006">
          <a:extLst>
            <a:ext uri="{FF2B5EF4-FFF2-40B4-BE49-F238E27FC236}">
              <a16:creationId xmlns:a16="http://schemas.microsoft.com/office/drawing/2014/main" id="{2BD85E67-34D7-40EC-A93D-3BFB0D0564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8" name="Elipse 6007">
          <a:extLst>
            <a:ext uri="{FF2B5EF4-FFF2-40B4-BE49-F238E27FC236}">
              <a16:creationId xmlns:a16="http://schemas.microsoft.com/office/drawing/2014/main" id="{B1D56163-D6ED-43A2-91F3-CB2BA75D11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09" name="Elipse 6008">
          <a:extLst>
            <a:ext uri="{FF2B5EF4-FFF2-40B4-BE49-F238E27FC236}">
              <a16:creationId xmlns:a16="http://schemas.microsoft.com/office/drawing/2014/main" id="{427FF9AC-5310-4DD1-8645-D6638542E3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0" name="Elipse 6009">
          <a:extLst>
            <a:ext uri="{FF2B5EF4-FFF2-40B4-BE49-F238E27FC236}">
              <a16:creationId xmlns:a16="http://schemas.microsoft.com/office/drawing/2014/main" id="{E382B63B-CA79-4F00-94C0-A027403E4B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1" name="Elipse 6010">
          <a:extLst>
            <a:ext uri="{FF2B5EF4-FFF2-40B4-BE49-F238E27FC236}">
              <a16:creationId xmlns:a16="http://schemas.microsoft.com/office/drawing/2014/main" id="{821ABEB0-4961-41A1-A3CC-18DC9F3967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2" name="Elipse 6011">
          <a:extLst>
            <a:ext uri="{FF2B5EF4-FFF2-40B4-BE49-F238E27FC236}">
              <a16:creationId xmlns:a16="http://schemas.microsoft.com/office/drawing/2014/main" id="{6F81E7DA-CE1F-49D4-8AF5-F7190A581C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3" name="Elipse 6012">
          <a:extLst>
            <a:ext uri="{FF2B5EF4-FFF2-40B4-BE49-F238E27FC236}">
              <a16:creationId xmlns:a16="http://schemas.microsoft.com/office/drawing/2014/main" id="{0AE1BBA4-C442-43D3-BAEB-6E863DD8DF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4" name="Elipse 6013">
          <a:extLst>
            <a:ext uri="{FF2B5EF4-FFF2-40B4-BE49-F238E27FC236}">
              <a16:creationId xmlns:a16="http://schemas.microsoft.com/office/drawing/2014/main" id="{B5165C76-371B-4E2B-BCD5-71FAA0B562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5" name="Elipse 6014">
          <a:extLst>
            <a:ext uri="{FF2B5EF4-FFF2-40B4-BE49-F238E27FC236}">
              <a16:creationId xmlns:a16="http://schemas.microsoft.com/office/drawing/2014/main" id="{8AFB012D-8C87-4BBB-9090-13C2CB3CE8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6" name="Elipse 6015">
          <a:extLst>
            <a:ext uri="{FF2B5EF4-FFF2-40B4-BE49-F238E27FC236}">
              <a16:creationId xmlns:a16="http://schemas.microsoft.com/office/drawing/2014/main" id="{46DC26CE-5090-4CB6-9A3F-0A90135787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7" name="Elipse 6016">
          <a:extLst>
            <a:ext uri="{FF2B5EF4-FFF2-40B4-BE49-F238E27FC236}">
              <a16:creationId xmlns:a16="http://schemas.microsoft.com/office/drawing/2014/main" id="{92B2020B-75FF-49C5-ACBA-F543F74798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8" name="Elipse 6017">
          <a:extLst>
            <a:ext uri="{FF2B5EF4-FFF2-40B4-BE49-F238E27FC236}">
              <a16:creationId xmlns:a16="http://schemas.microsoft.com/office/drawing/2014/main" id="{0BDF04F6-D533-4009-90DB-0A3B91C111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19" name="Elipse 6018">
          <a:extLst>
            <a:ext uri="{FF2B5EF4-FFF2-40B4-BE49-F238E27FC236}">
              <a16:creationId xmlns:a16="http://schemas.microsoft.com/office/drawing/2014/main" id="{C6463C75-CAE8-493B-BC33-9BC00A124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0" name="Elipse 6019">
          <a:extLst>
            <a:ext uri="{FF2B5EF4-FFF2-40B4-BE49-F238E27FC236}">
              <a16:creationId xmlns:a16="http://schemas.microsoft.com/office/drawing/2014/main" id="{1B7D4952-9253-4E1D-AD77-A58E14A8A4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1" name="Elipse 6020">
          <a:extLst>
            <a:ext uri="{FF2B5EF4-FFF2-40B4-BE49-F238E27FC236}">
              <a16:creationId xmlns:a16="http://schemas.microsoft.com/office/drawing/2014/main" id="{DEC919D9-EB05-4006-A2E5-7B1FD389D1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2" name="Elipse 6021">
          <a:extLst>
            <a:ext uri="{FF2B5EF4-FFF2-40B4-BE49-F238E27FC236}">
              <a16:creationId xmlns:a16="http://schemas.microsoft.com/office/drawing/2014/main" id="{CD5F92D9-088E-4E79-870F-E325EA3298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3" name="Elipse 6022">
          <a:extLst>
            <a:ext uri="{FF2B5EF4-FFF2-40B4-BE49-F238E27FC236}">
              <a16:creationId xmlns:a16="http://schemas.microsoft.com/office/drawing/2014/main" id="{D08566B9-6B25-4C35-93C1-51FF9090DD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4" name="Elipse 6023">
          <a:extLst>
            <a:ext uri="{FF2B5EF4-FFF2-40B4-BE49-F238E27FC236}">
              <a16:creationId xmlns:a16="http://schemas.microsoft.com/office/drawing/2014/main" id="{EA3B0CB1-3E4C-4231-8EC0-3FEE58B761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5" name="Elipse 6024">
          <a:extLst>
            <a:ext uri="{FF2B5EF4-FFF2-40B4-BE49-F238E27FC236}">
              <a16:creationId xmlns:a16="http://schemas.microsoft.com/office/drawing/2014/main" id="{3155D243-39BD-4130-B9F6-3B038A11D5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6" name="Elipse 6025">
          <a:extLst>
            <a:ext uri="{FF2B5EF4-FFF2-40B4-BE49-F238E27FC236}">
              <a16:creationId xmlns:a16="http://schemas.microsoft.com/office/drawing/2014/main" id="{773911DA-D989-457D-8765-726BEAFC94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7" name="Elipse 6026">
          <a:extLst>
            <a:ext uri="{FF2B5EF4-FFF2-40B4-BE49-F238E27FC236}">
              <a16:creationId xmlns:a16="http://schemas.microsoft.com/office/drawing/2014/main" id="{631DDB53-1073-4D75-A2FA-4DBBEF6464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8" name="Elipse 6027">
          <a:extLst>
            <a:ext uri="{FF2B5EF4-FFF2-40B4-BE49-F238E27FC236}">
              <a16:creationId xmlns:a16="http://schemas.microsoft.com/office/drawing/2014/main" id="{578B2DB8-889E-4A1D-9B16-DEA0F23F02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29" name="Elipse 6028">
          <a:extLst>
            <a:ext uri="{FF2B5EF4-FFF2-40B4-BE49-F238E27FC236}">
              <a16:creationId xmlns:a16="http://schemas.microsoft.com/office/drawing/2014/main" id="{37C84D30-1AAA-43A3-98C3-882A0717E4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0" name="Elipse 6029">
          <a:extLst>
            <a:ext uri="{FF2B5EF4-FFF2-40B4-BE49-F238E27FC236}">
              <a16:creationId xmlns:a16="http://schemas.microsoft.com/office/drawing/2014/main" id="{70291FC2-80EE-4554-862D-5C11342688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1" name="Elipse 6030">
          <a:extLst>
            <a:ext uri="{FF2B5EF4-FFF2-40B4-BE49-F238E27FC236}">
              <a16:creationId xmlns:a16="http://schemas.microsoft.com/office/drawing/2014/main" id="{B28BD0BE-85A7-4A0B-B781-CA1EA44C5C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2" name="Elipse 6031">
          <a:extLst>
            <a:ext uri="{FF2B5EF4-FFF2-40B4-BE49-F238E27FC236}">
              <a16:creationId xmlns:a16="http://schemas.microsoft.com/office/drawing/2014/main" id="{93473A38-C6D9-42F4-9806-7D4EFE0176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3" name="Elipse 6032">
          <a:extLst>
            <a:ext uri="{FF2B5EF4-FFF2-40B4-BE49-F238E27FC236}">
              <a16:creationId xmlns:a16="http://schemas.microsoft.com/office/drawing/2014/main" id="{09737AF6-3634-470F-A03E-B234E3C99B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4" name="Elipse 6033">
          <a:extLst>
            <a:ext uri="{FF2B5EF4-FFF2-40B4-BE49-F238E27FC236}">
              <a16:creationId xmlns:a16="http://schemas.microsoft.com/office/drawing/2014/main" id="{155740AA-FAF1-4ACD-9538-DFD6D1ED46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5" name="Elipse 6034">
          <a:extLst>
            <a:ext uri="{FF2B5EF4-FFF2-40B4-BE49-F238E27FC236}">
              <a16:creationId xmlns:a16="http://schemas.microsoft.com/office/drawing/2014/main" id="{06881BF2-B3BD-40A2-B139-BA813DC8D1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6" name="Elipse 6035">
          <a:extLst>
            <a:ext uri="{FF2B5EF4-FFF2-40B4-BE49-F238E27FC236}">
              <a16:creationId xmlns:a16="http://schemas.microsoft.com/office/drawing/2014/main" id="{388B6577-2A28-4572-B49C-BBAD873C25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7" name="Elipse 6036">
          <a:extLst>
            <a:ext uri="{FF2B5EF4-FFF2-40B4-BE49-F238E27FC236}">
              <a16:creationId xmlns:a16="http://schemas.microsoft.com/office/drawing/2014/main" id="{D1D92E4B-70FB-408B-8225-E866F5A024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8" name="Elipse 6037">
          <a:extLst>
            <a:ext uri="{FF2B5EF4-FFF2-40B4-BE49-F238E27FC236}">
              <a16:creationId xmlns:a16="http://schemas.microsoft.com/office/drawing/2014/main" id="{65F901C1-49E5-4240-B452-D98FCBA503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39" name="Elipse 6038">
          <a:extLst>
            <a:ext uri="{FF2B5EF4-FFF2-40B4-BE49-F238E27FC236}">
              <a16:creationId xmlns:a16="http://schemas.microsoft.com/office/drawing/2014/main" id="{18B69ED7-5CFC-49E7-96CC-F12F3CADAD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0" name="Elipse 6039">
          <a:extLst>
            <a:ext uri="{FF2B5EF4-FFF2-40B4-BE49-F238E27FC236}">
              <a16:creationId xmlns:a16="http://schemas.microsoft.com/office/drawing/2014/main" id="{F7FD8EB0-E911-448E-A29B-001A4CCA20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1" name="Elipse 6040">
          <a:extLst>
            <a:ext uri="{FF2B5EF4-FFF2-40B4-BE49-F238E27FC236}">
              <a16:creationId xmlns:a16="http://schemas.microsoft.com/office/drawing/2014/main" id="{698ED38E-2746-4CB1-8084-62163C5BE5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2" name="Elipse 6041">
          <a:extLst>
            <a:ext uri="{FF2B5EF4-FFF2-40B4-BE49-F238E27FC236}">
              <a16:creationId xmlns:a16="http://schemas.microsoft.com/office/drawing/2014/main" id="{786D5619-3B31-44AB-8510-EA6D6A2863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3" name="Elipse 6042">
          <a:extLst>
            <a:ext uri="{FF2B5EF4-FFF2-40B4-BE49-F238E27FC236}">
              <a16:creationId xmlns:a16="http://schemas.microsoft.com/office/drawing/2014/main" id="{2ED00CA5-6CF8-4C84-AEB2-7CE5C51500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4" name="Elipse 6043">
          <a:extLst>
            <a:ext uri="{FF2B5EF4-FFF2-40B4-BE49-F238E27FC236}">
              <a16:creationId xmlns:a16="http://schemas.microsoft.com/office/drawing/2014/main" id="{31CACF89-5324-40B0-9BCB-667238D86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5" name="Elipse 6044">
          <a:extLst>
            <a:ext uri="{FF2B5EF4-FFF2-40B4-BE49-F238E27FC236}">
              <a16:creationId xmlns:a16="http://schemas.microsoft.com/office/drawing/2014/main" id="{FDA1D317-2324-4DD4-AAB4-417011539B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6" name="Elipse 6045">
          <a:extLst>
            <a:ext uri="{FF2B5EF4-FFF2-40B4-BE49-F238E27FC236}">
              <a16:creationId xmlns:a16="http://schemas.microsoft.com/office/drawing/2014/main" id="{D2159461-9164-49EF-8F90-B08891E60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7" name="Elipse 6046">
          <a:extLst>
            <a:ext uri="{FF2B5EF4-FFF2-40B4-BE49-F238E27FC236}">
              <a16:creationId xmlns:a16="http://schemas.microsoft.com/office/drawing/2014/main" id="{34FDC1D0-FD4A-4492-BEF0-6240E57C4C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8" name="Elipse 6047">
          <a:extLst>
            <a:ext uri="{FF2B5EF4-FFF2-40B4-BE49-F238E27FC236}">
              <a16:creationId xmlns:a16="http://schemas.microsoft.com/office/drawing/2014/main" id="{962E5798-D24B-4FAC-B8EA-C7A2750BD0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49" name="Elipse 6048">
          <a:extLst>
            <a:ext uri="{FF2B5EF4-FFF2-40B4-BE49-F238E27FC236}">
              <a16:creationId xmlns:a16="http://schemas.microsoft.com/office/drawing/2014/main" id="{70F90201-AB34-4CB1-8ED7-7C9D2E9F77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0" name="Elipse 6049">
          <a:extLst>
            <a:ext uri="{FF2B5EF4-FFF2-40B4-BE49-F238E27FC236}">
              <a16:creationId xmlns:a16="http://schemas.microsoft.com/office/drawing/2014/main" id="{4D41D87E-C6ED-43DB-8C82-57E9F2D5D4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1" name="Elipse 6050">
          <a:extLst>
            <a:ext uri="{FF2B5EF4-FFF2-40B4-BE49-F238E27FC236}">
              <a16:creationId xmlns:a16="http://schemas.microsoft.com/office/drawing/2014/main" id="{215AD52D-5130-4A67-8CEC-DBFFE236E4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2" name="Elipse 6051">
          <a:extLst>
            <a:ext uri="{FF2B5EF4-FFF2-40B4-BE49-F238E27FC236}">
              <a16:creationId xmlns:a16="http://schemas.microsoft.com/office/drawing/2014/main" id="{40ACB13E-9A2D-401E-A36E-6C477D96A1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3" name="Elipse 6052">
          <a:extLst>
            <a:ext uri="{FF2B5EF4-FFF2-40B4-BE49-F238E27FC236}">
              <a16:creationId xmlns:a16="http://schemas.microsoft.com/office/drawing/2014/main" id="{7616E951-A885-4996-8B73-0C67B3D556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4" name="Elipse 6053">
          <a:extLst>
            <a:ext uri="{FF2B5EF4-FFF2-40B4-BE49-F238E27FC236}">
              <a16:creationId xmlns:a16="http://schemas.microsoft.com/office/drawing/2014/main" id="{A0F1AA4F-AF44-4DFE-B2CB-457042AD9A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5" name="Elipse 6054">
          <a:extLst>
            <a:ext uri="{FF2B5EF4-FFF2-40B4-BE49-F238E27FC236}">
              <a16:creationId xmlns:a16="http://schemas.microsoft.com/office/drawing/2014/main" id="{4959452D-A6CF-48B5-AA59-54DE27B4DE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6" name="Elipse 6055">
          <a:extLst>
            <a:ext uri="{FF2B5EF4-FFF2-40B4-BE49-F238E27FC236}">
              <a16:creationId xmlns:a16="http://schemas.microsoft.com/office/drawing/2014/main" id="{1C11ACF6-ABCC-4AF5-8B34-2217103F34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7" name="Elipse 6056">
          <a:extLst>
            <a:ext uri="{FF2B5EF4-FFF2-40B4-BE49-F238E27FC236}">
              <a16:creationId xmlns:a16="http://schemas.microsoft.com/office/drawing/2014/main" id="{4A2293F9-2273-495A-A930-CEE56437D9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8" name="Elipse 6057">
          <a:extLst>
            <a:ext uri="{FF2B5EF4-FFF2-40B4-BE49-F238E27FC236}">
              <a16:creationId xmlns:a16="http://schemas.microsoft.com/office/drawing/2014/main" id="{2A0840F1-F53E-448A-A5EB-5AC5EEFE38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59" name="Elipse 6058">
          <a:extLst>
            <a:ext uri="{FF2B5EF4-FFF2-40B4-BE49-F238E27FC236}">
              <a16:creationId xmlns:a16="http://schemas.microsoft.com/office/drawing/2014/main" id="{3FED9646-5EA5-48B9-9680-2C858BA2FF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0" name="Elipse 6059">
          <a:extLst>
            <a:ext uri="{FF2B5EF4-FFF2-40B4-BE49-F238E27FC236}">
              <a16:creationId xmlns:a16="http://schemas.microsoft.com/office/drawing/2014/main" id="{F9B24E41-7757-4584-81CC-65394C657D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1" name="Elipse 6060">
          <a:extLst>
            <a:ext uri="{FF2B5EF4-FFF2-40B4-BE49-F238E27FC236}">
              <a16:creationId xmlns:a16="http://schemas.microsoft.com/office/drawing/2014/main" id="{95D208D2-8BD4-4FA1-8340-431F16C0BA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2" name="Elipse 6061">
          <a:extLst>
            <a:ext uri="{FF2B5EF4-FFF2-40B4-BE49-F238E27FC236}">
              <a16:creationId xmlns:a16="http://schemas.microsoft.com/office/drawing/2014/main" id="{91788858-0FB9-47BD-8C80-12641288B4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3" name="Elipse 6062">
          <a:extLst>
            <a:ext uri="{FF2B5EF4-FFF2-40B4-BE49-F238E27FC236}">
              <a16:creationId xmlns:a16="http://schemas.microsoft.com/office/drawing/2014/main" id="{5393B7F0-265A-4BC2-BC13-452DA82FD7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4" name="Elipse 6063">
          <a:extLst>
            <a:ext uri="{FF2B5EF4-FFF2-40B4-BE49-F238E27FC236}">
              <a16:creationId xmlns:a16="http://schemas.microsoft.com/office/drawing/2014/main" id="{813FF332-2D7A-4C82-9A5C-A4851F05B4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5" name="Elipse 6064">
          <a:extLst>
            <a:ext uri="{FF2B5EF4-FFF2-40B4-BE49-F238E27FC236}">
              <a16:creationId xmlns:a16="http://schemas.microsoft.com/office/drawing/2014/main" id="{B819E761-0917-45BF-8A55-4503D6E787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6" name="Elipse 6065">
          <a:extLst>
            <a:ext uri="{FF2B5EF4-FFF2-40B4-BE49-F238E27FC236}">
              <a16:creationId xmlns:a16="http://schemas.microsoft.com/office/drawing/2014/main" id="{57CED34B-8836-4F60-BA77-E1A88A02F3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7" name="Elipse 6066">
          <a:extLst>
            <a:ext uri="{FF2B5EF4-FFF2-40B4-BE49-F238E27FC236}">
              <a16:creationId xmlns:a16="http://schemas.microsoft.com/office/drawing/2014/main" id="{52934B14-1E61-4B73-B65B-15A4A28F27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8" name="Elipse 6067">
          <a:extLst>
            <a:ext uri="{FF2B5EF4-FFF2-40B4-BE49-F238E27FC236}">
              <a16:creationId xmlns:a16="http://schemas.microsoft.com/office/drawing/2014/main" id="{13655C0E-F074-4AED-8162-DAA4D5D890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69" name="Elipse 6068">
          <a:extLst>
            <a:ext uri="{FF2B5EF4-FFF2-40B4-BE49-F238E27FC236}">
              <a16:creationId xmlns:a16="http://schemas.microsoft.com/office/drawing/2014/main" id="{340D4D4A-0135-4C6E-92E8-8C04A88833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0" name="Elipse 6069">
          <a:extLst>
            <a:ext uri="{FF2B5EF4-FFF2-40B4-BE49-F238E27FC236}">
              <a16:creationId xmlns:a16="http://schemas.microsoft.com/office/drawing/2014/main" id="{F0D472B3-F1F3-4742-9F4E-13D2A86175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1" name="Elipse 6070">
          <a:extLst>
            <a:ext uri="{FF2B5EF4-FFF2-40B4-BE49-F238E27FC236}">
              <a16:creationId xmlns:a16="http://schemas.microsoft.com/office/drawing/2014/main" id="{BF294552-3B90-4C86-A2D6-E9C127172D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2" name="Elipse 6071">
          <a:extLst>
            <a:ext uri="{FF2B5EF4-FFF2-40B4-BE49-F238E27FC236}">
              <a16:creationId xmlns:a16="http://schemas.microsoft.com/office/drawing/2014/main" id="{CC6A64FE-36DE-43A6-9FB0-EE538B47FC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3" name="Elipse 6072">
          <a:extLst>
            <a:ext uri="{FF2B5EF4-FFF2-40B4-BE49-F238E27FC236}">
              <a16:creationId xmlns:a16="http://schemas.microsoft.com/office/drawing/2014/main" id="{20B5693D-F74E-4EFD-813C-98A85A851D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4" name="Elipse 6073">
          <a:extLst>
            <a:ext uri="{FF2B5EF4-FFF2-40B4-BE49-F238E27FC236}">
              <a16:creationId xmlns:a16="http://schemas.microsoft.com/office/drawing/2014/main" id="{190D38D4-302B-45CB-B156-454F164878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5" name="Elipse 6074">
          <a:extLst>
            <a:ext uri="{FF2B5EF4-FFF2-40B4-BE49-F238E27FC236}">
              <a16:creationId xmlns:a16="http://schemas.microsoft.com/office/drawing/2014/main" id="{855127DE-05D8-4559-B198-1FF8AE04F7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6" name="Elipse 6075">
          <a:extLst>
            <a:ext uri="{FF2B5EF4-FFF2-40B4-BE49-F238E27FC236}">
              <a16:creationId xmlns:a16="http://schemas.microsoft.com/office/drawing/2014/main" id="{09A83301-BA18-41ED-AA2C-CC14B086CC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7" name="Elipse 6076">
          <a:extLst>
            <a:ext uri="{FF2B5EF4-FFF2-40B4-BE49-F238E27FC236}">
              <a16:creationId xmlns:a16="http://schemas.microsoft.com/office/drawing/2014/main" id="{BDA4F813-8538-4033-AEF8-E86B0B3936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8" name="Elipse 6077">
          <a:extLst>
            <a:ext uri="{FF2B5EF4-FFF2-40B4-BE49-F238E27FC236}">
              <a16:creationId xmlns:a16="http://schemas.microsoft.com/office/drawing/2014/main" id="{F82D3BA6-8736-429F-9251-BF1689F11E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79" name="Elipse 6078">
          <a:extLst>
            <a:ext uri="{FF2B5EF4-FFF2-40B4-BE49-F238E27FC236}">
              <a16:creationId xmlns:a16="http://schemas.microsoft.com/office/drawing/2014/main" id="{8354C64E-C43D-4ADE-9DFF-6F62D1D46B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0" name="Elipse 6079">
          <a:extLst>
            <a:ext uri="{FF2B5EF4-FFF2-40B4-BE49-F238E27FC236}">
              <a16:creationId xmlns:a16="http://schemas.microsoft.com/office/drawing/2014/main" id="{85556E44-686C-40CE-A2A4-91AE8C2D8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1" name="Elipse 6080">
          <a:extLst>
            <a:ext uri="{FF2B5EF4-FFF2-40B4-BE49-F238E27FC236}">
              <a16:creationId xmlns:a16="http://schemas.microsoft.com/office/drawing/2014/main" id="{178FC399-6241-4859-9C70-5B6CD8A67A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2" name="Elipse 6081">
          <a:extLst>
            <a:ext uri="{FF2B5EF4-FFF2-40B4-BE49-F238E27FC236}">
              <a16:creationId xmlns:a16="http://schemas.microsoft.com/office/drawing/2014/main" id="{0363132E-DDDD-4148-B75E-CA9E52B0E5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3" name="Elipse 6082">
          <a:extLst>
            <a:ext uri="{FF2B5EF4-FFF2-40B4-BE49-F238E27FC236}">
              <a16:creationId xmlns:a16="http://schemas.microsoft.com/office/drawing/2014/main" id="{C47DD8A6-7316-4488-B3A6-C58DBF118D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4" name="Elipse 6083">
          <a:extLst>
            <a:ext uri="{FF2B5EF4-FFF2-40B4-BE49-F238E27FC236}">
              <a16:creationId xmlns:a16="http://schemas.microsoft.com/office/drawing/2014/main" id="{5AE0A8DD-408E-4DDB-9584-81A828962A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5" name="Elipse 6084">
          <a:extLst>
            <a:ext uri="{FF2B5EF4-FFF2-40B4-BE49-F238E27FC236}">
              <a16:creationId xmlns:a16="http://schemas.microsoft.com/office/drawing/2014/main" id="{2271278A-6AE9-4D40-8750-412EB17842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6" name="Elipse 6085">
          <a:extLst>
            <a:ext uri="{FF2B5EF4-FFF2-40B4-BE49-F238E27FC236}">
              <a16:creationId xmlns:a16="http://schemas.microsoft.com/office/drawing/2014/main" id="{CC3C1E2D-6466-41D1-86E6-B662A6AFE0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7" name="Elipse 6086">
          <a:extLst>
            <a:ext uri="{FF2B5EF4-FFF2-40B4-BE49-F238E27FC236}">
              <a16:creationId xmlns:a16="http://schemas.microsoft.com/office/drawing/2014/main" id="{8FA674FB-A758-4AC1-8508-3F96FC6E67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8" name="Elipse 6087">
          <a:extLst>
            <a:ext uri="{FF2B5EF4-FFF2-40B4-BE49-F238E27FC236}">
              <a16:creationId xmlns:a16="http://schemas.microsoft.com/office/drawing/2014/main" id="{744493E9-57DB-4A84-B188-D38E39FD73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89" name="Elipse 6088">
          <a:extLst>
            <a:ext uri="{FF2B5EF4-FFF2-40B4-BE49-F238E27FC236}">
              <a16:creationId xmlns:a16="http://schemas.microsoft.com/office/drawing/2014/main" id="{977974D3-6760-4F47-A4D6-9ADC9008ED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0" name="Elipse 6089">
          <a:extLst>
            <a:ext uri="{FF2B5EF4-FFF2-40B4-BE49-F238E27FC236}">
              <a16:creationId xmlns:a16="http://schemas.microsoft.com/office/drawing/2014/main" id="{2BCD2D99-9223-4CE0-9BD5-426ED988E8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1" name="Elipse 6090">
          <a:extLst>
            <a:ext uri="{FF2B5EF4-FFF2-40B4-BE49-F238E27FC236}">
              <a16:creationId xmlns:a16="http://schemas.microsoft.com/office/drawing/2014/main" id="{53B602B2-4989-43B9-8A07-F57A8570E1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2" name="Elipse 6091">
          <a:extLst>
            <a:ext uri="{FF2B5EF4-FFF2-40B4-BE49-F238E27FC236}">
              <a16:creationId xmlns:a16="http://schemas.microsoft.com/office/drawing/2014/main" id="{748FDD3E-DAD3-415B-AB41-750D0F2A90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3" name="Elipse 6092">
          <a:extLst>
            <a:ext uri="{FF2B5EF4-FFF2-40B4-BE49-F238E27FC236}">
              <a16:creationId xmlns:a16="http://schemas.microsoft.com/office/drawing/2014/main" id="{1CAF82B5-8920-408F-AE0C-9598BB30AC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4" name="Elipse 6093">
          <a:extLst>
            <a:ext uri="{FF2B5EF4-FFF2-40B4-BE49-F238E27FC236}">
              <a16:creationId xmlns:a16="http://schemas.microsoft.com/office/drawing/2014/main" id="{7F88EC50-A752-4EB2-B4AB-B36FB8549A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5" name="Elipse 6094">
          <a:extLst>
            <a:ext uri="{FF2B5EF4-FFF2-40B4-BE49-F238E27FC236}">
              <a16:creationId xmlns:a16="http://schemas.microsoft.com/office/drawing/2014/main" id="{E2AD151B-5A21-44DE-8BF0-1A4AB9C58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6" name="Elipse 6095">
          <a:extLst>
            <a:ext uri="{FF2B5EF4-FFF2-40B4-BE49-F238E27FC236}">
              <a16:creationId xmlns:a16="http://schemas.microsoft.com/office/drawing/2014/main" id="{C1F7FAD0-A367-477E-AF3B-7D0C608976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7" name="Elipse 6096">
          <a:extLst>
            <a:ext uri="{FF2B5EF4-FFF2-40B4-BE49-F238E27FC236}">
              <a16:creationId xmlns:a16="http://schemas.microsoft.com/office/drawing/2014/main" id="{AA718F58-52D6-455F-B5E7-54938B62B1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8" name="Elipse 6097">
          <a:extLst>
            <a:ext uri="{FF2B5EF4-FFF2-40B4-BE49-F238E27FC236}">
              <a16:creationId xmlns:a16="http://schemas.microsoft.com/office/drawing/2014/main" id="{EE47E027-8DB9-4D92-8E70-A1010D434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099" name="Elipse 6098">
          <a:extLst>
            <a:ext uri="{FF2B5EF4-FFF2-40B4-BE49-F238E27FC236}">
              <a16:creationId xmlns:a16="http://schemas.microsoft.com/office/drawing/2014/main" id="{EC64ED65-556B-4ED8-BFB1-9DED86B150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0" name="Elipse 6099">
          <a:extLst>
            <a:ext uri="{FF2B5EF4-FFF2-40B4-BE49-F238E27FC236}">
              <a16:creationId xmlns:a16="http://schemas.microsoft.com/office/drawing/2014/main" id="{3BC52906-91EE-4F0F-8162-1E8CDD5843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1" name="Elipse 6100">
          <a:extLst>
            <a:ext uri="{FF2B5EF4-FFF2-40B4-BE49-F238E27FC236}">
              <a16:creationId xmlns:a16="http://schemas.microsoft.com/office/drawing/2014/main" id="{FD91B0B7-2F80-4E3D-9D40-02498DA8FE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2" name="Elipse 6101">
          <a:extLst>
            <a:ext uri="{FF2B5EF4-FFF2-40B4-BE49-F238E27FC236}">
              <a16:creationId xmlns:a16="http://schemas.microsoft.com/office/drawing/2014/main" id="{003AD3CB-9E86-437C-9BCA-D20FEA949D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3" name="Elipse 6102">
          <a:extLst>
            <a:ext uri="{FF2B5EF4-FFF2-40B4-BE49-F238E27FC236}">
              <a16:creationId xmlns:a16="http://schemas.microsoft.com/office/drawing/2014/main" id="{532D3DEA-E1A8-49D0-920D-E8A6193633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4" name="Elipse 6103">
          <a:extLst>
            <a:ext uri="{FF2B5EF4-FFF2-40B4-BE49-F238E27FC236}">
              <a16:creationId xmlns:a16="http://schemas.microsoft.com/office/drawing/2014/main" id="{7436E8B1-5E1F-4FE2-BAC6-C904D51DCE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5" name="Elipse 6104">
          <a:extLst>
            <a:ext uri="{FF2B5EF4-FFF2-40B4-BE49-F238E27FC236}">
              <a16:creationId xmlns:a16="http://schemas.microsoft.com/office/drawing/2014/main" id="{0233034B-CB32-4272-8FC6-BE8BCD90B5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6" name="Elipse 6105">
          <a:extLst>
            <a:ext uri="{FF2B5EF4-FFF2-40B4-BE49-F238E27FC236}">
              <a16:creationId xmlns:a16="http://schemas.microsoft.com/office/drawing/2014/main" id="{CE25842F-389C-4CB2-9D43-1B56870B0B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7" name="Elipse 6106">
          <a:extLst>
            <a:ext uri="{FF2B5EF4-FFF2-40B4-BE49-F238E27FC236}">
              <a16:creationId xmlns:a16="http://schemas.microsoft.com/office/drawing/2014/main" id="{305B188E-908A-4ECB-B4B3-F392F7ECBF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8" name="Elipse 6107">
          <a:extLst>
            <a:ext uri="{FF2B5EF4-FFF2-40B4-BE49-F238E27FC236}">
              <a16:creationId xmlns:a16="http://schemas.microsoft.com/office/drawing/2014/main" id="{7D031B13-ADC0-4CE4-8183-8474097C33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09" name="Elipse 6108">
          <a:extLst>
            <a:ext uri="{FF2B5EF4-FFF2-40B4-BE49-F238E27FC236}">
              <a16:creationId xmlns:a16="http://schemas.microsoft.com/office/drawing/2014/main" id="{0CF291F8-A0CE-4E3A-88CE-42427B0319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0" name="Elipse 6109">
          <a:extLst>
            <a:ext uri="{FF2B5EF4-FFF2-40B4-BE49-F238E27FC236}">
              <a16:creationId xmlns:a16="http://schemas.microsoft.com/office/drawing/2014/main" id="{D5249F3D-FDFE-474E-87F9-5C878CF113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1" name="Elipse 6110">
          <a:extLst>
            <a:ext uri="{FF2B5EF4-FFF2-40B4-BE49-F238E27FC236}">
              <a16:creationId xmlns:a16="http://schemas.microsoft.com/office/drawing/2014/main" id="{01C03B4E-1B4A-4F6D-8DCE-F03E35D1D3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2" name="Elipse 6111">
          <a:extLst>
            <a:ext uri="{FF2B5EF4-FFF2-40B4-BE49-F238E27FC236}">
              <a16:creationId xmlns:a16="http://schemas.microsoft.com/office/drawing/2014/main" id="{3F49AD5C-3325-429F-9BF3-1CDFA0B1B4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3" name="Elipse 6112">
          <a:extLst>
            <a:ext uri="{FF2B5EF4-FFF2-40B4-BE49-F238E27FC236}">
              <a16:creationId xmlns:a16="http://schemas.microsoft.com/office/drawing/2014/main" id="{9EA9DBD8-A4B1-4E8D-8895-674505655B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4" name="Elipse 6113">
          <a:extLst>
            <a:ext uri="{FF2B5EF4-FFF2-40B4-BE49-F238E27FC236}">
              <a16:creationId xmlns:a16="http://schemas.microsoft.com/office/drawing/2014/main" id="{DD7FBAA0-2E51-4A09-8CD0-A141C389BE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5" name="Elipse 6114">
          <a:extLst>
            <a:ext uri="{FF2B5EF4-FFF2-40B4-BE49-F238E27FC236}">
              <a16:creationId xmlns:a16="http://schemas.microsoft.com/office/drawing/2014/main" id="{2116AE71-DBB6-4A46-A9B9-562C0E0ADB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6" name="Elipse 6115">
          <a:extLst>
            <a:ext uri="{FF2B5EF4-FFF2-40B4-BE49-F238E27FC236}">
              <a16:creationId xmlns:a16="http://schemas.microsoft.com/office/drawing/2014/main" id="{4CAEE500-A58A-4959-BC4A-ECC2102535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7" name="Elipse 6116">
          <a:extLst>
            <a:ext uri="{FF2B5EF4-FFF2-40B4-BE49-F238E27FC236}">
              <a16:creationId xmlns:a16="http://schemas.microsoft.com/office/drawing/2014/main" id="{1E20087D-8722-4D69-8A1C-F293A26C36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8" name="Elipse 6117">
          <a:extLst>
            <a:ext uri="{FF2B5EF4-FFF2-40B4-BE49-F238E27FC236}">
              <a16:creationId xmlns:a16="http://schemas.microsoft.com/office/drawing/2014/main" id="{06655433-9B4D-4F27-BD98-C294CD03A9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19" name="Elipse 6118">
          <a:extLst>
            <a:ext uri="{FF2B5EF4-FFF2-40B4-BE49-F238E27FC236}">
              <a16:creationId xmlns:a16="http://schemas.microsoft.com/office/drawing/2014/main" id="{BC1D13ED-ECD7-4F75-8928-071EC969B7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0" name="Elipse 6119">
          <a:extLst>
            <a:ext uri="{FF2B5EF4-FFF2-40B4-BE49-F238E27FC236}">
              <a16:creationId xmlns:a16="http://schemas.microsoft.com/office/drawing/2014/main" id="{7A24E6E6-F589-489C-9A9B-33343790D8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1" name="Elipse 6120">
          <a:extLst>
            <a:ext uri="{FF2B5EF4-FFF2-40B4-BE49-F238E27FC236}">
              <a16:creationId xmlns:a16="http://schemas.microsoft.com/office/drawing/2014/main" id="{CD3D20F3-9E4E-4857-AC24-84243026BF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2" name="Elipse 6121">
          <a:extLst>
            <a:ext uri="{FF2B5EF4-FFF2-40B4-BE49-F238E27FC236}">
              <a16:creationId xmlns:a16="http://schemas.microsoft.com/office/drawing/2014/main" id="{448BC7AF-1022-400C-BA9A-1068C62080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3" name="Elipse 6122">
          <a:extLst>
            <a:ext uri="{FF2B5EF4-FFF2-40B4-BE49-F238E27FC236}">
              <a16:creationId xmlns:a16="http://schemas.microsoft.com/office/drawing/2014/main" id="{BF6917FE-E82F-4768-8A5B-09A9568321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4" name="Elipse 6123">
          <a:extLst>
            <a:ext uri="{FF2B5EF4-FFF2-40B4-BE49-F238E27FC236}">
              <a16:creationId xmlns:a16="http://schemas.microsoft.com/office/drawing/2014/main" id="{EB442A43-3D61-41CF-9E60-8F94A0D7F3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5" name="Elipse 6124">
          <a:extLst>
            <a:ext uri="{FF2B5EF4-FFF2-40B4-BE49-F238E27FC236}">
              <a16:creationId xmlns:a16="http://schemas.microsoft.com/office/drawing/2014/main" id="{3E0C04C3-5F82-4D06-901E-6111768824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6" name="Elipse 6125">
          <a:extLst>
            <a:ext uri="{FF2B5EF4-FFF2-40B4-BE49-F238E27FC236}">
              <a16:creationId xmlns:a16="http://schemas.microsoft.com/office/drawing/2014/main" id="{6E19EF13-DEB3-4F14-A3E2-B58D000F55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7" name="Elipse 6126">
          <a:extLst>
            <a:ext uri="{FF2B5EF4-FFF2-40B4-BE49-F238E27FC236}">
              <a16:creationId xmlns:a16="http://schemas.microsoft.com/office/drawing/2014/main" id="{3B7368A3-98B5-4AB8-A2AD-3E12CCF001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8" name="Elipse 6127">
          <a:extLst>
            <a:ext uri="{FF2B5EF4-FFF2-40B4-BE49-F238E27FC236}">
              <a16:creationId xmlns:a16="http://schemas.microsoft.com/office/drawing/2014/main" id="{18AC1988-64FB-4DBB-B27E-0BFF157C01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29" name="Elipse 6128">
          <a:extLst>
            <a:ext uri="{FF2B5EF4-FFF2-40B4-BE49-F238E27FC236}">
              <a16:creationId xmlns:a16="http://schemas.microsoft.com/office/drawing/2014/main" id="{1D62E5ED-0A21-4988-87B4-C79729A9D5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0" name="Elipse 6129">
          <a:extLst>
            <a:ext uri="{FF2B5EF4-FFF2-40B4-BE49-F238E27FC236}">
              <a16:creationId xmlns:a16="http://schemas.microsoft.com/office/drawing/2014/main" id="{AB9F0233-8E9C-47E2-9331-26C4351BE8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1" name="Elipse 6130">
          <a:extLst>
            <a:ext uri="{FF2B5EF4-FFF2-40B4-BE49-F238E27FC236}">
              <a16:creationId xmlns:a16="http://schemas.microsoft.com/office/drawing/2014/main" id="{E4ED7171-368D-4B40-A1B0-E360D68545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2" name="Elipse 6131">
          <a:extLst>
            <a:ext uri="{FF2B5EF4-FFF2-40B4-BE49-F238E27FC236}">
              <a16:creationId xmlns:a16="http://schemas.microsoft.com/office/drawing/2014/main" id="{AF4149F5-4507-4122-AF09-9EC17E41C4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3" name="Elipse 6132">
          <a:extLst>
            <a:ext uri="{FF2B5EF4-FFF2-40B4-BE49-F238E27FC236}">
              <a16:creationId xmlns:a16="http://schemas.microsoft.com/office/drawing/2014/main" id="{0040BDB7-7065-4AD4-A86D-6BB0EA03B5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4" name="Elipse 6133">
          <a:extLst>
            <a:ext uri="{FF2B5EF4-FFF2-40B4-BE49-F238E27FC236}">
              <a16:creationId xmlns:a16="http://schemas.microsoft.com/office/drawing/2014/main" id="{87A4B454-CE94-4F99-9435-4706543B4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5" name="Elipse 6134">
          <a:extLst>
            <a:ext uri="{FF2B5EF4-FFF2-40B4-BE49-F238E27FC236}">
              <a16:creationId xmlns:a16="http://schemas.microsoft.com/office/drawing/2014/main" id="{5B706C59-CB1E-4C10-ACEA-CCD602FC89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6" name="Elipse 6135">
          <a:extLst>
            <a:ext uri="{FF2B5EF4-FFF2-40B4-BE49-F238E27FC236}">
              <a16:creationId xmlns:a16="http://schemas.microsoft.com/office/drawing/2014/main" id="{A217B632-FAEE-4654-8B1A-93595E4A87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7" name="Elipse 6136">
          <a:extLst>
            <a:ext uri="{FF2B5EF4-FFF2-40B4-BE49-F238E27FC236}">
              <a16:creationId xmlns:a16="http://schemas.microsoft.com/office/drawing/2014/main" id="{A78DBCD5-F7B4-45D2-BC12-28CB2DDE65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8" name="Elipse 6137">
          <a:extLst>
            <a:ext uri="{FF2B5EF4-FFF2-40B4-BE49-F238E27FC236}">
              <a16:creationId xmlns:a16="http://schemas.microsoft.com/office/drawing/2014/main" id="{16464A75-281E-48A0-8A49-7D47CADAA5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39" name="Elipse 6138">
          <a:extLst>
            <a:ext uri="{FF2B5EF4-FFF2-40B4-BE49-F238E27FC236}">
              <a16:creationId xmlns:a16="http://schemas.microsoft.com/office/drawing/2014/main" id="{40C60E07-102A-4A46-9E39-D69D63A8E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0" name="Elipse 6139">
          <a:extLst>
            <a:ext uri="{FF2B5EF4-FFF2-40B4-BE49-F238E27FC236}">
              <a16:creationId xmlns:a16="http://schemas.microsoft.com/office/drawing/2014/main" id="{AFD4CCE4-FBB1-4316-9D60-5EB6FE1098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1" name="Elipse 6140">
          <a:extLst>
            <a:ext uri="{FF2B5EF4-FFF2-40B4-BE49-F238E27FC236}">
              <a16:creationId xmlns:a16="http://schemas.microsoft.com/office/drawing/2014/main" id="{D659D11E-426F-449C-A738-F1738B3739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2" name="Elipse 6141">
          <a:extLst>
            <a:ext uri="{FF2B5EF4-FFF2-40B4-BE49-F238E27FC236}">
              <a16:creationId xmlns:a16="http://schemas.microsoft.com/office/drawing/2014/main" id="{0FADF017-A302-42DE-AED1-5EAEFEB226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3" name="Elipse 6142">
          <a:extLst>
            <a:ext uri="{FF2B5EF4-FFF2-40B4-BE49-F238E27FC236}">
              <a16:creationId xmlns:a16="http://schemas.microsoft.com/office/drawing/2014/main" id="{097FF782-4974-43F4-9689-9B72F7BFD2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4" name="Elipse 6143">
          <a:extLst>
            <a:ext uri="{FF2B5EF4-FFF2-40B4-BE49-F238E27FC236}">
              <a16:creationId xmlns:a16="http://schemas.microsoft.com/office/drawing/2014/main" id="{529A529F-BF76-45F2-B039-CECABA376B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5" name="Elipse 6144">
          <a:extLst>
            <a:ext uri="{FF2B5EF4-FFF2-40B4-BE49-F238E27FC236}">
              <a16:creationId xmlns:a16="http://schemas.microsoft.com/office/drawing/2014/main" id="{7DB916C2-FA26-4AFF-BB08-DB0388EB1A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6" name="Elipse 6145">
          <a:extLst>
            <a:ext uri="{FF2B5EF4-FFF2-40B4-BE49-F238E27FC236}">
              <a16:creationId xmlns:a16="http://schemas.microsoft.com/office/drawing/2014/main" id="{1D820352-BCF7-4E11-B016-8ECC5FC002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7" name="Elipse 6146">
          <a:extLst>
            <a:ext uri="{FF2B5EF4-FFF2-40B4-BE49-F238E27FC236}">
              <a16:creationId xmlns:a16="http://schemas.microsoft.com/office/drawing/2014/main" id="{7B8378F7-515A-4F33-BF0C-7ACEDB52C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8" name="Elipse 6147">
          <a:extLst>
            <a:ext uri="{FF2B5EF4-FFF2-40B4-BE49-F238E27FC236}">
              <a16:creationId xmlns:a16="http://schemas.microsoft.com/office/drawing/2014/main" id="{FE0BBA72-B5A4-4B9F-9100-DD7F1085A4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49" name="Elipse 6148">
          <a:extLst>
            <a:ext uri="{FF2B5EF4-FFF2-40B4-BE49-F238E27FC236}">
              <a16:creationId xmlns:a16="http://schemas.microsoft.com/office/drawing/2014/main" id="{D4982CE1-E6B6-42C8-AA5D-6564306F8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0" name="Elipse 6149">
          <a:extLst>
            <a:ext uri="{FF2B5EF4-FFF2-40B4-BE49-F238E27FC236}">
              <a16:creationId xmlns:a16="http://schemas.microsoft.com/office/drawing/2014/main" id="{AFF5FCF4-39FE-4F36-A16D-A70AB62C65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1" name="Elipse 6150">
          <a:extLst>
            <a:ext uri="{FF2B5EF4-FFF2-40B4-BE49-F238E27FC236}">
              <a16:creationId xmlns:a16="http://schemas.microsoft.com/office/drawing/2014/main" id="{DD95EB9C-03F2-4A45-AEBA-6DB3B705BF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2" name="Elipse 6151">
          <a:extLst>
            <a:ext uri="{FF2B5EF4-FFF2-40B4-BE49-F238E27FC236}">
              <a16:creationId xmlns:a16="http://schemas.microsoft.com/office/drawing/2014/main" id="{6647CA01-CCC1-4B32-A073-681DBCD09A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3" name="Elipse 6152">
          <a:extLst>
            <a:ext uri="{FF2B5EF4-FFF2-40B4-BE49-F238E27FC236}">
              <a16:creationId xmlns:a16="http://schemas.microsoft.com/office/drawing/2014/main" id="{E104FB05-14C7-4A0F-B252-05DC14534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4" name="Elipse 6153">
          <a:extLst>
            <a:ext uri="{FF2B5EF4-FFF2-40B4-BE49-F238E27FC236}">
              <a16:creationId xmlns:a16="http://schemas.microsoft.com/office/drawing/2014/main" id="{4D561CAB-96D6-4EBD-93DD-6DE803939C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5" name="Elipse 6154">
          <a:extLst>
            <a:ext uri="{FF2B5EF4-FFF2-40B4-BE49-F238E27FC236}">
              <a16:creationId xmlns:a16="http://schemas.microsoft.com/office/drawing/2014/main" id="{8658BA8F-B201-4712-A6BE-9071D44E63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6" name="Elipse 6155">
          <a:extLst>
            <a:ext uri="{FF2B5EF4-FFF2-40B4-BE49-F238E27FC236}">
              <a16:creationId xmlns:a16="http://schemas.microsoft.com/office/drawing/2014/main" id="{6B867761-A6E1-481B-BACD-A495C4FCB1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7" name="Elipse 6156">
          <a:extLst>
            <a:ext uri="{FF2B5EF4-FFF2-40B4-BE49-F238E27FC236}">
              <a16:creationId xmlns:a16="http://schemas.microsoft.com/office/drawing/2014/main" id="{CB463A0F-A737-4553-BFCC-5A605C73E2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8" name="Elipse 6157">
          <a:extLst>
            <a:ext uri="{FF2B5EF4-FFF2-40B4-BE49-F238E27FC236}">
              <a16:creationId xmlns:a16="http://schemas.microsoft.com/office/drawing/2014/main" id="{2A71EE56-C54D-423E-91AE-5F1F6FA29A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59" name="Elipse 6158">
          <a:extLst>
            <a:ext uri="{FF2B5EF4-FFF2-40B4-BE49-F238E27FC236}">
              <a16:creationId xmlns:a16="http://schemas.microsoft.com/office/drawing/2014/main" id="{08F9C2F2-DCAC-4F1A-8B84-84A03E19BB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0" name="Elipse 6159">
          <a:extLst>
            <a:ext uri="{FF2B5EF4-FFF2-40B4-BE49-F238E27FC236}">
              <a16:creationId xmlns:a16="http://schemas.microsoft.com/office/drawing/2014/main" id="{DA91E81A-3ED9-44B6-AD10-A318DC0B89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1" name="Elipse 6160">
          <a:extLst>
            <a:ext uri="{FF2B5EF4-FFF2-40B4-BE49-F238E27FC236}">
              <a16:creationId xmlns:a16="http://schemas.microsoft.com/office/drawing/2014/main" id="{08F5ABBE-5620-42B4-B618-0C65297981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2" name="Elipse 6161">
          <a:extLst>
            <a:ext uri="{FF2B5EF4-FFF2-40B4-BE49-F238E27FC236}">
              <a16:creationId xmlns:a16="http://schemas.microsoft.com/office/drawing/2014/main" id="{10EE34F2-9DB5-4F80-A529-2418D6F917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3" name="Elipse 6162">
          <a:extLst>
            <a:ext uri="{FF2B5EF4-FFF2-40B4-BE49-F238E27FC236}">
              <a16:creationId xmlns:a16="http://schemas.microsoft.com/office/drawing/2014/main" id="{29503A58-A4DE-4DD6-A6FC-AC8B839684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4" name="Elipse 6163">
          <a:extLst>
            <a:ext uri="{FF2B5EF4-FFF2-40B4-BE49-F238E27FC236}">
              <a16:creationId xmlns:a16="http://schemas.microsoft.com/office/drawing/2014/main" id="{F9E574C6-3975-4B8D-A7B0-EF711E1B40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5" name="Elipse 6164">
          <a:extLst>
            <a:ext uri="{FF2B5EF4-FFF2-40B4-BE49-F238E27FC236}">
              <a16:creationId xmlns:a16="http://schemas.microsoft.com/office/drawing/2014/main" id="{AB5B7CF7-F31F-4EBF-B15B-C3A08D575B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6" name="Elipse 6165">
          <a:extLst>
            <a:ext uri="{FF2B5EF4-FFF2-40B4-BE49-F238E27FC236}">
              <a16:creationId xmlns:a16="http://schemas.microsoft.com/office/drawing/2014/main" id="{E8E19AEF-41EF-48E4-9A34-01AA6B3ED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7" name="Elipse 6166">
          <a:extLst>
            <a:ext uri="{FF2B5EF4-FFF2-40B4-BE49-F238E27FC236}">
              <a16:creationId xmlns:a16="http://schemas.microsoft.com/office/drawing/2014/main" id="{CCA47BC4-EE73-41BE-BBAC-2466407362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8" name="Elipse 6167">
          <a:extLst>
            <a:ext uri="{FF2B5EF4-FFF2-40B4-BE49-F238E27FC236}">
              <a16:creationId xmlns:a16="http://schemas.microsoft.com/office/drawing/2014/main" id="{44CA9D42-BA9A-4AE5-B971-53BC9657FD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69" name="Elipse 6168">
          <a:extLst>
            <a:ext uri="{FF2B5EF4-FFF2-40B4-BE49-F238E27FC236}">
              <a16:creationId xmlns:a16="http://schemas.microsoft.com/office/drawing/2014/main" id="{C0AA42B2-3C99-4BBE-9173-A21757527E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0" name="Elipse 6169">
          <a:extLst>
            <a:ext uri="{FF2B5EF4-FFF2-40B4-BE49-F238E27FC236}">
              <a16:creationId xmlns:a16="http://schemas.microsoft.com/office/drawing/2014/main" id="{AC19696F-7012-4B88-AF65-941185A9B3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1" name="Elipse 6170">
          <a:extLst>
            <a:ext uri="{FF2B5EF4-FFF2-40B4-BE49-F238E27FC236}">
              <a16:creationId xmlns:a16="http://schemas.microsoft.com/office/drawing/2014/main" id="{DC365A82-9493-4861-A42D-8C788BAC44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2" name="Elipse 6171">
          <a:extLst>
            <a:ext uri="{FF2B5EF4-FFF2-40B4-BE49-F238E27FC236}">
              <a16:creationId xmlns:a16="http://schemas.microsoft.com/office/drawing/2014/main" id="{E87902DD-3F26-4F11-BF38-84C7C34C3F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3" name="Elipse 6172">
          <a:extLst>
            <a:ext uri="{FF2B5EF4-FFF2-40B4-BE49-F238E27FC236}">
              <a16:creationId xmlns:a16="http://schemas.microsoft.com/office/drawing/2014/main" id="{4A63006E-DC97-4007-A980-C4AA286BD0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4" name="Elipse 6173">
          <a:extLst>
            <a:ext uri="{FF2B5EF4-FFF2-40B4-BE49-F238E27FC236}">
              <a16:creationId xmlns:a16="http://schemas.microsoft.com/office/drawing/2014/main" id="{FD7F09DB-BD81-418A-B5DC-54471E1353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5" name="Elipse 6174">
          <a:extLst>
            <a:ext uri="{FF2B5EF4-FFF2-40B4-BE49-F238E27FC236}">
              <a16:creationId xmlns:a16="http://schemas.microsoft.com/office/drawing/2014/main" id="{4CB33286-01E3-408D-A346-CBC72AF056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6" name="Elipse 6175">
          <a:extLst>
            <a:ext uri="{FF2B5EF4-FFF2-40B4-BE49-F238E27FC236}">
              <a16:creationId xmlns:a16="http://schemas.microsoft.com/office/drawing/2014/main" id="{63C4A71C-D912-4897-A997-B0B27D3C05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7" name="Elipse 6176">
          <a:extLst>
            <a:ext uri="{FF2B5EF4-FFF2-40B4-BE49-F238E27FC236}">
              <a16:creationId xmlns:a16="http://schemas.microsoft.com/office/drawing/2014/main" id="{37238BA0-3F68-46D4-B5E9-6AD566257E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8" name="Elipse 6177">
          <a:extLst>
            <a:ext uri="{FF2B5EF4-FFF2-40B4-BE49-F238E27FC236}">
              <a16:creationId xmlns:a16="http://schemas.microsoft.com/office/drawing/2014/main" id="{3977ACAA-C26F-4FB9-97BE-74455A41D3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79" name="Elipse 6178">
          <a:extLst>
            <a:ext uri="{FF2B5EF4-FFF2-40B4-BE49-F238E27FC236}">
              <a16:creationId xmlns:a16="http://schemas.microsoft.com/office/drawing/2014/main" id="{04424503-3856-49D9-A665-3BE11B3476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0" name="Elipse 6179">
          <a:extLst>
            <a:ext uri="{FF2B5EF4-FFF2-40B4-BE49-F238E27FC236}">
              <a16:creationId xmlns:a16="http://schemas.microsoft.com/office/drawing/2014/main" id="{9D15BA71-F732-41CA-B101-C0DDB6DC12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1" name="Elipse 6180">
          <a:extLst>
            <a:ext uri="{FF2B5EF4-FFF2-40B4-BE49-F238E27FC236}">
              <a16:creationId xmlns:a16="http://schemas.microsoft.com/office/drawing/2014/main" id="{325FE77C-186A-4EBA-9182-BC13481979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2" name="Elipse 6181">
          <a:extLst>
            <a:ext uri="{FF2B5EF4-FFF2-40B4-BE49-F238E27FC236}">
              <a16:creationId xmlns:a16="http://schemas.microsoft.com/office/drawing/2014/main" id="{6AAAF6F1-05D1-4A1C-9168-237F85EBC4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3" name="Elipse 6182">
          <a:extLst>
            <a:ext uri="{FF2B5EF4-FFF2-40B4-BE49-F238E27FC236}">
              <a16:creationId xmlns:a16="http://schemas.microsoft.com/office/drawing/2014/main" id="{4980361D-875E-4622-9D9A-4F722182B0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4" name="Elipse 6183">
          <a:extLst>
            <a:ext uri="{FF2B5EF4-FFF2-40B4-BE49-F238E27FC236}">
              <a16:creationId xmlns:a16="http://schemas.microsoft.com/office/drawing/2014/main" id="{40F1644E-6B91-43DB-A65E-CE071E7937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5" name="Elipse 6184">
          <a:extLst>
            <a:ext uri="{FF2B5EF4-FFF2-40B4-BE49-F238E27FC236}">
              <a16:creationId xmlns:a16="http://schemas.microsoft.com/office/drawing/2014/main" id="{017F0E50-426E-47D7-B0B2-69C9EAF1A3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6" name="Elipse 6185">
          <a:extLst>
            <a:ext uri="{FF2B5EF4-FFF2-40B4-BE49-F238E27FC236}">
              <a16:creationId xmlns:a16="http://schemas.microsoft.com/office/drawing/2014/main" id="{037CABAC-D789-400B-A905-BFDFC6D350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7" name="Elipse 6186">
          <a:extLst>
            <a:ext uri="{FF2B5EF4-FFF2-40B4-BE49-F238E27FC236}">
              <a16:creationId xmlns:a16="http://schemas.microsoft.com/office/drawing/2014/main" id="{AE984816-138B-415F-9BB5-4A7A3000AE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8" name="Elipse 6187">
          <a:extLst>
            <a:ext uri="{FF2B5EF4-FFF2-40B4-BE49-F238E27FC236}">
              <a16:creationId xmlns:a16="http://schemas.microsoft.com/office/drawing/2014/main" id="{94562670-82BC-48E7-9237-F11933C1C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89" name="Elipse 6188">
          <a:extLst>
            <a:ext uri="{FF2B5EF4-FFF2-40B4-BE49-F238E27FC236}">
              <a16:creationId xmlns:a16="http://schemas.microsoft.com/office/drawing/2014/main" id="{624448F9-BBA1-4B03-8FB8-714A4F80FD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0" name="Elipse 6189">
          <a:extLst>
            <a:ext uri="{FF2B5EF4-FFF2-40B4-BE49-F238E27FC236}">
              <a16:creationId xmlns:a16="http://schemas.microsoft.com/office/drawing/2014/main" id="{730982F2-300B-42C8-917B-73FE063642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1" name="Elipse 6190">
          <a:extLst>
            <a:ext uri="{FF2B5EF4-FFF2-40B4-BE49-F238E27FC236}">
              <a16:creationId xmlns:a16="http://schemas.microsoft.com/office/drawing/2014/main" id="{DB1F1BB9-4D89-438F-9BCC-3B4801244B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2" name="Elipse 6191">
          <a:extLst>
            <a:ext uri="{FF2B5EF4-FFF2-40B4-BE49-F238E27FC236}">
              <a16:creationId xmlns:a16="http://schemas.microsoft.com/office/drawing/2014/main" id="{7D206051-22DD-4FC7-8BB3-27F2DB4D48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3" name="Elipse 6192">
          <a:extLst>
            <a:ext uri="{FF2B5EF4-FFF2-40B4-BE49-F238E27FC236}">
              <a16:creationId xmlns:a16="http://schemas.microsoft.com/office/drawing/2014/main" id="{21C48F68-8D1C-48CE-9E35-6BF26EAE97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4" name="Elipse 6193">
          <a:extLst>
            <a:ext uri="{FF2B5EF4-FFF2-40B4-BE49-F238E27FC236}">
              <a16:creationId xmlns:a16="http://schemas.microsoft.com/office/drawing/2014/main" id="{F128733B-8899-4C97-B2DE-A937537B52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5" name="Elipse 6194">
          <a:extLst>
            <a:ext uri="{FF2B5EF4-FFF2-40B4-BE49-F238E27FC236}">
              <a16:creationId xmlns:a16="http://schemas.microsoft.com/office/drawing/2014/main" id="{05F74326-BE1F-4495-B697-BF8F30DA58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6" name="Elipse 6195">
          <a:extLst>
            <a:ext uri="{FF2B5EF4-FFF2-40B4-BE49-F238E27FC236}">
              <a16:creationId xmlns:a16="http://schemas.microsoft.com/office/drawing/2014/main" id="{C16BC561-5BBC-4CAF-9001-EDE1E71BEE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7" name="Elipse 6196">
          <a:extLst>
            <a:ext uri="{FF2B5EF4-FFF2-40B4-BE49-F238E27FC236}">
              <a16:creationId xmlns:a16="http://schemas.microsoft.com/office/drawing/2014/main" id="{EB3BB094-E992-4639-BB9E-6FAAED1759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8" name="Elipse 6197">
          <a:extLst>
            <a:ext uri="{FF2B5EF4-FFF2-40B4-BE49-F238E27FC236}">
              <a16:creationId xmlns:a16="http://schemas.microsoft.com/office/drawing/2014/main" id="{B64E79DE-6B66-4CA0-88CE-18F44FB979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199" name="Elipse 6198">
          <a:extLst>
            <a:ext uri="{FF2B5EF4-FFF2-40B4-BE49-F238E27FC236}">
              <a16:creationId xmlns:a16="http://schemas.microsoft.com/office/drawing/2014/main" id="{11243C97-5082-4697-8D1F-CBF09D9D06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0" name="Elipse 6199">
          <a:extLst>
            <a:ext uri="{FF2B5EF4-FFF2-40B4-BE49-F238E27FC236}">
              <a16:creationId xmlns:a16="http://schemas.microsoft.com/office/drawing/2014/main" id="{CD4C06B9-183F-4E62-ACC5-621BE27748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1" name="Elipse 6200">
          <a:extLst>
            <a:ext uri="{FF2B5EF4-FFF2-40B4-BE49-F238E27FC236}">
              <a16:creationId xmlns:a16="http://schemas.microsoft.com/office/drawing/2014/main" id="{78601CAC-384E-4E99-901B-7917900C0E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2" name="Elipse 6201">
          <a:extLst>
            <a:ext uri="{FF2B5EF4-FFF2-40B4-BE49-F238E27FC236}">
              <a16:creationId xmlns:a16="http://schemas.microsoft.com/office/drawing/2014/main" id="{234B1736-2562-4C9A-BA00-1895EA929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3" name="Elipse 6202">
          <a:extLst>
            <a:ext uri="{FF2B5EF4-FFF2-40B4-BE49-F238E27FC236}">
              <a16:creationId xmlns:a16="http://schemas.microsoft.com/office/drawing/2014/main" id="{FB1A64E9-DDBA-4FBC-BDB4-EF59B3BDD4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4" name="Elipse 6203">
          <a:extLst>
            <a:ext uri="{FF2B5EF4-FFF2-40B4-BE49-F238E27FC236}">
              <a16:creationId xmlns:a16="http://schemas.microsoft.com/office/drawing/2014/main" id="{DDBA1B31-0887-4CDA-A5E1-ECA9D0E0C0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5" name="Elipse 6204">
          <a:extLst>
            <a:ext uri="{FF2B5EF4-FFF2-40B4-BE49-F238E27FC236}">
              <a16:creationId xmlns:a16="http://schemas.microsoft.com/office/drawing/2014/main" id="{A67EAC1A-8717-4DBD-AA91-3E5FF94893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6" name="Elipse 6205">
          <a:extLst>
            <a:ext uri="{FF2B5EF4-FFF2-40B4-BE49-F238E27FC236}">
              <a16:creationId xmlns:a16="http://schemas.microsoft.com/office/drawing/2014/main" id="{A78FC6C3-18C9-4189-910D-440D0F7E51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7" name="Elipse 6206">
          <a:extLst>
            <a:ext uri="{FF2B5EF4-FFF2-40B4-BE49-F238E27FC236}">
              <a16:creationId xmlns:a16="http://schemas.microsoft.com/office/drawing/2014/main" id="{F2AC2571-E939-42DB-80B9-93911ECA0F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8" name="Elipse 6207">
          <a:extLst>
            <a:ext uri="{FF2B5EF4-FFF2-40B4-BE49-F238E27FC236}">
              <a16:creationId xmlns:a16="http://schemas.microsoft.com/office/drawing/2014/main" id="{162A5FAE-2868-4F9B-A073-A65F162968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09" name="Elipse 6208">
          <a:extLst>
            <a:ext uri="{FF2B5EF4-FFF2-40B4-BE49-F238E27FC236}">
              <a16:creationId xmlns:a16="http://schemas.microsoft.com/office/drawing/2014/main" id="{FF445254-4D80-4293-B586-7EAA78FBF8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0" name="Elipse 6209">
          <a:extLst>
            <a:ext uri="{FF2B5EF4-FFF2-40B4-BE49-F238E27FC236}">
              <a16:creationId xmlns:a16="http://schemas.microsoft.com/office/drawing/2014/main" id="{513F5763-312F-4CF5-9C7F-0149C6BEDE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1" name="Elipse 6210">
          <a:extLst>
            <a:ext uri="{FF2B5EF4-FFF2-40B4-BE49-F238E27FC236}">
              <a16:creationId xmlns:a16="http://schemas.microsoft.com/office/drawing/2014/main" id="{B3D10A4F-2212-401C-B2C1-EBAE0EA6CC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2" name="Elipse 6211">
          <a:extLst>
            <a:ext uri="{FF2B5EF4-FFF2-40B4-BE49-F238E27FC236}">
              <a16:creationId xmlns:a16="http://schemas.microsoft.com/office/drawing/2014/main" id="{58ADB8AF-4CCF-4C48-807A-4A904A6F81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3" name="Elipse 6212">
          <a:extLst>
            <a:ext uri="{FF2B5EF4-FFF2-40B4-BE49-F238E27FC236}">
              <a16:creationId xmlns:a16="http://schemas.microsoft.com/office/drawing/2014/main" id="{ADEEE05E-594C-4D4E-AE9C-7504369DC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4" name="Elipse 6213">
          <a:extLst>
            <a:ext uri="{FF2B5EF4-FFF2-40B4-BE49-F238E27FC236}">
              <a16:creationId xmlns:a16="http://schemas.microsoft.com/office/drawing/2014/main" id="{C87A81AA-444E-4040-B6DF-D06DEADB26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5" name="Elipse 6214">
          <a:extLst>
            <a:ext uri="{FF2B5EF4-FFF2-40B4-BE49-F238E27FC236}">
              <a16:creationId xmlns:a16="http://schemas.microsoft.com/office/drawing/2014/main" id="{11E153C4-115C-403C-BA33-34C165E174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6" name="Elipse 6215">
          <a:extLst>
            <a:ext uri="{FF2B5EF4-FFF2-40B4-BE49-F238E27FC236}">
              <a16:creationId xmlns:a16="http://schemas.microsoft.com/office/drawing/2014/main" id="{05822F85-CC5A-4C49-90C3-A670D52649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7" name="Elipse 6216">
          <a:extLst>
            <a:ext uri="{FF2B5EF4-FFF2-40B4-BE49-F238E27FC236}">
              <a16:creationId xmlns:a16="http://schemas.microsoft.com/office/drawing/2014/main" id="{C8FE7322-9262-4951-8BEB-4B66C5C9D1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8" name="Elipse 6217">
          <a:extLst>
            <a:ext uri="{FF2B5EF4-FFF2-40B4-BE49-F238E27FC236}">
              <a16:creationId xmlns:a16="http://schemas.microsoft.com/office/drawing/2014/main" id="{EEB30FEC-C2F6-4AA3-BE65-43E79B31D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19" name="Elipse 6218">
          <a:extLst>
            <a:ext uri="{FF2B5EF4-FFF2-40B4-BE49-F238E27FC236}">
              <a16:creationId xmlns:a16="http://schemas.microsoft.com/office/drawing/2014/main" id="{4996A535-35C5-42F4-A64A-75F7A289D7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0" name="Elipse 6219">
          <a:extLst>
            <a:ext uri="{FF2B5EF4-FFF2-40B4-BE49-F238E27FC236}">
              <a16:creationId xmlns:a16="http://schemas.microsoft.com/office/drawing/2014/main" id="{0171E580-53C4-49D2-8844-928E151BA2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1" name="Elipse 6220">
          <a:extLst>
            <a:ext uri="{FF2B5EF4-FFF2-40B4-BE49-F238E27FC236}">
              <a16:creationId xmlns:a16="http://schemas.microsoft.com/office/drawing/2014/main" id="{65C4C363-9389-4295-8E04-0C8952A516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2" name="Elipse 6221">
          <a:extLst>
            <a:ext uri="{FF2B5EF4-FFF2-40B4-BE49-F238E27FC236}">
              <a16:creationId xmlns:a16="http://schemas.microsoft.com/office/drawing/2014/main" id="{32833931-4504-4FD6-939C-6C382483F3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3" name="Elipse 6222">
          <a:extLst>
            <a:ext uri="{FF2B5EF4-FFF2-40B4-BE49-F238E27FC236}">
              <a16:creationId xmlns:a16="http://schemas.microsoft.com/office/drawing/2014/main" id="{49768AE5-D51F-4347-B37A-B0A9111773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4" name="Elipse 6223">
          <a:extLst>
            <a:ext uri="{FF2B5EF4-FFF2-40B4-BE49-F238E27FC236}">
              <a16:creationId xmlns:a16="http://schemas.microsoft.com/office/drawing/2014/main" id="{0F94F3CF-E6F1-40B3-B9EA-2B0BCFC281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5" name="Elipse 6224">
          <a:extLst>
            <a:ext uri="{FF2B5EF4-FFF2-40B4-BE49-F238E27FC236}">
              <a16:creationId xmlns:a16="http://schemas.microsoft.com/office/drawing/2014/main" id="{1AA7656E-1AD5-46AD-A770-CBF9E7BAC5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6" name="Elipse 6225">
          <a:extLst>
            <a:ext uri="{FF2B5EF4-FFF2-40B4-BE49-F238E27FC236}">
              <a16:creationId xmlns:a16="http://schemas.microsoft.com/office/drawing/2014/main" id="{5CAFAEAF-78B0-4EBD-A923-5AD97657C0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7" name="Elipse 6226">
          <a:extLst>
            <a:ext uri="{FF2B5EF4-FFF2-40B4-BE49-F238E27FC236}">
              <a16:creationId xmlns:a16="http://schemas.microsoft.com/office/drawing/2014/main" id="{605CF2BC-60CD-4A5B-943D-95F687E7A3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8" name="Elipse 6227">
          <a:extLst>
            <a:ext uri="{FF2B5EF4-FFF2-40B4-BE49-F238E27FC236}">
              <a16:creationId xmlns:a16="http://schemas.microsoft.com/office/drawing/2014/main" id="{3F7AED6D-D43D-42C8-88CE-21595F6322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29" name="Elipse 6228">
          <a:extLst>
            <a:ext uri="{FF2B5EF4-FFF2-40B4-BE49-F238E27FC236}">
              <a16:creationId xmlns:a16="http://schemas.microsoft.com/office/drawing/2014/main" id="{4B38C8B4-7536-43E4-A363-1A083763FA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0" name="Elipse 6229">
          <a:extLst>
            <a:ext uri="{FF2B5EF4-FFF2-40B4-BE49-F238E27FC236}">
              <a16:creationId xmlns:a16="http://schemas.microsoft.com/office/drawing/2014/main" id="{4D61FEDF-F40E-4994-8D62-97DF9165EE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1" name="Elipse 6230">
          <a:extLst>
            <a:ext uri="{FF2B5EF4-FFF2-40B4-BE49-F238E27FC236}">
              <a16:creationId xmlns:a16="http://schemas.microsoft.com/office/drawing/2014/main" id="{FF2BF19B-6A10-4D08-8AFF-0F15C1AF44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2" name="Elipse 6231">
          <a:extLst>
            <a:ext uri="{FF2B5EF4-FFF2-40B4-BE49-F238E27FC236}">
              <a16:creationId xmlns:a16="http://schemas.microsoft.com/office/drawing/2014/main" id="{F1C645CF-2ED2-4BDA-922D-DC22A073FE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3" name="Elipse 6232">
          <a:extLst>
            <a:ext uri="{FF2B5EF4-FFF2-40B4-BE49-F238E27FC236}">
              <a16:creationId xmlns:a16="http://schemas.microsoft.com/office/drawing/2014/main" id="{4A395F32-33FA-456F-A6A5-3CCFD89E54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4" name="Elipse 6233">
          <a:extLst>
            <a:ext uri="{FF2B5EF4-FFF2-40B4-BE49-F238E27FC236}">
              <a16:creationId xmlns:a16="http://schemas.microsoft.com/office/drawing/2014/main" id="{A0FF5678-BFB5-416D-AB7B-4B5B33CD7B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5" name="Elipse 6234">
          <a:extLst>
            <a:ext uri="{FF2B5EF4-FFF2-40B4-BE49-F238E27FC236}">
              <a16:creationId xmlns:a16="http://schemas.microsoft.com/office/drawing/2014/main" id="{42C56EF7-4687-4343-B3BC-E600554369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6" name="Elipse 6235">
          <a:extLst>
            <a:ext uri="{FF2B5EF4-FFF2-40B4-BE49-F238E27FC236}">
              <a16:creationId xmlns:a16="http://schemas.microsoft.com/office/drawing/2014/main" id="{E4CCE566-F20B-4461-8B28-64A4F5D9EE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7" name="Elipse 6236">
          <a:extLst>
            <a:ext uri="{FF2B5EF4-FFF2-40B4-BE49-F238E27FC236}">
              <a16:creationId xmlns:a16="http://schemas.microsoft.com/office/drawing/2014/main" id="{AF548FA6-8947-420C-BDAD-D17D579FAF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8" name="Elipse 6237">
          <a:extLst>
            <a:ext uri="{FF2B5EF4-FFF2-40B4-BE49-F238E27FC236}">
              <a16:creationId xmlns:a16="http://schemas.microsoft.com/office/drawing/2014/main" id="{E9A88C82-35F2-44D6-A0B2-D06AD02ADD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39" name="Elipse 6238">
          <a:extLst>
            <a:ext uri="{FF2B5EF4-FFF2-40B4-BE49-F238E27FC236}">
              <a16:creationId xmlns:a16="http://schemas.microsoft.com/office/drawing/2014/main" id="{321F24DA-7803-481B-9105-14EA9B8447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0" name="Elipse 6239">
          <a:extLst>
            <a:ext uri="{FF2B5EF4-FFF2-40B4-BE49-F238E27FC236}">
              <a16:creationId xmlns:a16="http://schemas.microsoft.com/office/drawing/2014/main" id="{A89BCC64-D4CE-4154-91A4-95F9BB2530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1" name="Elipse 6240">
          <a:extLst>
            <a:ext uri="{FF2B5EF4-FFF2-40B4-BE49-F238E27FC236}">
              <a16:creationId xmlns:a16="http://schemas.microsoft.com/office/drawing/2014/main" id="{A2C50A8D-7034-44EB-AAD5-C80FC7AD9D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2" name="Elipse 6241">
          <a:extLst>
            <a:ext uri="{FF2B5EF4-FFF2-40B4-BE49-F238E27FC236}">
              <a16:creationId xmlns:a16="http://schemas.microsoft.com/office/drawing/2014/main" id="{E06E0A5D-9464-4F31-AB79-4B9D794BED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3" name="Elipse 6242">
          <a:extLst>
            <a:ext uri="{FF2B5EF4-FFF2-40B4-BE49-F238E27FC236}">
              <a16:creationId xmlns:a16="http://schemas.microsoft.com/office/drawing/2014/main" id="{52BDBE5D-4CD9-4D86-96E0-8CAA7B4A06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4" name="Elipse 6243">
          <a:extLst>
            <a:ext uri="{FF2B5EF4-FFF2-40B4-BE49-F238E27FC236}">
              <a16:creationId xmlns:a16="http://schemas.microsoft.com/office/drawing/2014/main" id="{EA1FA69C-2E0E-46BB-BCBB-14D0AC8E53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5" name="Elipse 6244">
          <a:extLst>
            <a:ext uri="{FF2B5EF4-FFF2-40B4-BE49-F238E27FC236}">
              <a16:creationId xmlns:a16="http://schemas.microsoft.com/office/drawing/2014/main" id="{D7659DC0-EAC6-40FD-9155-3F6FC5403D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6" name="Elipse 6245">
          <a:extLst>
            <a:ext uri="{FF2B5EF4-FFF2-40B4-BE49-F238E27FC236}">
              <a16:creationId xmlns:a16="http://schemas.microsoft.com/office/drawing/2014/main" id="{512B6860-04BE-40B7-8550-36EC6FAF92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7" name="Elipse 6246">
          <a:extLst>
            <a:ext uri="{FF2B5EF4-FFF2-40B4-BE49-F238E27FC236}">
              <a16:creationId xmlns:a16="http://schemas.microsoft.com/office/drawing/2014/main" id="{AC51948E-6EC1-4A0F-8C56-7D366A7B57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8" name="Elipse 6247">
          <a:extLst>
            <a:ext uri="{FF2B5EF4-FFF2-40B4-BE49-F238E27FC236}">
              <a16:creationId xmlns:a16="http://schemas.microsoft.com/office/drawing/2014/main" id="{8CA33AFA-DEEB-4032-99D3-324E2A1C6C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49" name="Elipse 6248">
          <a:extLst>
            <a:ext uri="{FF2B5EF4-FFF2-40B4-BE49-F238E27FC236}">
              <a16:creationId xmlns:a16="http://schemas.microsoft.com/office/drawing/2014/main" id="{692A76A5-23D3-4B42-9B1F-C8E3686958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0" name="Elipse 6249">
          <a:extLst>
            <a:ext uri="{FF2B5EF4-FFF2-40B4-BE49-F238E27FC236}">
              <a16:creationId xmlns:a16="http://schemas.microsoft.com/office/drawing/2014/main" id="{E0F58485-F5BC-4FCA-91DF-FD2B481974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1" name="Elipse 6250">
          <a:extLst>
            <a:ext uri="{FF2B5EF4-FFF2-40B4-BE49-F238E27FC236}">
              <a16:creationId xmlns:a16="http://schemas.microsoft.com/office/drawing/2014/main" id="{AAB2004F-90BF-46BE-977A-E053A4093B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2" name="Elipse 6251">
          <a:extLst>
            <a:ext uri="{FF2B5EF4-FFF2-40B4-BE49-F238E27FC236}">
              <a16:creationId xmlns:a16="http://schemas.microsoft.com/office/drawing/2014/main" id="{9AE06B61-4170-4FDE-B9DB-F33F796F0C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3" name="Elipse 6252">
          <a:extLst>
            <a:ext uri="{FF2B5EF4-FFF2-40B4-BE49-F238E27FC236}">
              <a16:creationId xmlns:a16="http://schemas.microsoft.com/office/drawing/2014/main" id="{B9D24719-5BBA-4ABB-B9FA-B8B33F1BD6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4" name="Elipse 6253">
          <a:extLst>
            <a:ext uri="{FF2B5EF4-FFF2-40B4-BE49-F238E27FC236}">
              <a16:creationId xmlns:a16="http://schemas.microsoft.com/office/drawing/2014/main" id="{98A2E630-9A92-468A-9621-E0C2B02213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5" name="Elipse 6254">
          <a:extLst>
            <a:ext uri="{FF2B5EF4-FFF2-40B4-BE49-F238E27FC236}">
              <a16:creationId xmlns:a16="http://schemas.microsoft.com/office/drawing/2014/main" id="{D0F71ACA-825F-480E-B38D-2C72DA8FEE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6" name="Elipse 6255">
          <a:extLst>
            <a:ext uri="{FF2B5EF4-FFF2-40B4-BE49-F238E27FC236}">
              <a16:creationId xmlns:a16="http://schemas.microsoft.com/office/drawing/2014/main" id="{698D6473-86AF-4DC8-A29B-C38E969678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7" name="Elipse 6256">
          <a:extLst>
            <a:ext uri="{FF2B5EF4-FFF2-40B4-BE49-F238E27FC236}">
              <a16:creationId xmlns:a16="http://schemas.microsoft.com/office/drawing/2014/main" id="{D8267665-9540-4CC7-8941-BF194CE500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8" name="Elipse 6257">
          <a:extLst>
            <a:ext uri="{FF2B5EF4-FFF2-40B4-BE49-F238E27FC236}">
              <a16:creationId xmlns:a16="http://schemas.microsoft.com/office/drawing/2014/main" id="{E3713C75-082B-4B57-91BE-A2E28129E0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59" name="Elipse 6258">
          <a:extLst>
            <a:ext uri="{FF2B5EF4-FFF2-40B4-BE49-F238E27FC236}">
              <a16:creationId xmlns:a16="http://schemas.microsoft.com/office/drawing/2014/main" id="{D15CDFAA-4AED-437B-A3F9-D0CC04EEEF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0" name="Elipse 6259">
          <a:extLst>
            <a:ext uri="{FF2B5EF4-FFF2-40B4-BE49-F238E27FC236}">
              <a16:creationId xmlns:a16="http://schemas.microsoft.com/office/drawing/2014/main" id="{562C9907-DBF8-4009-8B84-40B3745AFD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1" name="Elipse 6260">
          <a:extLst>
            <a:ext uri="{FF2B5EF4-FFF2-40B4-BE49-F238E27FC236}">
              <a16:creationId xmlns:a16="http://schemas.microsoft.com/office/drawing/2014/main" id="{65BE17D3-1D42-45AC-88B6-EAB1E36EC2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2" name="Elipse 6261">
          <a:extLst>
            <a:ext uri="{FF2B5EF4-FFF2-40B4-BE49-F238E27FC236}">
              <a16:creationId xmlns:a16="http://schemas.microsoft.com/office/drawing/2014/main" id="{CB0286BB-098E-4DA1-87B9-419544B538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3" name="Elipse 6262">
          <a:extLst>
            <a:ext uri="{FF2B5EF4-FFF2-40B4-BE49-F238E27FC236}">
              <a16:creationId xmlns:a16="http://schemas.microsoft.com/office/drawing/2014/main" id="{7C8F4694-D5B2-49EA-81A1-D50922F137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4" name="Elipse 6263">
          <a:extLst>
            <a:ext uri="{FF2B5EF4-FFF2-40B4-BE49-F238E27FC236}">
              <a16:creationId xmlns:a16="http://schemas.microsoft.com/office/drawing/2014/main" id="{5B8A188D-FC4A-47F6-9716-21B90F69CA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5" name="Elipse 6264">
          <a:extLst>
            <a:ext uri="{FF2B5EF4-FFF2-40B4-BE49-F238E27FC236}">
              <a16:creationId xmlns:a16="http://schemas.microsoft.com/office/drawing/2014/main" id="{9326DAA8-D15D-45DE-9B5F-7EDC793C58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6" name="Elipse 6265">
          <a:extLst>
            <a:ext uri="{FF2B5EF4-FFF2-40B4-BE49-F238E27FC236}">
              <a16:creationId xmlns:a16="http://schemas.microsoft.com/office/drawing/2014/main" id="{396F81C7-E9F1-48A8-946C-7721096E1E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7" name="Elipse 6266">
          <a:extLst>
            <a:ext uri="{FF2B5EF4-FFF2-40B4-BE49-F238E27FC236}">
              <a16:creationId xmlns:a16="http://schemas.microsoft.com/office/drawing/2014/main" id="{1794681C-5B0E-4FA6-AEA8-4AF9874E40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8" name="Elipse 6267">
          <a:extLst>
            <a:ext uri="{FF2B5EF4-FFF2-40B4-BE49-F238E27FC236}">
              <a16:creationId xmlns:a16="http://schemas.microsoft.com/office/drawing/2014/main" id="{322F91C9-D1C0-4A79-94DA-2FB7072586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69" name="Elipse 6268">
          <a:extLst>
            <a:ext uri="{FF2B5EF4-FFF2-40B4-BE49-F238E27FC236}">
              <a16:creationId xmlns:a16="http://schemas.microsoft.com/office/drawing/2014/main" id="{6917198C-72FD-41EA-8D16-C9D0052A4A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0" name="Elipse 6269">
          <a:extLst>
            <a:ext uri="{FF2B5EF4-FFF2-40B4-BE49-F238E27FC236}">
              <a16:creationId xmlns:a16="http://schemas.microsoft.com/office/drawing/2014/main" id="{494A4B37-C508-45F4-A6DD-7F9BD6B8E8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1" name="Elipse 6270">
          <a:extLst>
            <a:ext uri="{FF2B5EF4-FFF2-40B4-BE49-F238E27FC236}">
              <a16:creationId xmlns:a16="http://schemas.microsoft.com/office/drawing/2014/main" id="{C1810D31-2EC7-4635-B9F3-A94FA068D4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2" name="Elipse 6271">
          <a:extLst>
            <a:ext uri="{FF2B5EF4-FFF2-40B4-BE49-F238E27FC236}">
              <a16:creationId xmlns:a16="http://schemas.microsoft.com/office/drawing/2014/main" id="{8AE97B28-7A22-4746-86A2-81A71E65C8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3" name="Elipse 6272">
          <a:extLst>
            <a:ext uri="{FF2B5EF4-FFF2-40B4-BE49-F238E27FC236}">
              <a16:creationId xmlns:a16="http://schemas.microsoft.com/office/drawing/2014/main" id="{B6A6FA25-35DB-48A7-8A5F-99CA488E2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4" name="Elipse 6273">
          <a:extLst>
            <a:ext uri="{FF2B5EF4-FFF2-40B4-BE49-F238E27FC236}">
              <a16:creationId xmlns:a16="http://schemas.microsoft.com/office/drawing/2014/main" id="{23EEBAAF-3328-4AFD-A6B2-8C57343C60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5" name="Elipse 6274">
          <a:extLst>
            <a:ext uri="{FF2B5EF4-FFF2-40B4-BE49-F238E27FC236}">
              <a16:creationId xmlns:a16="http://schemas.microsoft.com/office/drawing/2014/main" id="{19C09CAC-57CD-462F-B509-4247F614EC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6" name="Elipse 6275">
          <a:extLst>
            <a:ext uri="{FF2B5EF4-FFF2-40B4-BE49-F238E27FC236}">
              <a16:creationId xmlns:a16="http://schemas.microsoft.com/office/drawing/2014/main" id="{B515FC85-C2BE-451B-9D6E-F1B784B9D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7" name="Elipse 6276">
          <a:extLst>
            <a:ext uri="{FF2B5EF4-FFF2-40B4-BE49-F238E27FC236}">
              <a16:creationId xmlns:a16="http://schemas.microsoft.com/office/drawing/2014/main" id="{6E2E5184-BD33-4CDA-85E7-3273A3AFF0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8" name="Elipse 6277">
          <a:extLst>
            <a:ext uri="{FF2B5EF4-FFF2-40B4-BE49-F238E27FC236}">
              <a16:creationId xmlns:a16="http://schemas.microsoft.com/office/drawing/2014/main" id="{B757BE6A-5412-4BF7-9771-9210AC9D64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79" name="Elipse 6278">
          <a:extLst>
            <a:ext uri="{FF2B5EF4-FFF2-40B4-BE49-F238E27FC236}">
              <a16:creationId xmlns:a16="http://schemas.microsoft.com/office/drawing/2014/main" id="{F461538D-3FF5-4251-AF08-3B6BF3D7B6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0" name="Elipse 6279">
          <a:extLst>
            <a:ext uri="{FF2B5EF4-FFF2-40B4-BE49-F238E27FC236}">
              <a16:creationId xmlns:a16="http://schemas.microsoft.com/office/drawing/2014/main" id="{C8CFB69E-F4D5-46F8-9AA3-15183F65F2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1" name="Elipse 6280">
          <a:extLst>
            <a:ext uri="{FF2B5EF4-FFF2-40B4-BE49-F238E27FC236}">
              <a16:creationId xmlns:a16="http://schemas.microsoft.com/office/drawing/2014/main" id="{132113D9-1B55-43F3-B438-AF0F2647EF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2" name="Elipse 6281">
          <a:extLst>
            <a:ext uri="{FF2B5EF4-FFF2-40B4-BE49-F238E27FC236}">
              <a16:creationId xmlns:a16="http://schemas.microsoft.com/office/drawing/2014/main" id="{BC2EA548-6D13-42A8-BF6E-7D4D42B2AA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3" name="Elipse 6282">
          <a:extLst>
            <a:ext uri="{FF2B5EF4-FFF2-40B4-BE49-F238E27FC236}">
              <a16:creationId xmlns:a16="http://schemas.microsoft.com/office/drawing/2014/main" id="{EAEFE087-22DF-49A9-8649-EBB5F216A9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4" name="Elipse 6283">
          <a:extLst>
            <a:ext uri="{FF2B5EF4-FFF2-40B4-BE49-F238E27FC236}">
              <a16:creationId xmlns:a16="http://schemas.microsoft.com/office/drawing/2014/main" id="{41BDBC91-6B14-454D-908C-6194C1E6DA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5" name="Elipse 6284">
          <a:extLst>
            <a:ext uri="{FF2B5EF4-FFF2-40B4-BE49-F238E27FC236}">
              <a16:creationId xmlns:a16="http://schemas.microsoft.com/office/drawing/2014/main" id="{4CD4B8F1-4173-4FE8-A798-209EA51669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6" name="Elipse 6285">
          <a:extLst>
            <a:ext uri="{FF2B5EF4-FFF2-40B4-BE49-F238E27FC236}">
              <a16:creationId xmlns:a16="http://schemas.microsoft.com/office/drawing/2014/main" id="{D14CB8B5-865C-454D-979F-69C447D5A8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7" name="Elipse 6286">
          <a:extLst>
            <a:ext uri="{FF2B5EF4-FFF2-40B4-BE49-F238E27FC236}">
              <a16:creationId xmlns:a16="http://schemas.microsoft.com/office/drawing/2014/main" id="{5F715015-B7FB-4D94-B20F-67BB781EAF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8" name="Elipse 6287">
          <a:extLst>
            <a:ext uri="{FF2B5EF4-FFF2-40B4-BE49-F238E27FC236}">
              <a16:creationId xmlns:a16="http://schemas.microsoft.com/office/drawing/2014/main" id="{973BE019-CFAD-4F00-AB84-A428EEA3D1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89" name="Elipse 6288">
          <a:extLst>
            <a:ext uri="{FF2B5EF4-FFF2-40B4-BE49-F238E27FC236}">
              <a16:creationId xmlns:a16="http://schemas.microsoft.com/office/drawing/2014/main" id="{85E865B2-2FE0-4D85-92BF-92FBFB2BB3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0" name="Elipse 6289">
          <a:extLst>
            <a:ext uri="{FF2B5EF4-FFF2-40B4-BE49-F238E27FC236}">
              <a16:creationId xmlns:a16="http://schemas.microsoft.com/office/drawing/2014/main" id="{BFC54F98-FDC4-4C3B-9FAF-0E0E7BAF93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1" name="Elipse 6290">
          <a:extLst>
            <a:ext uri="{FF2B5EF4-FFF2-40B4-BE49-F238E27FC236}">
              <a16:creationId xmlns:a16="http://schemas.microsoft.com/office/drawing/2014/main" id="{F68D4274-B1CE-4B46-B6FB-824CD9BC23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2" name="Elipse 6291">
          <a:extLst>
            <a:ext uri="{FF2B5EF4-FFF2-40B4-BE49-F238E27FC236}">
              <a16:creationId xmlns:a16="http://schemas.microsoft.com/office/drawing/2014/main" id="{DCAA375C-B466-4EF1-A539-71E0557BDE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3" name="Elipse 6292">
          <a:extLst>
            <a:ext uri="{FF2B5EF4-FFF2-40B4-BE49-F238E27FC236}">
              <a16:creationId xmlns:a16="http://schemas.microsoft.com/office/drawing/2014/main" id="{69395E7C-AB23-4045-8AA1-8E05AD6258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4" name="Elipse 6293">
          <a:extLst>
            <a:ext uri="{FF2B5EF4-FFF2-40B4-BE49-F238E27FC236}">
              <a16:creationId xmlns:a16="http://schemas.microsoft.com/office/drawing/2014/main" id="{166D95DC-16C7-4BE5-B4AE-2972135D2B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5" name="Elipse 6294">
          <a:extLst>
            <a:ext uri="{FF2B5EF4-FFF2-40B4-BE49-F238E27FC236}">
              <a16:creationId xmlns:a16="http://schemas.microsoft.com/office/drawing/2014/main" id="{F3D6DD07-C2AB-472C-8114-19C761962B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6" name="Elipse 6295">
          <a:extLst>
            <a:ext uri="{FF2B5EF4-FFF2-40B4-BE49-F238E27FC236}">
              <a16:creationId xmlns:a16="http://schemas.microsoft.com/office/drawing/2014/main" id="{CE2C6F0E-5C43-4124-9CD2-72E1A6C88F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7" name="Elipse 6296">
          <a:extLst>
            <a:ext uri="{FF2B5EF4-FFF2-40B4-BE49-F238E27FC236}">
              <a16:creationId xmlns:a16="http://schemas.microsoft.com/office/drawing/2014/main" id="{889D02EA-683A-4E7D-8B3D-70C672BD12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8" name="Elipse 6297">
          <a:extLst>
            <a:ext uri="{FF2B5EF4-FFF2-40B4-BE49-F238E27FC236}">
              <a16:creationId xmlns:a16="http://schemas.microsoft.com/office/drawing/2014/main" id="{4A1FBB46-41D1-486B-8F7A-01A460861D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299" name="Elipse 6298">
          <a:extLst>
            <a:ext uri="{FF2B5EF4-FFF2-40B4-BE49-F238E27FC236}">
              <a16:creationId xmlns:a16="http://schemas.microsoft.com/office/drawing/2014/main" id="{DFEF0EDF-F307-49A3-BD69-EE6A6E2A99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0" name="Elipse 6299">
          <a:extLst>
            <a:ext uri="{FF2B5EF4-FFF2-40B4-BE49-F238E27FC236}">
              <a16:creationId xmlns:a16="http://schemas.microsoft.com/office/drawing/2014/main" id="{549D28E4-BB10-4A46-A1BC-052D359CE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1" name="Elipse 6300">
          <a:extLst>
            <a:ext uri="{FF2B5EF4-FFF2-40B4-BE49-F238E27FC236}">
              <a16:creationId xmlns:a16="http://schemas.microsoft.com/office/drawing/2014/main" id="{5299B717-B495-4A45-8E04-165816D23B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2" name="Elipse 6301">
          <a:extLst>
            <a:ext uri="{FF2B5EF4-FFF2-40B4-BE49-F238E27FC236}">
              <a16:creationId xmlns:a16="http://schemas.microsoft.com/office/drawing/2014/main" id="{A48437B6-05F5-43FE-A66F-C09903F587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3" name="Elipse 6302">
          <a:extLst>
            <a:ext uri="{FF2B5EF4-FFF2-40B4-BE49-F238E27FC236}">
              <a16:creationId xmlns:a16="http://schemas.microsoft.com/office/drawing/2014/main" id="{0EABC495-4FFA-4140-8BEA-318175ABDA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4" name="Elipse 6303">
          <a:extLst>
            <a:ext uri="{FF2B5EF4-FFF2-40B4-BE49-F238E27FC236}">
              <a16:creationId xmlns:a16="http://schemas.microsoft.com/office/drawing/2014/main" id="{A9F10B5F-1D53-46FE-BBDC-F99329DC10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5" name="Elipse 6304">
          <a:extLst>
            <a:ext uri="{FF2B5EF4-FFF2-40B4-BE49-F238E27FC236}">
              <a16:creationId xmlns:a16="http://schemas.microsoft.com/office/drawing/2014/main" id="{F65AC00E-6993-4B30-8049-EC69D4930F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6" name="Elipse 6305">
          <a:extLst>
            <a:ext uri="{FF2B5EF4-FFF2-40B4-BE49-F238E27FC236}">
              <a16:creationId xmlns:a16="http://schemas.microsoft.com/office/drawing/2014/main" id="{2FAB3EAE-4A11-4EC0-82F3-424E9E5C8C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7" name="Elipse 6306">
          <a:extLst>
            <a:ext uri="{FF2B5EF4-FFF2-40B4-BE49-F238E27FC236}">
              <a16:creationId xmlns:a16="http://schemas.microsoft.com/office/drawing/2014/main" id="{BF0B5521-4B50-4F53-9409-4E2606AC58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8" name="Elipse 6307">
          <a:extLst>
            <a:ext uri="{FF2B5EF4-FFF2-40B4-BE49-F238E27FC236}">
              <a16:creationId xmlns:a16="http://schemas.microsoft.com/office/drawing/2014/main" id="{8254D0A6-D487-4BB3-A557-071D82652A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09" name="Elipse 6308">
          <a:extLst>
            <a:ext uri="{FF2B5EF4-FFF2-40B4-BE49-F238E27FC236}">
              <a16:creationId xmlns:a16="http://schemas.microsoft.com/office/drawing/2014/main" id="{35303005-7314-4457-9241-5E8BE805AC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0" name="Elipse 6309">
          <a:extLst>
            <a:ext uri="{FF2B5EF4-FFF2-40B4-BE49-F238E27FC236}">
              <a16:creationId xmlns:a16="http://schemas.microsoft.com/office/drawing/2014/main" id="{3A748040-19D1-4E9F-B609-69660C98F5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1" name="Elipse 6310">
          <a:extLst>
            <a:ext uri="{FF2B5EF4-FFF2-40B4-BE49-F238E27FC236}">
              <a16:creationId xmlns:a16="http://schemas.microsoft.com/office/drawing/2014/main" id="{479A429B-00F4-45F1-BB83-AD7E715FB5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2" name="Elipse 6311">
          <a:extLst>
            <a:ext uri="{FF2B5EF4-FFF2-40B4-BE49-F238E27FC236}">
              <a16:creationId xmlns:a16="http://schemas.microsoft.com/office/drawing/2014/main" id="{8E8B74C1-8661-4D89-BEB7-B41AF2051A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3" name="Elipse 6312">
          <a:extLst>
            <a:ext uri="{FF2B5EF4-FFF2-40B4-BE49-F238E27FC236}">
              <a16:creationId xmlns:a16="http://schemas.microsoft.com/office/drawing/2014/main" id="{37BB3152-12D4-4662-8189-00366AC3B7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4" name="Elipse 6313">
          <a:extLst>
            <a:ext uri="{FF2B5EF4-FFF2-40B4-BE49-F238E27FC236}">
              <a16:creationId xmlns:a16="http://schemas.microsoft.com/office/drawing/2014/main" id="{8A4EFC2F-6C84-4272-A8F1-FA4A670CAD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5" name="Elipse 6314">
          <a:extLst>
            <a:ext uri="{FF2B5EF4-FFF2-40B4-BE49-F238E27FC236}">
              <a16:creationId xmlns:a16="http://schemas.microsoft.com/office/drawing/2014/main" id="{3A465872-0BD8-414C-B6E5-2BB5425554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6" name="Elipse 6315">
          <a:extLst>
            <a:ext uri="{FF2B5EF4-FFF2-40B4-BE49-F238E27FC236}">
              <a16:creationId xmlns:a16="http://schemas.microsoft.com/office/drawing/2014/main" id="{2EC29840-36D9-4481-B78C-DA8FB7CB85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7" name="Elipse 6316">
          <a:extLst>
            <a:ext uri="{FF2B5EF4-FFF2-40B4-BE49-F238E27FC236}">
              <a16:creationId xmlns:a16="http://schemas.microsoft.com/office/drawing/2014/main" id="{DDC64C7C-F9E0-495A-91F8-1842E69B19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8" name="Elipse 6317">
          <a:extLst>
            <a:ext uri="{FF2B5EF4-FFF2-40B4-BE49-F238E27FC236}">
              <a16:creationId xmlns:a16="http://schemas.microsoft.com/office/drawing/2014/main" id="{616C3C44-1C05-4407-A9F2-2DF97912B7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19" name="Elipse 6318">
          <a:extLst>
            <a:ext uri="{FF2B5EF4-FFF2-40B4-BE49-F238E27FC236}">
              <a16:creationId xmlns:a16="http://schemas.microsoft.com/office/drawing/2014/main" id="{6BEC59DA-5B13-4DDF-BCCC-5A37118CF3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0" name="Elipse 6319">
          <a:extLst>
            <a:ext uri="{FF2B5EF4-FFF2-40B4-BE49-F238E27FC236}">
              <a16:creationId xmlns:a16="http://schemas.microsoft.com/office/drawing/2014/main" id="{5D19B9B4-3DAE-483A-AC4F-0D4505946A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1" name="Elipse 6320">
          <a:extLst>
            <a:ext uri="{FF2B5EF4-FFF2-40B4-BE49-F238E27FC236}">
              <a16:creationId xmlns:a16="http://schemas.microsoft.com/office/drawing/2014/main" id="{F6C0AD7E-62F0-403C-87F7-EB2E19DAD9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2" name="Elipse 6321">
          <a:extLst>
            <a:ext uri="{FF2B5EF4-FFF2-40B4-BE49-F238E27FC236}">
              <a16:creationId xmlns:a16="http://schemas.microsoft.com/office/drawing/2014/main" id="{7D833F32-33E4-481D-9C04-3927CEC2C0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3" name="Elipse 6322">
          <a:extLst>
            <a:ext uri="{FF2B5EF4-FFF2-40B4-BE49-F238E27FC236}">
              <a16:creationId xmlns:a16="http://schemas.microsoft.com/office/drawing/2014/main" id="{7C84A24B-2B82-4F2A-8B5A-819858846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4" name="Elipse 6323">
          <a:extLst>
            <a:ext uri="{FF2B5EF4-FFF2-40B4-BE49-F238E27FC236}">
              <a16:creationId xmlns:a16="http://schemas.microsoft.com/office/drawing/2014/main" id="{C5E20EEB-B035-483B-9DF3-7D37B6FB9C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5" name="Elipse 6324">
          <a:extLst>
            <a:ext uri="{FF2B5EF4-FFF2-40B4-BE49-F238E27FC236}">
              <a16:creationId xmlns:a16="http://schemas.microsoft.com/office/drawing/2014/main" id="{3C26D442-D756-4510-A76D-AB156599B1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6" name="Elipse 6325">
          <a:extLst>
            <a:ext uri="{FF2B5EF4-FFF2-40B4-BE49-F238E27FC236}">
              <a16:creationId xmlns:a16="http://schemas.microsoft.com/office/drawing/2014/main" id="{C3F69DCA-1F88-48D3-8221-BC12209697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7" name="Elipse 6326">
          <a:extLst>
            <a:ext uri="{FF2B5EF4-FFF2-40B4-BE49-F238E27FC236}">
              <a16:creationId xmlns:a16="http://schemas.microsoft.com/office/drawing/2014/main" id="{2F231E8D-26D9-43E7-BD74-754B4331C0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8" name="Elipse 6327">
          <a:extLst>
            <a:ext uri="{FF2B5EF4-FFF2-40B4-BE49-F238E27FC236}">
              <a16:creationId xmlns:a16="http://schemas.microsoft.com/office/drawing/2014/main" id="{2AFC0749-71BD-43C6-87E3-99307DE7CB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29" name="Elipse 6328">
          <a:extLst>
            <a:ext uri="{FF2B5EF4-FFF2-40B4-BE49-F238E27FC236}">
              <a16:creationId xmlns:a16="http://schemas.microsoft.com/office/drawing/2014/main" id="{7EA63273-3E25-4EC3-AA1B-66F6BD65C1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0" name="Elipse 6329">
          <a:extLst>
            <a:ext uri="{FF2B5EF4-FFF2-40B4-BE49-F238E27FC236}">
              <a16:creationId xmlns:a16="http://schemas.microsoft.com/office/drawing/2014/main" id="{9F1A6F07-C80F-4B00-A517-5F202572F3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1" name="Elipse 6330">
          <a:extLst>
            <a:ext uri="{FF2B5EF4-FFF2-40B4-BE49-F238E27FC236}">
              <a16:creationId xmlns:a16="http://schemas.microsoft.com/office/drawing/2014/main" id="{11E97C7E-60FF-447C-858C-D345C1A9DD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2" name="Elipse 6331">
          <a:extLst>
            <a:ext uri="{FF2B5EF4-FFF2-40B4-BE49-F238E27FC236}">
              <a16:creationId xmlns:a16="http://schemas.microsoft.com/office/drawing/2014/main" id="{C1DED51C-59E4-42B2-BE66-5427979AAE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3" name="Elipse 6332">
          <a:extLst>
            <a:ext uri="{FF2B5EF4-FFF2-40B4-BE49-F238E27FC236}">
              <a16:creationId xmlns:a16="http://schemas.microsoft.com/office/drawing/2014/main" id="{4CF87E74-AE86-48A0-85D6-C281834B6C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4" name="Elipse 6333">
          <a:extLst>
            <a:ext uri="{FF2B5EF4-FFF2-40B4-BE49-F238E27FC236}">
              <a16:creationId xmlns:a16="http://schemas.microsoft.com/office/drawing/2014/main" id="{96B8975C-850A-499B-AD84-AE0AB2683D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5" name="Elipse 6334">
          <a:extLst>
            <a:ext uri="{FF2B5EF4-FFF2-40B4-BE49-F238E27FC236}">
              <a16:creationId xmlns:a16="http://schemas.microsoft.com/office/drawing/2014/main" id="{3ACB1459-211B-46B6-A277-E11CE9E3CB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6" name="Elipse 6335">
          <a:extLst>
            <a:ext uri="{FF2B5EF4-FFF2-40B4-BE49-F238E27FC236}">
              <a16:creationId xmlns:a16="http://schemas.microsoft.com/office/drawing/2014/main" id="{AAD9FFCC-19A0-4654-87D9-9E7F64760F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7" name="Elipse 6336">
          <a:extLst>
            <a:ext uri="{FF2B5EF4-FFF2-40B4-BE49-F238E27FC236}">
              <a16:creationId xmlns:a16="http://schemas.microsoft.com/office/drawing/2014/main" id="{4B39127A-FB2C-45B0-B353-71BC3D42F9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8" name="Elipse 6337">
          <a:extLst>
            <a:ext uri="{FF2B5EF4-FFF2-40B4-BE49-F238E27FC236}">
              <a16:creationId xmlns:a16="http://schemas.microsoft.com/office/drawing/2014/main" id="{ED9105C6-C9A2-4D0E-9B67-3BAFD4230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39" name="Elipse 6338">
          <a:extLst>
            <a:ext uri="{FF2B5EF4-FFF2-40B4-BE49-F238E27FC236}">
              <a16:creationId xmlns:a16="http://schemas.microsoft.com/office/drawing/2014/main" id="{BB373B62-F8DE-43FC-A51D-603B42CAAA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0" name="Elipse 6339">
          <a:extLst>
            <a:ext uri="{FF2B5EF4-FFF2-40B4-BE49-F238E27FC236}">
              <a16:creationId xmlns:a16="http://schemas.microsoft.com/office/drawing/2014/main" id="{91244DB6-B242-424C-860D-D519AE0675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1" name="Elipse 6340">
          <a:extLst>
            <a:ext uri="{FF2B5EF4-FFF2-40B4-BE49-F238E27FC236}">
              <a16:creationId xmlns:a16="http://schemas.microsoft.com/office/drawing/2014/main" id="{B630F88F-9B54-4646-A68A-2A6961AC2D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2" name="Elipse 6341">
          <a:extLst>
            <a:ext uri="{FF2B5EF4-FFF2-40B4-BE49-F238E27FC236}">
              <a16:creationId xmlns:a16="http://schemas.microsoft.com/office/drawing/2014/main" id="{E6CBBCB3-CFDB-46B8-887D-696DFEFD9F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3" name="Elipse 6342">
          <a:extLst>
            <a:ext uri="{FF2B5EF4-FFF2-40B4-BE49-F238E27FC236}">
              <a16:creationId xmlns:a16="http://schemas.microsoft.com/office/drawing/2014/main" id="{2E4DAD59-6D42-4A5D-BA95-14D2E52271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4" name="Elipse 6343">
          <a:extLst>
            <a:ext uri="{FF2B5EF4-FFF2-40B4-BE49-F238E27FC236}">
              <a16:creationId xmlns:a16="http://schemas.microsoft.com/office/drawing/2014/main" id="{647B5BB6-3B99-47F6-A9CA-0ECFF44B10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5" name="Elipse 6344">
          <a:extLst>
            <a:ext uri="{FF2B5EF4-FFF2-40B4-BE49-F238E27FC236}">
              <a16:creationId xmlns:a16="http://schemas.microsoft.com/office/drawing/2014/main" id="{C7FC4AFA-7FAF-4A2D-A8A9-BD9B1D8A3F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6" name="Elipse 6345">
          <a:extLst>
            <a:ext uri="{FF2B5EF4-FFF2-40B4-BE49-F238E27FC236}">
              <a16:creationId xmlns:a16="http://schemas.microsoft.com/office/drawing/2014/main" id="{647A4F51-5AD9-4A17-A9BB-7A41AEE598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7" name="Elipse 6346">
          <a:extLst>
            <a:ext uri="{FF2B5EF4-FFF2-40B4-BE49-F238E27FC236}">
              <a16:creationId xmlns:a16="http://schemas.microsoft.com/office/drawing/2014/main" id="{78E25FF1-590C-4594-B028-8AEC3EB192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8" name="Elipse 6347">
          <a:extLst>
            <a:ext uri="{FF2B5EF4-FFF2-40B4-BE49-F238E27FC236}">
              <a16:creationId xmlns:a16="http://schemas.microsoft.com/office/drawing/2014/main" id="{4E24532C-F610-46C6-92EC-9D1EE0DFEC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49" name="Elipse 6348">
          <a:extLst>
            <a:ext uri="{FF2B5EF4-FFF2-40B4-BE49-F238E27FC236}">
              <a16:creationId xmlns:a16="http://schemas.microsoft.com/office/drawing/2014/main" id="{1A032626-715F-4F28-A438-DAB1BAEF38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0" name="Elipse 6349">
          <a:extLst>
            <a:ext uri="{FF2B5EF4-FFF2-40B4-BE49-F238E27FC236}">
              <a16:creationId xmlns:a16="http://schemas.microsoft.com/office/drawing/2014/main" id="{3696EC30-B3BE-4FC1-9E10-F0B29ABA88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1" name="Elipse 6350">
          <a:extLst>
            <a:ext uri="{FF2B5EF4-FFF2-40B4-BE49-F238E27FC236}">
              <a16:creationId xmlns:a16="http://schemas.microsoft.com/office/drawing/2014/main" id="{071378E9-DC7D-49D5-9B7D-2777919342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2" name="Elipse 6351">
          <a:extLst>
            <a:ext uri="{FF2B5EF4-FFF2-40B4-BE49-F238E27FC236}">
              <a16:creationId xmlns:a16="http://schemas.microsoft.com/office/drawing/2014/main" id="{2C4FD014-825B-491C-8D34-1A7141CA94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3" name="Elipse 6352">
          <a:extLst>
            <a:ext uri="{FF2B5EF4-FFF2-40B4-BE49-F238E27FC236}">
              <a16:creationId xmlns:a16="http://schemas.microsoft.com/office/drawing/2014/main" id="{E15A3B3D-E709-4B9C-B3A4-5B230B312A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4" name="Elipse 6353">
          <a:extLst>
            <a:ext uri="{FF2B5EF4-FFF2-40B4-BE49-F238E27FC236}">
              <a16:creationId xmlns:a16="http://schemas.microsoft.com/office/drawing/2014/main" id="{634B6BE4-7481-44CD-9439-5C21BBAB62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5" name="Elipse 6354">
          <a:extLst>
            <a:ext uri="{FF2B5EF4-FFF2-40B4-BE49-F238E27FC236}">
              <a16:creationId xmlns:a16="http://schemas.microsoft.com/office/drawing/2014/main" id="{50E70DE7-D84C-445D-AF48-70CEC95AC5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6" name="Elipse 6355">
          <a:extLst>
            <a:ext uri="{FF2B5EF4-FFF2-40B4-BE49-F238E27FC236}">
              <a16:creationId xmlns:a16="http://schemas.microsoft.com/office/drawing/2014/main" id="{C116AC4A-8DD9-498B-99E9-855D75A9EE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7" name="Elipse 6356">
          <a:extLst>
            <a:ext uri="{FF2B5EF4-FFF2-40B4-BE49-F238E27FC236}">
              <a16:creationId xmlns:a16="http://schemas.microsoft.com/office/drawing/2014/main" id="{9532B3C7-0F61-4C0C-BDD6-DC1E0AEAD7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8" name="Elipse 6357">
          <a:extLst>
            <a:ext uri="{FF2B5EF4-FFF2-40B4-BE49-F238E27FC236}">
              <a16:creationId xmlns:a16="http://schemas.microsoft.com/office/drawing/2014/main" id="{8821BDF2-8BC1-4890-90EB-F944E6F579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59" name="Elipse 6358">
          <a:extLst>
            <a:ext uri="{FF2B5EF4-FFF2-40B4-BE49-F238E27FC236}">
              <a16:creationId xmlns:a16="http://schemas.microsoft.com/office/drawing/2014/main" id="{219393AE-273E-41B5-B1C0-E8EF96608D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0" name="Elipse 6359">
          <a:extLst>
            <a:ext uri="{FF2B5EF4-FFF2-40B4-BE49-F238E27FC236}">
              <a16:creationId xmlns:a16="http://schemas.microsoft.com/office/drawing/2014/main" id="{700D34EE-593F-4513-9B27-F01599A72F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1" name="Elipse 6360">
          <a:extLst>
            <a:ext uri="{FF2B5EF4-FFF2-40B4-BE49-F238E27FC236}">
              <a16:creationId xmlns:a16="http://schemas.microsoft.com/office/drawing/2014/main" id="{5AAD120E-469C-4F23-9FF8-EC05670940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2" name="Elipse 6361">
          <a:extLst>
            <a:ext uri="{FF2B5EF4-FFF2-40B4-BE49-F238E27FC236}">
              <a16:creationId xmlns:a16="http://schemas.microsoft.com/office/drawing/2014/main" id="{8245ECE3-E24D-45C4-9109-F3FF33AB0B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3" name="Elipse 6362">
          <a:extLst>
            <a:ext uri="{FF2B5EF4-FFF2-40B4-BE49-F238E27FC236}">
              <a16:creationId xmlns:a16="http://schemas.microsoft.com/office/drawing/2014/main" id="{6C3A78D7-BA4A-45A2-81E1-E056B185F0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4" name="Elipse 6363">
          <a:extLst>
            <a:ext uri="{FF2B5EF4-FFF2-40B4-BE49-F238E27FC236}">
              <a16:creationId xmlns:a16="http://schemas.microsoft.com/office/drawing/2014/main" id="{97B7DF2C-A3FA-4503-9EC9-824318B691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5" name="Elipse 6364">
          <a:extLst>
            <a:ext uri="{FF2B5EF4-FFF2-40B4-BE49-F238E27FC236}">
              <a16:creationId xmlns:a16="http://schemas.microsoft.com/office/drawing/2014/main" id="{8ABD18B3-3190-42C3-AC6E-D50B3ED372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6" name="Elipse 6365">
          <a:extLst>
            <a:ext uri="{FF2B5EF4-FFF2-40B4-BE49-F238E27FC236}">
              <a16:creationId xmlns:a16="http://schemas.microsoft.com/office/drawing/2014/main" id="{80602B85-D822-4C10-8A39-9AA1E0E242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7" name="Elipse 6366">
          <a:extLst>
            <a:ext uri="{FF2B5EF4-FFF2-40B4-BE49-F238E27FC236}">
              <a16:creationId xmlns:a16="http://schemas.microsoft.com/office/drawing/2014/main" id="{B015B441-6E92-4E73-8A35-97A3FBF2CD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8" name="Elipse 6367">
          <a:extLst>
            <a:ext uri="{FF2B5EF4-FFF2-40B4-BE49-F238E27FC236}">
              <a16:creationId xmlns:a16="http://schemas.microsoft.com/office/drawing/2014/main" id="{E80793A2-D255-4A53-961D-A60265751D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69" name="Elipse 6368">
          <a:extLst>
            <a:ext uri="{FF2B5EF4-FFF2-40B4-BE49-F238E27FC236}">
              <a16:creationId xmlns:a16="http://schemas.microsoft.com/office/drawing/2014/main" id="{CD3A4B4D-1F7C-49DE-BB27-F8A7C49C6D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0" name="Elipse 6369">
          <a:extLst>
            <a:ext uri="{FF2B5EF4-FFF2-40B4-BE49-F238E27FC236}">
              <a16:creationId xmlns:a16="http://schemas.microsoft.com/office/drawing/2014/main" id="{73FA0F45-A1B6-4ABB-ABA2-CA2D239169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1" name="Elipse 6370">
          <a:extLst>
            <a:ext uri="{FF2B5EF4-FFF2-40B4-BE49-F238E27FC236}">
              <a16:creationId xmlns:a16="http://schemas.microsoft.com/office/drawing/2014/main" id="{92179856-101A-4880-9792-E5BD8A9895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2" name="Elipse 6371">
          <a:extLst>
            <a:ext uri="{FF2B5EF4-FFF2-40B4-BE49-F238E27FC236}">
              <a16:creationId xmlns:a16="http://schemas.microsoft.com/office/drawing/2014/main" id="{155256C3-9E93-457C-96D8-81F4A3882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3" name="Elipse 6372">
          <a:extLst>
            <a:ext uri="{FF2B5EF4-FFF2-40B4-BE49-F238E27FC236}">
              <a16:creationId xmlns:a16="http://schemas.microsoft.com/office/drawing/2014/main" id="{3976211E-535B-4C8C-919C-D5BC571DFE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4" name="Elipse 6373">
          <a:extLst>
            <a:ext uri="{FF2B5EF4-FFF2-40B4-BE49-F238E27FC236}">
              <a16:creationId xmlns:a16="http://schemas.microsoft.com/office/drawing/2014/main" id="{2C4BC05C-D413-41ED-99EE-4C733D0D3C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5" name="Elipse 6374">
          <a:extLst>
            <a:ext uri="{FF2B5EF4-FFF2-40B4-BE49-F238E27FC236}">
              <a16:creationId xmlns:a16="http://schemas.microsoft.com/office/drawing/2014/main" id="{0E2C8F6E-B21D-4940-9EBA-C1293DFAAD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6" name="Elipse 6375">
          <a:extLst>
            <a:ext uri="{FF2B5EF4-FFF2-40B4-BE49-F238E27FC236}">
              <a16:creationId xmlns:a16="http://schemas.microsoft.com/office/drawing/2014/main" id="{464BBE86-D8D0-4E01-B1A9-216E992469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7" name="Elipse 6376">
          <a:extLst>
            <a:ext uri="{FF2B5EF4-FFF2-40B4-BE49-F238E27FC236}">
              <a16:creationId xmlns:a16="http://schemas.microsoft.com/office/drawing/2014/main" id="{BF5340C0-B2FB-46CC-971C-0BD415F090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8" name="Elipse 6377">
          <a:extLst>
            <a:ext uri="{FF2B5EF4-FFF2-40B4-BE49-F238E27FC236}">
              <a16:creationId xmlns:a16="http://schemas.microsoft.com/office/drawing/2014/main" id="{56A838A0-C6DC-4BAE-854F-6455F057D1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79" name="Elipse 6378">
          <a:extLst>
            <a:ext uri="{FF2B5EF4-FFF2-40B4-BE49-F238E27FC236}">
              <a16:creationId xmlns:a16="http://schemas.microsoft.com/office/drawing/2014/main" id="{67F04CC1-D421-4419-B5DD-98779ABC53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0" name="Elipse 6379">
          <a:extLst>
            <a:ext uri="{FF2B5EF4-FFF2-40B4-BE49-F238E27FC236}">
              <a16:creationId xmlns:a16="http://schemas.microsoft.com/office/drawing/2014/main" id="{1CBCE00B-DB36-4C5F-8C08-688D973303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1" name="Elipse 6380">
          <a:extLst>
            <a:ext uri="{FF2B5EF4-FFF2-40B4-BE49-F238E27FC236}">
              <a16:creationId xmlns:a16="http://schemas.microsoft.com/office/drawing/2014/main" id="{75CE665F-4223-4B5A-8C47-51F9601C79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2" name="Elipse 6381">
          <a:extLst>
            <a:ext uri="{FF2B5EF4-FFF2-40B4-BE49-F238E27FC236}">
              <a16:creationId xmlns:a16="http://schemas.microsoft.com/office/drawing/2014/main" id="{7DFC7DF2-1CF8-4E3A-A520-F95CD08F85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3" name="Elipse 6382">
          <a:extLst>
            <a:ext uri="{FF2B5EF4-FFF2-40B4-BE49-F238E27FC236}">
              <a16:creationId xmlns:a16="http://schemas.microsoft.com/office/drawing/2014/main" id="{DDDA88E8-D85A-47B2-9649-E9C3AED080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4" name="Elipse 6383">
          <a:extLst>
            <a:ext uri="{FF2B5EF4-FFF2-40B4-BE49-F238E27FC236}">
              <a16:creationId xmlns:a16="http://schemas.microsoft.com/office/drawing/2014/main" id="{241D4529-D2A6-4BBC-8A53-25F93914BE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5" name="Elipse 6384">
          <a:extLst>
            <a:ext uri="{FF2B5EF4-FFF2-40B4-BE49-F238E27FC236}">
              <a16:creationId xmlns:a16="http://schemas.microsoft.com/office/drawing/2014/main" id="{0E520341-7ECA-4DAD-B222-5D549321A3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6" name="Elipse 6385">
          <a:extLst>
            <a:ext uri="{FF2B5EF4-FFF2-40B4-BE49-F238E27FC236}">
              <a16:creationId xmlns:a16="http://schemas.microsoft.com/office/drawing/2014/main" id="{79BF93C6-083A-426F-8551-9C9B70CD52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7" name="Elipse 6386">
          <a:extLst>
            <a:ext uri="{FF2B5EF4-FFF2-40B4-BE49-F238E27FC236}">
              <a16:creationId xmlns:a16="http://schemas.microsoft.com/office/drawing/2014/main" id="{B3D1B3A8-44AB-4C4C-82F9-F562C9305C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8" name="Elipse 6387">
          <a:extLst>
            <a:ext uri="{FF2B5EF4-FFF2-40B4-BE49-F238E27FC236}">
              <a16:creationId xmlns:a16="http://schemas.microsoft.com/office/drawing/2014/main" id="{BE94CD67-41E8-4AB0-B1CC-9567AB3C40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89" name="Elipse 6388">
          <a:extLst>
            <a:ext uri="{FF2B5EF4-FFF2-40B4-BE49-F238E27FC236}">
              <a16:creationId xmlns:a16="http://schemas.microsoft.com/office/drawing/2014/main" id="{DF15002F-8A3A-45B3-B4C6-AAD3BECFD2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0" name="Elipse 6389">
          <a:extLst>
            <a:ext uri="{FF2B5EF4-FFF2-40B4-BE49-F238E27FC236}">
              <a16:creationId xmlns:a16="http://schemas.microsoft.com/office/drawing/2014/main" id="{07DBAFD8-24EE-46BC-BB72-94B12EF904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1" name="Elipse 6390">
          <a:extLst>
            <a:ext uri="{FF2B5EF4-FFF2-40B4-BE49-F238E27FC236}">
              <a16:creationId xmlns:a16="http://schemas.microsoft.com/office/drawing/2014/main" id="{E8C1803F-758A-4865-9F12-11DA7B1B87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2" name="Elipse 6391">
          <a:extLst>
            <a:ext uri="{FF2B5EF4-FFF2-40B4-BE49-F238E27FC236}">
              <a16:creationId xmlns:a16="http://schemas.microsoft.com/office/drawing/2014/main" id="{D13CD8AA-DE5B-4E57-B3F0-2F0351D344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3" name="Elipse 6392">
          <a:extLst>
            <a:ext uri="{FF2B5EF4-FFF2-40B4-BE49-F238E27FC236}">
              <a16:creationId xmlns:a16="http://schemas.microsoft.com/office/drawing/2014/main" id="{912D8A57-0F4B-491C-BD89-4B6CD4B4DA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4" name="Elipse 6393">
          <a:extLst>
            <a:ext uri="{FF2B5EF4-FFF2-40B4-BE49-F238E27FC236}">
              <a16:creationId xmlns:a16="http://schemas.microsoft.com/office/drawing/2014/main" id="{73848D89-114F-4958-AB4E-1BF4ED0692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5" name="Elipse 6394">
          <a:extLst>
            <a:ext uri="{FF2B5EF4-FFF2-40B4-BE49-F238E27FC236}">
              <a16:creationId xmlns:a16="http://schemas.microsoft.com/office/drawing/2014/main" id="{8180938D-D131-42A3-9915-9BAA0C15E4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6" name="Elipse 6395">
          <a:extLst>
            <a:ext uri="{FF2B5EF4-FFF2-40B4-BE49-F238E27FC236}">
              <a16:creationId xmlns:a16="http://schemas.microsoft.com/office/drawing/2014/main" id="{3A1A610B-AE89-4CA0-81F7-9A0EE6D240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7" name="Elipse 6396">
          <a:extLst>
            <a:ext uri="{FF2B5EF4-FFF2-40B4-BE49-F238E27FC236}">
              <a16:creationId xmlns:a16="http://schemas.microsoft.com/office/drawing/2014/main" id="{A4FD928A-E75B-4D10-8AAC-6B6CB543C1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8" name="Elipse 6397">
          <a:extLst>
            <a:ext uri="{FF2B5EF4-FFF2-40B4-BE49-F238E27FC236}">
              <a16:creationId xmlns:a16="http://schemas.microsoft.com/office/drawing/2014/main" id="{C0F542BF-D49E-4742-9552-39A45A86BA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399" name="Elipse 6398">
          <a:extLst>
            <a:ext uri="{FF2B5EF4-FFF2-40B4-BE49-F238E27FC236}">
              <a16:creationId xmlns:a16="http://schemas.microsoft.com/office/drawing/2014/main" id="{A0F7A459-47AB-436D-A926-36A36CAFE9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0" name="Elipse 6399">
          <a:extLst>
            <a:ext uri="{FF2B5EF4-FFF2-40B4-BE49-F238E27FC236}">
              <a16:creationId xmlns:a16="http://schemas.microsoft.com/office/drawing/2014/main" id="{D204F897-2767-47D1-8C7C-CA9DA92B76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1" name="Elipse 6400">
          <a:extLst>
            <a:ext uri="{FF2B5EF4-FFF2-40B4-BE49-F238E27FC236}">
              <a16:creationId xmlns:a16="http://schemas.microsoft.com/office/drawing/2014/main" id="{8A3185D6-6E87-4E37-AF69-3C2C7B3275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2" name="Elipse 6401">
          <a:extLst>
            <a:ext uri="{FF2B5EF4-FFF2-40B4-BE49-F238E27FC236}">
              <a16:creationId xmlns:a16="http://schemas.microsoft.com/office/drawing/2014/main" id="{D3A4C00B-9DF5-4E61-9376-E3800AB3F4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3" name="Elipse 6402">
          <a:extLst>
            <a:ext uri="{FF2B5EF4-FFF2-40B4-BE49-F238E27FC236}">
              <a16:creationId xmlns:a16="http://schemas.microsoft.com/office/drawing/2014/main" id="{D84CFFEF-D338-4AA0-87A5-49546528A7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4" name="Elipse 6403">
          <a:extLst>
            <a:ext uri="{FF2B5EF4-FFF2-40B4-BE49-F238E27FC236}">
              <a16:creationId xmlns:a16="http://schemas.microsoft.com/office/drawing/2014/main" id="{1884DC7D-A77D-46C4-976B-4469005DF4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5" name="Elipse 6404">
          <a:extLst>
            <a:ext uri="{FF2B5EF4-FFF2-40B4-BE49-F238E27FC236}">
              <a16:creationId xmlns:a16="http://schemas.microsoft.com/office/drawing/2014/main" id="{E6423126-BE92-4C55-B902-3C14904601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6" name="Elipse 6405">
          <a:extLst>
            <a:ext uri="{FF2B5EF4-FFF2-40B4-BE49-F238E27FC236}">
              <a16:creationId xmlns:a16="http://schemas.microsoft.com/office/drawing/2014/main" id="{46C0E981-1E7C-455C-9A6E-CC5C970C3C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7" name="Elipse 6406">
          <a:extLst>
            <a:ext uri="{FF2B5EF4-FFF2-40B4-BE49-F238E27FC236}">
              <a16:creationId xmlns:a16="http://schemas.microsoft.com/office/drawing/2014/main" id="{38F435AE-D5AE-40D7-AF89-389A114408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8" name="Elipse 6407">
          <a:extLst>
            <a:ext uri="{FF2B5EF4-FFF2-40B4-BE49-F238E27FC236}">
              <a16:creationId xmlns:a16="http://schemas.microsoft.com/office/drawing/2014/main" id="{1006C246-2106-4325-8B65-28ED59007B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09" name="Elipse 6408">
          <a:extLst>
            <a:ext uri="{FF2B5EF4-FFF2-40B4-BE49-F238E27FC236}">
              <a16:creationId xmlns:a16="http://schemas.microsoft.com/office/drawing/2014/main" id="{897EE047-944F-45C8-8B37-9FC169FBB7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0" name="Elipse 6409">
          <a:extLst>
            <a:ext uri="{FF2B5EF4-FFF2-40B4-BE49-F238E27FC236}">
              <a16:creationId xmlns:a16="http://schemas.microsoft.com/office/drawing/2014/main" id="{55BBC185-65B4-4C4A-AC50-EEF4345479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1" name="Elipse 6410">
          <a:extLst>
            <a:ext uri="{FF2B5EF4-FFF2-40B4-BE49-F238E27FC236}">
              <a16:creationId xmlns:a16="http://schemas.microsoft.com/office/drawing/2014/main" id="{BB49E8D5-10B3-4B54-B2FB-0C2452D1A8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2" name="Elipse 6411">
          <a:extLst>
            <a:ext uri="{FF2B5EF4-FFF2-40B4-BE49-F238E27FC236}">
              <a16:creationId xmlns:a16="http://schemas.microsoft.com/office/drawing/2014/main" id="{0EB67716-2CBB-43B4-9E2C-44CA5F66EB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3" name="Elipse 6412">
          <a:extLst>
            <a:ext uri="{FF2B5EF4-FFF2-40B4-BE49-F238E27FC236}">
              <a16:creationId xmlns:a16="http://schemas.microsoft.com/office/drawing/2014/main" id="{3F58B7C0-1660-4640-BAC9-CFD5757795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4" name="Elipse 6413">
          <a:extLst>
            <a:ext uri="{FF2B5EF4-FFF2-40B4-BE49-F238E27FC236}">
              <a16:creationId xmlns:a16="http://schemas.microsoft.com/office/drawing/2014/main" id="{5B17F8B1-6D1D-4EF1-B18F-E64F1FA6B9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5" name="Elipse 6414">
          <a:extLst>
            <a:ext uri="{FF2B5EF4-FFF2-40B4-BE49-F238E27FC236}">
              <a16:creationId xmlns:a16="http://schemas.microsoft.com/office/drawing/2014/main" id="{8A9DF36F-A3E4-434D-A35C-1509CD544E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6" name="Elipse 6415">
          <a:extLst>
            <a:ext uri="{FF2B5EF4-FFF2-40B4-BE49-F238E27FC236}">
              <a16:creationId xmlns:a16="http://schemas.microsoft.com/office/drawing/2014/main" id="{D61D13A4-012A-4FAE-8EDA-6EC9B95A4E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7" name="Elipse 6416">
          <a:extLst>
            <a:ext uri="{FF2B5EF4-FFF2-40B4-BE49-F238E27FC236}">
              <a16:creationId xmlns:a16="http://schemas.microsoft.com/office/drawing/2014/main" id="{500251FB-2032-4070-8677-C8F21AC12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8" name="Elipse 6417">
          <a:extLst>
            <a:ext uri="{FF2B5EF4-FFF2-40B4-BE49-F238E27FC236}">
              <a16:creationId xmlns:a16="http://schemas.microsoft.com/office/drawing/2014/main" id="{C703E53F-65A2-4C2D-B3BF-F490A790F6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19" name="Elipse 6418">
          <a:extLst>
            <a:ext uri="{FF2B5EF4-FFF2-40B4-BE49-F238E27FC236}">
              <a16:creationId xmlns:a16="http://schemas.microsoft.com/office/drawing/2014/main" id="{FCF46052-E907-4F9A-9FF2-38FE2F1DE7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0" name="Elipse 6419">
          <a:extLst>
            <a:ext uri="{FF2B5EF4-FFF2-40B4-BE49-F238E27FC236}">
              <a16:creationId xmlns:a16="http://schemas.microsoft.com/office/drawing/2014/main" id="{C2B2C922-FF1D-4AA1-B76E-046C14CD02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1" name="Elipse 6420">
          <a:extLst>
            <a:ext uri="{FF2B5EF4-FFF2-40B4-BE49-F238E27FC236}">
              <a16:creationId xmlns:a16="http://schemas.microsoft.com/office/drawing/2014/main" id="{6E71166D-E9A4-4475-8427-6510D2C2DE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2" name="Elipse 6421">
          <a:extLst>
            <a:ext uri="{FF2B5EF4-FFF2-40B4-BE49-F238E27FC236}">
              <a16:creationId xmlns:a16="http://schemas.microsoft.com/office/drawing/2014/main" id="{4144FC75-64AA-4B7D-8A44-60DAABD135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3" name="Elipse 6422">
          <a:extLst>
            <a:ext uri="{FF2B5EF4-FFF2-40B4-BE49-F238E27FC236}">
              <a16:creationId xmlns:a16="http://schemas.microsoft.com/office/drawing/2014/main" id="{7C773EF2-2971-4F04-A801-92B3A2379F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4" name="Elipse 6423">
          <a:extLst>
            <a:ext uri="{FF2B5EF4-FFF2-40B4-BE49-F238E27FC236}">
              <a16:creationId xmlns:a16="http://schemas.microsoft.com/office/drawing/2014/main" id="{0A35A979-FCB0-4304-AA92-017BA20588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5" name="Elipse 6424">
          <a:extLst>
            <a:ext uri="{FF2B5EF4-FFF2-40B4-BE49-F238E27FC236}">
              <a16:creationId xmlns:a16="http://schemas.microsoft.com/office/drawing/2014/main" id="{6075F2C3-8764-4338-BDDE-4235F3D79C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6" name="Elipse 6425">
          <a:extLst>
            <a:ext uri="{FF2B5EF4-FFF2-40B4-BE49-F238E27FC236}">
              <a16:creationId xmlns:a16="http://schemas.microsoft.com/office/drawing/2014/main" id="{4B457B79-ADF0-400E-9F67-198DBE2E36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7" name="Elipse 6426">
          <a:extLst>
            <a:ext uri="{FF2B5EF4-FFF2-40B4-BE49-F238E27FC236}">
              <a16:creationId xmlns:a16="http://schemas.microsoft.com/office/drawing/2014/main" id="{D37BE541-5C72-4350-B18C-FA0A784E36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8" name="Elipse 6427">
          <a:extLst>
            <a:ext uri="{FF2B5EF4-FFF2-40B4-BE49-F238E27FC236}">
              <a16:creationId xmlns:a16="http://schemas.microsoft.com/office/drawing/2014/main" id="{3CB9A38B-3415-4F83-A416-40D7C6D5A2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29" name="Elipse 6428">
          <a:extLst>
            <a:ext uri="{FF2B5EF4-FFF2-40B4-BE49-F238E27FC236}">
              <a16:creationId xmlns:a16="http://schemas.microsoft.com/office/drawing/2014/main" id="{18DCE8F4-2F82-4AB3-9C55-564064C8FA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0" name="Elipse 6429">
          <a:extLst>
            <a:ext uri="{FF2B5EF4-FFF2-40B4-BE49-F238E27FC236}">
              <a16:creationId xmlns:a16="http://schemas.microsoft.com/office/drawing/2014/main" id="{F26D8924-27E5-4C94-B3BC-58D0C17B34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1" name="Elipse 6430">
          <a:extLst>
            <a:ext uri="{FF2B5EF4-FFF2-40B4-BE49-F238E27FC236}">
              <a16:creationId xmlns:a16="http://schemas.microsoft.com/office/drawing/2014/main" id="{2FAB2857-1C64-444E-9D9B-6080798E85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2" name="Elipse 6431">
          <a:extLst>
            <a:ext uri="{FF2B5EF4-FFF2-40B4-BE49-F238E27FC236}">
              <a16:creationId xmlns:a16="http://schemas.microsoft.com/office/drawing/2014/main" id="{CDBEB3EC-16CB-4E0B-8AFC-DAFD6E6C40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3" name="Elipse 6432">
          <a:extLst>
            <a:ext uri="{FF2B5EF4-FFF2-40B4-BE49-F238E27FC236}">
              <a16:creationId xmlns:a16="http://schemas.microsoft.com/office/drawing/2014/main" id="{E7E762C4-96F3-4517-B61D-70007565B6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4" name="Elipse 6433">
          <a:extLst>
            <a:ext uri="{FF2B5EF4-FFF2-40B4-BE49-F238E27FC236}">
              <a16:creationId xmlns:a16="http://schemas.microsoft.com/office/drawing/2014/main" id="{31922983-6F2B-44E1-A854-00CF727158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5" name="Elipse 6434">
          <a:extLst>
            <a:ext uri="{FF2B5EF4-FFF2-40B4-BE49-F238E27FC236}">
              <a16:creationId xmlns:a16="http://schemas.microsoft.com/office/drawing/2014/main" id="{ED6BA6A1-EFCA-4CD8-8A66-338D132435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6" name="Elipse 6435">
          <a:extLst>
            <a:ext uri="{FF2B5EF4-FFF2-40B4-BE49-F238E27FC236}">
              <a16:creationId xmlns:a16="http://schemas.microsoft.com/office/drawing/2014/main" id="{3A45413A-A393-4A79-9DA6-16BDB16244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7" name="Elipse 6436">
          <a:extLst>
            <a:ext uri="{FF2B5EF4-FFF2-40B4-BE49-F238E27FC236}">
              <a16:creationId xmlns:a16="http://schemas.microsoft.com/office/drawing/2014/main" id="{04217611-AA91-46D8-8E55-4D4BC25ED1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8" name="Elipse 6437">
          <a:extLst>
            <a:ext uri="{FF2B5EF4-FFF2-40B4-BE49-F238E27FC236}">
              <a16:creationId xmlns:a16="http://schemas.microsoft.com/office/drawing/2014/main" id="{75BCB594-73D4-445E-A967-4EF213DBB4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39" name="Elipse 6438">
          <a:extLst>
            <a:ext uri="{FF2B5EF4-FFF2-40B4-BE49-F238E27FC236}">
              <a16:creationId xmlns:a16="http://schemas.microsoft.com/office/drawing/2014/main" id="{4CBD9C8E-615D-4DFE-9237-508FABA6F2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0" name="Elipse 6439">
          <a:extLst>
            <a:ext uri="{FF2B5EF4-FFF2-40B4-BE49-F238E27FC236}">
              <a16:creationId xmlns:a16="http://schemas.microsoft.com/office/drawing/2014/main" id="{EF9543DC-FB91-4382-8DE8-A3CC2E25A4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1" name="Elipse 6440">
          <a:extLst>
            <a:ext uri="{FF2B5EF4-FFF2-40B4-BE49-F238E27FC236}">
              <a16:creationId xmlns:a16="http://schemas.microsoft.com/office/drawing/2014/main" id="{4C6398CB-B563-4E45-8254-2C615053EE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2" name="Elipse 6441">
          <a:extLst>
            <a:ext uri="{FF2B5EF4-FFF2-40B4-BE49-F238E27FC236}">
              <a16:creationId xmlns:a16="http://schemas.microsoft.com/office/drawing/2014/main" id="{A8A8A593-CB71-46F0-B6D3-DE087B9246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3" name="Elipse 6442">
          <a:extLst>
            <a:ext uri="{FF2B5EF4-FFF2-40B4-BE49-F238E27FC236}">
              <a16:creationId xmlns:a16="http://schemas.microsoft.com/office/drawing/2014/main" id="{3B2ADE7C-F6E1-4184-B3E4-03FF6162B0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4" name="Elipse 6443">
          <a:extLst>
            <a:ext uri="{FF2B5EF4-FFF2-40B4-BE49-F238E27FC236}">
              <a16:creationId xmlns:a16="http://schemas.microsoft.com/office/drawing/2014/main" id="{9A6B24C4-9DF0-4A08-9E19-87E7957DEC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5" name="Elipse 6444">
          <a:extLst>
            <a:ext uri="{FF2B5EF4-FFF2-40B4-BE49-F238E27FC236}">
              <a16:creationId xmlns:a16="http://schemas.microsoft.com/office/drawing/2014/main" id="{A3CA7651-7450-4B6B-B985-91901B4E09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6" name="Elipse 6445">
          <a:extLst>
            <a:ext uri="{FF2B5EF4-FFF2-40B4-BE49-F238E27FC236}">
              <a16:creationId xmlns:a16="http://schemas.microsoft.com/office/drawing/2014/main" id="{6BFA5E3E-2B1B-46B0-A4D8-F8233F425F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7" name="Elipse 6446">
          <a:extLst>
            <a:ext uri="{FF2B5EF4-FFF2-40B4-BE49-F238E27FC236}">
              <a16:creationId xmlns:a16="http://schemas.microsoft.com/office/drawing/2014/main" id="{8465FEB9-5057-448E-BFD3-954C1B73A8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8" name="Elipse 6447">
          <a:extLst>
            <a:ext uri="{FF2B5EF4-FFF2-40B4-BE49-F238E27FC236}">
              <a16:creationId xmlns:a16="http://schemas.microsoft.com/office/drawing/2014/main" id="{5F7CC321-0CCC-48CD-89B8-72C8FCFC34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49" name="Elipse 6448">
          <a:extLst>
            <a:ext uri="{FF2B5EF4-FFF2-40B4-BE49-F238E27FC236}">
              <a16:creationId xmlns:a16="http://schemas.microsoft.com/office/drawing/2014/main" id="{0032865B-2646-4DF0-AA24-C3F3075AB1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0" name="Elipse 6449">
          <a:extLst>
            <a:ext uri="{FF2B5EF4-FFF2-40B4-BE49-F238E27FC236}">
              <a16:creationId xmlns:a16="http://schemas.microsoft.com/office/drawing/2014/main" id="{2958D81E-A785-4A1F-A12B-B3E7C14B7C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1" name="Elipse 6450">
          <a:extLst>
            <a:ext uri="{FF2B5EF4-FFF2-40B4-BE49-F238E27FC236}">
              <a16:creationId xmlns:a16="http://schemas.microsoft.com/office/drawing/2014/main" id="{8F48E4D3-FA68-4BBB-B6EC-3C4FD7ADF3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2" name="Elipse 6451">
          <a:extLst>
            <a:ext uri="{FF2B5EF4-FFF2-40B4-BE49-F238E27FC236}">
              <a16:creationId xmlns:a16="http://schemas.microsoft.com/office/drawing/2014/main" id="{29A39190-F9CF-4820-9A13-D11E0E024F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3" name="Elipse 6452">
          <a:extLst>
            <a:ext uri="{FF2B5EF4-FFF2-40B4-BE49-F238E27FC236}">
              <a16:creationId xmlns:a16="http://schemas.microsoft.com/office/drawing/2014/main" id="{A836635D-C16A-4AAA-9883-8DFCDC2E35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4" name="Elipse 6453">
          <a:extLst>
            <a:ext uri="{FF2B5EF4-FFF2-40B4-BE49-F238E27FC236}">
              <a16:creationId xmlns:a16="http://schemas.microsoft.com/office/drawing/2014/main" id="{53DF9AD2-F453-43A3-8445-19FB14615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5" name="Elipse 6454">
          <a:extLst>
            <a:ext uri="{FF2B5EF4-FFF2-40B4-BE49-F238E27FC236}">
              <a16:creationId xmlns:a16="http://schemas.microsoft.com/office/drawing/2014/main" id="{732178DB-E5CF-4F66-BAA0-F810757F25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6" name="Elipse 6455">
          <a:extLst>
            <a:ext uri="{FF2B5EF4-FFF2-40B4-BE49-F238E27FC236}">
              <a16:creationId xmlns:a16="http://schemas.microsoft.com/office/drawing/2014/main" id="{044C9B76-C152-42A7-954C-04EFFE88BA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7" name="Elipse 6456">
          <a:extLst>
            <a:ext uri="{FF2B5EF4-FFF2-40B4-BE49-F238E27FC236}">
              <a16:creationId xmlns:a16="http://schemas.microsoft.com/office/drawing/2014/main" id="{63055EDB-1146-482D-ABF9-B07AFE2046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8" name="Elipse 6457">
          <a:extLst>
            <a:ext uri="{FF2B5EF4-FFF2-40B4-BE49-F238E27FC236}">
              <a16:creationId xmlns:a16="http://schemas.microsoft.com/office/drawing/2014/main" id="{7B327A87-5DB4-440B-B965-04E6320EF0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59" name="Elipse 6458">
          <a:extLst>
            <a:ext uri="{FF2B5EF4-FFF2-40B4-BE49-F238E27FC236}">
              <a16:creationId xmlns:a16="http://schemas.microsoft.com/office/drawing/2014/main" id="{C2872A74-B431-4526-9506-CD140F9858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0" name="Elipse 6459">
          <a:extLst>
            <a:ext uri="{FF2B5EF4-FFF2-40B4-BE49-F238E27FC236}">
              <a16:creationId xmlns:a16="http://schemas.microsoft.com/office/drawing/2014/main" id="{09E5F709-5557-4E52-94BE-17B0D10CA0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1" name="Elipse 6460">
          <a:extLst>
            <a:ext uri="{FF2B5EF4-FFF2-40B4-BE49-F238E27FC236}">
              <a16:creationId xmlns:a16="http://schemas.microsoft.com/office/drawing/2014/main" id="{18107FAD-0B41-439E-B618-82C9980697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2" name="Elipse 6461">
          <a:extLst>
            <a:ext uri="{FF2B5EF4-FFF2-40B4-BE49-F238E27FC236}">
              <a16:creationId xmlns:a16="http://schemas.microsoft.com/office/drawing/2014/main" id="{8C23B976-C524-4C43-A44B-5D637011BE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3" name="Elipse 6462">
          <a:extLst>
            <a:ext uri="{FF2B5EF4-FFF2-40B4-BE49-F238E27FC236}">
              <a16:creationId xmlns:a16="http://schemas.microsoft.com/office/drawing/2014/main" id="{AFC922C4-F2F7-4233-8E0A-69DA939C77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4" name="Elipse 6463">
          <a:extLst>
            <a:ext uri="{FF2B5EF4-FFF2-40B4-BE49-F238E27FC236}">
              <a16:creationId xmlns:a16="http://schemas.microsoft.com/office/drawing/2014/main" id="{4F23D8AA-EFE1-480F-A30C-1BA7B6500D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5" name="Elipse 6464">
          <a:extLst>
            <a:ext uri="{FF2B5EF4-FFF2-40B4-BE49-F238E27FC236}">
              <a16:creationId xmlns:a16="http://schemas.microsoft.com/office/drawing/2014/main" id="{1BCE08A7-E4D2-4115-9C80-0C3D3A96E0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6" name="Elipse 6465">
          <a:extLst>
            <a:ext uri="{FF2B5EF4-FFF2-40B4-BE49-F238E27FC236}">
              <a16:creationId xmlns:a16="http://schemas.microsoft.com/office/drawing/2014/main" id="{D1342E28-BC6B-45CE-B00B-B9EE92BD7C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7" name="Elipse 6466">
          <a:extLst>
            <a:ext uri="{FF2B5EF4-FFF2-40B4-BE49-F238E27FC236}">
              <a16:creationId xmlns:a16="http://schemas.microsoft.com/office/drawing/2014/main" id="{FFE08F6D-822D-41CA-AFB3-C5197BCAAD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8" name="Elipse 6467">
          <a:extLst>
            <a:ext uri="{FF2B5EF4-FFF2-40B4-BE49-F238E27FC236}">
              <a16:creationId xmlns:a16="http://schemas.microsoft.com/office/drawing/2014/main" id="{0ED74C6E-4F06-48D3-BD48-445B71F84E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69" name="Elipse 6468">
          <a:extLst>
            <a:ext uri="{FF2B5EF4-FFF2-40B4-BE49-F238E27FC236}">
              <a16:creationId xmlns:a16="http://schemas.microsoft.com/office/drawing/2014/main" id="{D2EBF6A7-12B8-4F67-A7AE-4B8FE5AFB7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0" name="Elipse 6469">
          <a:extLst>
            <a:ext uri="{FF2B5EF4-FFF2-40B4-BE49-F238E27FC236}">
              <a16:creationId xmlns:a16="http://schemas.microsoft.com/office/drawing/2014/main" id="{0C5AF2EC-9D10-4178-A4FF-B3C3481516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1" name="Elipse 6470">
          <a:extLst>
            <a:ext uri="{FF2B5EF4-FFF2-40B4-BE49-F238E27FC236}">
              <a16:creationId xmlns:a16="http://schemas.microsoft.com/office/drawing/2014/main" id="{084D9CF8-62EA-4FF5-B8E6-633C2C0F88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2" name="Elipse 6471">
          <a:extLst>
            <a:ext uri="{FF2B5EF4-FFF2-40B4-BE49-F238E27FC236}">
              <a16:creationId xmlns:a16="http://schemas.microsoft.com/office/drawing/2014/main" id="{E4E01727-EC20-4D1C-A969-5C853AFAB1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3" name="Elipse 6472">
          <a:extLst>
            <a:ext uri="{FF2B5EF4-FFF2-40B4-BE49-F238E27FC236}">
              <a16:creationId xmlns:a16="http://schemas.microsoft.com/office/drawing/2014/main" id="{091A01A4-89CE-463A-85A9-7FBFF3078F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4" name="Elipse 6473">
          <a:extLst>
            <a:ext uri="{FF2B5EF4-FFF2-40B4-BE49-F238E27FC236}">
              <a16:creationId xmlns:a16="http://schemas.microsoft.com/office/drawing/2014/main" id="{A0501C03-6CE9-41AF-902B-F6C01FDF6E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5" name="Elipse 6474">
          <a:extLst>
            <a:ext uri="{FF2B5EF4-FFF2-40B4-BE49-F238E27FC236}">
              <a16:creationId xmlns:a16="http://schemas.microsoft.com/office/drawing/2014/main" id="{909318B1-D37D-4F93-B49B-900167F938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6" name="Elipse 6475">
          <a:extLst>
            <a:ext uri="{FF2B5EF4-FFF2-40B4-BE49-F238E27FC236}">
              <a16:creationId xmlns:a16="http://schemas.microsoft.com/office/drawing/2014/main" id="{9E4F18AB-5331-4450-8461-0CBB04DAD9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7" name="Elipse 6476">
          <a:extLst>
            <a:ext uri="{FF2B5EF4-FFF2-40B4-BE49-F238E27FC236}">
              <a16:creationId xmlns:a16="http://schemas.microsoft.com/office/drawing/2014/main" id="{37575614-292B-40B2-8518-C1D3514FDE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8" name="Elipse 6477">
          <a:extLst>
            <a:ext uri="{FF2B5EF4-FFF2-40B4-BE49-F238E27FC236}">
              <a16:creationId xmlns:a16="http://schemas.microsoft.com/office/drawing/2014/main" id="{99568CCA-0066-40E9-85AB-AACAD2712A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79" name="Elipse 6478">
          <a:extLst>
            <a:ext uri="{FF2B5EF4-FFF2-40B4-BE49-F238E27FC236}">
              <a16:creationId xmlns:a16="http://schemas.microsoft.com/office/drawing/2014/main" id="{DD3D28C9-7E79-44FA-9A2D-BD32C4E622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0" name="Elipse 6479">
          <a:extLst>
            <a:ext uri="{FF2B5EF4-FFF2-40B4-BE49-F238E27FC236}">
              <a16:creationId xmlns:a16="http://schemas.microsoft.com/office/drawing/2014/main" id="{6EEEA97C-B34F-456D-BCD3-2695666D57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1" name="Elipse 6480">
          <a:extLst>
            <a:ext uri="{FF2B5EF4-FFF2-40B4-BE49-F238E27FC236}">
              <a16:creationId xmlns:a16="http://schemas.microsoft.com/office/drawing/2014/main" id="{3F49B2E1-C204-4E68-9978-A09D9FEE57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2" name="Elipse 6481">
          <a:extLst>
            <a:ext uri="{FF2B5EF4-FFF2-40B4-BE49-F238E27FC236}">
              <a16:creationId xmlns:a16="http://schemas.microsoft.com/office/drawing/2014/main" id="{D5DB4862-5539-4B95-BA21-23032052C8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3" name="Elipse 6482">
          <a:extLst>
            <a:ext uri="{FF2B5EF4-FFF2-40B4-BE49-F238E27FC236}">
              <a16:creationId xmlns:a16="http://schemas.microsoft.com/office/drawing/2014/main" id="{DE0F8B88-6B18-4169-BD81-4B85B53F8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4" name="Elipse 6483">
          <a:extLst>
            <a:ext uri="{FF2B5EF4-FFF2-40B4-BE49-F238E27FC236}">
              <a16:creationId xmlns:a16="http://schemas.microsoft.com/office/drawing/2014/main" id="{362CDADD-A323-4CE8-B01E-129AA7E1D9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5" name="Elipse 6484">
          <a:extLst>
            <a:ext uri="{FF2B5EF4-FFF2-40B4-BE49-F238E27FC236}">
              <a16:creationId xmlns:a16="http://schemas.microsoft.com/office/drawing/2014/main" id="{B780182E-878E-48DE-BABC-768FBE7F52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6" name="Elipse 6485">
          <a:extLst>
            <a:ext uri="{FF2B5EF4-FFF2-40B4-BE49-F238E27FC236}">
              <a16:creationId xmlns:a16="http://schemas.microsoft.com/office/drawing/2014/main" id="{235D78F8-9BD2-4FF1-B0BE-C0D2B0DDE9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7" name="Elipse 6486">
          <a:extLst>
            <a:ext uri="{FF2B5EF4-FFF2-40B4-BE49-F238E27FC236}">
              <a16:creationId xmlns:a16="http://schemas.microsoft.com/office/drawing/2014/main" id="{4E2F573D-7F78-441E-A0BC-D644571BE5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8" name="Elipse 6487">
          <a:extLst>
            <a:ext uri="{FF2B5EF4-FFF2-40B4-BE49-F238E27FC236}">
              <a16:creationId xmlns:a16="http://schemas.microsoft.com/office/drawing/2014/main" id="{109BD843-1A0B-4BCF-B573-3750C84E40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89" name="Elipse 6488">
          <a:extLst>
            <a:ext uri="{FF2B5EF4-FFF2-40B4-BE49-F238E27FC236}">
              <a16:creationId xmlns:a16="http://schemas.microsoft.com/office/drawing/2014/main" id="{5A2E707B-5DEF-43B4-8F9F-7099D9C7B8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0" name="Elipse 6489">
          <a:extLst>
            <a:ext uri="{FF2B5EF4-FFF2-40B4-BE49-F238E27FC236}">
              <a16:creationId xmlns:a16="http://schemas.microsoft.com/office/drawing/2014/main" id="{6D9F8DE0-6BFD-41A5-9A02-F88B9E83DB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1" name="Elipse 6490">
          <a:extLst>
            <a:ext uri="{FF2B5EF4-FFF2-40B4-BE49-F238E27FC236}">
              <a16:creationId xmlns:a16="http://schemas.microsoft.com/office/drawing/2014/main" id="{E239E6BB-ACC1-4FE8-B22E-F5B33E1B1E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2" name="Elipse 6491">
          <a:extLst>
            <a:ext uri="{FF2B5EF4-FFF2-40B4-BE49-F238E27FC236}">
              <a16:creationId xmlns:a16="http://schemas.microsoft.com/office/drawing/2014/main" id="{E2AB56D1-6944-4F12-A4DF-F16CE65DF7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3" name="Elipse 6492">
          <a:extLst>
            <a:ext uri="{FF2B5EF4-FFF2-40B4-BE49-F238E27FC236}">
              <a16:creationId xmlns:a16="http://schemas.microsoft.com/office/drawing/2014/main" id="{F0619876-CD2A-464B-8A71-424F968451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4" name="Elipse 6493">
          <a:extLst>
            <a:ext uri="{FF2B5EF4-FFF2-40B4-BE49-F238E27FC236}">
              <a16:creationId xmlns:a16="http://schemas.microsoft.com/office/drawing/2014/main" id="{7788111A-D626-4791-9C01-32CD711176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5" name="Elipse 6494">
          <a:extLst>
            <a:ext uri="{FF2B5EF4-FFF2-40B4-BE49-F238E27FC236}">
              <a16:creationId xmlns:a16="http://schemas.microsoft.com/office/drawing/2014/main" id="{D9D81D9D-AD56-4DB4-A01B-EEAB4A2853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6" name="Elipse 6495">
          <a:extLst>
            <a:ext uri="{FF2B5EF4-FFF2-40B4-BE49-F238E27FC236}">
              <a16:creationId xmlns:a16="http://schemas.microsoft.com/office/drawing/2014/main" id="{1C769C72-286E-47A0-81DE-D8E34DC6E6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7" name="Elipse 6496">
          <a:extLst>
            <a:ext uri="{FF2B5EF4-FFF2-40B4-BE49-F238E27FC236}">
              <a16:creationId xmlns:a16="http://schemas.microsoft.com/office/drawing/2014/main" id="{559A2996-A559-4043-AB3D-ACD31C5DB1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8" name="Elipse 6497">
          <a:extLst>
            <a:ext uri="{FF2B5EF4-FFF2-40B4-BE49-F238E27FC236}">
              <a16:creationId xmlns:a16="http://schemas.microsoft.com/office/drawing/2014/main" id="{C840D291-7D68-4005-B4F2-AEE4EC400B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499" name="Elipse 6498">
          <a:extLst>
            <a:ext uri="{FF2B5EF4-FFF2-40B4-BE49-F238E27FC236}">
              <a16:creationId xmlns:a16="http://schemas.microsoft.com/office/drawing/2014/main" id="{CAB3A856-3D03-4A21-B948-074C0D7567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0" name="Elipse 6499">
          <a:extLst>
            <a:ext uri="{FF2B5EF4-FFF2-40B4-BE49-F238E27FC236}">
              <a16:creationId xmlns:a16="http://schemas.microsoft.com/office/drawing/2014/main" id="{3D73C11C-7011-4170-9C5B-C48F4ED99B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1" name="Elipse 6500">
          <a:extLst>
            <a:ext uri="{FF2B5EF4-FFF2-40B4-BE49-F238E27FC236}">
              <a16:creationId xmlns:a16="http://schemas.microsoft.com/office/drawing/2014/main" id="{C3FB3080-BBAF-46A1-87F4-0CB05A9BAC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2" name="Elipse 6501">
          <a:extLst>
            <a:ext uri="{FF2B5EF4-FFF2-40B4-BE49-F238E27FC236}">
              <a16:creationId xmlns:a16="http://schemas.microsoft.com/office/drawing/2014/main" id="{0BAD5F70-A411-4BA3-B834-0258FAC3B5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3" name="Elipse 6502">
          <a:extLst>
            <a:ext uri="{FF2B5EF4-FFF2-40B4-BE49-F238E27FC236}">
              <a16:creationId xmlns:a16="http://schemas.microsoft.com/office/drawing/2014/main" id="{5F15434A-909C-40A6-B82F-C08348B0A5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4" name="Elipse 6503">
          <a:extLst>
            <a:ext uri="{FF2B5EF4-FFF2-40B4-BE49-F238E27FC236}">
              <a16:creationId xmlns:a16="http://schemas.microsoft.com/office/drawing/2014/main" id="{636EEB18-9F62-44A0-B0D9-68120B15CF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5" name="Elipse 6504">
          <a:extLst>
            <a:ext uri="{FF2B5EF4-FFF2-40B4-BE49-F238E27FC236}">
              <a16:creationId xmlns:a16="http://schemas.microsoft.com/office/drawing/2014/main" id="{C41DB636-E247-4187-87DC-93DFB5C4CD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6" name="Elipse 6505">
          <a:extLst>
            <a:ext uri="{FF2B5EF4-FFF2-40B4-BE49-F238E27FC236}">
              <a16:creationId xmlns:a16="http://schemas.microsoft.com/office/drawing/2014/main" id="{DC73D799-8FAB-4FE7-A145-ADACCA55E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7" name="Elipse 6506">
          <a:extLst>
            <a:ext uri="{FF2B5EF4-FFF2-40B4-BE49-F238E27FC236}">
              <a16:creationId xmlns:a16="http://schemas.microsoft.com/office/drawing/2014/main" id="{0CAD25FD-C3BB-4D16-B17A-E93957DADC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8" name="Elipse 6507">
          <a:extLst>
            <a:ext uri="{FF2B5EF4-FFF2-40B4-BE49-F238E27FC236}">
              <a16:creationId xmlns:a16="http://schemas.microsoft.com/office/drawing/2014/main" id="{EFDC097A-288E-4808-A068-8680952349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09" name="Elipse 6508">
          <a:extLst>
            <a:ext uri="{FF2B5EF4-FFF2-40B4-BE49-F238E27FC236}">
              <a16:creationId xmlns:a16="http://schemas.microsoft.com/office/drawing/2014/main" id="{2844830D-AB1D-4AD3-8203-0FDB72D780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0" name="Elipse 6509">
          <a:extLst>
            <a:ext uri="{FF2B5EF4-FFF2-40B4-BE49-F238E27FC236}">
              <a16:creationId xmlns:a16="http://schemas.microsoft.com/office/drawing/2014/main" id="{69F676B1-C907-4B9D-9F0A-FC19C2AB78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1" name="Elipse 6510">
          <a:extLst>
            <a:ext uri="{FF2B5EF4-FFF2-40B4-BE49-F238E27FC236}">
              <a16:creationId xmlns:a16="http://schemas.microsoft.com/office/drawing/2014/main" id="{1EFCC2CE-6428-4DB3-A037-119773277B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2" name="Elipse 6511">
          <a:extLst>
            <a:ext uri="{FF2B5EF4-FFF2-40B4-BE49-F238E27FC236}">
              <a16:creationId xmlns:a16="http://schemas.microsoft.com/office/drawing/2014/main" id="{5ED3F3B1-0BBB-4FCF-9A60-BBD9479700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3" name="Elipse 6512">
          <a:extLst>
            <a:ext uri="{FF2B5EF4-FFF2-40B4-BE49-F238E27FC236}">
              <a16:creationId xmlns:a16="http://schemas.microsoft.com/office/drawing/2014/main" id="{39503F0A-9668-48E8-97EB-B610B8AA56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4" name="Elipse 6513">
          <a:extLst>
            <a:ext uri="{FF2B5EF4-FFF2-40B4-BE49-F238E27FC236}">
              <a16:creationId xmlns:a16="http://schemas.microsoft.com/office/drawing/2014/main" id="{1A25641E-7507-4F3B-9EFE-6F078F3612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5" name="Elipse 6514">
          <a:extLst>
            <a:ext uri="{FF2B5EF4-FFF2-40B4-BE49-F238E27FC236}">
              <a16:creationId xmlns:a16="http://schemas.microsoft.com/office/drawing/2014/main" id="{6F4AA3D0-41DA-45FB-990C-9A82518C8F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6" name="Elipse 6515">
          <a:extLst>
            <a:ext uri="{FF2B5EF4-FFF2-40B4-BE49-F238E27FC236}">
              <a16:creationId xmlns:a16="http://schemas.microsoft.com/office/drawing/2014/main" id="{FF6B69FA-622D-4F9D-A8E7-ECC0BC59ED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7" name="Elipse 6516">
          <a:extLst>
            <a:ext uri="{FF2B5EF4-FFF2-40B4-BE49-F238E27FC236}">
              <a16:creationId xmlns:a16="http://schemas.microsoft.com/office/drawing/2014/main" id="{B0518F5C-2112-4A3E-B326-9F486E70C6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8" name="Elipse 6517">
          <a:extLst>
            <a:ext uri="{FF2B5EF4-FFF2-40B4-BE49-F238E27FC236}">
              <a16:creationId xmlns:a16="http://schemas.microsoft.com/office/drawing/2014/main" id="{0C560AC0-1F48-4E88-B938-974868BE9D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19" name="Elipse 6518">
          <a:extLst>
            <a:ext uri="{FF2B5EF4-FFF2-40B4-BE49-F238E27FC236}">
              <a16:creationId xmlns:a16="http://schemas.microsoft.com/office/drawing/2014/main" id="{A2A18CC2-EFA6-4DF2-BBC9-F98D1FA56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0" name="Elipse 6519">
          <a:extLst>
            <a:ext uri="{FF2B5EF4-FFF2-40B4-BE49-F238E27FC236}">
              <a16:creationId xmlns:a16="http://schemas.microsoft.com/office/drawing/2014/main" id="{35536C0A-0D6E-4979-B22E-A2FA14B757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1" name="Elipse 6520">
          <a:extLst>
            <a:ext uri="{FF2B5EF4-FFF2-40B4-BE49-F238E27FC236}">
              <a16:creationId xmlns:a16="http://schemas.microsoft.com/office/drawing/2014/main" id="{5CFDFE6C-4EAB-4D35-A984-4B480182C6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2" name="Elipse 6521">
          <a:extLst>
            <a:ext uri="{FF2B5EF4-FFF2-40B4-BE49-F238E27FC236}">
              <a16:creationId xmlns:a16="http://schemas.microsoft.com/office/drawing/2014/main" id="{04E57224-1CD5-4C7C-B400-2A32B6DF20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3" name="Elipse 6522">
          <a:extLst>
            <a:ext uri="{FF2B5EF4-FFF2-40B4-BE49-F238E27FC236}">
              <a16:creationId xmlns:a16="http://schemas.microsoft.com/office/drawing/2014/main" id="{D0D734F1-0F8B-4885-883C-643942B60F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4" name="Elipse 6523">
          <a:extLst>
            <a:ext uri="{FF2B5EF4-FFF2-40B4-BE49-F238E27FC236}">
              <a16:creationId xmlns:a16="http://schemas.microsoft.com/office/drawing/2014/main" id="{70478B0F-FFCB-41C4-A978-B37F4B8FD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5" name="Elipse 6524">
          <a:extLst>
            <a:ext uri="{FF2B5EF4-FFF2-40B4-BE49-F238E27FC236}">
              <a16:creationId xmlns:a16="http://schemas.microsoft.com/office/drawing/2014/main" id="{705D2AFE-B6C5-444A-A425-E7E4B56518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6" name="Elipse 6525">
          <a:extLst>
            <a:ext uri="{FF2B5EF4-FFF2-40B4-BE49-F238E27FC236}">
              <a16:creationId xmlns:a16="http://schemas.microsoft.com/office/drawing/2014/main" id="{D9F2A40A-7462-40F3-8D7B-52959F688A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7" name="Elipse 6526">
          <a:extLst>
            <a:ext uri="{FF2B5EF4-FFF2-40B4-BE49-F238E27FC236}">
              <a16:creationId xmlns:a16="http://schemas.microsoft.com/office/drawing/2014/main" id="{1B06E8DC-E31F-406E-BDFA-935CA6FAC1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8" name="Elipse 6527">
          <a:extLst>
            <a:ext uri="{FF2B5EF4-FFF2-40B4-BE49-F238E27FC236}">
              <a16:creationId xmlns:a16="http://schemas.microsoft.com/office/drawing/2014/main" id="{6A9D8DFD-A9F9-4763-B36E-9D75FE27D6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29" name="Elipse 6528">
          <a:extLst>
            <a:ext uri="{FF2B5EF4-FFF2-40B4-BE49-F238E27FC236}">
              <a16:creationId xmlns:a16="http://schemas.microsoft.com/office/drawing/2014/main" id="{8585EAE7-4B1B-4BAC-A31F-A9D6AE1864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0" name="Elipse 6529">
          <a:extLst>
            <a:ext uri="{FF2B5EF4-FFF2-40B4-BE49-F238E27FC236}">
              <a16:creationId xmlns:a16="http://schemas.microsoft.com/office/drawing/2014/main" id="{344EAD69-D2D1-4043-9593-A4AB785107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1" name="Elipse 6530">
          <a:extLst>
            <a:ext uri="{FF2B5EF4-FFF2-40B4-BE49-F238E27FC236}">
              <a16:creationId xmlns:a16="http://schemas.microsoft.com/office/drawing/2014/main" id="{3C04524B-BBB8-463A-9366-BAAC4770CB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2" name="Elipse 6531">
          <a:extLst>
            <a:ext uri="{FF2B5EF4-FFF2-40B4-BE49-F238E27FC236}">
              <a16:creationId xmlns:a16="http://schemas.microsoft.com/office/drawing/2014/main" id="{A2ED3682-8F43-4C88-BBE0-49B94965BC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3" name="Elipse 6532">
          <a:extLst>
            <a:ext uri="{FF2B5EF4-FFF2-40B4-BE49-F238E27FC236}">
              <a16:creationId xmlns:a16="http://schemas.microsoft.com/office/drawing/2014/main" id="{787F6C03-4EDA-4904-B470-4949662301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4" name="Elipse 6533">
          <a:extLst>
            <a:ext uri="{FF2B5EF4-FFF2-40B4-BE49-F238E27FC236}">
              <a16:creationId xmlns:a16="http://schemas.microsoft.com/office/drawing/2014/main" id="{264E5EF1-40DF-4FF9-ACE3-52BBB934B1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5" name="Elipse 6534">
          <a:extLst>
            <a:ext uri="{FF2B5EF4-FFF2-40B4-BE49-F238E27FC236}">
              <a16:creationId xmlns:a16="http://schemas.microsoft.com/office/drawing/2014/main" id="{2C27E481-B830-4263-A7A5-480831FFB3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6" name="Elipse 6535">
          <a:extLst>
            <a:ext uri="{FF2B5EF4-FFF2-40B4-BE49-F238E27FC236}">
              <a16:creationId xmlns:a16="http://schemas.microsoft.com/office/drawing/2014/main" id="{7CD76ECA-0049-4502-AAE2-F58EBE726E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7" name="Elipse 6536">
          <a:extLst>
            <a:ext uri="{FF2B5EF4-FFF2-40B4-BE49-F238E27FC236}">
              <a16:creationId xmlns:a16="http://schemas.microsoft.com/office/drawing/2014/main" id="{8D1E2B24-5994-4C80-BED2-37C844EF34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8" name="Elipse 6537">
          <a:extLst>
            <a:ext uri="{FF2B5EF4-FFF2-40B4-BE49-F238E27FC236}">
              <a16:creationId xmlns:a16="http://schemas.microsoft.com/office/drawing/2014/main" id="{A9331A9F-2FC0-45EB-BC78-D081846945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39" name="Elipse 6538">
          <a:extLst>
            <a:ext uri="{FF2B5EF4-FFF2-40B4-BE49-F238E27FC236}">
              <a16:creationId xmlns:a16="http://schemas.microsoft.com/office/drawing/2014/main" id="{6422391B-EF85-482A-B817-E016D019BE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0" name="Elipse 6539">
          <a:extLst>
            <a:ext uri="{FF2B5EF4-FFF2-40B4-BE49-F238E27FC236}">
              <a16:creationId xmlns:a16="http://schemas.microsoft.com/office/drawing/2014/main" id="{A2CDC2D6-A797-4A9B-AB5E-889ACCFD17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1" name="Elipse 6540">
          <a:extLst>
            <a:ext uri="{FF2B5EF4-FFF2-40B4-BE49-F238E27FC236}">
              <a16:creationId xmlns:a16="http://schemas.microsoft.com/office/drawing/2014/main" id="{734A1E39-4481-4798-8279-EDE5897397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2" name="Elipse 6541">
          <a:extLst>
            <a:ext uri="{FF2B5EF4-FFF2-40B4-BE49-F238E27FC236}">
              <a16:creationId xmlns:a16="http://schemas.microsoft.com/office/drawing/2014/main" id="{37A52625-262F-416B-AC0E-CF96BD7EF0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3" name="Elipse 6542">
          <a:extLst>
            <a:ext uri="{FF2B5EF4-FFF2-40B4-BE49-F238E27FC236}">
              <a16:creationId xmlns:a16="http://schemas.microsoft.com/office/drawing/2014/main" id="{9490B09F-A5F9-43A5-9C79-54C19E311A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4" name="Elipse 6543">
          <a:extLst>
            <a:ext uri="{FF2B5EF4-FFF2-40B4-BE49-F238E27FC236}">
              <a16:creationId xmlns:a16="http://schemas.microsoft.com/office/drawing/2014/main" id="{CFE83374-8344-4E63-A8DC-60BDDAAE45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5" name="Elipse 6544">
          <a:extLst>
            <a:ext uri="{FF2B5EF4-FFF2-40B4-BE49-F238E27FC236}">
              <a16:creationId xmlns:a16="http://schemas.microsoft.com/office/drawing/2014/main" id="{59EF3901-6E05-4074-B3E9-01ABAD7691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6" name="Elipse 6545">
          <a:extLst>
            <a:ext uri="{FF2B5EF4-FFF2-40B4-BE49-F238E27FC236}">
              <a16:creationId xmlns:a16="http://schemas.microsoft.com/office/drawing/2014/main" id="{F8C680D4-81AE-4F28-B4CE-AC64AFA7DF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7" name="Elipse 6546">
          <a:extLst>
            <a:ext uri="{FF2B5EF4-FFF2-40B4-BE49-F238E27FC236}">
              <a16:creationId xmlns:a16="http://schemas.microsoft.com/office/drawing/2014/main" id="{4F6602B1-9900-43D0-BBAF-3C62D806CF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8" name="Elipse 6547">
          <a:extLst>
            <a:ext uri="{FF2B5EF4-FFF2-40B4-BE49-F238E27FC236}">
              <a16:creationId xmlns:a16="http://schemas.microsoft.com/office/drawing/2014/main" id="{C9FFFA8E-BDC0-4BBA-A970-E94B8DA9D1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49" name="Elipse 6548">
          <a:extLst>
            <a:ext uri="{FF2B5EF4-FFF2-40B4-BE49-F238E27FC236}">
              <a16:creationId xmlns:a16="http://schemas.microsoft.com/office/drawing/2014/main" id="{E8B2B8BC-7638-4C6B-A584-F62C694FE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0" name="Elipse 6549">
          <a:extLst>
            <a:ext uri="{FF2B5EF4-FFF2-40B4-BE49-F238E27FC236}">
              <a16:creationId xmlns:a16="http://schemas.microsoft.com/office/drawing/2014/main" id="{6C3AE90D-941E-46FD-8897-FA8096BD4B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1" name="Elipse 6550">
          <a:extLst>
            <a:ext uri="{FF2B5EF4-FFF2-40B4-BE49-F238E27FC236}">
              <a16:creationId xmlns:a16="http://schemas.microsoft.com/office/drawing/2014/main" id="{ADA9FD6F-BDF3-4CF8-912A-B27CE20D89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2" name="Elipse 6551">
          <a:extLst>
            <a:ext uri="{FF2B5EF4-FFF2-40B4-BE49-F238E27FC236}">
              <a16:creationId xmlns:a16="http://schemas.microsoft.com/office/drawing/2014/main" id="{81EDD13D-062B-492A-84EE-EDACB2F4DA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3" name="Elipse 6552">
          <a:extLst>
            <a:ext uri="{FF2B5EF4-FFF2-40B4-BE49-F238E27FC236}">
              <a16:creationId xmlns:a16="http://schemas.microsoft.com/office/drawing/2014/main" id="{163F2775-B175-405B-BDB8-DEBAB19405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4" name="Elipse 6553">
          <a:extLst>
            <a:ext uri="{FF2B5EF4-FFF2-40B4-BE49-F238E27FC236}">
              <a16:creationId xmlns:a16="http://schemas.microsoft.com/office/drawing/2014/main" id="{38C16082-647B-420B-8403-1358EC2CEF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5" name="Elipse 6554">
          <a:extLst>
            <a:ext uri="{FF2B5EF4-FFF2-40B4-BE49-F238E27FC236}">
              <a16:creationId xmlns:a16="http://schemas.microsoft.com/office/drawing/2014/main" id="{0672123A-C21D-460E-A5C7-AA1FEA25F0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6" name="Elipse 6555">
          <a:extLst>
            <a:ext uri="{FF2B5EF4-FFF2-40B4-BE49-F238E27FC236}">
              <a16:creationId xmlns:a16="http://schemas.microsoft.com/office/drawing/2014/main" id="{C005E6C7-4B00-4A36-8234-0274576CD3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7" name="Elipse 6556">
          <a:extLst>
            <a:ext uri="{FF2B5EF4-FFF2-40B4-BE49-F238E27FC236}">
              <a16:creationId xmlns:a16="http://schemas.microsoft.com/office/drawing/2014/main" id="{E98DD048-95E8-4230-9D84-AD899FCEA9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8" name="Elipse 6557">
          <a:extLst>
            <a:ext uri="{FF2B5EF4-FFF2-40B4-BE49-F238E27FC236}">
              <a16:creationId xmlns:a16="http://schemas.microsoft.com/office/drawing/2014/main" id="{448AA8D0-2FAE-4A81-B025-621D1BDC6F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59" name="Elipse 6558">
          <a:extLst>
            <a:ext uri="{FF2B5EF4-FFF2-40B4-BE49-F238E27FC236}">
              <a16:creationId xmlns:a16="http://schemas.microsoft.com/office/drawing/2014/main" id="{1A46AE3A-D8BB-42F9-98D9-FF695EB795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0" name="Elipse 6559">
          <a:extLst>
            <a:ext uri="{FF2B5EF4-FFF2-40B4-BE49-F238E27FC236}">
              <a16:creationId xmlns:a16="http://schemas.microsoft.com/office/drawing/2014/main" id="{C9AB09D4-0BEB-4609-B31A-AA8C0B7C65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1" name="Elipse 6560">
          <a:extLst>
            <a:ext uri="{FF2B5EF4-FFF2-40B4-BE49-F238E27FC236}">
              <a16:creationId xmlns:a16="http://schemas.microsoft.com/office/drawing/2014/main" id="{8F08C030-0FBF-4731-B3A3-F5842AF4A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2" name="Elipse 6561">
          <a:extLst>
            <a:ext uri="{FF2B5EF4-FFF2-40B4-BE49-F238E27FC236}">
              <a16:creationId xmlns:a16="http://schemas.microsoft.com/office/drawing/2014/main" id="{3C224FB8-A0C1-4F30-A262-369B94EF39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3" name="Elipse 6562">
          <a:extLst>
            <a:ext uri="{FF2B5EF4-FFF2-40B4-BE49-F238E27FC236}">
              <a16:creationId xmlns:a16="http://schemas.microsoft.com/office/drawing/2014/main" id="{A866A738-2D25-474D-9699-63A4CDE768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4" name="Elipse 6563">
          <a:extLst>
            <a:ext uri="{FF2B5EF4-FFF2-40B4-BE49-F238E27FC236}">
              <a16:creationId xmlns:a16="http://schemas.microsoft.com/office/drawing/2014/main" id="{BDF9CCA3-F3F4-4601-B1F5-2F483A6420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5" name="Elipse 6564">
          <a:extLst>
            <a:ext uri="{FF2B5EF4-FFF2-40B4-BE49-F238E27FC236}">
              <a16:creationId xmlns:a16="http://schemas.microsoft.com/office/drawing/2014/main" id="{0B86C969-3537-4554-A52F-E27A58509E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6" name="Elipse 6565">
          <a:extLst>
            <a:ext uri="{FF2B5EF4-FFF2-40B4-BE49-F238E27FC236}">
              <a16:creationId xmlns:a16="http://schemas.microsoft.com/office/drawing/2014/main" id="{4F3E2FE0-A7E0-445A-A26C-0C0EF742FA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7" name="Elipse 6566">
          <a:extLst>
            <a:ext uri="{FF2B5EF4-FFF2-40B4-BE49-F238E27FC236}">
              <a16:creationId xmlns:a16="http://schemas.microsoft.com/office/drawing/2014/main" id="{E896622D-12A9-4E74-B2F2-ED93C9C0D4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8" name="Elipse 6567">
          <a:extLst>
            <a:ext uri="{FF2B5EF4-FFF2-40B4-BE49-F238E27FC236}">
              <a16:creationId xmlns:a16="http://schemas.microsoft.com/office/drawing/2014/main" id="{0218405A-D30A-4D58-A324-E82013A21A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69" name="Elipse 6568">
          <a:extLst>
            <a:ext uri="{FF2B5EF4-FFF2-40B4-BE49-F238E27FC236}">
              <a16:creationId xmlns:a16="http://schemas.microsoft.com/office/drawing/2014/main" id="{9C18AE82-D54B-42A5-9211-44FC10D280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0" name="Elipse 6569">
          <a:extLst>
            <a:ext uri="{FF2B5EF4-FFF2-40B4-BE49-F238E27FC236}">
              <a16:creationId xmlns:a16="http://schemas.microsoft.com/office/drawing/2014/main" id="{DB067C42-01E6-4DF9-9C2D-DE5259CBFD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1" name="Elipse 6570">
          <a:extLst>
            <a:ext uri="{FF2B5EF4-FFF2-40B4-BE49-F238E27FC236}">
              <a16:creationId xmlns:a16="http://schemas.microsoft.com/office/drawing/2014/main" id="{5A7A4188-9D2C-4430-988A-2A198C53E5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2" name="Elipse 6571">
          <a:extLst>
            <a:ext uri="{FF2B5EF4-FFF2-40B4-BE49-F238E27FC236}">
              <a16:creationId xmlns:a16="http://schemas.microsoft.com/office/drawing/2014/main" id="{EB8A8E67-82FF-450F-A349-DD25910833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3" name="Elipse 6572">
          <a:extLst>
            <a:ext uri="{FF2B5EF4-FFF2-40B4-BE49-F238E27FC236}">
              <a16:creationId xmlns:a16="http://schemas.microsoft.com/office/drawing/2014/main" id="{A757EE52-64E7-48C1-97BE-EBF470F610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4" name="Elipse 6573">
          <a:extLst>
            <a:ext uri="{FF2B5EF4-FFF2-40B4-BE49-F238E27FC236}">
              <a16:creationId xmlns:a16="http://schemas.microsoft.com/office/drawing/2014/main" id="{4DB60C94-5991-4AAF-ABFB-F917EBE385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5" name="Elipse 6574">
          <a:extLst>
            <a:ext uri="{FF2B5EF4-FFF2-40B4-BE49-F238E27FC236}">
              <a16:creationId xmlns:a16="http://schemas.microsoft.com/office/drawing/2014/main" id="{587BD13B-63DE-403C-8E0E-79CF58A22F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6" name="Elipse 6575">
          <a:extLst>
            <a:ext uri="{FF2B5EF4-FFF2-40B4-BE49-F238E27FC236}">
              <a16:creationId xmlns:a16="http://schemas.microsoft.com/office/drawing/2014/main" id="{B208544C-41AC-4EC2-AC80-6C5695513B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7" name="Elipse 6576">
          <a:extLst>
            <a:ext uri="{FF2B5EF4-FFF2-40B4-BE49-F238E27FC236}">
              <a16:creationId xmlns:a16="http://schemas.microsoft.com/office/drawing/2014/main" id="{95B9CD86-A3A6-4E62-9C02-BD176E7191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8" name="Elipse 6577">
          <a:extLst>
            <a:ext uri="{FF2B5EF4-FFF2-40B4-BE49-F238E27FC236}">
              <a16:creationId xmlns:a16="http://schemas.microsoft.com/office/drawing/2014/main" id="{58548193-D728-4FEE-B985-29D17FC48A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79" name="Elipse 6578">
          <a:extLst>
            <a:ext uri="{FF2B5EF4-FFF2-40B4-BE49-F238E27FC236}">
              <a16:creationId xmlns:a16="http://schemas.microsoft.com/office/drawing/2014/main" id="{467A7C65-4185-4ABE-BD3A-23F9E50FEE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0" name="Elipse 6579">
          <a:extLst>
            <a:ext uri="{FF2B5EF4-FFF2-40B4-BE49-F238E27FC236}">
              <a16:creationId xmlns:a16="http://schemas.microsoft.com/office/drawing/2014/main" id="{DE8247B0-5D03-484C-B619-0385F6DB48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1" name="Elipse 6580">
          <a:extLst>
            <a:ext uri="{FF2B5EF4-FFF2-40B4-BE49-F238E27FC236}">
              <a16:creationId xmlns:a16="http://schemas.microsoft.com/office/drawing/2014/main" id="{9FE622E8-2EA4-4829-9DA0-BE63D71B61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2" name="Elipse 6581">
          <a:extLst>
            <a:ext uri="{FF2B5EF4-FFF2-40B4-BE49-F238E27FC236}">
              <a16:creationId xmlns:a16="http://schemas.microsoft.com/office/drawing/2014/main" id="{DEA7DE80-8830-48EB-92D2-13C93F44B9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3" name="Elipse 6582">
          <a:extLst>
            <a:ext uri="{FF2B5EF4-FFF2-40B4-BE49-F238E27FC236}">
              <a16:creationId xmlns:a16="http://schemas.microsoft.com/office/drawing/2014/main" id="{5C3F8E39-5C5F-4B99-B834-4C5D2BDA55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4" name="Elipse 6583">
          <a:extLst>
            <a:ext uri="{FF2B5EF4-FFF2-40B4-BE49-F238E27FC236}">
              <a16:creationId xmlns:a16="http://schemas.microsoft.com/office/drawing/2014/main" id="{BC24A34C-BC02-4A9C-A219-4AAFD26394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5" name="Elipse 6584">
          <a:extLst>
            <a:ext uri="{FF2B5EF4-FFF2-40B4-BE49-F238E27FC236}">
              <a16:creationId xmlns:a16="http://schemas.microsoft.com/office/drawing/2014/main" id="{872525C9-296D-4DE1-96F9-3280D0CD87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6" name="Elipse 6585">
          <a:extLst>
            <a:ext uri="{FF2B5EF4-FFF2-40B4-BE49-F238E27FC236}">
              <a16:creationId xmlns:a16="http://schemas.microsoft.com/office/drawing/2014/main" id="{BED66E9E-B860-408D-AF31-96A8A0776F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7" name="Elipse 6586">
          <a:extLst>
            <a:ext uri="{FF2B5EF4-FFF2-40B4-BE49-F238E27FC236}">
              <a16:creationId xmlns:a16="http://schemas.microsoft.com/office/drawing/2014/main" id="{B08F5BF6-703E-4C8E-8834-079A402A1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8" name="Elipse 6587">
          <a:extLst>
            <a:ext uri="{FF2B5EF4-FFF2-40B4-BE49-F238E27FC236}">
              <a16:creationId xmlns:a16="http://schemas.microsoft.com/office/drawing/2014/main" id="{CA9AAA31-05AD-4E8A-9079-1EF09A88DF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89" name="Elipse 6588">
          <a:extLst>
            <a:ext uri="{FF2B5EF4-FFF2-40B4-BE49-F238E27FC236}">
              <a16:creationId xmlns:a16="http://schemas.microsoft.com/office/drawing/2014/main" id="{B4D11BCD-9FE3-4FFC-A369-7B28C4F83D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0" name="Elipse 6589">
          <a:extLst>
            <a:ext uri="{FF2B5EF4-FFF2-40B4-BE49-F238E27FC236}">
              <a16:creationId xmlns:a16="http://schemas.microsoft.com/office/drawing/2014/main" id="{563656E2-3DA0-4AF5-87CD-9F9D55CD52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1" name="Elipse 6590">
          <a:extLst>
            <a:ext uri="{FF2B5EF4-FFF2-40B4-BE49-F238E27FC236}">
              <a16:creationId xmlns:a16="http://schemas.microsoft.com/office/drawing/2014/main" id="{F8D8BCF6-DAE8-451C-9E34-8916FCE430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2" name="Elipse 6591">
          <a:extLst>
            <a:ext uri="{FF2B5EF4-FFF2-40B4-BE49-F238E27FC236}">
              <a16:creationId xmlns:a16="http://schemas.microsoft.com/office/drawing/2014/main" id="{F2F819DB-4C81-478A-8B2B-26F42655C5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3" name="Elipse 6592">
          <a:extLst>
            <a:ext uri="{FF2B5EF4-FFF2-40B4-BE49-F238E27FC236}">
              <a16:creationId xmlns:a16="http://schemas.microsoft.com/office/drawing/2014/main" id="{729EF548-EFF8-4C2B-93D4-0755CEE9B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4" name="Elipse 6593">
          <a:extLst>
            <a:ext uri="{FF2B5EF4-FFF2-40B4-BE49-F238E27FC236}">
              <a16:creationId xmlns:a16="http://schemas.microsoft.com/office/drawing/2014/main" id="{18E37526-848A-4C88-AB6A-2D2D159E1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5" name="Elipse 6594">
          <a:extLst>
            <a:ext uri="{FF2B5EF4-FFF2-40B4-BE49-F238E27FC236}">
              <a16:creationId xmlns:a16="http://schemas.microsoft.com/office/drawing/2014/main" id="{4097AFF7-7AE5-4F1E-9066-F291050DBD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6" name="Elipse 6595">
          <a:extLst>
            <a:ext uri="{FF2B5EF4-FFF2-40B4-BE49-F238E27FC236}">
              <a16:creationId xmlns:a16="http://schemas.microsoft.com/office/drawing/2014/main" id="{AC066423-5A15-4EA4-A4F1-272558739B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7" name="Elipse 6596">
          <a:extLst>
            <a:ext uri="{FF2B5EF4-FFF2-40B4-BE49-F238E27FC236}">
              <a16:creationId xmlns:a16="http://schemas.microsoft.com/office/drawing/2014/main" id="{A48ADE68-2901-4903-B4D0-F5E11F1CA9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8" name="Elipse 6597">
          <a:extLst>
            <a:ext uri="{FF2B5EF4-FFF2-40B4-BE49-F238E27FC236}">
              <a16:creationId xmlns:a16="http://schemas.microsoft.com/office/drawing/2014/main" id="{A813B5BB-A847-4342-8291-808C81C03C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599" name="Elipse 6598">
          <a:extLst>
            <a:ext uri="{FF2B5EF4-FFF2-40B4-BE49-F238E27FC236}">
              <a16:creationId xmlns:a16="http://schemas.microsoft.com/office/drawing/2014/main" id="{5F33417A-3CF0-4CAB-9777-2687258457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0" name="Elipse 6599">
          <a:extLst>
            <a:ext uri="{FF2B5EF4-FFF2-40B4-BE49-F238E27FC236}">
              <a16:creationId xmlns:a16="http://schemas.microsoft.com/office/drawing/2014/main" id="{D7771267-BA50-4BB4-9DD1-C24AD82494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1" name="Elipse 6600">
          <a:extLst>
            <a:ext uri="{FF2B5EF4-FFF2-40B4-BE49-F238E27FC236}">
              <a16:creationId xmlns:a16="http://schemas.microsoft.com/office/drawing/2014/main" id="{54FAD256-AC91-46FA-9907-A1C4BA48B2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2" name="Elipse 6601">
          <a:extLst>
            <a:ext uri="{FF2B5EF4-FFF2-40B4-BE49-F238E27FC236}">
              <a16:creationId xmlns:a16="http://schemas.microsoft.com/office/drawing/2014/main" id="{E9E34025-5864-479F-B216-BA7A86791C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3" name="Elipse 6602">
          <a:extLst>
            <a:ext uri="{FF2B5EF4-FFF2-40B4-BE49-F238E27FC236}">
              <a16:creationId xmlns:a16="http://schemas.microsoft.com/office/drawing/2014/main" id="{F86F35F1-F09B-4D40-9563-61B6824AC1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4" name="Elipse 6603">
          <a:extLst>
            <a:ext uri="{FF2B5EF4-FFF2-40B4-BE49-F238E27FC236}">
              <a16:creationId xmlns:a16="http://schemas.microsoft.com/office/drawing/2014/main" id="{59B77B24-B387-4251-A11C-A125F85F95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5" name="Elipse 6604">
          <a:extLst>
            <a:ext uri="{FF2B5EF4-FFF2-40B4-BE49-F238E27FC236}">
              <a16:creationId xmlns:a16="http://schemas.microsoft.com/office/drawing/2014/main" id="{BAF92346-1D5A-49A7-9FDA-DD7333E6AC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6" name="Elipse 6605">
          <a:extLst>
            <a:ext uri="{FF2B5EF4-FFF2-40B4-BE49-F238E27FC236}">
              <a16:creationId xmlns:a16="http://schemas.microsoft.com/office/drawing/2014/main" id="{BA0C7C80-4633-4D20-A509-95EE1A3E6F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7" name="Elipse 6606">
          <a:extLst>
            <a:ext uri="{FF2B5EF4-FFF2-40B4-BE49-F238E27FC236}">
              <a16:creationId xmlns:a16="http://schemas.microsoft.com/office/drawing/2014/main" id="{FFC95A43-0CFE-4416-A878-307A95ED46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8" name="Elipse 6607">
          <a:extLst>
            <a:ext uri="{FF2B5EF4-FFF2-40B4-BE49-F238E27FC236}">
              <a16:creationId xmlns:a16="http://schemas.microsoft.com/office/drawing/2014/main" id="{9918E691-80AB-41CA-9D41-A67E8FD828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09" name="Elipse 6608">
          <a:extLst>
            <a:ext uri="{FF2B5EF4-FFF2-40B4-BE49-F238E27FC236}">
              <a16:creationId xmlns:a16="http://schemas.microsoft.com/office/drawing/2014/main" id="{66299748-F058-418B-8442-83E5623806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0" name="Elipse 6609">
          <a:extLst>
            <a:ext uri="{FF2B5EF4-FFF2-40B4-BE49-F238E27FC236}">
              <a16:creationId xmlns:a16="http://schemas.microsoft.com/office/drawing/2014/main" id="{FBABC0CE-B5EC-4422-B1E5-789393AB94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1" name="Elipse 6610">
          <a:extLst>
            <a:ext uri="{FF2B5EF4-FFF2-40B4-BE49-F238E27FC236}">
              <a16:creationId xmlns:a16="http://schemas.microsoft.com/office/drawing/2014/main" id="{38D2B702-2228-4C31-B4D6-971D6F6C9F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2" name="Elipse 6611">
          <a:extLst>
            <a:ext uri="{FF2B5EF4-FFF2-40B4-BE49-F238E27FC236}">
              <a16:creationId xmlns:a16="http://schemas.microsoft.com/office/drawing/2014/main" id="{CBA6C1B5-B834-435A-8895-E95786E437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3" name="Elipse 6612">
          <a:extLst>
            <a:ext uri="{FF2B5EF4-FFF2-40B4-BE49-F238E27FC236}">
              <a16:creationId xmlns:a16="http://schemas.microsoft.com/office/drawing/2014/main" id="{A0FF7E7D-2E95-4C13-985D-16AC7C48AA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4" name="Elipse 6613">
          <a:extLst>
            <a:ext uri="{FF2B5EF4-FFF2-40B4-BE49-F238E27FC236}">
              <a16:creationId xmlns:a16="http://schemas.microsoft.com/office/drawing/2014/main" id="{703C9713-537B-47AA-B81E-50C6202309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5" name="Elipse 6614">
          <a:extLst>
            <a:ext uri="{FF2B5EF4-FFF2-40B4-BE49-F238E27FC236}">
              <a16:creationId xmlns:a16="http://schemas.microsoft.com/office/drawing/2014/main" id="{7E2B9C9E-A104-4A25-8495-AAAA410AC1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6" name="Elipse 6615">
          <a:extLst>
            <a:ext uri="{FF2B5EF4-FFF2-40B4-BE49-F238E27FC236}">
              <a16:creationId xmlns:a16="http://schemas.microsoft.com/office/drawing/2014/main" id="{D4200263-F108-4135-BAF2-56CE009287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7" name="Elipse 6616">
          <a:extLst>
            <a:ext uri="{FF2B5EF4-FFF2-40B4-BE49-F238E27FC236}">
              <a16:creationId xmlns:a16="http://schemas.microsoft.com/office/drawing/2014/main" id="{C77ABFAF-DA4F-4F15-B68F-2682C23011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8" name="Elipse 6617">
          <a:extLst>
            <a:ext uri="{FF2B5EF4-FFF2-40B4-BE49-F238E27FC236}">
              <a16:creationId xmlns:a16="http://schemas.microsoft.com/office/drawing/2014/main" id="{FD67225A-97AA-4857-BDE8-B900327050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19" name="Elipse 6618">
          <a:extLst>
            <a:ext uri="{FF2B5EF4-FFF2-40B4-BE49-F238E27FC236}">
              <a16:creationId xmlns:a16="http://schemas.microsoft.com/office/drawing/2014/main" id="{D1782EC7-089A-4DE5-B19C-F399772CD3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0" name="Elipse 6619">
          <a:extLst>
            <a:ext uri="{FF2B5EF4-FFF2-40B4-BE49-F238E27FC236}">
              <a16:creationId xmlns:a16="http://schemas.microsoft.com/office/drawing/2014/main" id="{EE7CA3BD-9D76-45C7-8F1F-229742147B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1" name="Elipse 6620">
          <a:extLst>
            <a:ext uri="{FF2B5EF4-FFF2-40B4-BE49-F238E27FC236}">
              <a16:creationId xmlns:a16="http://schemas.microsoft.com/office/drawing/2014/main" id="{35BE1974-35D2-45B0-9876-410A45C412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2" name="Elipse 6621">
          <a:extLst>
            <a:ext uri="{FF2B5EF4-FFF2-40B4-BE49-F238E27FC236}">
              <a16:creationId xmlns:a16="http://schemas.microsoft.com/office/drawing/2014/main" id="{36A192A0-8E31-41D8-80A9-7DB9791E83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3" name="Elipse 6622">
          <a:extLst>
            <a:ext uri="{FF2B5EF4-FFF2-40B4-BE49-F238E27FC236}">
              <a16:creationId xmlns:a16="http://schemas.microsoft.com/office/drawing/2014/main" id="{BB027F82-4CA2-4904-9F59-84856CAF0A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4" name="Elipse 6623">
          <a:extLst>
            <a:ext uri="{FF2B5EF4-FFF2-40B4-BE49-F238E27FC236}">
              <a16:creationId xmlns:a16="http://schemas.microsoft.com/office/drawing/2014/main" id="{3ABC3155-1A95-4DD7-8575-CA65D76B8B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5" name="Elipse 6624">
          <a:extLst>
            <a:ext uri="{FF2B5EF4-FFF2-40B4-BE49-F238E27FC236}">
              <a16:creationId xmlns:a16="http://schemas.microsoft.com/office/drawing/2014/main" id="{29588D7F-3341-4173-8EF8-D4A5537563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6" name="Elipse 6625">
          <a:extLst>
            <a:ext uri="{FF2B5EF4-FFF2-40B4-BE49-F238E27FC236}">
              <a16:creationId xmlns:a16="http://schemas.microsoft.com/office/drawing/2014/main" id="{9D8E5120-47D1-41B9-80A7-0FF180A5D0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7" name="Elipse 6626">
          <a:extLst>
            <a:ext uri="{FF2B5EF4-FFF2-40B4-BE49-F238E27FC236}">
              <a16:creationId xmlns:a16="http://schemas.microsoft.com/office/drawing/2014/main" id="{6EA2CC24-667A-49C0-8576-9EBFA838E3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8" name="Elipse 6627">
          <a:extLst>
            <a:ext uri="{FF2B5EF4-FFF2-40B4-BE49-F238E27FC236}">
              <a16:creationId xmlns:a16="http://schemas.microsoft.com/office/drawing/2014/main" id="{46F45AEC-D7A7-4E0E-97EC-927E46BFC0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29" name="Elipse 6628">
          <a:extLst>
            <a:ext uri="{FF2B5EF4-FFF2-40B4-BE49-F238E27FC236}">
              <a16:creationId xmlns:a16="http://schemas.microsoft.com/office/drawing/2014/main" id="{B5AF69B7-83DE-4C95-9C93-ADA3E59950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0" name="Elipse 6629">
          <a:extLst>
            <a:ext uri="{FF2B5EF4-FFF2-40B4-BE49-F238E27FC236}">
              <a16:creationId xmlns:a16="http://schemas.microsoft.com/office/drawing/2014/main" id="{F99B0DE7-0829-4F8B-996F-1ACBCC9E92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1" name="Elipse 6630">
          <a:extLst>
            <a:ext uri="{FF2B5EF4-FFF2-40B4-BE49-F238E27FC236}">
              <a16:creationId xmlns:a16="http://schemas.microsoft.com/office/drawing/2014/main" id="{301CDF2D-D965-48AB-962E-5715AB8FE9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2" name="Elipse 6631">
          <a:extLst>
            <a:ext uri="{FF2B5EF4-FFF2-40B4-BE49-F238E27FC236}">
              <a16:creationId xmlns:a16="http://schemas.microsoft.com/office/drawing/2014/main" id="{26F2AF6A-9931-4DF9-BBE7-AEDBEF069A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3" name="Elipse 6632">
          <a:extLst>
            <a:ext uri="{FF2B5EF4-FFF2-40B4-BE49-F238E27FC236}">
              <a16:creationId xmlns:a16="http://schemas.microsoft.com/office/drawing/2014/main" id="{3D8FDD3C-7DA7-41F5-B1F7-AF4F0C36C2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4" name="Elipse 6633">
          <a:extLst>
            <a:ext uri="{FF2B5EF4-FFF2-40B4-BE49-F238E27FC236}">
              <a16:creationId xmlns:a16="http://schemas.microsoft.com/office/drawing/2014/main" id="{08FC9F35-B041-4141-95B0-8BE36FA31E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5" name="Elipse 6634">
          <a:extLst>
            <a:ext uri="{FF2B5EF4-FFF2-40B4-BE49-F238E27FC236}">
              <a16:creationId xmlns:a16="http://schemas.microsoft.com/office/drawing/2014/main" id="{1E7A39B4-146C-4813-8A27-F4D03923E2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6" name="Elipse 6635">
          <a:extLst>
            <a:ext uri="{FF2B5EF4-FFF2-40B4-BE49-F238E27FC236}">
              <a16:creationId xmlns:a16="http://schemas.microsoft.com/office/drawing/2014/main" id="{8389A856-E0CD-433F-BF83-19FE4723F6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7" name="Elipse 6636">
          <a:extLst>
            <a:ext uri="{FF2B5EF4-FFF2-40B4-BE49-F238E27FC236}">
              <a16:creationId xmlns:a16="http://schemas.microsoft.com/office/drawing/2014/main" id="{8141DB8E-2523-4177-A232-D731964AB7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8" name="Elipse 6637">
          <a:extLst>
            <a:ext uri="{FF2B5EF4-FFF2-40B4-BE49-F238E27FC236}">
              <a16:creationId xmlns:a16="http://schemas.microsoft.com/office/drawing/2014/main" id="{49A7319C-596F-4FAB-8A4E-ED2CD5020F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39" name="Elipse 6638">
          <a:extLst>
            <a:ext uri="{FF2B5EF4-FFF2-40B4-BE49-F238E27FC236}">
              <a16:creationId xmlns:a16="http://schemas.microsoft.com/office/drawing/2014/main" id="{AC82D52B-E326-41F1-8F17-C2E2DF2982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0" name="Elipse 6639">
          <a:extLst>
            <a:ext uri="{FF2B5EF4-FFF2-40B4-BE49-F238E27FC236}">
              <a16:creationId xmlns:a16="http://schemas.microsoft.com/office/drawing/2014/main" id="{6103A90A-A5CF-4054-BF2F-FC82D2C9A5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1" name="Elipse 6640">
          <a:extLst>
            <a:ext uri="{FF2B5EF4-FFF2-40B4-BE49-F238E27FC236}">
              <a16:creationId xmlns:a16="http://schemas.microsoft.com/office/drawing/2014/main" id="{C5C417D1-E125-4E55-A562-A78B2F89CB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2" name="Elipse 6641">
          <a:extLst>
            <a:ext uri="{FF2B5EF4-FFF2-40B4-BE49-F238E27FC236}">
              <a16:creationId xmlns:a16="http://schemas.microsoft.com/office/drawing/2014/main" id="{3BBDDF90-8AAC-482F-AE70-8FA21D278B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3" name="Elipse 6642">
          <a:extLst>
            <a:ext uri="{FF2B5EF4-FFF2-40B4-BE49-F238E27FC236}">
              <a16:creationId xmlns:a16="http://schemas.microsoft.com/office/drawing/2014/main" id="{FAF004CD-C9E7-4F9D-AC23-70C18C2376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4" name="Elipse 6643">
          <a:extLst>
            <a:ext uri="{FF2B5EF4-FFF2-40B4-BE49-F238E27FC236}">
              <a16:creationId xmlns:a16="http://schemas.microsoft.com/office/drawing/2014/main" id="{FEEB6D61-09EF-4381-94A5-7573B7DAE1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5" name="Elipse 6644">
          <a:extLst>
            <a:ext uri="{FF2B5EF4-FFF2-40B4-BE49-F238E27FC236}">
              <a16:creationId xmlns:a16="http://schemas.microsoft.com/office/drawing/2014/main" id="{CA6A7735-75D5-4465-8047-AF8EEEDBED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6" name="Elipse 6645">
          <a:extLst>
            <a:ext uri="{FF2B5EF4-FFF2-40B4-BE49-F238E27FC236}">
              <a16:creationId xmlns:a16="http://schemas.microsoft.com/office/drawing/2014/main" id="{D4933741-9AE5-4B22-BA45-2C6E96B71E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7" name="Elipse 6646">
          <a:extLst>
            <a:ext uri="{FF2B5EF4-FFF2-40B4-BE49-F238E27FC236}">
              <a16:creationId xmlns:a16="http://schemas.microsoft.com/office/drawing/2014/main" id="{DEF2882D-813E-4E30-8ECF-E8A3AD8AD8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8" name="Elipse 6647">
          <a:extLst>
            <a:ext uri="{FF2B5EF4-FFF2-40B4-BE49-F238E27FC236}">
              <a16:creationId xmlns:a16="http://schemas.microsoft.com/office/drawing/2014/main" id="{9A2DEC03-CFE2-4162-8DEE-E8E93C4BE7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49" name="Elipse 6648">
          <a:extLst>
            <a:ext uri="{FF2B5EF4-FFF2-40B4-BE49-F238E27FC236}">
              <a16:creationId xmlns:a16="http://schemas.microsoft.com/office/drawing/2014/main" id="{B7502F75-D784-4F26-A989-0244E3602E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0" name="Elipse 6649">
          <a:extLst>
            <a:ext uri="{FF2B5EF4-FFF2-40B4-BE49-F238E27FC236}">
              <a16:creationId xmlns:a16="http://schemas.microsoft.com/office/drawing/2014/main" id="{456DD9A2-848D-474E-A3A0-9319F0BF72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1" name="Elipse 6650">
          <a:extLst>
            <a:ext uri="{FF2B5EF4-FFF2-40B4-BE49-F238E27FC236}">
              <a16:creationId xmlns:a16="http://schemas.microsoft.com/office/drawing/2014/main" id="{320BBD5E-EFD5-46A2-ADE8-5B9B256093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2" name="Elipse 6651">
          <a:extLst>
            <a:ext uri="{FF2B5EF4-FFF2-40B4-BE49-F238E27FC236}">
              <a16:creationId xmlns:a16="http://schemas.microsoft.com/office/drawing/2014/main" id="{71023B15-60A8-4B41-86DE-93F8C2A8B5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3" name="Elipse 6652">
          <a:extLst>
            <a:ext uri="{FF2B5EF4-FFF2-40B4-BE49-F238E27FC236}">
              <a16:creationId xmlns:a16="http://schemas.microsoft.com/office/drawing/2014/main" id="{64D17885-A8E2-49FF-94EF-0DE1D2893E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4" name="Elipse 6653">
          <a:extLst>
            <a:ext uri="{FF2B5EF4-FFF2-40B4-BE49-F238E27FC236}">
              <a16:creationId xmlns:a16="http://schemas.microsoft.com/office/drawing/2014/main" id="{1D82E1D7-8DF3-4178-8CB8-B9633D2E1B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5" name="Elipse 6654">
          <a:extLst>
            <a:ext uri="{FF2B5EF4-FFF2-40B4-BE49-F238E27FC236}">
              <a16:creationId xmlns:a16="http://schemas.microsoft.com/office/drawing/2014/main" id="{11F61AD3-BB14-409D-926E-87CB1704BE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6" name="Elipse 6655">
          <a:extLst>
            <a:ext uri="{FF2B5EF4-FFF2-40B4-BE49-F238E27FC236}">
              <a16:creationId xmlns:a16="http://schemas.microsoft.com/office/drawing/2014/main" id="{0BC02D8D-AA24-4E14-A9C0-21132F95F6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7" name="Elipse 6656">
          <a:extLst>
            <a:ext uri="{FF2B5EF4-FFF2-40B4-BE49-F238E27FC236}">
              <a16:creationId xmlns:a16="http://schemas.microsoft.com/office/drawing/2014/main" id="{A4274962-3C70-4545-A37A-E0CCC9FCBD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8" name="Elipse 6657">
          <a:extLst>
            <a:ext uri="{FF2B5EF4-FFF2-40B4-BE49-F238E27FC236}">
              <a16:creationId xmlns:a16="http://schemas.microsoft.com/office/drawing/2014/main" id="{189C3BB4-FC3E-4AA1-8D4F-44BC4825F4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59" name="Elipse 6658">
          <a:extLst>
            <a:ext uri="{FF2B5EF4-FFF2-40B4-BE49-F238E27FC236}">
              <a16:creationId xmlns:a16="http://schemas.microsoft.com/office/drawing/2014/main" id="{A66B66D8-E538-40C6-B91D-F9DD7EB0F7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0" name="Elipse 6659">
          <a:extLst>
            <a:ext uri="{FF2B5EF4-FFF2-40B4-BE49-F238E27FC236}">
              <a16:creationId xmlns:a16="http://schemas.microsoft.com/office/drawing/2014/main" id="{39E953E8-E2E5-4651-9C86-DDCCD7E25B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1" name="Elipse 6660">
          <a:extLst>
            <a:ext uri="{FF2B5EF4-FFF2-40B4-BE49-F238E27FC236}">
              <a16:creationId xmlns:a16="http://schemas.microsoft.com/office/drawing/2014/main" id="{90D65378-4C84-4DF8-83B9-0A50AD13E4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2" name="Elipse 6661">
          <a:extLst>
            <a:ext uri="{FF2B5EF4-FFF2-40B4-BE49-F238E27FC236}">
              <a16:creationId xmlns:a16="http://schemas.microsoft.com/office/drawing/2014/main" id="{31AA000D-9014-4080-8D7C-3EA2214D81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3" name="Elipse 6662">
          <a:extLst>
            <a:ext uri="{FF2B5EF4-FFF2-40B4-BE49-F238E27FC236}">
              <a16:creationId xmlns:a16="http://schemas.microsoft.com/office/drawing/2014/main" id="{FD6D139A-8174-4626-AAAB-F4049A13E6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4" name="Elipse 6663">
          <a:extLst>
            <a:ext uri="{FF2B5EF4-FFF2-40B4-BE49-F238E27FC236}">
              <a16:creationId xmlns:a16="http://schemas.microsoft.com/office/drawing/2014/main" id="{9CCC97C9-4E5F-4F26-B62B-E9C69BD558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5" name="Elipse 6664">
          <a:extLst>
            <a:ext uri="{FF2B5EF4-FFF2-40B4-BE49-F238E27FC236}">
              <a16:creationId xmlns:a16="http://schemas.microsoft.com/office/drawing/2014/main" id="{7FE96E02-C157-49B5-A117-07F235595E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6" name="Elipse 6665">
          <a:extLst>
            <a:ext uri="{FF2B5EF4-FFF2-40B4-BE49-F238E27FC236}">
              <a16:creationId xmlns:a16="http://schemas.microsoft.com/office/drawing/2014/main" id="{D6488A2D-C848-4D84-AB17-FA8F0C6689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7" name="Elipse 6666">
          <a:extLst>
            <a:ext uri="{FF2B5EF4-FFF2-40B4-BE49-F238E27FC236}">
              <a16:creationId xmlns:a16="http://schemas.microsoft.com/office/drawing/2014/main" id="{A006FF72-35B1-490E-B0FA-6F9396AF79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8" name="Elipse 6667">
          <a:extLst>
            <a:ext uri="{FF2B5EF4-FFF2-40B4-BE49-F238E27FC236}">
              <a16:creationId xmlns:a16="http://schemas.microsoft.com/office/drawing/2014/main" id="{109600DD-C9E3-455C-B51F-B24A4E757D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69" name="Elipse 6668">
          <a:extLst>
            <a:ext uri="{FF2B5EF4-FFF2-40B4-BE49-F238E27FC236}">
              <a16:creationId xmlns:a16="http://schemas.microsoft.com/office/drawing/2014/main" id="{7546CD4F-A697-494E-92B0-E4AA8D23D0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0" name="Elipse 6669">
          <a:extLst>
            <a:ext uri="{FF2B5EF4-FFF2-40B4-BE49-F238E27FC236}">
              <a16:creationId xmlns:a16="http://schemas.microsoft.com/office/drawing/2014/main" id="{74C06D83-BFE6-49AE-90B9-4E785E0553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1" name="Elipse 6670">
          <a:extLst>
            <a:ext uri="{FF2B5EF4-FFF2-40B4-BE49-F238E27FC236}">
              <a16:creationId xmlns:a16="http://schemas.microsoft.com/office/drawing/2014/main" id="{18BEA58A-F3D5-418C-8311-32BABD5284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2" name="Elipse 6671">
          <a:extLst>
            <a:ext uri="{FF2B5EF4-FFF2-40B4-BE49-F238E27FC236}">
              <a16:creationId xmlns:a16="http://schemas.microsoft.com/office/drawing/2014/main" id="{0CD37B65-013A-4BC0-A21B-AA39215820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3" name="Elipse 6672">
          <a:extLst>
            <a:ext uri="{FF2B5EF4-FFF2-40B4-BE49-F238E27FC236}">
              <a16:creationId xmlns:a16="http://schemas.microsoft.com/office/drawing/2014/main" id="{ED6F1EC0-5CE9-401C-A0A2-03CD67374A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4" name="Elipse 6673">
          <a:extLst>
            <a:ext uri="{FF2B5EF4-FFF2-40B4-BE49-F238E27FC236}">
              <a16:creationId xmlns:a16="http://schemas.microsoft.com/office/drawing/2014/main" id="{BFE64845-DE9A-4058-BF3E-54707377A5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5" name="Elipse 6674">
          <a:extLst>
            <a:ext uri="{FF2B5EF4-FFF2-40B4-BE49-F238E27FC236}">
              <a16:creationId xmlns:a16="http://schemas.microsoft.com/office/drawing/2014/main" id="{F119B898-D3FC-44BB-B85D-AC52F2649D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6" name="Elipse 6675">
          <a:extLst>
            <a:ext uri="{FF2B5EF4-FFF2-40B4-BE49-F238E27FC236}">
              <a16:creationId xmlns:a16="http://schemas.microsoft.com/office/drawing/2014/main" id="{C7B44407-138F-440E-9421-E6CAAEFB5E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7" name="Elipse 6676">
          <a:extLst>
            <a:ext uri="{FF2B5EF4-FFF2-40B4-BE49-F238E27FC236}">
              <a16:creationId xmlns:a16="http://schemas.microsoft.com/office/drawing/2014/main" id="{502E73B1-5492-4EB0-A57E-40C6CB0C79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8" name="Elipse 6677">
          <a:extLst>
            <a:ext uri="{FF2B5EF4-FFF2-40B4-BE49-F238E27FC236}">
              <a16:creationId xmlns:a16="http://schemas.microsoft.com/office/drawing/2014/main" id="{4BAE5C9A-14CB-4A9B-8662-7E31FA521D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79" name="Elipse 6678">
          <a:extLst>
            <a:ext uri="{FF2B5EF4-FFF2-40B4-BE49-F238E27FC236}">
              <a16:creationId xmlns:a16="http://schemas.microsoft.com/office/drawing/2014/main" id="{455417FA-8EBB-4101-9830-7E7FFD794D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0" name="Elipse 6679">
          <a:extLst>
            <a:ext uri="{FF2B5EF4-FFF2-40B4-BE49-F238E27FC236}">
              <a16:creationId xmlns:a16="http://schemas.microsoft.com/office/drawing/2014/main" id="{03BE1E1C-BA04-4E40-8870-1B1053EA3E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1" name="Elipse 6680">
          <a:extLst>
            <a:ext uri="{FF2B5EF4-FFF2-40B4-BE49-F238E27FC236}">
              <a16:creationId xmlns:a16="http://schemas.microsoft.com/office/drawing/2014/main" id="{9DAE17FE-96BF-43EF-9A04-08EEEB51D5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2" name="Elipse 6681">
          <a:extLst>
            <a:ext uri="{FF2B5EF4-FFF2-40B4-BE49-F238E27FC236}">
              <a16:creationId xmlns:a16="http://schemas.microsoft.com/office/drawing/2014/main" id="{1F4117A0-6E44-4C73-8B5D-63609F55AE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3" name="Elipse 6682">
          <a:extLst>
            <a:ext uri="{FF2B5EF4-FFF2-40B4-BE49-F238E27FC236}">
              <a16:creationId xmlns:a16="http://schemas.microsoft.com/office/drawing/2014/main" id="{8EC707E0-6905-404D-9BF6-06BD810AC7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4" name="Elipse 6683">
          <a:extLst>
            <a:ext uri="{FF2B5EF4-FFF2-40B4-BE49-F238E27FC236}">
              <a16:creationId xmlns:a16="http://schemas.microsoft.com/office/drawing/2014/main" id="{27CDE15C-45F5-4479-90C0-C91A05C5C6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5" name="Elipse 6684">
          <a:extLst>
            <a:ext uri="{FF2B5EF4-FFF2-40B4-BE49-F238E27FC236}">
              <a16:creationId xmlns:a16="http://schemas.microsoft.com/office/drawing/2014/main" id="{25BA9E90-AC45-493A-A628-D3DF63A6C8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6" name="Elipse 6685">
          <a:extLst>
            <a:ext uri="{FF2B5EF4-FFF2-40B4-BE49-F238E27FC236}">
              <a16:creationId xmlns:a16="http://schemas.microsoft.com/office/drawing/2014/main" id="{4E8DAA7F-D490-4C11-9D8A-1F8F06464D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7" name="Elipse 6686">
          <a:extLst>
            <a:ext uri="{FF2B5EF4-FFF2-40B4-BE49-F238E27FC236}">
              <a16:creationId xmlns:a16="http://schemas.microsoft.com/office/drawing/2014/main" id="{5C80FC2D-FB29-4B0F-94B8-2226F9D0CA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8" name="Elipse 6687">
          <a:extLst>
            <a:ext uri="{FF2B5EF4-FFF2-40B4-BE49-F238E27FC236}">
              <a16:creationId xmlns:a16="http://schemas.microsoft.com/office/drawing/2014/main" id="{95D47B3A-5EAC-47BB-88FD-75B1E940DC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89" name="Elipse 6688">
          <a:extLst>
            <a:ext uri="{FF2B5EF4-FFF2-40B4-BE49-F238E27FC236}">
              <a16:creationId xmlns:a16="http://schemas.microsoft.com/office/drawing/2014/main" id="{8BD8BFC4-5762-4137-8FE4-BCB1550087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0" name="Elipse 6689">
          <a:extLst>
            <a:ext uri="{FF2B5EF4-FFF2-40B4-BE49-F238E27FC236}">
              <a16:creationId xmlns:a16="http://schemas.microsoft.com/office/drawing/2014/main" id="{F0F98B7E-126B-4D70-AFFB-3ED126B078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1" name="Elipse 6690">
          <a:extLst>
            <a:ext uri="{FF2B5EF4-FFF2-40B4-BE49-F238E27FC236}">
              <a16:creationId xmlns:a16="http://schemas.microsoft.com/office/drawing/2014/main" id="{D716BDCC-5B07-47E9-909B-CED415D640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2" name="Elipse 6691">
          <a:extLst>
            <a:ext uri="{FF2B5EF4-FFF2-40B4-BE49-F238E27FC236}">
              <a16:creationId xmlns:a16="http://schemas.microsoft.com/office/drawing/2014/main" id="{75287729-CF79-4ED4-B2A5-A038249C76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3" name="Elipse 6692">
          <a:extLst>
            <a:ext uri="{FF2B5EF4-FFF2-40B4-BE49-F238E27FC236}">
              <a16:creationId xmlns:a16="http://schemas.microsoft.com/office/drawing/2014/main" id="{B5AF4D4A-B580-424B-97E4-4954010C28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4" name="Elipse 6693">
          <a:extLst>
            <a:ext uri="{FF2B5EF4-FFF2-40B4-BE49-F238E27FC236}">
              <a16:creationId xmlns:a16="http://schemas.microsoft.com/office/drawing/2014/main" id="{A054244B-AECD-45BF-8AE3-7B2E291209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5" name="Elipse 6694">
          <a:extLst>
            <a:ext uri="{FF2B5EF4-FFF2-40B4-BE49-F238E27FC236}">
              <a16:creationId xmlns:a16="http://schemas.microsoft.com/office/drawing/2014/main" id="{5D46862C-4E2B-4BA6-9E7E-4CD015330D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6" name="Elipse 6695">
          <a:extLst>
            <a:ext uri="{FF2B5EF4-FFF2-40B4-BE49-F238E27FC236}">
              <a16:creationId xmlns:a16="http://schemas.microsoft.com/office/drawing/2014/main" id="{6F32112B-E8BA-49AF-91C2-D052AE8EBF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7" name="Elipse 6696">
          <a:extLst>
            <a:ext uri="{FF2B5EF4-FFF2-40B4-BE49-F238E27FC236}">
              <a16:creationId xmlns:a16="http://schemas.microsoft.com/office/drawing/2014/main" id="{C07FFDFB-AE6E-4AA7-AB46-A8BEE63D03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8" name="Elipse 6697">
          <a:extLst>
            <a:ext uri="{FF2B5EF4-FFF2-40B4-BE49-F238E27FC236}">
              <a16:creationId xmlns:a16="http://schemas.microsoft.com/office/drawing/2014/main" id="{72696E91-583A-4DF6-BEF6-D7335DA74F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699" name="Elipse 6698">
          <a:extLst>
            <a:ext uri="{FF2B5EF4-FFF2-40B4-BE49-F238E27FC236}">
              <a16:creationId xmlns:a16="http://schemas.microsoft.com/office/drawing/2014/main" id="{99BD3B5C-D247-4F4C-ADCD-4C4EF88F54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0" name="Elipse 6699">
          <a:extLst>
            <a:ext uri="{FF2B5EF4-FFF2-40B4-BE49-F238E27FC236}">
              <a16:creationId xmlns:a16="http://schemas.microsoft.com/office/drawing/2014/main" id="{6905EB5E-BAA9-44EF-80FC-93846C28FD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1" name="Elipse 6700">
          <a:extLst>
            <a:ext uri="{FF2B5EF4-FFF2-40B4-BE49-F238E27FC236}">
              <a16:creationId xmlns:a16="http://schemas.microsoft.com/office/drawing/2014/main" id="{741FAAA3-5889-417D-A705-12F506493D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2" name="Elipse 6701">
          <a:extLst>
            <a:ext uri="{FF2B5EF4-FFF2-40B4-BE49-F238E27FC236}">
              <a16:creationId xmlns:a16="http://schemas.microsoft.com/office/drawing/2014/main" id="{D1B96E21-9603-4DC4-995F-A1498CBA5F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3" name="Elipse 6702">
          <a:extLst>
            <a:ext uri="{FF2B5EF4-FFF2-40B4-BE49-F238E27FC236}">
              <a16:creationId xmlns:a16="http://schemas.microsoft.com/office/drawing/2014/main" id="{9C872A1A-1C27-47D8-B2F2-2D8F0C88C6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4" name="Elipse 6703">
          <a:extLst>
            <a:ext uri="{FF2B5EF4-FFF2-40B4-BE49-F238E27FC236}">
              <a16:creationId xmlns:a16="http://schemas.microsoft.com/office/drawing/2014/main" id="{D48F40F5-C1F8-4DE2-8A07-5049EF4480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5" name="Elipse 6704">
          <a:extLst>
            <a:ext uri="{FF2B5EF4-FFF2-40B4-BE49-F238E27FC236}">
              <a16:creationId xmlns:a16="http://schemas.microsoft.com/office/drawing/2014/main" id="{9FE1B4F1-F62E-4E47-B703-F0958F4E86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6" name="Elipse 6705">
          <a:extLst>
            <a:ext uri="{FF2B5EF4-FFF2-40B4-BE49-F238E27FC236}">
              <a16:creationId xmlns:a16="http://schemas.microsoft.com/office/drawing/2014/main" id="{B25A6D61-03F2-402B-9C76-7D69B586D2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7" name="Elipse 6706">
          <a:extLst>
            <a:ext uri="{FF2B5EF4-FFF2-40B4-BE49-F238E27FC236}">
              <a16:creationId xmlns:a16="http://schemas.microsoft.com/office/drawing/2014/main" id="{E9FBEC35-6188-4E40-9998-8F801F624C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8" name="Elipse 6707">
          <a:extLst>
            <a:ext uri="{FF2B5EF4-FFF2-40B4-BE49-F238E27FC236}">
              <a16:creationId xmlns:a16="http://schemas.microsoft.com/office/drawing/2014/main" id="{59E3FB87-2C31-4193-9954-69D80178E9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09" name="Elipse 6708">
          <a:extLst>
            <a:ext uri="{FF2B5EF4-FFF2-40B4-BE49-F238E27FC236}">
              <a16:creationId xmlns:a16="http://schemas.microsoft.com/office/drawing/2014/main" id="{845E6CA4-EB18-4B14-B22C-442DFFA7DE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0" name="Elipse 6709">
          <a:extLst>
            <a:ext uri="{FF2B5EF4-FFF2-40B4-BE49-F238E27FC236}">
              <a16:creationId xmlns:a16="http://schemas.microsoft.com/office/drawing/2014/main" id="{8D9F981C-EED3-40B6-97FB-BC7DF46961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1" name="Elipse 6710">
          <a:extLst>
            <a:ext uri="{FF2B5EF4-FFF2-40B4-BE49-F238E27FC236}">
              <a16:creationId xmlns:a16="http://schemas.microsoft.com/office/drawing/2014/main" id="{FA0FDB89-B1F9-4491-8C59-5724C34F58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2" name="Elipse 6711">
          <a:extLst>
            <a:ext uri="{FF2B5EF4-FFF2-40B4-BE49-F238E27FC236}">
              <a16:creationId xmlns:a16="http://schemas.microsoft.com/office/drawing/2014/main" id="{CAB00530-CAA1-46EF-A122-EBC514CDF0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3" name="Elipse 6712">
          <a:extLst>
            <a:ext uri="{FF2B5EF4-FFF2-40B4-BE49-F238E27FC236}">
              <a16:creationId xmlns:a16="http://schemas.microsoft.com/office/drawing/2014/main" id="{5029257D-9AC0-48B9-9DA7-61FC183F2C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4" name="Elipse 6713">
          <a:extLst>
            <a:ext uri="{FF2B5EF4-FFF2-40B4-BE49-F238E27FC236}">
              <a16:creationId xmlns:a16="http://schemas.microsoft.com/office/drawing/2014/main" id="{6FD43F0D-C732-4CA8-885D-E1A8A52D5D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5" name="Elipse 6714">
          <a:extLst>
            <a:ext uri="{FF2B5EF4-FFF2-40B4-BE49-F238E27FC236}">
              <a16:creationId xmlns:a16="http://schemas.microsoft.com/office/drawing/2014/main" id="{E5A8C7E6-D11E-4E36-AF77-9C269F7685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6" name="Elipse 6715">
          <a:extLst>
            <a:ext uri="{FF2B5EF4-FFF2-40B4-BE49-F238E27FC236}">
              <a16:creationId xmlns:a16="http://schemas.microsoft.com/office/drawing/2014/main" id="{C53059F0-8ECE-4ABB-9B6D-1CCE96E3A3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7" name="Elipse 6716">
          <a:extLst>
            <a:ext uri="{FF2B5EF4-FFF2-40B4-BE49-F238E27FC236}">
              <a16:creationId xmlns:a16="http://schemas.microsoft.com/office/drawing/2014/main" id="{C3A85CB3-25C9-4297-8391-70A1ECB37F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8" name="Elipse 6717">
          <a:extLst>
            <a:ext uri="{FF2B5EF4-FFF2-40B4-BE49-F238E27FC236}">
              <a16:creationId xmlns:a16="http://schemas.microsoft.com/office/drawing/2014/main" id="{2F83492E-7331-4BDC-A4D4-C510E2D712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19" name="Elipse 6718">
          <a:extLst>
            <a:ext uri="{FF2B5EF4-FFF2-40B4-BE49-F238E27FC236}">
              <a16:creationId xmlns:a16="http://schemas.microsoft.com/office/drawing/2014/main" id="{AAF17CBF-CAED-4FDA-A041-82567DE199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0" name="Elipse 6719">
          <a:extLst>
            <a:ext uri="{FF2B5EF4-FFF2-40B4-BE49-F238E27FC236}">
              <a16:creationId xmlns:a16="http://schemas.microsoft.com/office/drawing/2014/main" id="{6207FFB5-B659-4C20-BB26-55903B7F73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1" name="Elipse 6720">
          <a:extLst>
            <a:ext uri="{FF2B5EF4-FFF2-40B4-BE49-F238E27FC236}">
              <a16:creationId xmlns:a16="http://schemas.microsoft.com/office/drawing/2014/main" id="{55A7744A-DE17-472F-92C4-E74136ED31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2" name="Elipse 6721">
          <a:extLst>
            <a:ext uri="{FF2B5EF4-FFF2-40B4-BE49-F238E27FC236}">
              <a16:creationId xmlns:a16="http://schemas.microsoft.com/office/drawing/2014/main" id="{7B801927-2FEC-458D-A047-980D505F66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3" name="Elipse 6722">
          <a:extLst>
            <a:ext uri="{FF2B5EF4-FFF2-40B4-BE49-F238E27FC236}">
              <a16:creationId xmlns:a16="http://schemas.microsoft.com/office/drawing/2014/main" id="{56460B0A-7259-4937-8411-386515062D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4" name="Elipse 6723">
          <a:extLst>
            <a:ext uri="{FF2B5EF4-FFF2-40B4-BE49-F238E27FC236}">
              <a16:creationId xmlns:a16="http://schemas.microsoft.com/office/drawing/2014/main" id="{812143D9-D1E0-4605-ADF0-C9E3A95353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5" name="Elipse 6724">
          <a:extLst>
            <a:ext uri="{FF2B5EF4-FFF2-40B4-BE49-F238E27FC236}">
              <a16:creationId xmlns:a16="http://schemas.microsoft.com/office/drawing/2014/main" id="{0D1F1BE3-0096-491E-9753-1D1A649A22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6" name="Elipse 6725">
          <a:extLst>
            <a:ext uri="{FF2B5EF4-FFF2-40B4-BE49-F238E27FC236}">
              <a16:creationId xmlns:a16="http://schemas.microsoft.com/office/drawing/2014/main" id="{50DB219F-FAAD-48B3-8962-AF3BF31E7A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7" name="Elipse 6726">
          <a:extLst>
            <a:ext uri="{FF2B5EF4-FFF2-40B4-BE49-F238E27FC236}">
              <a16:creationId xmlns:a16="http://schemas.microsoft.com/office/drawing/2014/main" id="{B90E58AF-3CB0-4C16-8E47-F29439BB30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8" name="Elipse 6727">
          <a:extLst>
            <a:ext uri="{FF2B5EF4-FFF2-40B4-BE49-F238E27FC236}">
              <a16:creationId xmlns:a16="http://schemas.microsoft.com/office/drawing/2014/main" id="{985EA16A-F4EC-4B73-A33A-E2322F4FFC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29" name="Elipse 6728">
          <a:extLst>
            <a:ext uri="{FF2B5EF4-FFF2-40B4-BE49-F238E27FC236}">
              <a16:creationId xmlns:a16="http://schemas.microsoft.com/office/drawing/2014/main" id="{65F1B223-F705-4048-9770-5876696F8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0" name="Elipse 6729">
          <a:extLst>
            <a:ext uri="{FF2B5EF4-FFF2-40B4-BE49-F238E27FC236}">
              <a16:creationId xmlns:a16="http://schemas.microsoft.com/office/drawing/2014/main" id="{D6218A74-FDD2-4621-A03F-5205F2B796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1" name="Elipse 6730">
          <a:extLst>
            <a:ext uri="{FF2B5EF4-FFF2-40B4-BE49-F238E27FC236}">
              <a16:creationId xmlns:a16="http://schemas.microsoft.com/office/drawing/2014/main" id="{86E35575-4499-43B1-BF29-AD5BAEB43C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2" name="Elipse 6731">
          <a:extLst>
            <a:ext uri="{FF2B5EF4-FFF2-40B4-BE49-F238E27FC236}">
              <a16:creationId xmlns:a16="http://schemas.microsoft.com/office/drawing/2014/main" id="{0768E75A-82BD-4DE6-9E32-3204E878D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3" name="Elipse 6732">
          <a:extLst>
            <a:ext uri="{FF2B5EF4-FFF2-40B4-BE49-F238E27FC236}">
              <a16:creationId xmlns:a16="http://schemas.microsoft.com/office/drawing/2014/main" id="{22B615DC-7622-4553-B368-959DC1A938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4" name="Elipse 6733">
          <a:extLst>
            <a:ext uri="{FF2B5EF4-FFF2-40B4-BE49-F238E27FC236}">
              <a16:creationId xmlns:a16="http://schemas.microsoft.com/office/drawing/2014/main" id="{A619C3CE-415F-4202-BEAB-78B8E46A9A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5" name="Elipse 6734">
          <a:extLst>
            <a:ext uri="{FF2B5EF4-FFF2-40B4-BE49-F238E27FC236}">
              <a16:creationId xmlns:a16="http://schemas.microsoft.com/office/drawing/2014/main" id="{C368838F-C64F-4BF1-B2D2-CA757F6B1A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6" name="Elipse 6735">
          <a:extLst>
            <a:ext uri="{FF2B5EF4-FFF2-40B4-BE49-F238E27FC236}">
              <a16:creationId xmlns:a16="http://schemas.microsoft.com/office/drawing/2014/main" id="{C81E2C66-795D-4138-9218-087D8AAA1D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7" name="Elipse 6736">
          <a:extLst>
            <a:ext uri="{FF2B5EF4-FFF2-40B4-BE49-F238E27FC236}">
              <a16:creationId xmlns:a16="http://schemas.microsoft.com/office/drawing/2014/main" id="{DFEDAD2B-48BA-4704-B37A-A9964B967B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8" name="Elipse 6737">
          <a:extLst>
            <a:ext uri="{FF2B5EF4-FFF2-40B4-BE49-F238E27FC236}">
              <a16:creationId xmlns:a16="http://schemas.microsoft.com/office/drawing/2014/main" id="{E4964E6C-902B-4942-8609-D3C3202C5F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39" name="Elipse 6738">
          <a:extLst>
            <a:ext uri="{FF2B5EF4-FFF2-40B4-BE49-F238E27FC236}">
              <a16:creationId xmlns:a16="http://schemas.microsoft.com/office/drawing/2014/main" id="{02713063-AEE5-4165-8999-D134E0DBB9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0" name="Elipse 6739">
          <a:extLst>
            <a:ext uri="{FF2B5EF4-FFF2-40B4-BE49-F238E27FC236}">
              <a16:creationId xmlns:a16="http://schemas.microsoft.com/office/drawing/2014/main" id="{8E0FDC33-191A-4B8E-9BE4-B1680D9B58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1" name="Elipse 6740">
          <a:extLst>
            <a:ext uri="{FF2B5EF4-FFF2-40B4-BE49-F238E27FC236}">
              <a16:creationId xmlns:a16="http://schemas.microsoft.com/office/drawing/2014/main" id="{23822A96-5880-4113-818B-981A4C9B03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2" name="Elipse 6741">
          <a:extLst>
            <a:ext uri="{FF2B5EF4-FFF2-40B4-BE49-F238E27FC236}">
              <a16:creationId xmlns:a16="http://schemas.microsoft.com/office/drawing/2014/main" id="{5CEBD9E4-B050-48AF-917E-9C44926C66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3" name="Elipse 6742">
          <a:extLst>
            <a:ext uri="{FF2B5EF4-FFF2-40B4-BE49-F238E27FC236}">
              <a16:creationId xmlns:a16="http://schemas.microsoft.com/office/drawing/2014/main" id="{FAFB7631-14F2-4BE0-9F02-8DA2CB48AC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4" name="Elipse 6743">
          <a:extLst>
            <a:ext uri="{FF2B5EF4-FFF2-40B4-BE49-F238E27FC236}">
              <a16:creationId xmlns:a16="http://schemas.microsoft.com/office/drawing/2014/main" id="{36B5DA89-FCE3-40D1-8A60-840307853E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5" name="Elipse 6744">
          <a:extLst>
            <a:ext uri="{FF2B5EF4-FFF2-40B4-BE49-F238E27FC236}">
              <a16:creationId xmlns:a16="http://schemas.microsoft.com/office/drawing/2014/main" id="{AC2BF2B8-6369-45B1-BA01-78AED878C2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6" name="Elipse 6745">
          <a:extLst>
            <a:ext uri="{FF2B5EF4-FFF2-40B4-BE49-F238E27FC236}">
              <a16:creationId xmlns:a16="http://schemas.microsoft.com/office/drawing/2014/main" id="{59E2DE9D-72C1-43E1-AE70-33DE5296B7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7" name="Elipse 6746">
          <a:extLst>
            <a:ext uri="{FF2B5EF4-FFF2-40B4-BE49-F238E27FC236}">
              <a16:creationId xmlns:a16="http://schemas.microsoft.com/office/drawing/2014/main" id="{9194919B-DB94-4400-878B-CAB5CB62A6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8" name="Elipse 6747">
          <a:extLst>
            <a:ext uri="{FF2B5EF4-FFF2-40B4-BE49-F238E27FC236}">
              <a16:creationId xmlns:a16="http://schemas.microsoft.com/office/drawing/2014/main" id="{F201BE3B-B5A8-4F65-929F-312EE7A052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49" name="Elipse 6748">
          <a:extLst>
            <a:ext uri="{FF2B5EF4-FFF2-40B4-BE49-F238E27FC236}">
              <a16:creationId xmlns:a16="http://schemas.microsoft.com/office/drawing/2014/main" id="{1204242F-DD96-4741-9ACE-0006CE414A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0" name="Elipse 6749">
          <a:extLst>
            <a:ext uri="{FF2B5EF4-FFF2-40B4-BE49-F238E27FC236}">
              <a16:creationId xmlns:a16="http://schemas.microsoft.com/office/drawing/2014/main" id="{BBCE8FDC-AB0C-470E-BF3F-B039355B43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1" name="Elipse 6750">
          <a:extLst>
            <a:ext uri="{FF2B5EF4-FFF2-40B4-BE49-F238E27FC236}">
              <a16:creationId xmlns:a16="http://schemas.microsoft.com/office/drawing/2014/main" id="{3E9654F0-DD29-4110-B124-25031EC513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2" name="Elipse 6751">
          <a:extLst>
            <a:ext uri="{FF2B5EF4-FFF2-40B4-BE49-F238E27FC236}">
              <a16:creationId xmlns:a16="http://schemas.microsoft.com/office/drawing/2014/main" id="{0F63781D-FBF1-49B4-BD38-4F40D51DE1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3" name="Elipse 6752">
          <a:extLst>
            <a:ext uri="{FF2B5EF4-FFF2-40B4-BE49-F238E27FC236}">
              <a16:creationId xmlns:a16="http://schemas.microsoft.com/office/drawing/2014/main" id="{1BDF467D-90F4-4278-883E-FA458A1F82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4" name="Elipse 6753">
          <a:extLst>
            <a:ext uri="{FF2B5EF4-FFF2-40B4-BE49-F238E27FC236}">
              <a16:creationId xmlns:a16="http://schemas.microsoft.com/office/drawing/2014/main" id="{0BED834E-DA65-4B8B-BB78-079EF89A7B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5" name="Elipse 6754">
          <a:extLst>
            <a:ext uri="{FF2B5EF4-FFF2-40B4-BE49-F238E27FC236}">
              <a16:creationId xmlns:a16="http://schemas.microsoft.com/office/drawing/2014/main" id="{7F210811-6C62-4190-AFF9-FC16517E5F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6" name="Elipse 6755">
          <a:extLst>
            <a:ext uri="{FF2B5EF4-FFF2-40B4-BE49-F238E27FC236}">
              <a16:creationId xmlns:a16="http://schemas.microsoft.com/office/drawing/2014/main" id="{F5379E4B-88B2-451F-8089-FF367BEBF3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7" name="Elipse 6756">
          <a:extLst>
            <a:ext uri="{FF2B5EF4-FFF2-40B4-BE49-F238E27FC236}">
              <a16:creationId xmlns:a16="http://schemas.microsoft.com/office/drawing/2014/main" id="{CA51A92D-4835-4543-8BE0-068978A21D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8" name="Elipse 6757">
          <a:extLst>
            <a:ext uri="{FF2B5EF4-FFF2-40B4-BE49-F238E27FC236}">
              <a16:creationId xmlns:a16="http://schemas.microsoft.com/office/drawing/2014/main" id="{56BEFA4C-F4AE-41CD-81F4-3A5884F9A2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59" name="Elipse 6758">
          <a:extLst>
            <a:ext uri="{FF2B5EF4-FFF2-40B4-BE49-F238E27FC236}">
              <a16:creationId xmlns:a16="http://schemas.microsoft.com/office/drawing/2014/main" id="{5A0411FA-1A66-4CA1-886F-0201DCC74D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0" name="Elipse 6759">
          <a:extLst>
            <a:ext uri="{FF2B5EF4-FFF2-40B4-BE49-F238E27FC236}">
              <a16:creationId xmlns:a16="http://schemas.microsoft.com/office/drawing/2014/main" id="{65521E91-B71C-4E48-9A0B-069A934409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1" name="Elipse 6760">
          <a:extLst>
            <a:ext uri="{FF2B5EF4-FFF2-40B4-BE49-F238E27FC236}">
              <a16:creationId xmlns:a16="http://schemas.microsoft.com/office/drawing/2014/main" id="{674152F6-B5F2-4306-94BB-468CC7573B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2" name="Elipse 6761">
          <a:extLst>
            <a:ext uri="{FF2B5EF4-FFF2-40B4-BE49-F238E27FC236}">
              <a16:creationId xmlns:a16="http://schemas.microsoft.com/office/drawing/2014/main" id="{99F63DEB-9C60-4FD1-B8BB-F762FC794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3" name="Elipse 6762">
          <a:extLst>
            <a:ext uri="{FF2B5EF4-FFF2-40B4-BE49-F238E27FC236}">
              <a16:creationId xmlns:a16="http://schemas.microsoft.com/office/drawing/2014/main" id="{5EAEC325-56C9-428B-80CF-AAB5C874BA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4" name="Elipse 6763">
          <a:extLst>
            <a:ext uri="{FF2B5EF4-FFF2-40B4-BE49-F238E27FC236}">
              <a16:creationId xmlns:a16="http://schemas.microsoft.com/office/drawing/2014/main" id="{35A24E2D-CB10-4421-A8A4-D48B4F4F86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5" name="Elipse 6764">
          <a:extLst>
            <a:ext uri="{FF2B5EF4-FFF2-40B4-BE49-F238E27FC236}">
              <a16:creationId xmlns:a16="http://schemas.microsoft.com/office/drawing/2014/main" id="{F95210AB-CDFF-44D1-85DB-639CF76ED7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6" name="Elipse 6765">
          <a:extLst>
            <a:ext uri="{FF2B5EF4-FFF2-40B4-BE49-F238E27FC236}">
              <a16:creationId xmlns:a16="http://schemas.microsoft.com/office/drawing/2014/main" id="{5332FE21-C7BE-4CE4-AF7B-56DF3AD777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7" name="Elipse 6766">
          <a:extLst>
            <a:ext uri="{FF2B5EF4-FFF2-40B4-BE49-F238E27FC236}">
              <a16:creationId xmlns:a16="http://schemas.microsoft.com/office/drawing/2014/main" id="{C4B7A3DC-71A9-4A44-A9B0-B5FCD00307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8" name="Elipse 6767">
          <a:extLst>
            <a:ext uri="{FF2B5EF4-FFF2-40B4-BE49-F238E27FC236}">
              <a16:creationId xmlns:a16="http://schemas.microsoft.com/office/drawing/2014/main" id="{02C5BBAE-BB0A-468A-BD01-E5F99302D3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69" name="Elipse 6768">
          <a:extLst>
            <a:ext uri="{FF2B5EF4-FFF2-40B4-BE49-F238E27FC236}">
              <a16:creationId xmlns:a16="http://schemas.microsoft.com/office/drawing/2014/main" id="{ECE0150C-EF98-4192-B793-E71753349A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0" name="Elipse 6769">
          <a:extLst>
            <a:ext uri="{FF2B5EF4-FFF2-40B4-BE49-F238E27FC236}">
              <a16:creationId xmlns:a16="http://schemas.microsoft.com/office/drawing/2014/main" id="{8FC576B9-BFAF-49BD-969E-41D8DDA7A9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1" name="Elipse 6770">
          <a:extLst>
            <a:ext uri="{FF2B5EF4-FFF2-40B4-BE49-F238E27FC236}">
              <a16:creationId xmlns:a16="http://schemas.microsoft.com/office/drawing/2014/main" id="{6C84203F-BA55-4B04-B145-73343FA86A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2" name="Elipse 6771">
          <a:extLst>
            <a:ext uri="{FF2B5EF4-FFF2-40B4-BE49-F238E27FC236}">
              <a16:creationId xmlns:a16="http://schemas.microsoft.com/office/drawing/2014/main" id="{284446F9-79BB-41D7-BE4F-C55D8246C3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3" name="Elipse 6772">
          <a:extLst>
            <a:ext uri="{FF2B5EF4-FFF2-40B4-BE49-F238E27FC236}">
              <a16:creationId xmlns:a16="http://schemas.microsoft.com/office/drawing/2014/main" id="{47AF60A2-978C-402F-9BFB-013B31937C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4" name="Elipse 6773">
          <a:extLst>
            <a:ext uri="{FF2B5EF4-FFF2-40B4-BE49-F238E27FC236}">
              <a16:creationId xmlns:a16="http://schemas.microsoft.com/office/drawing/2014/main" id="{0EE5CB1E-A4FA-4735-A5DF-6D2731EF1F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5" name="Elipse 6774">
          <a:extLst>
            <a:ext uri="{FF2B5EF4-FFF2-40B4-BE49-F238E27FC236}">
              <a16:creationId xmlns:a16="http://schemas.microsoft.com/office/drawing/2014/main" id="{8BB0DEE5-4D88-4D4E-96F3-10423BEAE4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6" name="Elipse 6775">
          <a:extLst>
            <a:ext uri="{FF2B5EF4-FFF2-40B4-BE49-F238E27FC236}">
              <a16:creationId xmlns:a16="http://schemas.microsoft.com/office/drawing/2014/main" id="{95FE6467-FE5C-408A-8334-7288FC0651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7" name="Elipse 6776">
          <a:extLst>
            <a:ext uri="{FF2B5EF4-FFF2-40B4-BE49-F238E27FC236}">
              <a16:creationId xmlns:a16="http://schemas.microsoft.com/office/drawing/2014/main" id="{35C94FF8-1DE9-45F9-914D-3C76535AB3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8" name="Elipse 6777">
          <a:extLst>
            <a:ext uri="{FF2B5EF4-FFF2-40B4-BE49-F238E27FC236}">
              <a16:creationId xmlns:a16="http://schemas.microsoft.com/office/drawing/2014/main" id="{CB234A99-A37C-42F8-8CB5-F55194F65B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79" name="Elipse 6778">
          <a:extLst>
            <a:ext uri="{FF2B5EF4-FFF2-40B4-BE49-F238E27FC236}">
              <a16:creationId xmlns:a16="http://schemas.microsoft.com/office/drawing/2014/main" id="{66FE31D6-D470-464D-8BF8-FB2CD1FED4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0" name="Elipse 6779">
          <a:extLst>
            <a:ext uri="{FF2B5EF4-FFF2-40B4-BE49-F238E27FC236}">
              <a16:creationId xmlns:a16="http://schemas.microsoft.com/office/drawing/2014/main" id="{6DDBADD4-CEA9-4255-B374-C4944AEAD0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1" name="Elipse 6780">
          <a:extLst>
            <a:ext uri="{FF2B5EF4-FFF2-40B4-BE49-F238E27FC236}">
              <a16:creationId xmlns:a16="http://schemas.microsoft.com/office/drawing/2014/main" id="{E34EE0AA-807F-4F08-A600-E7D738A1F5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2" name="Elipse 6781">
          <a:extLst>
            <a:ext uri="{FF2B5EF4-FFF2-40B4-BE49-F238E27FC236}">
              <a16:creationId xmlns:a16="http://schemas.microsoft.com/office/drawing/2014/main" id="{7DF7C8E5-1336-4202-B2A5-B275CD1DD4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3" name="Elipse 6782">
          <a:extLst>
            <a:ext uri="{FF2B5EF4-FFF2-40B4-BE49-F238E27FC236}">
              <a16:creationId xmlns:a16="http://schemas.microsoft.com/office/drawing/2014/main" id="{5198B9EA-30EC-4866-A470-DB23180DF1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4" name="Elipse 6783">
          <a:extLst>
            <a:ext uri="{FF2B5EF4-FFF2-40B4-BE49-F238E27FC236}">
              <a16:creationId xmlns:a16="http://schemas.microsoft.com/office/drawing/2014/main" id="{FF845E96-2E81-4D00-B53C-74A1FAA5DD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5" name="Elipse 6784">
          <a:extLst>
            <a:ext uri="{FF2B5EF4-FFF2-40B4-BE49-F238E27FC236}">
              <a16:creationId xmlns:a16="http://schemas.microsoft.com/office/drawing/2014/main" id="{2C8D0D5E-6334-48FB-A61F-6657B27655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6" name="Elipse 6785">
          <a:extLst>
            <a:ext uri="{FF2B5EF4-FFF2-40B4-BE49-F238E27FC236}">
              <a16:creationId xmlns:a16="http://schemas.microsoft.com/office/drawing/2014/main" id="{097BB459-5FF9-4172-839E-7F4E7B459A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7" name="Elipse 6786">
          <a:extLst>
            <a:ext uri="{FF2B5EF4-FFF2-40B4-BE49-F238E27FC236}">
              <a16:creationId xmlns:a16="http://schemas.microsoft.com/office/drawing/2014/main" id="{6AF304DD-0B4C-4FB0-A1AD-277347FCAE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8" name="Elipse 6787">
          <a:extLst>
            <a:ext uri="{FF2B5EF4-FFF2-40B4-BE49-F238E27FC236}">
              <a16:creationId xmlns:a16="http://schemas.microsoft.com/office/drawing/2014/main" id="{94FDA39A-0A33-4D58-8BF0-CCE70C7089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89" name="Elipse 6788">
          <a:extLst>
            <a:ext uri="{FF2B5EF4-FFF2-40B4-BE49-F238E27FC236}">
              <a16:creationId xmlns:a16="http://schemas.microsoft.com/office/drawing/2014/main" id="{26281DA8-3946-448B-8624-C12DC52CCE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0" name="Elipse 6789">
          <a:extLst>
            <a:ext uri="{FF2B5EF4-FFF2-40B4-BE49-F238E27FC236}">
              <a16:creationId xmlns:a16="http://schemas.microsoft.com/office/drawing/2014/main" id="{6A6AC7CD-2582-4F79-A3BF-5CE35AEA9D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1" name="Elipse 6790">
          <a:extLst>
            <a:ext uri="{FF2B5EF4-FFF2-40B4-BE49-F238E27FC236}">
              <a16:creationId xmlns:a16="http://schemas.microsoft.com/office/drawing/2014/main" id="{8BC3151E-3692-45FE-906A-7E38E6ED2D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2" name="Elipse 6791">
          <a:extLst>
            <a:ext uri="{FF2B5EF4-FFF2-40B4-BE49-F238E27FC236}">
              <a16:creationId xmlns:a16="http://schemas.microsoft.com/office/drawing/2014/main" id="{94BF63DC-6B15-43BE-A226-0DC0FF3F37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3" name="Elipse 6792">
          <a:extLst>
            <a:ext uri="{FF2B5EF4-FFF2-40B4-BE49-F238E27FC236}">
              <a16:creationId xmlns:a16="http://schemas.microsoft.com/office/drawing/2014/main" id="{FAA4153B-729B-4A81-9EF5-495C46F647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4" name="Elipse 6793">
          <a:extLst>
            <a:ext uri="{FF2B5EF4-FFF2-40B4-BE49-F238E27FC236}">
              <a16:creationId xmlns:a16="http://schemas.microsoft.com/office/drawing/2014/main" id="{5D0D85AC-8A9E-4FD8-A9F9-97E2673716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5" name="Elipse 6794">
          <a:extLst>
            <a:ext uri="{FF2B5EF4-FFF2-40B4-BE49-F238E27FC236}">
              <a16:creationId xmlns:a16="http://schemas.microsoft.com/office/drawing/2014/main" id="{92044A7B-AD68-40D3-A4BA-870D4A2526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6" name="Elipse 6795">
          <a:extLst>
            <a:ext uri="{FF2B5EF4-FFF2-40B4-BE49-F238E27FC236}">
              <a16:creationId xmlns:a16="http://schemas.microsoft.com/office/drawing/2014/main" id="{E683C659-0E9A-4821-A9E1-97A33EDB67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7" name="Elipse 6796">
          <a:extLst>
            <a:ext uri="{FF2B5EF4-FFF2-40B4-BE49-F238E27FC236}">
              <a16:creationId xmlns:a16="http://schemas.microsoft.com/office/drawing/2014/main" id="{75EE4A68-77ED-4182-865E-C86D69553B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8" name="Elipse 6797">
          <a:extLst>
            <a:ext uri="{FF2B5EF4-FFF2-40B4-BE49-F238E27FC236}">
              <a16:creationId xmlns:a16="http://schemas.microsoft.com/office/drawing/2014/main" id="{647FFA60-114A-4BC6-9AE9-9D50067327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799" name="Elipse 6798">
          <a:extLst>
            <a:ext uri="{FF2B5EF4-FFF2-40B4-BE49-F238E27FC236}">
              <a16:creationId xmlns:a16="http://schemas.microsoft.com/office/drawing/2014/main" id="{437A96A6-A2BB-4946-BD5E-CD7D9B3D69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0" name="Elipse 6799">
          <a:extLst>
            <a:ext uri="{FF2B5EF4-FFF2-40B4-BE49-F238E27FC236}">
              <a16:creationId xmlns:a16="http://schemas.microsoft.com/office/drawing/2014/main" id="{40EB0A1C-5A59-4566-978A-72C803B994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1" name="Elipse 6800">
          <a:extLst>
            <a:ext uri="{FF2B5EF4-FFF2-40B4-BE49-F238E27FC236}">
              <a16:creationId xmlns:a16="http://schemas.microsoft.com/office/drawing/2014/main" id="{0B2C36F0-93CB-4453-AB9C-6DF8867684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2" name="Elipse 6801">
          <a:extLst>
            <a:ext uri="{FF2B5EF4-FFF2-40B4-BE49-F238E27FC236}">
              <a16:creationId xmlns:a16="http://schemas.microsoft.com/office/drawing/2014/main" id="{7432CDAB-FD8C-46EE-BC65-C786A48A17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3" name="Elipse 6802">
          <a:extLst>
            <a:ext uri="{FF2B5EF4-FFF2-40B4-BE49-F238E27FC236}">
              <a16:creationId xmlns:a16="http://schemas.microsoft.com/office/drawing/2014/main" id="{F06BF9F2-2BFF-4740-B13B-68C57A7F49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4" name="Elipse 6803">
          <a:extLst>
            <a:ext uri="{FF2B5EF4-FFF2-40B4-BE49-F238E27FC236}">
              <a16:creationId xmlns:a16="http://schemas.microsoft.com/office/drawing/2014/main" id="{F0034401-BA5A-4C00-99CB-8E84A05445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5" name="Elipse 6804">
          <a:extLst>
            <a:ext uri="{FF2B5EF4-FFF2-40B4-BE49-F238E27FC236}">
              <a16:creationId xmlns:a16="http://schemas.microsoft.com/office/drawing/2014/main" id="{05045C34-9CA0-414A-9D8D-550AFD11D7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6" name="Elipse 6805">
          <a:extLst>
            <a:ext uri="{FF2B5EF4-FFF2-40B4-BE49-F238E27FC236}">
              <a16:creationId xmlns:a16="http://schemas.microsoft.com/office/drawing/2014/main" id="{B02C9DA5-92C9-4907-93E9-F8EB9B8290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7" name="Elipse 6806">
          <a:extLst>
            <a:ext uri="{FF2B5EF4-FFF2-40B4-BE49-F238E27FC236}">
              <a16:creationId xmlns:a16="http://schemas.microsoft.com/office/drawing/2014/main" id="{264FB2ED-2EEF-4FA3-8A96-82CE15819F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8" name="Elipse 6807">
          <a:extLst>
            <a:ext uri="{FF2B5EF4-FFF2-40B4-BE49-F238E27FC236}">
              <a16:creationId xmlns:a16="http://schemas.microsoft.com/office/drawing/2014/main" id="{6012D655-1B60-4A87-84E8-9EEF5B9D71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09" name="Elipse 6808">
          <a:extLst>
            <a:ext uri="{FF2B5EF4-FFF2-40B4-BE49-F238E27FC236}">
              <a16:creationId xmlns:a16="http://schemas.microsoft.com/office/drawing/2014/main" id="{534F4045-27F5-451B-90D5-92DB7C1911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0" name="Elipse 6809">
          <a:extLst>
            <a:ext uri="{FF2B5EF4-FFF2-40B4-BE49-F238E27FC236}">
              <a16:creationId xmlns:a16="http://schemas.microsoft.com/office/drawing/2014/main" id="{7672C512-55B2-4D26-88EA-A4331D72B0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1" name="Elipse 6810">
          <a:extLst>
            <a:ext uri="{FF2B5EF4-FFF2-40B4-BE49-F238E27FC236}">
              <a16:creationId xmlns:a16="http://schemas.microsoft.com/office/drawing/2014/main" id="{31987F89-377F-45CF-B412-966F7FCED2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2" name="Elipse 6811">
          <a:extLst>
            <a:ext uri="{FF2B5EF4-FFF2-40B4-BE49-F238E27FC236}">
              <a16:creationId xmlns:a16="http://schemas.microsoft.com/office/drawing/2014/main" id="{F1103603-28FE-4165-850B-D9CD506A57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3" name="Elipse 6812">
          <a:extLst>
            <a:ext uri="{FF2B5EF4-FFF2-40B4-BE49-F238E27FC236}">
              <a16:creationId xmlns:a16="http://schemas.microsoft.com/office/drawing/2014/main" id="{68E5F0D9-A16C-4659-80E1-FA62950463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4" name="Elipse 6813">
          <a:extLst>
            <a:ext uri="{FF2B5EF4-FFF2-40B4-BE49-F238E27FC236}">
              <a16:creationId xmlns:a16="http://schemas.microsoft.com/office/drawing/2014/main" id="{430DEF7F-2B66-4EF0-AE02-18BA19C218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5" name="Elipse 6814">
          <a:extLst>
            <a:ext uri="{FF2B5EF4-FFF2-40B4-BE49-F238E27FC236}">
              <a16:creationId xmlns:a16="http://schemas.microsoft.com/office/drawing/2014/main" id="{6739B9C3-3244-4E9F-98D2-30258CBA25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6" name="Elipse 6815">
          <a:extLst>
            <a:ext uri="{FF2B5EF4-FFF2-40B4-BE49-F238E27FC236}">
              <a16:creationId xmlns:a16="http://schemas.microsoft.com/office/drawing/2014/main" id="{667B358C-02E4-41F5-BFB5-9B68C8A147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7" name="Elipse 6816">
          <a:extLst>
            <a:ext uri="{FF2B5EF4-FFF2-40B4-BE49-F238E27FC236}">
              <a16:creationId xmlns:a16="http://schemas.microsoft.com/office/drawing/2014/main" id="{474B55B4-833B-449D-885A-98C58A443C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8" name="Elipse 6817">
          <a:extLst>
            <a:ext uri="{FF2B5EF4-FFF2-40B4-BE49-F238E27FC236}">
              <a16:creationId xmlns:a16="http://schemas.microsoft.com/office/drawing/2014/main" id="{31111056-C43C-4B62-BBFF-E630229C82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19" name="Elipse 6818">
          <a:extLst>
            <a:ext uri="{FF2B5EF4-FFF2-40B4-BE49-F238E27FC236}">
              <a16:creationId xmlns:a16="http://schemas.microsoft.com/office/drawing/2014/main" id="{3B3252C6-16B9-416C-A968-FE4C7A37F3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0" name="Elipse 6819">
          <a:extLst>
            <a:ext uri="{FF2B5EF4-FFF2-40B4-BE49-F238E27FC236}">
              <a16:creationId xmlns:a16="http://schemas.microsoft.com/office/drawing/2014/main" id="{003F90C3-F555-438F-BC0B-777783BA03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1" name="Elipse 6820">
          <a:extLst>
            <a:ext uri="{FF2B5EF4-FFF2-40B4-BE49-F238E27FC236}">
              <a16:creationId xmlns:a16="http://schemas.microsoft.com/office/drawing/2014/main" id="{F10D7FC5-A752-4B53-8E14-6596AD3554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2" name="Elipse 6821">
          <a:extLst>
            <a:ext uri="{FF2B5EF4-FFF2-40B4-BE49-F238E27FC236}">
              <a16:creationId xmlns:a16="http://schemas.microsoft.com/office/drawing/2014/main" id="{FCBE5B0C-AB3B-497C-A982-CBF1EA8C19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3" name="Elipse 6822">
          <a:extLst>
            <a:ext uri="{FF2B5EF4-FFF2-40B4-BE49-F238E27FC236}">
              <a16:creationId xmlns:a16="http://schemas.microsoft.com/office/drawing/2014/main" id="{292C51CB-A4FB-4331-8DD5-96CD1784E8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4" name="Elipse 6823">
          <a:extLst>
            <a:ext uri="{FF2B5EF4-FFF2-40B4-BE49-F238E27FC236}">
              <a16:creationId xmlns:a16="http://schemas.microsoft.com/office/drawing/2014/main" id="{A73AA4A4-55D1-43CF-ADB1-CB2B46FB26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5" name="Elipse 6824">
          <a:extLst>
            <a:ext uri="{FF2B5EF4-FFF2-40B4-BE49-F238E27FC236}">
              <a16:creationId xmlns:a16="http://schemas.microsoft.com/office/drawing/2014/main" id="{D1882072-53F5-4044-AA99-CC26687ED2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6" name="Elipse 6825">
          <a:extLst>
            <a:ext uri="{FF2B5EF4-FFF2-40B4-BE49-F238E27FC236}">
              <a16:creationId xmlns:a16="http://schemas.microsoft.com/office/drawing/2014/main" id="{80CEC52D-6722-4F33-A77A-17792E888D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7" name="Elipse 6826">
          <a:extLst>
            <a:ext uri="{FF2B5EF4-FFF2-40B4-BE49-F238E27FC236}">
              <a16:creationId xmlns:a16="http://schemas.microsoft.com/office/drawing/2014/main" id="{B9203994-71E1-4AE2-893A-6EFEBE5EFE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8" name="Elipse 6827">
          <a:extLst>
            <a:ext uri="{FF2B5EF4-FFF2-40B4-BE49-F238E27FC236}">
              <a16:creationId xmlns:a16="http://schemas.microsoft.com/office/drawing/2014/main" id="{04CBE564-5C8E-4DF5-A8E8-79B2A11A0F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29" name="Elipse 6828">
          <a:extLst>
            <a:ext uri="{FF2B5EF4-FFF2-40B4-BE49-F238E27FC236}">
              <a16:creationId xmlns:a16="http://schemas.microsoft.com/office/drawing/2014/main" id="{22A48A1D-7462-4E58-8762-45073B5F3E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0" name="Elipse 6829">
          <a:extLst>
            <a:ext uri="{FF2B5EF4-FFF2-40B4-BE49-F238E27FC236}">
              <a16:creationId xmlns:a16="http://schemas.microsoft.com/office/drawing/2014/main" id="{09B989BA-2191-4F52-B120-65DA38F812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1" name="Elipse 6830">
          <a:extLst>
            <a:ext uri="{FF2B5EF4-FFF2-40B4-BE49-F238E27FC236}">
              <a16:creationId xmlns:a16="http://schemas.microsoft.com/office/drawing/2014/main" id="{8645AEA0-1963-46EC-A99D-2DC2CE8988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2" name="Elipse 6831">
          <a:extLst>
            <a:ext uri="{FF2B5EF4-FFF2-40B4-BE49-F238E27FC236}">
              <a16:creationId xmlns:a16="http://schemas.microsoft.com/office/drawing/2014/main" id="{FF0BA82F-B038-4753-A321-709E7E2C2F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3" name="Elipse 6832">
          <a:extLst>
            <a:ext uri="{FF2B5EF4-FFF2-40B4-BE49-F238E27FC236}">
              <a16:creationId xmlns:a16="http://schemas.microsoft.com/office/drawing/2014/main" id="{EF432F8D-76FE-4D0A-9B44-9FFF0EB3C5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4" name="Elipse 6833">
          <a:extLst>
            <a:ext uri="{FF2B5EF4-FFF2-40B4-BE49-F238E27FC236}">
              <a16:creationId xmlns:a16="http://schemas.microsoft.com/office/drawing/2014/main" id="{8C38BA63-96F7-480B-B9DE-5636F0AB3E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5" name="Elipse 6834">
          <a:extLst>
            <a:ext uri="{FF2B5EF4-FFF2-40B4-BE49-F238E27FC236}">
              <a16:creationId xmlns:a16="http://schemas.microsoft.com/office/drawing/2014/main" id="{6FC0C5A2-B188-4DA9-B2FC-AB46E357EB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6" name="Elipse 6835">
          <a:extLst>
            <a:ext uri="{FF2B5EF4-FFF2-40B4-BE49-F238E27FC236}">
              <a16:creationId xmlns:a16="http://schemas.microsoft.com/office/drawing/2014/main" id="{0F7816E0-7913-4C2E-9974-D24844E5D1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7" name="Elipse 6836">
          <a:extLst>
            <a:ext uri="{FF2B5EF4-FFF2-40B4-BE49-F238E27FC236}">
              <a16:creationId xmlns:a16="http://schemas.microsoft.com/office/drawing/2014/main" id="{AC89FA83-B7AF-4A86-B2FF-F65005D2D7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8" name="Elipse 6837">
          <a:extLst>
            <a:ext uri="{FF2B5EF4-FFF2-40B4-BE49-F238E27FC236}">
              <a16:creationId xmlns:a16="http://schemas.microsoft.com/office/drawing/2014/main" id="{BCDEA36A-3377-4246-9465-44F46F8A42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39" name="Elipse 6838">
          <a:extLst>
            <a:ext uri="{FF2B5EF4-FFF2-40B4-BE49-F238E27FC236}">
              <a16:creationId xmlns:a16="http://schemas.microsoft.com/office/drawing/2014/main" id="{17DD8E89-BC6D-4E8D-AE50-67413A1494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0" name="Elipse 6839">
          <a:extLst>
            <a:ext uri="{FF2B5EF4-FFF2-40B4-BE49-F238E27FC236}">
              <a16:creationId xmlns:a16="http://schemas.microsoft.com/office/drawing/2014/main" id="{7F0150C7-C4EC-4E0B-AEFD-8634AB4CA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1" name="Elipse 6840">
          <a:extLst>
            <a:ext uri="{FF2B5EF4-FFF2-40B4-BE49-F238E27FC236}">
              <a16:creationId xmlns:a16="http://schemas.microsoft.com/office/drawing/2014/main" id="{C44CDBBB-36E5-488C-9303-AD27BCFFD1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2" name="Elipse 6841">
          <a:extLst>
            <a:ext uri="{FF2B5EF4-FFF2-40B4-BE49-F238E27FC236}">
              <a16:creationId xmlns:a16="http://schemas.microsoft.com/office/drawing/2014/main" id="{70969DDE-951C-43D2-9949-D56FDB6F61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3" name="Elipse 6842">
          <a:extLst>
            <a:ext uri="{FF2B5EF4-FFF2-40B4-BE49-F238E27FC236}">
              <a16:creationId xmlns:a16="http://schemas.microsoft.com/office/drawing/2014/main" id="{0B7B74C9-768A-4AE5-989C-A139203595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4" name="Elipse 6843">
          <a:extLst>
            <a:ext uri="{FF2B5EF4-FFF2-40B4-BE49-F238E27FC236}">
              <a16:creationId xmlns:a16="http://schemas.microsoft.com/office/drawing/2014/main" id="{006C2632-0D39-4B4E-ABF0-D148EC6E92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5" name="Elipse 6844">
          <a:extLst>
            <a:ext uri="{FF2B5EF4-FFF2-40B4-BE49-F238E27FC236}">
              <a16:creationId xmlns:a16="http://schemas.microsoft.com/office/drawing/2014/main" id="{B1A6B5A4-4B73-4E9A-9496-56CD28D361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6" name="Elipse 6845">
          <a:extLst>
            <a:ext uri="{FF2B5EF4-FFF2-40B4-BE49-F238E27FC236}">
              <a16:creationId xmlns:a16="http://schemas.microsoft.com/office/drawing/2014/main" id="{4869D94B-A805-43DD-85AC-98B3F21997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7" name="Elipse 6846">
          <a:extLst>
            <a:ext uri="{FF2B5EF4-FFF2-40B4-BE49-F238E27FC236}">
              <a16:creationId xmlns:a16="http://schemas.microsoft.com/office/drawing/2014/main" id="{CE28C64F-68D5-4F61-BA30-CC2D8E0675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8" name="Elipse 6847">
          <a:extLst>
            <a:ext uri="{FF2B5EF4-FFF2-40B4-BE49-F238E27FC236}">
              <a16:creationId xmlns:a16="http://schemas.microsoft.com/office/drawing/2014/main" id="{8527CA64-56D0-4596-A5D9-DF881F3792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49" name="Elipse 6848">
          <a:extLst>
            <a:ext uri="{FF2B5EF4-FFF2-40B4-BE49-F238E27FC236}">
              <a16:creationId xmlns:a16="http://schemas.microsoft.com/office/drawing/2014/main" id="{02258190-490C-4698-ACAF-03094542E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0" name="Elipse 6849">
          <a:extLst>
            <a:ext uri="{FF2B5EF4-FFF2-40B4-BE49-F238E27FC236}">
              <a16:creationId xmlns:a16="http://schemas.microsoft.com/office/drawing/2014/main" id="{22444D0C-1E64-4ACB-AF35-5B32E4774D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1" name="Elipse 6850">
          <a:extLst>
            <a:ext uri="{FF2B5EF4-FFF2-40B4-BE49-F238E27FC236}">
              <a16:creationId xmlns:a16="http://schemas.microsoft.com/office/drawing/2014/main" id="{DDF8B90C-227C-4EAC-BF72-0DBD0C1701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2" name="Elipse 6851">
          <a:extLst>
            <a:ext uri="{FF2B5EF4-FFF2-40B4-BE49-F238E27FC236}">
              <a16:creationId xmlns:a16="http://schemas.microsoft.com/office/drawing/2014/main" id="{278988E0-6570-4B98-8CDB-BA3C13FAF3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3" name="Elipse 6852">
          <a:extLst>
            <a:ext uri="{FF2B5EF4-FFF2-40B4-BE49-F238E27FC236}">
              <a16:creationId xmlns:a16="http://schemas.microsoft.com/office/drawing/2014/main" id="{CB168326-D0FF-40B8-9C5A-AFAA89F0A3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4" name="Elipse 6853">
          <a:extLst>
            <a:ext uri="{FF2B5EF4-FFF2-40B4-BE49-F238E27FC236}">
              <a16:creationId xmlns:a16="http://schemas.microsoft.com/office/drawing/2014/main" id="{2ABC18F5-D42A-4558-BF84-10A892DF2D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5" name="Elipse 6854">
          <a:extLst>
            <a:ext uri="{FF2B5EF4-FFF2-40B4-BE49-F238E27FC236}">
              <a16:creationId xmlns:a16="http://schemas.microsoft.com/office/drawing/2014/main" id="{BACEFCF6-B20B-42C7-A568-45002B8C04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6" name="Elipse 6855">
          <a:extLst>
            <a:ext uri="{FF2B5EF4-FFF2-40B4-BE49-F238E27FC236}">
              <a16:creationId xmlns:a16="http://schemas.microsoft.com/office/drawing/2014/main" id="{89685AA4-47F5-4BCB-B19E-369EB5F171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7" name="Elipse 6856">
          <a:extLst>
            <a:ext uri="{FF2B5EF4-FFF2-40B4-BE49-F238E27FC236}">
              <a16:creationId xmlns:a16="http://schemas.microsoft.com/office/drawing/2014/main" id="{6D843CF9-FEA3-4A33-B741-15F70A2095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8" name="Elipse 6857">
          <a:extLst>
            <a:ext uri="{FF2B5EF4-FFF2-40B4-BE49-F238E27FC236}">
              <a16:creationId xmlns:a16="http://schemas.microsoft.com/office/drawing/2014/main" id="{40782C6E-34AF-48A0-A464-228FE6C2CE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59" name="Elipse 6858">
          <a:extLst>
            <a:ext uri="{FF2B5EF4-FFF2-40B4-BE49-F238E27FC236}">
              <a16:creationId xmlns:a16="http://schemas.microsoft.com/office/drawing/2014/main" id="{300B73D6-A5F4-431D-A9D9-42B370946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0" name="Elipse 6859">
          <a:extLst>
            <a:ext uri="{FF2B5EF4-FFF2-40B4-BE49-F238E27FC236}">
              <a16:creationId xmlns:a16="http://schemas.microsoft.com/office/drawing/2014/main" id="{873897DA-A4D1-4A33-84F0-30E3824E11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1" name="Elipse 6860">
          <a:extLst>
            <a:ext uri="{FF2B5EF4-FFF2-40B4-BE49-F238E27FC236}">
              <a16:creationId xmlns:a16="http://schemas.microsoft.com/office/drawing/2014/main" id="{69F0BD64-6B96-4D36-82BF-A56635BC3A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2" name="Elipse 6861">
          <a:extLst>
            <a:ext uri="{FF2B5EF4-FFF2-40B4-BE49-F238E27FC236}">
              <a16:creationId xmlns:a16="http://schemas.microsoft.com/office/drawing/2014/main" id="{5C85890E-ACC7-40DC-B961-958ABF2063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3" name="Elipse 6862">
          <a:extLst>
            <a:ext uri="{FF2B5EF4-FFF2-40B4-BE49-F238E27FC236}">
              <a16:creationId xmlns:a16="http://schemas.microsoft.com/office/drawing/2014/main" id="{B53E626B-0A77-4DC6-AEF2-791BC79A7F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4" name="Elipse 6863">
          <a:extLst>
            <a:ext uri="{FF2B5EF4-FFF2-40B4-BE49-F238E27FC236}">
              <a16:creationId xmlns:a16="http://schemas.microsoft.com/office/drawing/2014/main" id="{940E40D6-D6CB-4099-8F66-AB92EE3800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5" name="Elipse 6864">
          <a:extLst>
            <a:ext uri="{FF2B5EF4-FFF2-40B4-BE49-F238E27FC236}">
              <a16:creationId xmlns:a16="http://schemas.microsoft.com/office/drawing/2014/main" id="{7AC0324C-DC0B-46E9-9082-542AA6E0BC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6" name="Elipse 6865">
          <a:extLst>
            <a:ext uri="{FF2B5EF4-FFF2-40B4-BE49-F238E27FC236}">
              <a16:creationId xmlns:a16="http://schemas.microsoft.com/office/drawing/2014/main" id="{747883A4-0998-4725-A3D4-B700F5A299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7" name="Elipse 6866">
          <a:extLst>
            <a:ext uri="{FF2B5EF4-FFF2-40B4-BE49-F238E27FC236}">
              <a16:creationId xmlns:a16="http://schemas.microsoft.com/office/drawing/2014/main" id="{04086109-DF4B-4AAD-AFCE-E6448B7D32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8" name="Elipse 6867">
          <a:extLst>
            <a:ext uri="{FF2B5EF4-FFF2-40B4-BE49-F238E27FC236}">
              <a16:creationId xmlns:a16="http://schemas.microsoft.com/office/drawing/2014/main" id="{BB890842-4317-48D0-B6D6-1D76B02613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69" name="Elipse 6868">
          <a:extLst>
            <a:ext uri="{FF2B5EF4-FFF2-40B4-BE49-F238E27FC236}">
              <a16:creationId xmlns:a16="http://schemas.microsoft.com/office/drawing/2014/main" id="{AF7EB84A-2C7C-46E8-995E-D24B20D6D2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0" name="Elipse 6869">
          <a:extLst>
            <a:ext uri="{FF2B5EF4-FFF2-40B4-BE49-F238E27FC236}">
              <a16:creationId xmlns:a16="http://schemas.microsoft.com/office/drawing/2014/main" id="{DC16F4DE-3865-43FF-8ADE-9EC56E1800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1" name="Elipse 6870">
          <a:extLst>
            <a:ext uri="{FF2B5EF4-FFF2-40B4-BE49-F238E27FC236}">
              <a16:creationId xmlns:a16="http://schemas.microsoft.com/office/drawing/2014/main" id="{6F80CF37-24F6-45C9-93C6-AAD5FA363E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2" name="Elipse 6871">
          <a:extLst>
            <a:ext uri="{FF2B5EF4-FFF2-40B4-BE49-F238E27FC236}">
              <a16:creationId xmlns:a16="http://schemas.microsoft.com/office/drawing/2014/main" id="{DB35D850-E7FD-4E0B-A1A3-D068A42AB9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3" name="Elipse 6872">
          <a:extLst>
            <a:ext uri="{FF2B5EF4-FFF2-40B4-BE49-F238E27FC236}">
              <a16:creationId xmlns:a16="http://schemas.microsoft.com/office/drawing/2014/main" id="{8AECD06C-25B0-44BD-9CED-CA32F49892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4" name="Elipse 6873">
          <a:extLst>
            <a:ext uri="{FF2B5EF4-FFF2-40B4-BE49-F238E27FC236}">
              <a16:creationId xmlns:a16="http://schemas.microsoft.com/office/drawing/2014/main" id="{B0CD656F-56C1-431B-8EAD-27598EA9C9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5" name="Elipse 6874">
          <a:extLst>
            <a:ext uri="{FF2B5EF4-FFF2-40B4-BE49-F238E27FC236}">
              <a16:creationId xmlns:a16="http://schemas.microsoft.com/office/drawing/2014/main" id="{38DF1429-64E0-41EC-9894-328E3DF8A1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6" name="Elipse 6875">
          <a:extLst>
            <a:ext uri="{FF2B5EF4-FFF2-40B4-BE49-F238E27FC236}">
              <a16:creationId xmlns:a16="http://schemas.microsoft.com/office/drawing/2014/main" id="{3197FA6F-191C-45CC-9890-BD0C187734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7" name="Elipse 6876">
          <a:extLst>
            <a:ext uri="{FF2B5EF4-FFF2-40B4-BE49-F238E27FC236}">
              <a16:creationId xmlns:a16="http://schemas.microsoft.com/office/drawing/2014/main" id="{9D12831D-0573-450A-BD46-C65CB8B778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8" name="Elipse 6877">
          <a:extLst>
            <a:ext uri="{FF2B5EF4-FFF2-40B4-BE49-F238E27FC236}">
              <a16:creationId xmlns:a16="http://schemas.microsoft.com/office/drawing/2014/main" id="{9F9837C1-BAE8-42FD-9271-F0C291F1F5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79" name="Elipse 6878">
          <a:extLst>
            <a:ext uri="{FF2B5EF4-FFF2-40B4-BE49-F238E27FC236}">
              <a16:creationId xmlns:a16="http://schemas.microsoft.com/office/drawing/2014/main" id="{EA50B60E-FAA7-4C55-8685-9338266B44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0" name="Elipse 6879">
          <a:extLst>
            <a:ext uri="{FF2B5EF4-FFF2-40B4-BE49-F238E27FC236}">
              <a16:creationId xmlns:a16="http://schemas.microsoft.com/office/drawing/2014/main" id="{D748B9F2-2369-4DB5-BA56-AD15579985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1" name="Elipse 6880">
          <a:extLst>
            <a:ext uri="{FF2B5EF4-FFF2-40B4-BE49-F238E27FC236}">
              <a16:creationId xmlns:a16="http://schemas.microsoft.com/office/drawing/2014/main" id="{3DE2044B-8B56-4AD2-AC37-9CD05B09CF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2" name="Elipse 6881">
          <a:extLst>
            <a:ext uri="{FF2B5EF4-FFF2-40B4-BE49-F238E27FC236}">
              <a16:creationId xmlns:a16="http://schemas.microsoft.com/office/drawing/2014/main" id="{29034A8A-1258-4CCB-8612-3108D83836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3" name="Elipse 6882">
          <a:extLst>
            <a:ext uri="{FF2B5EF4-FFF2-40B4-BE49-F238E27FC236}">
              <a16:creationId xmlns:a16="http://schemas.microsoft.com/office/drawing/2014/main" id="{ABFF7A4B-8DC1-4D59-AE0A-C03CA7839F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4" name="Elipse 6883">
          <a:extLst>
            <a:ext uri="{FF2B5EF4-FFF2-40B4-BE49-F238E27FC236}">
              <a16:creationId xmlns:a16="http://schemas.microsoft.com/office/drawing/2014/main" id="{CDA20DB0-884D-41EB-BA73-C48C9D54B7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5" name="Elipse 6884">
          <a:extLst>
            <a:ext uri="{FF2B5EF4-FFF2-40B4-BE49-F238E27FC236}">
              <a16:creationId xmlns:a16="http://schemas.microsoft.com/office/drawing/2014/main" id="{6C99EA01-6EFD-4D85-8BC5-05C9004C75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6" name="Elipse 6885">
          <a:extLst>
            <a:ext uri="{FF2B5EF4-FFF2-40B4-BE49-F238E27FC236}">
              <a16:creationId xmlns:a16="http://schemas.microsoft.com/office/drawing/2014/main" id="{6851B826-6A63-4272-8A15-E91389B596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7" name="Elipse 6886">
          <a:extLst>
            <a:ext uri="{FF2B5EF4-FFF2-40B4-BE49-F238E27FC236}">
              <a16:creationId xmlns:a16="http://schemas.microsoft.com/office/drawing/2014/main" id="{EB0FF36B-EFDF-4CE9-81AA-48C97D1251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8" name="Elipse 6887">
          <a:extLst>
            <a:ext uri="{FF2B5EF4-FFF2-40B4-BE49-F238E27FC236}">
              <a16:creationId xmlns:a16="http://schemas.microsoft.com/office/drawing/2014/main" id="{761C80D2-B68F-469D-9665-336EBB8AC3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89" name="Elipse 6888">
          <a:extLst>
            <a:ext uri="{FF2B5EF4-FFF2-40B4-BE49-F238E27FC236}">
              <a16:creationId xmlns:a16="http://schemas.microsoft.com/office/drawing/2014/main" id="{AC8C10F2-ECDF-4E07-AE40-722AAD8BD2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0" name="Elipse 6889">
          <a:extLst>
            <a:ext uri="{FF2B5EF4-FFF2-40B4-BE49-F238E27FC236}">
              <a16:creationId xmlns:a16="http://schemas.microsoft.com/office/drawing/2014/main" id="{DC4B80A2-E3A7-4137-90DF-5B4C0D9F3B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1" name="Elipse 6890">
          <a:extLst>
            <a:ext uri="{FF2B5EF4-FFF2-40B4-BE49-F238E27FC236}">
              <a16:creationId xmlns:a16="http://schemas.microsoft.com/office/drawing/2014/main" id="{22956D86-0A60-4546-822E-D1C2F3E22D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2" name="Elipse 6891">
          <a:extLst>
            <a:ext uri="{FF2B5EF4-FFF2-40B4-BE49-F238E27FC236}">
              <a16:creationId xmlns:a16="http://schemas.microsoft.com/office/drawing/2014/main" id="{B4B84D0B-0C90-43D4-A0B4-2CDB41AEC4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3" name="Elipse 6892">
          <a:extLst>
            <a:ext uri="{FF2B5EF4-FFF2-40B4-BE49-F238E27FC236}">
              <a16:creationId xmlns:a16="http://schemas.microsoft.com/office/drawing/2014/main" id="{1EA043EF-CB92-4153-8409-7370DC6C09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4" name="Elipse 6893">
          <a:extLst>
            <a:ext uri="{FF2B5EF4-FFF2-40B4-BE49-F238E27FC236}">
              <a16:creationId xmlns:a16="http://schemas.microsoft.com/office/drawing/2014/main" id="{6843D142-8E4E-42CF-AC8C-6DA6A78CB8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5" name="Elipse 6894">
          <a:extLst>
            <a:ext uri="{FF2B5EF4-FFF2-40B4-BE49-F238E27FC236}">
              <a16:creationId xmlns:a16="http://schemas.microsoft.com/office/drawing/2014/main" id="{54B9C0DB-00BF-45A2-A7C0-B505B6D9F0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6" name="Elipse 6895">
          <a:extLst>
            <a:ext uri="{FF2B5EF4-FFF2-40B4-BE49-F238E27FC236}">
              <a16:creationId xmlns:a16="http://schemas.microsoft.com/office/drawing/2014/main" id="{329C2F2F-E30F-4EEC-BCF1-0687DF3275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7" name="Elipse 6896">
          <a:extLst>
            <a:ext uri="{FF2B5EF4-FFF2-40B4-BE49-F238E27FC236}">
              <a16:creationId xmlns:a16="http://schemas.microsoft.com/office/drawing/2014/main" id="{E959C1D2-C10D-4C72-9763-16F07207CF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8" name="Elipse 6897">
          <a:extLst>
            <a:ext uri="{FF2B5EF4-FFF2-40B4-BE49-F238E27FC236}">
              <a16:creationId xmlns:a16="http://schemas.microsoft.com/office/drawing/2014/main" id="{F9AF92EA-D064-4C8D-8E32-868D4799C4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899" name="Elipse 6898">
          <a:extLst>
            <a:ext uri="{FF2B5EF4-FFF2-40B4-BE49-F238E27FC236}">
              <a16:creationId xmlns:a16="http://schemas.microsoft.com/office/drawing/2014/main" id="{4F00B409-3EE2-4D4C-926B-9609C59901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0" name="Elipse 6899">
          <a:extLst>
            <a:ext uri="{FF2B5EF4-FFF2-40B4-BE49-F238E27FC236}">
              <a16:creationId xmlns:a16="http://schemas.microsoft.com/office/drawing/2014/main" id="{112575D0-912A-4208-BCDC-CF365666CF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1" name="Elipse 6900">
          <a:extLst>
            <a:ext uri="{FF2B5EF4-FFF2-40B4-BE49-F238E27FC236}">
              <a16:creationId xmlns:a16="http://schemas.microsoft.com/office/drawing/2014/main" id="{A8B15CF3-4C1D-496B-9995-C61C53252E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2" name="Elipse 6901">
          <a:extLst>
            <a:ext uri="{FF2B5EF4-FFF2-40B4-BE49-F238E27FC236}">
              <a16:creationId xmlns:a16="http://schemas.microsoft.com/office/drawing/2014/main" id="{8E3B25F5-32FB-426D-A1A1-64BD371822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3" name="Elipse 6902">
          <a:extLst>
            <a:ext uri="{FF2B5EF4-FFF2-40B4-BE49-F238E27FC236}">
              <a16:creationId xmlns:a16="http://schemas.microsoft.com/office/drawing/2014/main" id="{B899BEDD-0E7C-4F51-AD46-7186CE7E42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4" name="Elipse 6903">
          <a:extLst>
            <a:ext uri="{FF2B5EF4-FFF2-40B4-BE49-F238E27FC236}">
              <a16:creationId xmlns:a16="http://schemas.microsoft.com/office/drawing/2014/main" id="{F570179D-EB09-46A8-AF9A-1A1280CB8A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5" name="Elipse 6904">
          <a:extLst>
            <a:ext uri="{FF2B5EF4-FFF2-40B4-BE49-F238E27FC236}">
              <a16:creationId xmlns:a16="http://schemas.microsoft.com/office/drawing/2014/main" id="{C913A4D7-05DB-4430-AFC3-6E18722CBD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6" name="Elipse 6905">
          <a:extLst>
            <a:ext uri="{FF2B5EF4-FFF2-40B4-BE49-F238E27FC236}">
              <a16:creationId xmlns:a16="http://schemas.microsoft.com/office/drawing/2014/main" id="{64F0D1B4-6226-4EB6-87CE-317597CD19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7" name="Elipse 6906">
          <a:extLst>
            <a:ext uri="{FF2B5EF4-FFF2-40B4-BE49-F238E27FC236}">
              <a16:creationId xmlns:a16="http://schemas.microsoft.com/office/drawing/2014/main" id="{3E329522-7CE3-4093-8D20-1A2919B437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8" name="Elipse 6907">
          <a:extLst>
            <a:ext uri="{FF2B5EF4-FFF2-40B4-BE49-F238E27FC236}">
              <a16:creationId xmlns:a16="http://schemas.microsoft.com/office/drawing/2014/main" id="{04C149B4-82E5-4409-B856-603D5C8361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09" name="Elipse 6908">
          <a:extLst>
            <a:ext uri="{FF2B5EF4-FFF2-40B4-BE49-F238E27FC236}">
              <a16:creationId xmlns:a16="http://schemas.microsoft.com/office/drawing/2014/main" id="{0F7720E9-25F9-4D33-B649-3CEC793B5A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0" name="Elipse 6909">
          <a:extLst>
            <a:ext uri="{FF2B5EF4-FFF2-40B4-BE49-F238E27FC236}">
              <a16:creationId xmlns:a16="http://schemas.microsoft.com/office/drawing/2014/main" id="{C43A37B9-F3F3-428A-8ABA-34AA4AB0AD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1" name="Elipse 6910">
          <a:extLst>
            <a:ext uri="{FF2B5EF4-FFF2-40B4-BE49-F238E27FC236}">
              <a16:creationId xmlns:a16="http://schemas.microsoft.com/office/drawing/2014/main" id="{638B105D-8888-4F69-84DA-F584143B77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2" name="Elipse 6911">
          <a:extLst>
            <a:ext uri="{FF2B5EF4-FFF2-40B4-BE49-F238E27FC236}">
              <a16:creationId xmlns:a16="http://schemas.microsoft.com/office/drawing/2014/main" id="{E4121221-81B0-48E6-B99E-A08B46CF04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3" name="Elipse 6912">
          <a:extLst>
            <a:ext uri="{FF2B5EF4-FFF2-40B4-BE49-F238E27FC236}">
              <a16:creationId xmlns:a16="http://schemas.microsoft.com/office/drawing/2014/main" id="{6BCE5AF9-CCE9-40D9-92BA-851CBB539B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4" name="Elipse 6913">
          <a:extLst>
            <a:ext uri="{FF2B5EF4-FFF2-40B4-BE49-F238E27FC236}">
              <a16:creationId xmlns:a16="http://schemas.microsoft.com/office/drawing/2014/main" id="{EB5FDD0B-5EDE-4F88-81A9-CEEBB85144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5" name="Elipse 6914">
          <a:extLst>
            <a:ext uri="{FF2B5EF4-FFF2-40B4-BE49-F238E27FC236}">
              <a16:creationId xmlns:a16="http://schemas.microsoft.com/office/drawing/2014/main" id="{C0D9437B-CD75-4F71-A374-E8EE9D2B99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6" name="Elipse 6915">
          <a:extLst>
            <a:ext uri="{FF2B5EF4-FFF2-40B4-BE49-F238E27FC236}">
              <a16:creationId xmlns:a16="http://schemas.microsoft.com/office/drawing/2014/main" id="{0885E942-BA40-4D10-B3CA-3A3C979468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7" name="Elipse 6916">
          <a:extLst>
            <a:ext uri="{FF2B5EF4-FFF2-40B4-BE49-F238E27FC236}">
              <a16:creationId xmlns:a16="http://schemas.microsoft.com/office/drawing/2014/main" id="{7A2B0B4D-5420-4897-9048-356E75C694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8" name="Elipse 6917">
          <a:extLst>
            <a:ext uri="{FF2B5EF4-FFF2-40B4-BE49-F238E27FC236}">
              <a16:creationId xmlns:a16="http://schemas.microsoft.com/office/drawing/2014/main" id="{F20218D5-5DA6-4A1D-AD92-C04770DF44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19" name="Elipse 6918">
          <a:extLst>
            <a:ext uri="{FF2B5EF4-FFF2-40B4-BE49-F238E27FC236}">
              <a16:creationId xmlns:a16="http://schemas.microsoft.com/office/drawing/2014/main" id="{8448B051-20B7-4B02-932C-1DEEEC2B50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0" name="Elipse 6919">
          <a:extLst>
            <a:ext uri="{FF2B5EF4-FFF2-40B4-BE49-F238E27FC236}">
              <a16:creationId xmlns:a16="http://schemas.microsoft.com/office/drawing/2014/main" id="{F9FB8EDE-AA55-43E9-A0C5-DDD2AD1D4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1" name="Elipse 6920">
          <a:extLst>
            <a:ext uri="{FF2B5EF4-FFF2-40B4-BE49-F238E27FC236}">
              <a16:creationId xmlns:a16="http://schemas.microsoft.com/office/drawing/2014/main" id="{61F15678-A805-4F52-8D27-83C711CA8F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2" name="Elipse 6921">
          <a:extLst>
            <a:ext uri="{FF2B5EF4-FFF2-40B4-BE49-F238E27FC236}">
              <a16:creationId xmlns:a16="http://schemas.microsoft.com/office/drawing/2014/main" id="{3D8BF935-6824-446D-AD6F-0102E207F0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3" name="Elipse 6922">
          <a:extLst>
            <a:ext uri="{FF2B5EF4-FFF2-40B4-BE49-F238E27FC236}">
              <a16:creationId xmlns:a16="http://schemas.microsoft.com/office/drawing/2014/main" id="{7A1E8C84-8BD7-4B05-B847-86A94E6ACE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4" name="Elipse 6923">
          <a:extLst>
            <a:ext uri="{FF2B5EF4-FFF2-40B4-BE49-F238E27FC236}">
              <a16:creationId xmlns:a16="http://schemas.microsoft.com/office/drawing/2014/main" id="{B54ACBA9-31CB-4E97-BB48-3DB04E6935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5" name="Elipse 6924">
          <a:extLst>
            <a:ext uri="{FF2B5EF4-FFF2-40B4-BE49-F238E27FC236}">
              <a16:creationId xmlns:a16="http://schemas.microsoft.com/office/drawing/2014/main" id="{C8BF4E15-02FC-4510-AE5A-13D13DD830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6" name="Elipse 6925">
          <a:extLst>
            <a:ext uri="{FF2B5EF4-FFF2-40B4-BE49-F238E27FC236}">
              <a16:creationId xmlns:a16="http://schemas.microsoft.com/office/drawing/2014/main" id="{17F14924-B710-4290-910A-A13CBFC032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7" name="Elipse 6926">
          <a:extLst>
            <a:ext uri="{FF2B5EF4-FFF2-40B4-BE49-F238E27FC236}">
              <a16:creationId xmlns:a16="http://schemas.microsoft.com/office/drawing/2014/main" id="{EFF5A78A-4ECD-4542-B881-DFA200A719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8" name="Elipse 6927">
          <a:extLst>
            <a:ext uri="{FF2B5EF4-FFF2-40B4-BE49-F238E27FC236}">
              <a16:creationId xmlns:a16="http://schemas.microsoft.com/office/drawing/2014/main" id="{60236F27-487C-4D9A-87F2-695754EC72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29" name="Elipse 6928">
          <a:extLst>
            <a:ext uri="{FF2B5EF4-FFF2-40B4-BE49-F238E27FC236}">
              <a16:creationId xmlns:a16="http://schemas.microsoft.com/office/drawing/2014/main" id="{6F070493-E70E-4E63-9123-C31B586650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0" name="Elipse 6929">
          <a:extLst>
            <a:ext uri="{FF2B5EF4-FFF2-40B4-BE49-F238E27FC236}">
              <a16:creationId xmlns:a16="http://schemas.microsoft.com/office/drawing/2014/main" id="{4E2C00D0-0EE8-4637-8F09-2C7711198A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1" name="Elipse 6930">
          <a:extLst>
            <a:ext uri="{FF2B5EF4-FFF2-40B4-BE49-F238E27FC236}">
              <a16:creationId xmlns:a16="http://schemas.microsoft.com/office/drawing/2014/main" id="{E3B9C6D3-D928-4B4F-826B-8BAD4F57E1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2" name="Elipse 6931">
          <a:extLst>
            <a:ext uri="{FF2B5EF4-FFF2-40B4-BE49-F238E27FC236}">
              <a16:creationId xmlns:a16="http://schemas.microsoft.com/office/drawing/2014/main" id="{67F826BD-A83B-4BCD-87EE-C819B139E5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3" name="Elipse 6932">
          <a:extLst>
            <a:ext uri="{FF2B5EF4-FFF2-40B4-BE49-F238E27FC236}">
              <a16:creationId xmlns:a16="http://schemas.microsoft.com/office/drawing/2014/main" id="{646FCF0F-CD6E-4C65-945A-2C8309EB02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4" name="Elipse 6933">
          <a:extLst>
            <a:ext uri="{FF2B5EF4-FFF2-40B4-BE49-F238E27FC236}">
              <a16:creationId xmlns:a16="http://schemas.microsoft.com/office/drawing/2014/main" id="{D26ED2FF-3101-407F-82D0-5E2DC68836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5" name="Elipse 6934">
          <a:extLst>
            <a:ext uri="{FF2B5EF4-FFF2-40B4-BE49-F238E27FC236}">
              <a16:creationId xmlns:a16="http://schemas.microsoft.com/office/drawing/2014/main" id="{6CDA8C31-843A-480B-AE2A-9DAEDED099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6" name="Elipse 6935">
          <a:extLst>
            <a:ext uri="{FF2B5EF4-FFF2-40B4-BE49-F238E27FC236}">
              <a16:creationId xmlns:a16="http://schemas.microsoft.com/office/drawing/2014/main" id="{C8711402-09F2-4559-B2B0-EC30ABFE67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7" name="Elipse 6936">
          <a:extLst>
            <a:ext uri="{FF2B5EF4-FFF2-40B4-BE49-F238E27FC236}">
              <a16:creationId xmlns:a16="http://schemas.microsoft.com/office/drawing/2014/main" id="{079170BA-A532-4AC3-AA4C-2CAE1E0EC4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8" name="Elipse 6937">
          <a:extLst>
            <a:ext uri="{FF2B5EF4-FFF2-40B4-BE49-F238E27FC236}">
              <a16:creationId xmlns:a16="http://schemas.microsoft.com/office/drawing/2014/main" id="{CAD17992-74AF-4EDA-B06C-6277AAE679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39" name="Elipse 6938">
          <a:extLst>
            <a:ext uri="{FF2B5EF4-FFF2-40B4-BE49-F238E27FC236}">
              <a16:creationId xmlns:a16="http://schemas.microsoft.com/office/drawing/2014/main" id="{99D5FE66-7D04-4689-BBB5-3B118EDC0B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0" name="Elipse 6939">
          <a:extLst>
            <a:ext uri="{FF2B5EF4-FFF2-40B4-BE49-F238E27FC236}">
              <a16:creationId xmlns:a16="http://schemas.microsoft.com/office/drawing/2014/main" id="{2C6E8DFB-E20B-40CC-AB06-F45AB6674F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1" name="Elipse 6940">
          <a:extLst>
            <a:ext uri="{FF2B5EF4-FFF2-40B4-BE49-F238E27FC236}">
              <a16:creationId xmlns:a16="http://schemas.microsoft.com/office/drawing/2014/main" id="{DC3EB132-2F6F-4058-8CE7-1405BED75F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2" name="Elipse 6941">
          <a:extLst>
            <a:ext uri="{FF2B5EF4-FFF2-40B4-BE49-F238E27FC236}">
              <a16:creationId xmlns:a16="http://schemas.microsoft.com/office/drawing/2014/main" id="{9E50A705-F1FF-4FF9-8B3F-98AF7DE259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3" name="Elipse 6942">
          <a:extLst>
            <a:ext uri="{FF2B5EF4-FFF2-40B4-BE49-F238E27FC236}">
              <a16:creationId xmlns:a16="http://schemas.microsoft.com/office/drawing/2014/main" id="{3655BA39-06E6-430F-8326-93DEB8CB78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4" name="Elipse 6943">
          <a:extLst>
            <a:ext uri="{FF2B5EF4-FFF2-40B4-BE49-F238E27FC236}">
              <a16:creationId xmlns:a16="http://schemas.microsoft.com/office/drawing/2014/main" id="{A69BA02F-B68C-4AA4-8948-774D955F3F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5" name="Elipse 6944">
          <a:extLst>
            <a:ext uri="{FF2B5EF4-FFF2-40B4-BE49-F238E27FC236}">
              <a16:creationId xmlns:a16="http://schemas.microsoft.com/office/drawing/2014/main" id="{4507AED4-96FE-4040-B1E7-B149E17A0B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6" name="Elipse 6945">
          <a:extLst>
            <a:ext uri="{FF2B5EF4-FFF2-40B4-BE49-F238E27FC236}">
              <a16:creationId xmlns:a16="http://schemas.microsoft.com/office/drawing/2014/main" id="{840F30C1-4480-41B4-AAB4-CC0A629A69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7" name="Elipse 6946">
          <a:extLst>
            <a:ext uri="{FF2B5EF4-FFF2-40B4-BE49-F238E27FC236}">
              <a16:creationId xmlns:a16="http://schemas.microsoft.com/office/drawing/2014/main" id="{97396833-10CF-4830-8976-3F649F9875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8" name="Elipse 6947">
          <a:extLst>
            <a:ext uri="{FF2B5EF4-FFF2-40B4-BE49-F238E27FC236}">
              <a16:creationId xmlns:a16="http://schemas.microsoft.com/office/drawing/2014/main" id="{6A40D0ED-F0B5-4B14-9BFE-6FA845B847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49" name="Elipse 6948">
          <a:extLst>
            <a:ext uri="{FF2B5EF4-FFF2-40B4-BE49-F238E27FC236}">
              <a16:creationId xmlns:a16="http://schemas.microsoft.com/office/drawing/2014/main" id="{E657BF1E-2442-4D4A-A0D4-1ECE6FE9E8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0" name="Elipse 6949">
          <a:extLst>
            <a:ext uri="{FF2B5EF4-FFF2-40B4-BE49-F238E27FC236}">
              <a16:creationId xmlns:a16="http://schemas.microsoft.com/office/drawing/2014/main" id="{E93CD0E1-BD18-4999-89D3-B0E68DECD4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1" name="Elipse 6950">
          <a:extLst>
            <a:ext uri="{FF2B5EF4-FFF2-40B4-BE49-F238E27FC236}">
              <a16:creationId xmlns:a16="http://schemas.microsoft.com/office/drawing/2014/main" id="{899E5729-194B-437F-86B4-557FE12F86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2" name="Elipse 6951">
          <a:extLst>
            <a:ext uri="{FF2B5EF4-FFF2-40B4-BE49-F238E27FC236}">
              <a16:creationId xmlns:a16="http://schemas.microsoft.com/office/drawing/2014/main" id="{ADF1AC7F-77D1-4244-B855-AC39B23851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3" name="Elipse 6952">
          <a:extLst>
            <a:ext uri="{FF2B5EF4-FFF2-40B4-BE49-F238E27FC236}">
              <a16:creationId xmlns:a16="http://schemas.microsoft.com/office/drawing/2014/main" id="{731646AA-C613-4E27-B463-C79BAC4266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4" name="Elipse 6953">
          <a:extLst>
            <a:ext uri="{FF2B5EF4-FFF2-40B4-BE49-F238E27FC236}">
              <a16:creationId xmlns:a16="http://schemas.microsoft.com/office/drawing/2014/main" id="{DB687849-5EAD-448B-A184-01B431E99B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5" name="Elipse 6954">
          <a:extLst>
            <a:ext uri="{FF2B5EF4-FFF2-40B4-BE49-F238E27FC236}">
              <a16:creationId xmlns:a16="http://schemas.microsoft.com/office/drawing/2014/main" id="{4BC9B3F4-CA23-4B03-97D8-40F6790D17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6" name="Elipse 6955">
          <a:extLst>
            <a:ext uri="{FF2B5EF4-FFF2-40B4-BE49-F238E27FC236}">
              <a16:creationId xmlns:a16="http://schemas.microsoft.com/office/drawing/2014/main" id="{85C20A44-3CA8-4D55-8AF2-492713883C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7" name="Elipse 6956">
          <a:extLst>
            <a:ext uri="{FF2B5EF4-FFF2-40B4-BE49-F238E27FC236}">
              <a16:creationId xmlns:a16="http://schemas.microsoft.com/office/drawing/2014/main" id="{6D063003-705E-4987-9776-9185037C2E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8" name="Elipse 6957">
          <a:extLst>
            <a:ext uri="{FF2B5EF4-FFF2-40B4-BE49-F238E27FC236}">
              <a16:creationId xmlns:a16="http://schemas.microsoft.com/office/drawing/2014/main" id="{E5A8B41D-183D-4C57-89B4-C347BF4410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59" name="Elipse 6958">
          <a:extLst>
            <a:ext uri="{FF2B5EF4-FFF2-40B4-BE49-F238E27FC236}">
              <a16:creationId xmlns:a16="http://schemas.microsoft.com/office/drawing/2014/main" id="{C6293F58-1AAB-47D9-AED5-B6DA40BEF6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0" name="Elipse 6959">
          <a:extLst>
            <a:ext uri="{FF2B5EF4-FFF2-40B4-BE49-F238E27FC236}">
              <a16:creationId xmlns:a16="http://schemas.microsoft.com/office/drawing/2014/main" id="{9A544422-FAC2-48B8-ADEF-CE96457BBF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1" name="Elipse 6960">
          <a:extLst>
            <a:ext uri="{FF2B5EF4-FFF2-40B4-BE49-F238E27FC236}">
              <a16:creationId xmlns:a16="http://schemas.microsoft.com/office/drawing/2014/main" id="{EC7B5679-1F39-4178-B6EA-B264BE19FB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2" name="Elipse 6961">
          <a:extLst>
            <a:ext uri="{FF2B5EF4-FFF2-40B4-BE49-F238E27FC236}">
              <a16:creationId xmlns:a16="http://schemas.microsoft.com/office/drawing/2014/main" id="{D41EB071-839C-4956-A650-3B7A248DE8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3" name="Elipse 6962">
          <a:extLst>
            <a:ext uri="{FF2B5EF4-FFF2-40B4-BE49-F238E27FC236}">
              <a16:creationId xmlns:a16="http://schemas.microsoft.com/office/drawing/2014/main" id="{E5F12DF2-D9A7-4E5C-8089-71AD33099A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4" name="Elipse 6963">
          <a:extLst>
            <a:ext uri="{FF2B5EF4-FFF2-40B4-BE49-F238E27FC236}">
              <a16:creationId xmlns:a16="http://schemas.microsoft.com/office/drawing/2014/main" id="{E0452E1A-326E-4D6C-B6C6-37D0C3F976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5" name="Elipse 6964">
          <a:extLst>
            <a:ext uri="{FF2B5EF4-FFF2-40B4-BE49-F238E27FC236}">
              <a16:creationId xmlns:a16="http://schemas.microsoft.com/office/drawing/2014/main" id="{C5F263C9-2F45-4C76-B02D-DE330427FB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6" name="Elipse 6965">
          <a:extLst>
            <a:ext uri="{FF2B5EF4-FFF2-40B4-BE49-F238E27FC236}">
              <a16:creationId xmlns:a16="http://schemas.microsoft.com/office/drawing/2014/main" id="{2C878F1F-12DD-4A40-B416-13B97CF6AA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7" name="Elipse 6966">
          <a:extLst>
            <a:ext uri="{FF2B5EF4-FFF2-40B4-BE49-F238E27FC236}">
              <a16:creationId xmlns:a16="http://schemas.microsoft.com/office/drawing/2014/main" id="{23A06E72-7A63-45C0-B420-732194320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8" name="Elipse 6967">
          <a:extLst>
            <a:ext uri="{FF2B5EF4-FFF2-40B4-BE49-F238E27FC236}">
              <a16:creationId xmlns:a16="http://schemas.microsoft.com/office/drawing/2014/main" id="{7CEB21AD-E6F6-484D-9711-15238788E9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69" name="Elipse 6968">
          <a:extLst>
            <a:ext uri="{FF2B5EF4-FFF2-40B4-BE49-F238E27FC236}">
              <a16:creationId xmlns:a16="http://schemas.microsoft.com/office/drawing/2014/main" id="{30D12E43-1FA4-4F70-8067-A67842B4A4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0" name="Elipse 6969">
          <a:extLst>
            <a:ext uri="{FF2B5EF4-FFF2-40B4-BE49-F238E27FC236}">
              <a16:creationId xmlns:a16="http://schemas.microsoft.com/office/drawing/2014/main" id="{C9A79519-63E9-4E51-84B7-70C66B0669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1" name="Elipse 6970">
          <a:extLst>
            <a:ext uri="{FF2B5EF4-FFF2-40B4-BE49-F238E27FC236}">
              <a16:creationId xmlns:a16="http://schemas.microsoft.com/office/drawing/2014/main" id="{9511BA98-CA67-4750-9F09-09C1EF5B71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2" name="Elipse 6971">
          <a:extLst>
            <a:ext uri="{FF2B5EF4-FFF2-40B4-BE49-F238E27FC236}">
              <a16:creationId xmlns:a16="http://schemas.microsoft.com/office/drawing/2014/main" id="{B936920C-E0B0-4BFC-A658-7D79854942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3" name="Elipse 6972">
          <a:extLst>
            <a:ext uri="{FF2B5EF4-FFF2-40B4-BE49-F238E27FC236}">
              <a16:creationId xmlns:a16="http://schemas.microsoft.com/office/drawing/2014/main" id="{454E1437-8CB0-410F-8AFF-086C646AC7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4" name="Elipse 6973">
          <a:extLst>
            <a:ext uri="{FF2B5EF4-FFF2-40B4-BE49-F238E27FC236}">
              <a16:creationId xmlns:a16="http://schemas.microsoft.com/office/drawing/2014/main" id="{722E4DDE-4F10-442F-B6DE-DE4D1CAE2A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5" name="Elipse 6974">
          <a:extLst>
            <a:ext uri="{FF2B5EF4-FFF2-40B4-BE49-F238E27FC236}">
              <a16:creationId xmlns:a16="http://schemas.microsoft.com/office/drawing/2014/main" id="{10B006DE-7F5F-4117-9783-2AD7477A01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6" name="Elipse 6975">
          <a:extLst>
            <a:ext uri="{FF2B5EF4-FFF2-40B4-BE49-F238E27FC236}">
              <a16:creationId xmlns:a16="http://schemas.microsoft.com/office/drawing/2014/main" id="{6A603DD2-F275-45B9-8CD1-ACF297DD1B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7" name="Elipse 6976">
          <a:extLst>
            <a:ext uri="{FF2B5EF4-FFF2-40B4-BE49-F238E27FC236}">
              <a16:creationId xmlns:a16="http://schemas.microsoft.com/office/drawing/2014/main" id="{B047445E-3DCC-4043-8348-92CEBADCEC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8" name="Elipse 6977">
          <a:extLst>
            <a:ext uri="{FF2B5EF4-FFF2-40B4-BE49-F238E27FC236}">
              <a16:creationId xmlns:a16="http://schemas.microsoft.com/office/drawing/2014/main" id="{D9EDBEE6-7566-453C-9F20-F80AA10E13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79" name="Elipse 6978">
          <a:extLst>
            <a:ext uri="{FF2B5EF4-FFF2-40B4-BE49-F238E27FC236}">
              <a16:creationId xmlns:a16="http://schemas.microsoft.com/office/drawing/2014/main" id="{8FC5BA70-4FDC-4CC5-A7E4-AF8E980921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0" name="Elipse 6979">
          <a:extLst>
            <a:ext uri="{FF2B5EF4-FFF2-40B4-BE49-F238E27FC236}">
              <a16:creationId xmlns:a16="http://schemas.microsoft.com/office/drawing/2014/main" id="{57AB45E7-D831-4E9B-B5BF-4FD1F74C98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1" name="Elipse 6980">
          <a:extLst>
            <a:ext uri="{FF2B5EF4-FFF2-40B4-BE49-F238E27FC236}">
              <a16:creationId xmlns:a16="http://schemas.microsoft.com/office/drawing/2014/main" id="{60A7ADF5-B15A-4F7A-9999-A863099A70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2" name="Elipse 6981">
          <a:extLst>
            <a:ext uri="{FF2B5EF4-FFF2-40B4-BE49-F238E27FC236}">
              <a16:creationId xmlns:a16="http://schemas.microsoft.com/office/drawing/2014/main" id="{C0319448-4A93-4709-BC1C-B0DFF5BEA7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3" name="Elipse 6982">
          <a:extLst>
            <a:ext uri="{FF2B5EF4-FFF2-40B4-BE49-F238E27FC236}">
              <a16:creationId xmlns:a16="http://schemas.microsoft.com/office/drawing/2014/main" id="{3789B61F-F421-42D4-A832-8024014204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4" name="Elipse 6983">
          <a:extLst>
            <a:ext uri="{FF2B5EF4-FFF2-40B4-BE49-F238E27FC236}">
              <a16:creationId xmlns:a16="http://schemas.microsoft.com/office/drawing/2014/main" id="{5814A6C1-5C23-4AA7-8749-15DA6CB56D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5" name="Elipse 6984">
          <a:extLst>
            <a:ext uri="{FF2B5EF4-FFF2-40B4-BE49-F238E27FC236}">
              <a16:creationId xmlns:a16="http://schemas.microsoft.com/office/drawing/2014/main" id="{B6BD684D-FBC2-4BF0-B994-8FC96E55D1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6" name="Elipse 6985">
          <a:extLst>
            <a:ext uri="{FF2B5EF4-FFF2-40B4-BE49-F238E27FC236}">
              <a16:creationId xmlns:a16="http://schemas.microsoft.com/office/drawing/2014/main" id="{F8086BB6-9198-4650-BA84-59173E4846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7" name="Elipse 6986">
          <a:extLst>
            <a:ext uri="{FF2B5EF4-FFF2-40B4-BE49-F238E27FC236}">
              <a16:creationId xmlns:a16="http://schemas.microsoft.com/office/drawing/2014/main" id="{EEB7F2DB-DC7C-486F-BF41-B98858DF2E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8" name="Elipse 6987">
          <a:extLst>
            <a:ext uri="{FF2B5EF4-FFF2-40B4-BE49-F238E27FC236}">
              <a16:creationId xmlns:a16="http://schemas.microsoft.com/office/drawing/2014/main" id="{928D3FC7-1D89-421B-9B36-658C785548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89" name="Elipse 6988">
          <a:extLst>
            <a:ext uri="{FF2B5EF4-FFF2-40B4-BE49-F238E27FC236}">
              <a16:creationId xmlns:a16="http://schemas.microsoft.com/office/drawing/2014/main" id="{9A3C4931-1B8B-47B0-9CE7-1902322516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0" name="Elipse 6989">
          <a:extLst>
            <a:ext uri="{FF2B5EF4-FFF2-40B4-BE49-F238E27FC236}">
              <a16:creationId xmlns:a16="http://schemas.microsoft.com/office/drawing/2014/main" id="{5B0937A0-E12F-4C9B-AF68-55C0D371D9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1" name="Elipse 6990">
          <a:extLst>
            <a:ext uri="{FF2B5EF4-FFF2-40B4-BE49-F238E27FC236}">
              <a16:creationId xmlns:a16="http://schemas.microsoft.com/office/drawing/2014/main" id="{B09943CE-25FC-4084-8474-DFAAFA6C68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2" name="Elipse 6991">
          <a:extLst>
            <a:ext uri="{FF2B5EF4-FFF2-40B4-BE49-F238E27FC236}">
              <a16:creationId xmlns:a16="http://schemas.microsoft.com/office/drawing/2014/main" id="{EE609587-727B-4F9C-9170-C61F4597C3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3" name="Elipse 6992">
          <a:extLst>
            <a:ext uri="{FF2B5EF4-FFF2-40B4-BE49-F238E27FC236}">
              <a16:creationId xmlns:a16="http://schemas.microsoft.com/office/drawing/2014/main" id="{7464994E-E2C7-4635-8B29-480DAF2778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4" name="Elipse 6993">
          <a:extLst>
            <a:ext uri="{FF2B5EF4-FFF2-40B4-BE49-F238E27FC236}">
              <a16:creationId xmlns:a16="http://schemas.microsoft.com/office/drawing/2014/main" id="{8D8B64A0-C093-4179-91A1-27C1113DDC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5" name="Elipse 6994">
          <a:extLst>
            <a:ext uri="{FF2B5EF4-FFF2-40B4-BE49-F238E27FC236}">
              <a16:creationId xmlns:a16="http://schemas.microsoft.com/office/drawing/2014/main" id="{02E36E71-E63F-40EA-8C7B-BFE1061002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6" name="Elipse 6995">
          <a:extLst>
            <a:ext uri="{FF2B5EF4-FFF2-40B4-BE49-F238E27FC236}">
              <a16:creationId xmlns:a16="http://schemas.microsoft.com/office/drawing/2014/main" id="{A8AAC2F7-6806-4242-A51F-CF92B7728A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7" name="Elipse 6996">
          <a:extLst>
            <a:ext uri="{FF2B5EF4-FFF2-40B4-BE49-F238E27FC236}">
              <a16:creationId xmlns:a16="http://schemas.microsoft.com/office/drawing/2014/main" id="{A7979884-6CAC-4A75-8804-373CF05356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8" name="Elipse 6997">
          <a:extLst>
            <a:ext uri="{FF2B5EF4-FFF2-40B4-BE49-F238E27FC236}">
              <a16:creationId xmlns:a16="http://schemas.microsoft.com/office/drawing/2014/main" id="{C769E853-AF0E-4EA8-B0E4-22B75C4ED4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999" name="Elipse 6998">
          <a:extLst>
            <a:ext uri="{FF2B5EF4-FFF2-40B4-BE49-F238E27FC236}">
              <a16:creationId xmlns:a16="http://schemas.microsoft.com/office/drawing/2014/main" id="{2810BB59-1BAE-48A3-BED3-9A1FA62D43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0" name="Elipse 6999">
          <a:extLst>
            <a:ext uri="{FF2B5EF4-FFF2-40B4-BE49-F238E27FC236}">
              <a16:creationId xmlns:a16="http://schemas.microsoft.com/office/drawing/2014/main" id="{5AC08FCA-414C-4063-BCFA-C76EA8A73B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1" name="Elipse 7000">
          <a:extLst>
            <a:ext uri="{FF2B5EF4-FFF2-40B4-BE49-F238E27FC236}">
              <a16:creationId xmlns:a16="http://schemas.microsoft.com/office/drawing/2014/main" id="{11D94DE4-2449-4864-B5B2-D3ADEE2019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2" name="Elipse 7001">
          <a:extLst>
            <a:ext uri="{FF2B5EF4-FFF2-40B4-BE49-F238E27FC236}">
              <a16:creationId xmlns:a16="http://schemas.microsoft.com/office/drawing/2014/main" id="{9953A98E-3DAC-4DE1-9D21-6E3250ECC7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3" name="Elipse 7002">
          <a:extLst>
            <a:ext uri="{FF2B5EF4-FFF2-40B4-BE49-F238E27FC236}">
              <a16:creationId xmlns:a16="http://schemas.microsoft.com/office/drawing/2014/main" id="{213D3E86-FF1E-4A47-A796-D00D4C2AED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4" name="Elipse 7003">
          <a:extLst>
            <a:ext uri="{FF2B5EF4-FFF2-40B4-BE49-F238E27FC236}">
              <a16:creationId xmlns:a16="http://schemas.microsoft.com/office/drawing/2014/main" id="{98B3D4DC-4812-479C-9A01-837643EEF5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5" name="Elipse 7004">
          <a:extLst>
            <a:ext uri="{FF2B5EF4-FFF2-40B4-BE49-F238E27FC236}">
              <a16:creationId xmlns:a16="http://schemas.microsoft.com/office/drawing/2014/main" id="{E5FD0746-6400-402A-80E1-68BD6983DB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6" name="Elipse 7005">
          <a:extLst>
            <a:ext uri="{FF2B5EF4-FFF2-40B4-BE49-F238E27FC236}">
              <a16:creationId xmlns:a16="http://schemas.microsoft.com/office/drawing/2014/main" id="{05A0C871-F77C-4C7D-A478-939E074543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7" name="Elipse 7006">
          <a:extLst>
            <a:ext uri="{FF2B5EF4-FFF2-40B4-BE49-F238E27FC236}">
              <a16:creationId xmlns:a16="http://schemas.microsoft.com/office/drawing/2014/main" id="{AD9EB12A-0648-424F-AE44-388CAA63AC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8" name="Elipse 7007">
          <a:extLst>
            <a:ext uri="{FF2B5EF4-FFF2-40B4-BE49-F238E27FC236}">
              <a16:creationId xmlns:a16="http://schemas.microsoft.com/office/drawing/2014/main" id="{AF0915E3-55CB-4974-BB36-D6A9F01AD5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09" name="Elipse 7008">
          <a:extLst>
            <a:ext uri="{FF2B5EF4-FFF2-40B4-BE49-F238E27FC236}">
              <a16:creationId xmlns:a16="http://schemas.microsoft.com/office/drawing/2014/main" id="{D1109D49-9B29-48B8-8EE3-FB806D177D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0" name="Elipse 7009">
          <a:extLst>
            <a:ext uri="{FF2B5EF4-FFF2-40B4-BE49-F238E27FC236}">
              <a16:creationId xmlns:a16="http://schemas.microsoft.com/office/drawing/2014/main" id="{331AE8CB-2BE7-4EE5-88ED-A90CF557BE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1" name="Elipse 7010">
          <a:extLst>
            <a:ext uri="{FF2B5EF4-FFF2-40B4-BE49-F238E27FC236}">
              <a16:creationId xmlns:a16="http://schemas.microsoft.com/office/drawing/2014/main" id="{3B82B24F-52C3-426C-9E08-704DC6636D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2" name="Elipse 7011">
          <a:extLst>
            <a:ext uri="{FF2B5EF4-FFF2-40B4-BE49-F238E27FC236}">
              <a16:creationId xmlns:a16="http://schemas.microsoft.com/office/drawing/2014/main" id="{CDF5C3B8-0B6D-41B8-B280-02BA568463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3" name="Elipse 7012">
          <a:extLst>
            <a:ext uri="{FF2B5EF4-FFF2-40B4-BE49-F238E27FC236}">
              <a16:creationId xmlns:a16="http://schemas.microsoft.com/office/drawing/2014/main" id="{6CF475ED-1F4B-4278-9C8F-745C2CAB12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4" name="Elipse 7013">
          <a:extLst>
            <a:ext uri="{FF2B5EF4-FFF2-40B4-BE49-F238E27FC236}">
              <a16:creationId xmlns:a16="http://schemas.microsoft.com/office/drawing/2014/main" id="{A8E834A1-BBF3-4641-8854-6B54A73FCC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5" name="Elipse 7014">
          <a:extLst>
            <a:ext uri="{FF2B5EF4-FFF2-40B4-BE49-F238E27FC236}">
              <a16:creationId xmlns:a16="http://schemas.microsoft.com/office/drawing/2014/main" id="{C38BBB93-2CB9-4638-98AD-29D0B935B2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6" name="Elipse 7015">
          <a:extLst>
            <a:ext uri="{FF2B5EF4-FFF2-40B4-BE49-F238E27FC236}">
              <a16:creationId xmlns:a16="http://schemas.microsoft.com/office/drawing/2014/main" id="{84C75D3B-2979-46F2-B30D-7DE99BFE1B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7" name="Elipse 7016">
          <a:extLst>
            <a:ext uri="{FF2B5EF4-FFF2-40B4-BE49-F238E27FC236}">
              <a16:creationId xmlns:a16="http://schemas.microsoft.com/office/drawing/2014/main" id="{467B52EB-F014-4793-AF0A-5DE9E7EF46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8" name="Elipse 7017">
          <a:extLst>
            <a:ext uri="{FF2B5EF4-FFF2-40B4-BE49-F238E27FC236}">
              <a16:creationId xmlns:a16="http://schemas.microsoft.com/office/drawing/2014/main" id="{07949A2F-8F95-4CE8-AC0D-CDE7AF7C76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19" name="Elipse 7018">
          <a:extLst>
            <a:ext uri="{FF2B5EF4-FFF2-40B4-BE49-F238E27FC236}">
              <a16:creationId xmlns:a16="http://schemas.microsoft.com/office/drawing/2014/main" id="{36CEF04A-DE2C-47E1-BA68-59BC819DCF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0" name="Elipse 7019">
          <a:extLst>
            <a:ext uri="{FF2B5EF4-FFF2-40B4-BE49-F238E27FC236}">
              <a16:creationId xmlns:a16="http://schemas.microsoft.com/office/drawing/2014/main" id="{60526FF5-6215-4EA1-B750-C088287A85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1" name="Elipse 7020">
          <a:extLst>
            <a:ext uri="{FF2B5EF4-FFF2-40B4-BE49-F238E27FC236}">
              <a16:creationId xmlns:a16="http://schemas.microsoft.com/office/drawing/2014/main" id="{F6572A48-F8CE-4188-8A81-00573E2914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2" name="Elipse 7021">
          <a:extLst>
            <a:ext uri="{FF2B5EF4-FFF2-40B4-BE49-F238E27FC236}">
              <a16:creationId xmlns:a16="http://schemas.microsoft.com/office/drawing/2014/main" id="{43371D3E-180A-4272-81FD-037DB22BCE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3" name="Elipse 7022">
          <a:extLst>
            <a:ext uri="{FF2B5EF4-FFF2-40B4-BE49-F238E27FC236}">
              <a16:creationId xmlns:a16="http://schemas.microsoft.com/office/drawing/2014/main" id="{9CCC12CD-A0C7-488E-8E32-20CF5AAC8A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4" name="Elipse 7023">
          <a:extLst>
            <a:ext uri="{FF2B5EF4-FFF2-40B4-BE49-F238E27FC236}">
              <a16:creationId xmlns:a16="http://schemas.microsoft.com/office/drawing/2014/main" id="{45BBC9A0-DC07-4389-B702-3DC986296D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5" name="Elipse 7024">
          <a:extLst>
            <a:ext uri="{FF2B5EF4-FFF2-40B4-BE49-F238E27FC236}">
              <a16:creationId xmlns:a16="http://schemas.microsoft.com/office/drawing/2014/main" id="{4C2FE75A-6172-4400-B57B-B547F0A2A4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6" name="Elipse 7025">
          <a:extLst>
            <a:ext uri="{FF2B5EF4-FFF2-40B4-BE49-F238E27FC236}">
              <a16:creationId xmlns:a16="http://schemas.microsoft.com/office/drawing/2014/main" id="{C7A6FE76-3A28-465E-8EDD-D6445220F8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7" name="Elipse 7026">
          <a:extLst>
            <a:ext uri="{FF2B5EF4-FFF2-40B4-BE49-F238E27FC236}">
              <a16:creationId xmlns:a16="http://schemas.microsoft.com/office/drawing/2014/main" id="{EA5A4D34-6FF9-4B97-8A32-E28002894F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8" name="Elipse 7027">
          <a:extLst>
            <a:ext uri="{FF2B5EF4-FFF2-40B4-BE49-F238E27FC236}">
              <a16:creationId xmlns:a16="http://schemas.microsoft.com/office/drawing/2014/main" id="{F91DEC92-AB03-47A1-A12B-E7FE7008E8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29" name="Elipse 7028">
          <a:extLst>
            <a:ext uri="{FF2B5EF4-FFF2-40B4-BE49-F238E27FC236}">
              <a16:creationId xmlns:a16="http://schemas.microsoft.com/office/drawing/2014/main" id="{6B1ED7BF-3423-45E2-ADB2-86E2544DC6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0" name="Elipse 7029">
          <a:extLst>
            <a:ext uri="{FF2B5EF4-FFF2-40B4-BE49-F238E27FC236}">
              <a16:creationId xmlns:a16="http://schemas.microsoft.com/office/drawing/2014/main" id="{50EBF6D7-9D22-452A-AA25-E8121EA94E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1" name="Elipse 7030">
          <a:extLst>
            <a:ext uri="{FF2B5EF4-FFF2-40B4-BE49-F238E27FC236}">
              <a16:creationId xmlns:a16="http://schemas.microsoft.com/office/drawing/2014/main" id="{DDCC4066-78C6-4D84-BBFE-C602B7A616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2" name="Elipse 7031">
          <a:extLst>
            <a:ext uri="{FF2B5EF4-FFF2-40B4-BE49-F238E27FC236}">
              <a16:creationId xmlns:a16="http://schemas.microsoft.com/office/drawing/2014/main" id="{0626B5BB-5290-4EAA-B166-EA9ED96AB8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3" name="Elipse 7032">
          <a:extLst>
            <a:ext uri="{FF2B5EF4-FFF2-40B4-BE49-F238E27FC236}">
              <a16:creationId xmlns:a16="http://schemas.microsoft.com/office/drawing/2014/main" id="{349FCA9F-F263-43C7-A66B-97FE9D5FDD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4" name="Elipse 7033">
          <a:extLst>
            <a:ext uri="{FF2B5EF4-FFF2-40B4-BE49-F238E27FC236}">
              <a16:creationId xmlns:a16="http://schemas.microsoft.com/office/drawing/2014/main" id="{0A9FE618-E71D-4D96-A17B-794148F3FA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5" name="Elipse 7034">
          <a:extLst>
            <a:ext uri="{FF2B5EF4-FFF2-40B4-BE49-F238E27FC236}">
              <a16:creationId xmlns:a16="http://schemas.microsoft.com/office/drawing/2014/main" id="{8CA51D47-285C-4028-8BE8-8D20B5365B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6" name="Elipse 7035">
          <a:extLst>
            <a:ext uri="{FF2B5EF4-FFF2-40B4-BE49-F238E27FC236}">
              <a16:creationId xmlns:a16="http://schemas.microsoft.com/office/drawing/2014/main" id="{E077943D-6367-4936-A4C8-9225539B62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7" name="Elipse 7036">
          <a:extLst>
            <a:ext uri="{FF2B5EF4-FFF2-40B4-BE49-F238E27FC236}">
              <a16:creationId xmlns:a16="http://schemas.microsoft.com/office/drawing/2014/main" id="{01E7C945-249D-4F00-B103-2F2BBDD5D9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8" name="Elipse 7037">
          <a:extLst>
            <a:ext uri="{FF2B5EF4-FFF2-40B4-BE49-F238E27FC236}">
              <a16:creationId xmlns:a16="http://schemas.microsoft.com/office/drawing/2014/main" id="{C2B76234-0AB6-4BF7-B563-E9C720E97A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39" name="Elipse 7038">
          <a:extLst>
            <a:ext uri="{FF2B5EF4-FFF2-40B4-BE49-F238E27FC236}">
              <a16:creationId xmlns:a16="http://schemas.microsoft.com/office/drawing/2014/main" id="{94ADEA3A-C844-4E76-8E58-AC379DCE47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0" name="Elipse 7039">
          <a:extLst>
            <a:ext uri="{FF2B5EF4-FFF2-40B4-BE49-F238E27FC236}">
              <a16:creationId xmlns:a16="http://schemas.microsoft.com/office/drawing/2014/main" id="{515C92CD-A89F-468C-8305-9CFBDDEFB1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1" name="Elipse 7040">
          <a:extLst>
            <a:ext uri="{FF2B5EF4-FFF2-40B4-BE49-F238E27FC236}">
              <a16:creationId xmlns:a16="http://schemas.microsoft.com/office/drawing/2014/main" id="{404C8F8B-C178-4249-A948-D0D9F2694E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2" name="Elipse 7041">
          <a:extLst>
            <a:ext uri="{FF2B5EF4-FFF2-40B4-BE49-F238E27FC236}">
              <a16:creationId xmlns:a16="http://schemas.microsoft.com/office/drawing/2014/main" id="{900BCE77-1FB7-4CD7-99CB-3ABBCBF341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3" name="Elipse 7042">
          <a:extLst>
            <a:ext uri="{FF2B5EF4-FFF2-40B4-BE49-F238E27FC236}">
              <a16:creationId xmlns:a16="http://schemas.microsoft.com/office/drawing/2014/main" id="{72CDA4DE-6F0A-4939-BB1A-3B489F1491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4" name="Elipse 7043">
          <a:extLst>
            <a:ext uri="{FF2B5EF4-FFF2-40B4-BE49-F238E27FC236}">
              <a16:creationId xmlns:a16="http://schemas.microsoft.com/office/drawing/2014/main" id="{2545B4B1-F568-4F36-93F1-10B9055AAA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5" name="Elipse 7044">
          <a:extLst>
            <a:ext uri="{FF2B5EF4-FFF2-40B4-BE49-F238E27FC236}">
              <a16:creationId xmlns:a16="http://schemas.microsoft.com/office/drawing/2014/main" id="{5249E916-4C26-4B6C-89D2-BA381C45B8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6" name="Elipse 7045">
          <a:extLst>
            <a:ext uri="{FF2B5EF4-FFF2-40B4-BE49-F238E27FC236}">
              <a16:creationId xmlns:a16="http://schemas.microsoft.com/office/drawing/2014/main" id="{50A9B512-C10C-41A7-8E45-4DE55D7EE1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7" name="Elipse 7046">
          <a:extLst>
            <a:ext uri="{FF2B5EF4-FFF2-40B4-BE49-F238E27FC236}">
              <a16:creationId xmlns:a16="http://schemas.microsoft.com/office/drawing/2014/main" id="{C22F2FE6-C263-49B7-8CE6-0957B88B1D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8" name="Elipse 7047">
          <a:extLst>
            <a:ext uri="{FF2B5EF4-FFF2-40B4-BE49-F238E27FC236}">
              <a16:creationId xmlns:a16="http://schemas.microsoft.com/office/drawing/2014/main" id="{2FB93018-3662-426D-9E00-3CBFFBBB0B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49" name="Elipse 7048">
          <a:extLst>
            <a:ext uri="{FF2B5EF4-FFF2-40B4-BE49-F238E27FC236}">
              <a16:creationId xmlns:a16="http://schemas.microsoft.com/office/drawing/2014/main" id="{F38C7C33-4E46-4A34-88E9-776B7ED28E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0" name="Elipse 7049">
          <a:extLst>
            <a:ext uri="{FF2B5EF4-FFF2-40B4-BE49-F238E27FC236}">
              <a16:creationId xmlns:a16="http://schemas.microsoft.com/office/drawing/2014/main" id="{5462E6AC-D6C8-43B8-993C-5CD33E0787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1" name="Elipse 7050">
          <a:extLst>
            <a:ext uri="{FF2B5EF4-FFF2-40B4-BE49-F238E27FC236}">
              <a16:creationId xmlns:a16="http://schemas.microsoft.com/office/drawing/2014/main" id="{CAC37783-5961-4398-86D8-048CC38F29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2" name="Elipse 7051">
          <a:extLst>
            <a:ext uri="{FF2B5EF4-FFF2-40B4-BE49-F238E27FC236}">
              <a16:creationId xmlns:a16="http://schemas.microsoft.com/office/drawing/2014/main" id="{B37C41F6-43BA-4CA8-85B4-6AF25331BF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3" name="Elipse 7052">
          <a:extLst>
            <a:ext uri="{FF2B5EF4-FFF2-40B4-BE49-F238E27FC236}">
              <a16:creationId xmlns:a16="http://schemas.microsoft.com/office/drawing/2014/main" id="{E99EF048-597B-49F0-9554-E55793BD0A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4" name="Elipse 7053">
          <a:extLst>
            <a:ext uri="{FF2B5EF4-FFF2-40B4-BE49-F238E27FC236}">
              <a16:creationId xmlns:a16="http://schemas.microsoft.com/office/drawing/2014/main" id="{A32C6952-5AF1-4BAD-A9AC-8159123A51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5" name="Elipse 7054">
          <a:extLst>
            <a:ext uri="{FF2B5EF4-FFF2-40B4-BE49-F238E27FC236}">
              <a16:creationId xmlns:a16="http://schemas.microsoft.com/office/drawing/2014/main" id="{088CBAD9-80A6-4385-A23B-6DD3DF0361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6" name="Elipse 7055">
          <a:extLst>
            <a:ext uri="{FF2B5EF4-FFF2-40B4-BE49-F238E27FC236}">
              <a16:creationId xmlns:a16="http://schemas.microsoft.com/office/drawing/2014/main" id="{EEEF00D8-6926-4DCF-9937-A083E67633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7" name="Elipse 7056">
          <a:extLst>
            <a:ext uri="{FF2B5EF4-FFF2-40B4-BE49-F238E27FC236}">
              <a16:creationId xmlns:a16="http://schemas.microsoft.com/office/drawing/2014/main" id="{A03A6F9C-D055-41DD-A4B6-38BE067693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8" name="Elipse 7057">
          <a:extLst>
            <a:ext uri="{FF2B5EF4-FFF2-40B4-BE49-F238E27FC236}">
              <a16:creationId xmlns:a16="http://schemas.microsoft.com/office/drawing/2014/main" id="{02E9396D-2EC7-458A-A180-1C8E44E9FE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59" name="Elipse 7058">
          <a:extLst>
            <a:ext uri="{FF2B5EF4-FFF2-40B4-BE49-F238E27FC236}">
              <a16:creationId xmlns:a16="http://schemas.microsoft.com/office/drawing/2014/main" id="{F61B12E7-E480-4BCF-BE2F-D84F1FA3CF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0" name="Elipse 7059">
          <a:extLst>
            <a:ext uri="{FF2B5EF4-FFF2-40B4-BE49-F238E27FC236}">
              <a16:creationId xmlns:a16="http://schemas.microsoft.com/office/drawing/2014/main" id="{ABFF49EB-BE28-4698-A6F7-1003CA4D50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1" name="Elipse 7060">
          <a:extLst>
            <a:ext uri="{FF2B5EF4-FFF2-40B4-BE49-F238E27FC236}">
              <a16:creationId xmlns:a16="http://schemas.microsoft.com/office/drawing/2014/main" id="{26B77809-2BF9-42D8-A0B9-2B3EF7F749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2" name="Elipse 7061">
          <a:extLst>
            <a:ext uri="{FF2B5EF4-FFF2-40B4-BE49-F238E27FC236}">
              <a16:creationId xmlns:a16="http://schemas.microsoft.com/office/drawing/2014/main" id="{C4705632-407C-4B0C-BC65-F1996C1188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3" name="Elipse 7062">
          <a:extLst>
            <a:ext uri="{FF2B5EF4-FFF2-40B4-BE49-F238E27FC236}">
              <a16:creationId xmlns:a16="http://schemas.microsoft.com/office/drawing/2014/main" id="{CE05AAD4-5216-4FBC-AC08-96BE24F10C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4" name="Elipse 7063">
          <a:extLst>
            <a:ext uri="{FF2B5EF4-FFF2-40B4-BE49-F238E27FC236}">
              <a16:creationId xmlns:a16="http://schemas.microsoft.com/office/drawing/2014/main" id="{839749D3-5DC6-4918-810F-7C92E1CB4F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5" name="Elipse 7064">
          <a:extLst>
            <a:ext uri="{FF2B5EF4-FFF2-40B4-BE49-F238E27FC236}">
              <a16:creationId xmlns:a16="http://schemas.microsoft.com/office/drawing/2014/main" id="{9D2B08EA-8C3E-44AD-BCBA-24C235A6F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6" name="Elipse 7065">
          <a:extLst>
            <a:ext uri="{FF2B5EF4-FFF2-40B4-BE49-F238E27FC236}">
              <a16:creationId xmlns:a16="http://schemas.microsoft.com/office/drawing/2014/main" id="{84A70B37-C566-4A21-82DC-C2A9061B43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7" name="Elipse 7066">
          <a:extLst>
            <a:ext uri="{FF2B5EF4-FFF2-40B4-BE49-F238E27FC236}">
              <a16:creationId xmlns:a16="http://schemas.microsoft.com/office/drawing/2014/main" id="{7F69A768-FB34-41BA-8DED-DC7E01BD08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8" name="Elipse 7067">
          <a:extLst>
            <a:ext uri="{FF2B5EF4-FFF2-40B4-BE49-F238E27FC236}">
              <a16:creationId xmlns:a16="http://schemas.microsoft.com/office/drawing/2014/main" id="{DF521635-9FDD-4413-9494-FCBF1C2203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69" name="Elipse 7068">
          <a:extLst>
            <a:ext uri="{FF2B5EF4-FFF2-40B4-BE49-F238E27FC236}">
              <a16:creationId xmlns:a16="http://schemas.microsoft.com/office/drawing/2014/main" id="{62B6AE2D-108D-48BB-A14B-DAE24EB36D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0" name="Elipse 7069">
          <a:extLst>
            <a:ext uri="{FF2B5EF4-FFF2-40B4-BE49-F238E27FC236}">
              <a16:creationId xmlns:a16="http://schemas.microsoft.com/office/drawing/2014/main" id="{04FEC3E5-F904-4B8B-9788-95473B5A9C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1" name="Elipse 7070">
          <a:extLst>
            <a:ext uri="{FF2B5EF4-FFF2-40B4-BE49-F238E27FC236}">
              <a16:creationId xmlns:a16="http://schemas.microsoft.com/office/drawing/2014/main" id="{FE9537B1-09B2-41D1-8821-A2925DEF35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2" name="Elipse 7071">
          <a:extLst>
            <a:ext uri="{FF2B5EF4-FFF2-40B4-BE49-F238E27FC236}">
              <a16:creationId xmlns:a16="http://schemas.microsoft.com/office/drawing/2014/main" id="{71BCB93D-E9DF-423C-9D75-8CB8C6BBBD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3" name="Elipse 7072">
          <a:extLst>
            <a:ext uri="{FF2B5EF4-FFF2-40B4-BE49-F238E27FC236}">
              <a16:creationId xmlns:a16="http://schemas.microsoft.com/office/drawing/2014/main" id="{AA81416A-E654-4EEF-AF12-E4EF9C3355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4" name="Elipse 7073">
          <a:extLst>
            <a:ext uri="{FF2B5EF4-FFF2-40B4-BE49-F238E27FC236}">
              <a16:creationId xmlns:a16="http://schemas.microsoft.com/office/drawing/2014/main" id="{F899E99F-167C-4B44-AA72-EE7D6082E1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5" name="Elipse 7074">
          <a:extLst>
            <a:ext uri="{FF2B5EF4-FFF2-40B4-BE49-F238E27FC236}">
              <a16:creationId xmlns:a16="http://schemas.microsoft.com/office/drawing/2014/main" id="{50B527C1-CA0F-4C93-AE7E-79B2638356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6" name="Elipse 7075">
          <a:extLst>
            <a:ext uri="{FF2B5EF4-FFF2-40B4-BE49-F238E27FC236}">
              <a16:creationId xmlns:a16="http://schemas.microsoft.com/office/drawing/2014/main" id="{860F8B89-058B-4538-AD20-91F5897B54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7" name="Elipse 7076">
          <a:extLst>
            <a:ext uri="{FF2B5EF4-FFF2-40B4-BE49-F238E27FC236}">
              <a16:creationId xmlns:a16="http://schemas.microsoft.com/office/drawing/2014/main" id="{4B0CFAEC-B94F-4F62-83B5-93762354FF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8" name="Elipse 7077">
          <a:extLst>
            <a:ext uri="{FF2B5EF4-FFF2-40B4-BE49-F238E27FC236}">
              <a16:creationId xmlns:a16="http://schemas.microsoft.com/office/drawing/2014/main" id="{87AD3A64-C079-4C43-8970-5D5D549CAB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79" name="Elipse 7078">
          <a:extLst>
            <a:ext uri="{FF2B5EF4-FFF2-40B4-BE49-F238E27FC236}">
              <a16:creationId xmlns:a16="http://schemas.microsoft.com/office/drawing/2014/main" id="{121568E9-3058-4925-B01E-088A642734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0" name="Elipse 7079">
          <a:extLst>
            <a:ext uri="{FF2B5EF4-FFF2-40B4-BE49-F238E27FC236}">
              <a16:creationId xmlns:a16="http://schemas.microsoft.com/office/drawing/2014/main" id="{B3F5024F-61C4-4D2E-906E-E4912AA924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1" name="Elipse 7080">
          <a:extLst>
            <a:ext uri="{FF2B5EF4-FFF2-40B4-BE49-F238E27FC236}">
              <a16:creationId xmlns:a16="http://schemas.microsoft.com/office/drawing/2014/main" id="{6C6B4C39-675E-4AE2-8012-7387D30FD3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2" name="Elipse 7081">
          <a:extLst>
            <a:ext uri="{FF2B5EF4-FFF2-40B4-BE49-F238E27FC236}">
              <a16:creationId xmlns:a16="http://schemas.microsoft.com/office/drawing/2014/main" id="{F0E83DE2-2CD8-4359-BC31-3C389CCDCA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3" name="Elipse 7082">
          <a:extLst>
            <a:ext uri="{FF2B5EF4-FFF2-40B4-BE49-F238E27FC236}">
              <a16:creationId xmlns:a16="http://schemas.microsoft.com/office/drawing/2014/main" id="{C57BBCA2-53DF-42C7-99A3-14B2A3F8A3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4" name="Elipse 7083">
          <a:extLst>
            <a:ext uri="{FF2B5EF4-FFF2-40B4-BE49-F238E27FC236}">
              <a16:creationId xmlns:a16="http://schemas.microsoft.com/office/drawing/2014/main" id="{2385A165-D6FC-46BD-B241-7EDE271379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5" name="Elipse 7084">
          <a:extLst>
            <a:ext uri="{FF2B5EF4-FFF2-40B4-BE49-F238E27FC236}">
              <a16:creationId xmlns:a16="http://schemas.microsoft.com/office/drawing/2014/main" id="{0A13099D-61A2-4D2A-94A8-0AF34E59A5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6" name="Elipse 7085">
          <a:extLst>
            <a:ext uri="{FF2B5EF4-FFF2-40B4-BE49-F238E27FC236}">
              <a16:creationId xmlns:a16="http://schemas.microsoft.com/office/drawing/2014/main" id="{6270B854-63D3-41E0-A870-868A4596BC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7" name="Elipse 7086">
          <a:extLst>
            <a:ext uri="{FF2B5EF4-FFF2-40B4-BE49-F238E27FC236}">
              <a16:creationId xmlns:a16="http://schemas.microsoft.com/office/drawing/2014/main" id="{7AFF8AA0-0F74-4CB4-A1AD-1C6366FD4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8" name="Elipse 7087">
          <a:extLst>
            <a:ext uri="{FF2B5EF4-FFF2-40B4-BE49-F238E27FC236}">
              <a16:creationId xmlns:a16="http://schemas.microsoft.com/office/drawing/2014/main" id="{8CFA7257-12BC-4372-8C31-6C2EF2256F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89" name="Elipse 7088">
          <a:extLst>
            <a:ext uri="{FF2B5EF4-FFF2-40B4-BE49-F238E27FC236}">
              <a16:creationId xmlns:a16="http://schemas.microsoft.com/office/drawing/2014/main" id="{F04E83AC-61B2-4C0E-92AC-63C4833C41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0" name="Elipse 7089">
          <a:extLst>
            <a:ext uri="{FF2B5EF4-FFF2-40B4-BE49-F238E27FC236}">
              <a16:creationId xmlns:a16="http://schemas.microsoft.com/office/drawing/2014/main" id="{BF870DE7-6BD7-400C-9E51-D6DA5ED54F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1" name="Elipse 7090">
          <a:extLst>
            <a:ext uri="{FF2B5EF4-FFF2-40B4-BE49-F238E27FC236}">
              <a16:creationId xmlns:a16="http://schemas.microsoft.com/office/drawing/2014/main" id="{27427C9D-CCED-41F5-B56D-B8EE429549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2" name="Elipse 7091">
          <a:extLst>
            <a:ext uri="{FF2B5EF4-FFF2-40B4-BE49-F238E27FC236}">
              <a16:creationId xmlns:a16="http://schemas.microsoft.com/office/drawing/2014/main" id="{069BB35B-D2FA-461E-95E1-212A5EFD30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3" name="Elipse 7092">
          <a:extLst>
            <a:ext uri="{FF2B5EF4-FFF2-40B4-BE49-F238E27FC236}">
              <a16:creationId xmlns:a16="http://schemas.microsoft.com/office/drawing/2014/main" id="{B684A024-A4F8-401F-B028-47AB5059B0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4" name="Elipse 7093">
          <a:extLst>
            <a:ext uri="{FF2B5EF4-FFF2-40B4-BE49-F238E27FC236}">
              <a16:creationId xmlns:a16="http://schemas.microsoft.com/office/drawing/2014/main" id="{D6F70056-4B81-44F1-84DA-2E4DB3732B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5" name="Elipse 7094">
          <a:extLst>
            <a:ext uri="{FF2B5EF4-FFF2-40B4-BE49-F238E27FC236}">
              <a16:creationId xmlns:a16="http://schemas.microsoft.com/office/drawing/2014/main" id="{D35E91AD-E8C0-4142-90FE-AC566E6470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6" name="Elipse 7095">
          <a:extLst>
            <a:ext uri="{FF2B5EF4-FFF2-40B4-BE49-F238E27FC236}">
              <a16:creationId xmlns:a16="http://schemas.microsoft.com/office/drawing/2014/main" id="{3B65CFE2-12DE-4095-A841-D2BAC8292C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7" name="Elipse 7096">
          <a:extLst>
            <a:ext uri="{FF2B5EF4-FFF2-40B4-BE49-F238E27FC236}">
              <a16:creationId xmlns:a16="http://schemas.microsoft.com/office/drawing/2014/main" id="{20278B11-8F88-473A-9C35-E2204635B3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8" name="Elipse 7097">
          <a:extLst>
            <a:ext uri="{FF2B5EF4-FFF2-40B4-BE49-F238E27FC236}">
              <a16:creationId xmlns:a16="http://schemas.microsoft.com/office/drawing/2014/main" id="{31646D95-C0B8-4451-8FBC-BDC8F206BE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099" name="Elipse 7098">
          <a:extLst>
            <a:ext uri="{FF2B5EF4-FFF2-40B4-BE49-F238E27FC236}">
              <a16:creationId xmlns:a16="http://schemas.microsoft.com/office/drawing/2014/main" id="{F99AACDF-4A25-4DFF-A3AA-BEE44CD72D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0" name="Elipse 7099">
          <a:extLst>
            <a:ext uri="{FF2B5EF4-FFF2-40B4-BE49-F238E27FC236}">
              <a16:creationId xmlns:a16="http://schemas.microsoft.com/office/drawing/2014/main" id="{C3C5A18A-4189-4ABA-9301-96602D85F5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1" name="Elipse 7100">
          <a:extLst>
            <a:ext uri="{FF2B5EF4-FFF2-40B4-BE49-F238E27FC236}">
              <a16:creationId xmlns:a16="http://schemas.microsoft.com/office/drawing/2014/main" id="{950CFEB5-AC26-4AAB-A415-332A029361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2" name="Elipse 7101">
          <a:extLst>
            <a:ext uri="{FF2B5EF4-FFF2-40B4-BE49-F238E27FC236}">
              <a16:creationId xmlns:a16="http://schemas.microsoft.com/office/drawing/2014/main" id="{BDC90067-2DEE-48C9-9B78-D5B0076CA7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3" name="Elipse 7102">
          <a:extLst>
            <a:ext uri="{FF2B5EF4-FFF2-40B4-BE49-F238E27FC236}">
              <a16:creationId xmlns:a16="http://schemas.microsoft.com/office/drawing/2014/main" id="{D8B411C0-6FA4-434F-B182-F063884971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4" name="Elipse 7103">
          <a:extLst>
            <a:ext uri="{FF2B5EF4-FFF2-40B4-BE49-F238E27FC236}">
              <a16:creationId xmlns:a16="http://schemas.microsoft.com/office/drawing/2014/main" id="{95B2D5CD-9651-45CA-B0A9-128AA0FFAA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5" name="Elipse 7104">
          <a:extLst>
            <a:ext uri="{FF2B5EF4-FFF2-40B4-BE49-F238E27FC236}">
              <a16:creationId xmlns:a16="http://schemas.microsoft.com/office/drawing/2014/main" id="{6222D37D-0613-4984-9BD4-9DD543B650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6" name="Elipse 7105">
          <a:extLst>
            <a:ext uri="{FF2B5EF4-FFF2-40B4-BE49-F238E27FC236}">
              <a16:creationId xmlns:a16="http://schemas.microsoft.com/office/drawing/2014/main" id="{98B0ABAD-25E7-477B-A22D-695940817F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7" name="Elipse 7106">
          <a:extLst>
            <a:ext uri="{FF2B5EF4-FFF2-40B4-BE49-F238E27FC236}">
              <a16:creationId xmlns:a16="http://schemas.microsoft.com/office/drawing/2014/main" id="{A30672F8-0D06-412E-A770-D2A55A0330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8" name="Elipse 7107">
          <a:extLst>
            <a:ext uri="{FF2B5EF4-FFF2-40B4-BE49-F238E27FC236}">
              <a16:creationId xmlns:a16="http://schemas.microsoft.com/office/drawing/2014/main" id="{C1657C20-6D45-4416-BFC1-AC8BA7F39D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09" name="Elipse 7108">
          <a:extLst>
            <a:ext uri="{FF2B5EF4-FFF2-40B4-BE49-F238E27FC236}">
              <a16:creationId xmlns:a16="http://schemas.microsoft.com/office/drawing/2014/main" id="{E678BB6C-13C1-4DD6-8C25-09CFB47354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0" name="Elipse 7109">
          <a:extLst>
            <a:ext uri="{FF2B5EF4-FFF2-40B4-BE49-F238E27FC236}">
              <a16:creationId xmlns:a16="http://schemas.microsoft.com/office/drawing/2014/main" id="{5CC3BDE0-A72D-44C1-A998-E3EE44D80D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1" name="Elipse 7110">
          <a:extLst>
            <a:ext uri="{FF2B5EF4-FFF2-40B4-BE49-F238E27FC236}">
              <a16:creationId xmlns:a16="http://schemas.microsoft.com/office/drawing/2014/main" id="{EE5C9C9B-D30E-4F0C-BF9B-2C8F6B45F9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2" name="Elipse 7111">
          <a:extLst>
            <a:ext uri="{FF2B5EF4-FFF2-40B4-BE49-F238E27FC236}">
              <a16:creationId xmlns:a16="http://schemas.microsoft.com/office/drawing/2014/main" id="{3F1E01C5-43DE-4C0E-B78B-858B2D5682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3" name="Elipse 7112">
          <a:extLst>
            <a:ext uri="{FF2B5EF4-FFF2-40B4-BE49-F238E27FC236}">
              <a16:creationId xmlns:a16="http://schemas.microsoft.com/office/drawing/2014/main" id="{1E8F07C6-9C10-4BD0-B92C-B660440B62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4" name="Elipse 7113">
          <a:extLst>
            <a:ext uri="{FF2B5EF4-FFF2-40B4-BE49-F238E27FC236}">
              <a16:creationId xmlns:a16="http://schemas.microsoft.com/office/drawing/2014/main" id="{D5A6E68F-9E29-43B4-8802-783FA52595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5" name="Elipse 7114">
          <a:extLst>
            <a:ext uri="{FF2B5EF4-FFF2-40B4-BE49-F238E27FC236}">
              <a16:creationId xmlns:a16="http://schemas.microsoft.com/office/drawing/2014/main" id="{8781B249-F978-45C7-9ED5-1045BE14BC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6" name="Elipse 7115">
          <a:extLst>
            <a:ext uri="{FF2B5EF4-FFF2-40B4-BE49-F238E27FC236}">
              <a16:creationId xmlns:a16="http://schemas.microsoft.com/office/drawing/2014/main" id="{D6F214AA-8A10-4BAD-A7D1-1EAA7BC48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7" name="Elipse 7116">
          <a:extLst>
            <a:ext uri="{FF2B5EF4-FFF2-40B4-BE49-F238E27FC236}">
              <a16:creationId xmlns:a16="http://schemas.microsoft.com/office/drawing/2014/main" id="{FCD58B69-95DB-4417-B988-1F077F8E70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8" name="Elipse 7117">
          <a:extLst>
            <a:ext uri="{FF2B5EF4-FFF2-40B4-BE49-F238E27FC236}">
              <a16:creationId xmlns:a16="http://schemas.microsoft.com/office/drawing/2014/main" id="{C4CA0193-BAF9-4548-9ED2-C89032F039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19" name="Elipse 7118">
          <a:extLst>
            <a:ext uri="{FF2B5EF4-FFF2-40B4-BE49-F238E27FC236}">
              <a16:creationId xmlns:a16="http://schemas.microsoft.com/office/drawing/2014/main" id="{F1D8329E-599A-44C7-998A-2CB9AABDFF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0" name="Elipse 7119">
          <a:extLst>
            <a:ext uri="{FF2B5EF4-FFF2-40B4-BE49-F238E27FC236}">
              <a16:creationId xmlns:a16="http://schemas.microsoft.com/office/drawing/2014/main" id="{081DA587-4B9E-4476-98D2-671E661C82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1" name="Elipse 7120">
          <a:extLst>
            <a:ext uri="{FF2B5EF4-FFF2-40B4-BE49-F238E27FC236}">
              <a16:creationId xmlns:a16="http://schemas.microsoft.com/office/drawing/2014/main" id="{78595AED-4683-4F1E-AAD9-179C4FF854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2" name="Elipse 7121">
          <a:extLst>
            <a:ext uri="{FF2B5EF4-FFF2-40B4-BE49-F238E27FC236}">
              <a16:creationId xmlns:a16="http://schemas.microsoft.com/office/drawing/2014/main" id="{D6773AD8-FC78-4F96-8A50-622627FDFD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3" name="Elipse 7122">
          <a:extLst>
            <a:ext uri="{FF2B5EF4-FFF2-40B4-BE49-F238E27FC236}">
              <a16:creationId xmlns:a16="http://schemas.microsoft.com/office/drawing/2014/main" id="{00597DA8-1675-427A-AC1A-E557907589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4" name="Elipse 7123">
          <a:extLst>
            <a:ext uri="{FF2B5EF4-FFF2-40B4-BE49-F238E27FC236}">
              <a16:creationId xmlns:a16="http://schemas.microsoft.com/office/drawing/2014/main" id="{79A78543-1388-4CB6-9C53-7EAB67556C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5" name="Elipse 7124">
          <a:extLst>
            <a:ext uri="{FF2B5EF4-FFF2-40B4-BE49-F238E27FC236}">
              <a16:creationId xmlns:a16="http://schemas.microsoft.com/office/drawing/2014/main" id="{CEF1F205-A234-466E-BE65-580A3288B5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6" name="Elipse 7125">
          <a:extLst>
            <a:ext uri="{FF2B5EF4-FFF2-40B4-BE49-F238E27FC236}">
              <a16:creationId xmlns:a16="http://schemas.microsoft.com/office/drawing/2014/main" id="{110B59C0-EA31-4A92-A998-689906E8F1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7" name="Elipse 7126">
          <a:extLst>
            <a:ext uri="{FF2B5EF4-FFF2-40B4-BE49-F238E27FC236}">
              <a16:creationId xmlns:a16="http://schemas.microsoft.com/office/drawing/2014/main" id="{B419E095-FC45-4537-8AE0-B5745EC02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8" name="Elipse 7127">
          <a:extLst>
            <a:ext uri="{FF2B5EF4-FFF2-40B4-BE49-F238E27FC236}">
              <a16:creationId xmlns:a16="http://schemas.microsoft.com/office/drawing/2014/main" id="{1098A075-2519-4769-9DDC-8479AC037B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29" name="Elipse 7128">
          <a:extLst>
            <a:ext uri="{FF2B5EF4-FFF2-40B4-BE49-F238E27FC236}">
              <a16:creationId xmlns:a16="http://schemas.microsoft.com/office/drawing/2014/main" id="{BE21FAEF-1638-4CE2-A289-62F9745D9E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0" name="Elipse 7129">
          <a:extLst>
            <a:ext uri="{FF2B5EF4-FFF2-40B4-BE49-F238E27FC236}">
              <a16:creationId xmlns:a16="http://schemas.microsoft.com/office/drawing/2014/main" id="{44ADEC21-0A40-445F-A721-7D50A11B23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1" name="Elipse 7130">
          <a:extLst>
            <a:ext uri="{FF2B5EF4-FFF2-40B4-BE49-F238E27FC236}">
              <a16:creationId xmlns:a16="http://schemas.microsoft.com/office/drawing/2014/main" id="{6F30DA7E-13D6-497F-AA43-5A65AA8B16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2" name="Elipse 7131">
          <a:extLst>
            <a:ext uri="{FF2B5EF4-FFF2-40B4-BE49-F238E27FC236}">
              <a16:creationId xmlns:a16="http://schemas.microsoft.com/office/drawing/2014/main" id="{B9EC4473-7047-4837-ADBB-E44BCF202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3" name="Elipse 7132">
          <a:extLst>
            <a:ext uri="{FF2B5EF4-FFF2-40B4-BE49-F238E27FC236}">
              <a16:creationId xmlns:a16="http://schemas.microsoft.com/office/drawing/2014/main" id="{2662DD43-CC69-4D84-B00F-656844D6C2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4" name="Elipse 7133">
          <a:extLst>
            <a:ext uri="{FF2B5EF4-FFF2-40B4-BE49-F238E27FC236}">
              <a16:creationId xmlns:a16="http://schemas.microsoft.com/office/drawing/2014/main" id="{9ECE5FE2-F229-4A1F-A733-F18AAFB54F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5" name="Elipse 7134">
          <a:extLst>
            <a:ext uri="{FF2B5EF4-FFF2-40B4-BE49-F238E27FC236}">
              <a16:creationId xmlns:a16="http://schemas.microsoft.com/office/drawing/2014/main" id="{CB86C8B5-1B28-4C1B-9ECC-E2350BCEF5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6" name="Elipse 7135">
          <a:extLst>
            <a:ext uri="{FF2B5EF4-FFF2-40B4-BE49-F238E27FC236}">
              <a16:creationId xmlns:a16="http://schemas.microsoft.com/office/drawing/2014/main" id="{1A2875D7-8003-4412-9BD3-FB3E9D873A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7" name="Elipse 7136">
          <a:extLst>
            <a:ext uri="{FF2B5EF4-FFF2-40B4-BE49-F238E27FC236}">
              <a16:creationId xmlns:a16="http://schemas.microsoft.com/office/drawing/2014/main" id="{809566DC-2134-4B58-AB85-80BA993D36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8" name="Elipse 7137">
          <a:extLst>
            <a:ext uri="{FF2B5EF4-FFF2-40B4-BE49-F238E27FC236}">
              <a16:creationId xmlns:a16="http://schemas.microsoft.com/office/drawing/2014/main" id="{FC3558A2-F1C4-49E6-98D2-87965B448F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39" name="Elipse 7138">
          <a:extLst>
            <a:ext uri="{FF2B5EF4-FFF2-40B4-BE49-F238E27FC236}">
              <a16:creationId xmlns:a16="http://schemas.microsoft.com/office/drawing/2014/main" id="{F4E991A4-E48B-43DE-A844-F30BA652BE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0" name="Elipse 7139">
          <a:extLst>
            <a:ext uri="{FF2B5EF4-FFF2-40B4-BE49-F238E27FC236}">
              <a16:creationId xmlns:a16="http://schemas.microsoft.com/office/drawing/2014/main" id="{D3A52D12-44DA-4FA8-A591-CEB8D71FA3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1" name="Elipse 7140">
          <a:extLst>
            <a:ext uri="{FF2B5EF4-FFF2-40B4-BE49-F238E27FC236}">
              <a16:creationId xmlns:a16="http://schemas.microsoft.com/office/drawing/2014/main" id="{9E384C79-CC4D-4135-98DB-85CC9E07A7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2" name="Elipse 7141">
          <a:extLst>
            <a:ext uri="{FF2B5EF4-FFF2-40B4-BE49-F238E27FC236}">
              <a16:creationId xmlns:a16="http://schemas.microsoft.com/office/drawing/2014/main" id="{8615C90F-9A0A-4832-9B8C-66588ACA2F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3" name="Elipse 7142">
          <a:extLst>
            <a:ext uri="{FF2B5EF4-FFF2-40B4-BE49-F238E27FC236}">
              <a16:creationId xmlns:a16="http://schemas.microsoft.com/office/drawing/2014/main" id="{7CA836F1-D75A-41E6-8FB8-CC9D366D81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4" name="Elipse 7143">
          <a:extLst>
            <a:ext uri="{FF2B5EF4-FFF2-40B4-BE49-F238E27FC236}">
              <a16:creationId xmlns:a16="http://schemas.microsoft.com/office/drawing/2014/main" id="{540C5386-C5E4-4787-859A-3D6C4A5BFF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5" name="Elipse 7144">
          <a:extLst>
            <a:ext uri="{FF2B5EF4-FFF2-40B4-BE49-F238E27FC236}">
              <a16:creationId xmlns:a16="http://schemas.microsoft.com/office/drawing/2014/main" id="{3B6048CE-D180-4D86-98E0-46387B2E2C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6" name="Elipse 7145">
          <a:extLst>
            <a:ext uri="{FF2B5EF4-FFF2-40B4-BE49-F238E27FC236}">
              <a16:creationId xmlns:a16="http://schemas.microsoft.com/office/drawing/2014/main" id="{A819AA11-2070-4F0D-B791-82512433D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7" name="Elipse 7146">
          <a:extLst>
            <a:ext uri="{FF2B5EF4-FFF2-40B4-BE49-F238E27FC236}">
              <a16:creationId xmlns:a16="http://schemas.microsoft.com/office/drawing/2014/main" id="{A0BC51CD-D7F4-460B-B383-0CEE2BD8B7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8" name="Elipse 7147">
          <a:extLst>
            <a:ext uri="{FF2B5EF4-FFF2-40B4-BE49-F238E27FC236}">
              <a16:creationId xmlns:a16="http://schemas.microsoft.com/office/drawing/2014/main" id="{84EF5F8D-2B42-4468-AA5A-71D64BAB44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49" name="Elipse 7148">
          <a:extLst>
            <a:ext uri="{FF2B5EF4-FFF2-40B4-BE49-F238E27FC236}">
              <a16:creationId xmlns:a16="http://schemas.microsoft.com/office/drawing/2014/main" id="{A6B182AD-DB35-40AA-9C20-745A4EEDAC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0" name="Elipse 7149">
          <a:extLst>
            <a:ext uri="{FF2B5EF4-FFF2-40B4-BE49-F238E27FC236}">
              <a16:creationId xmlns:a16="http://schemas.microsoft.com/office/drawing/2014/main" id="{168FEA19-B900-44E7-9F50-ED13B46318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1" name="Elipse 7150">
          <a:extLst>
            <a:ext uri="{FF2B5EF4-FFF2-40B4-BE49-F238E27FC236}">
              <a16:creationId xmlns:a16="http://schemas.microsoft.com/office/drawing/2014/main" id="{BF6C92D9-7617-4AC7-A1A1-43C0D819F0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2" name="Elipse 7151">
          <a:extLst>
            <a:ext uri="{FF2B5EF4-FFF2-40B4-BE49-F238E27FC236}">
              <a16:creationId xmlns:a16="http://schemas.microsoft.com/office/drawing/2014/main" id="{7AFAB3B8-9B39-4C0C-ACAC-B8A785A51E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3" name="Elipse 7152">
          <a:extLst>
            <a:ext uri="{FF2B5EF4-FFF2-40B4-BE49-F238E27FC236}">
              <a16:creationId xmlns:a16="http://schemas.microsoft.com/office/drawing/2014/main" id="{B3D8D3E8-7A14-41D5-8F7C-42E5B6C86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4" name="Elipse 7153">
          <a:extLst>
            <a:ext uri="{FF2B5EF4-FFF2-40B4-BE49-F238E27FC236}">
              <a16:creationId xmlns:a16="http://schemas.microsoft.com/office/drawing/2014/main" id="{0D41CDED-ACFF-40A4-90A6-3D575ECD1E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5" name="Elipse 7154">
          <a:extLst>
            <a:ext uri="{FF2B5EF4-FFF2-40B4-BE49-F238E27FC236}">
              <a16:creationId xmlns:a16="http://schemas.microsoft.com/office/drawing/2014/main" id="{C9071F1C-96E2-4D7D-9E81-7BD6F2B248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6" name="Elipse 7155">
          <a:extLst>
            <a:ext uri="{FF2B5EF4-FFF2-40B4-BE49-F238E27FC236}">
              <a16:creationId xmlns:a16="http://schemas.microsoft.com/office/drawing/2014/main" id="{8FF2D8CA-D983-4FE1-ABE3-9241AA1F5C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7" name="Elipse 7156">
          <a:extLst>
            <a:ext uri="{FF2B5EF4-FFF2-40B4-BE49-F238E27FC236}">
              <a16:creationId xmlns:a16="http://schemas.microsoft.com/office/drawing/2014/main" id="{CB1CB604-2CDB-4683-AA93-8D20BBFAC2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8" name="Elipse 7157">
          <a:extLst>
            <a:ext uri="{FF2B5EF4-FFF2-40B4-BE49-F238E27FC236}">
              <a16:creationId xmlns:a16="http://schemas.microsoft.com/office/drawing/2014/main" id="{C16C14F7-D5A1-4C0A-AE3B-3A3E27E239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59" name="Elipse 7158">
          <a:extLst>
            <a:ext uri="{FF2B5EF4-FFF2-40B4-BE49-F238E27FC236}">
              <a16:creationId xmlns:a16="http://schemas.microsoft.com/office/drawing/2014/main" id="{969A5935-2034-4982-95C2-3BB038DCEE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0" name="Elipse 7159">
          <a:extLst>
            <a:ext uri="{FF2B5EF4-FFF2-40B4-BE49-F238E27FC236}">
              <a16:creationId xmlns:a16="http://schemas.microsoft.com/office/drawing/2014/main" id="{291C0DC4-7E3B-4621-AC13-BE2F07548C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1" name="Elipse 7160">
          <a:extLst>
            <a:ext uri="{FF2B5EF4-FFF2-40B4-BE49-F238E27FC236}">
              <a16:creationId xmlns:a16="http://schemas.microsoft.com/office/drawing/2014/main" id="{4CFD7807-65C3-4E3F-BD82-D91803947A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2" name="Elipse 7161">
          <a:extLst>
            <a:ext uri="{FF2B5EF4-FFF2-40B4-BE49-F238E27FC236}">
              <a16:creationId xmlns:a16="http://schemas.microsoft.com/office/drawing/2014/main" id="{3D5813A9-BABC-4E08-8520-A3A0258D4F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3" name="Elipse 7162">
          <a:extLst>
            <a:ext uri="{FF2B5EF4-FFF2-40B4-BE49-F238E27FC236}">
              <a16:creationId xmlns:a16="http://schemas.microsoft.com/office/drawing/2014/main" id="{DE340EBE-AFE4-494D-AE9C-700CEFBE7D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4" name="Elipse 7163">
          <a:extLst>
            <a:ext uri="{FF2B5EF4-FFF2-40B4-BE49-F238E27FC236}">
              <a16:creationId xmlns:a16="http://schemas.microsoft.com/office/drawing/2014/main" id="{EB04B6B4-BECC-43F4-A766-A53D4396DD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5" name="Elipse 7164">
          <a:extLst>
            <a:ext uri="{FF2B5EF4-FFF2-40B4-BE49-F238E27FC236}">
              <a16:creationId xmlns:a16="http://schemas.microsoft.com/office/drawing/2014/main" id="{07A19BB5-8BD0-4632-A5E7-1202EDDDC0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6" name="Elipse 7165">
          <a:extLst>
            <a:ext uri="{FF2B5EF4-FFF2-40B4-BE49-F238E27FC236}">
              <a16:creationId xmlns:a16="http://schemas.microsoft.com/office/drawing/2014/main" id="{50303DA6-8347-4EAB-B7AC-2224415F8A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7" name="Elipse 7166">
          <a:extLst>
            <a:ext uri="{FF2B5EF4-FFF2-40B4-BE49-F238E27FC236}">
              <a16:creationId xmlns:a16="http://schemas.microsoft.com/office/drawing/2014/main" id="{A1B0F4E6-D5CE-43E3-A9C3-DC682EA1CA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8" name="Elipse 7167">
          <a:extLst>
            <a:ext uri="{FF2B5EF4-FFF2-40B4-BE49-F238E27FC236}">
              <a16:creationId xmlns:a16="http://schemas.microsoft.com/office/drawing/2014/main" id="{0B2E77F6-4B08-4A87-B002-3AB008DCFB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69" name="Elipse 7168">
          <a:extLst>
            <a:ext uri="{FF2B5EF4-FFF2-40B4-BE49-F238E27FC236}">
              <a16:creationId xmlns:a16="http://schemas.microsoft.com/office/drawing/2014/main" id="{4EE94337-8138-4CDB-8957-611FA4D927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0" name="Elipse 7169">
          <a:extLst>
            <a:ext uri="{FF2B5EF4-FFF2-40B4-BE49-F238E27FC236}">
              <a16:creationId xmlns:a16="http://schemas.microsoft.com/office/drawing/2014/main" id="{4C4CF2BC-1D01-4037-8E6B-99F762260B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1" name="Elipse 7170">
          <a:extLst>
            <a:ext uri="{FF2B5EF4-FFF2-40B4-BE49-F238E27FC236}">
              <a16:creationId xmlns:a16="http://schemas.microsoft.com/office/drawing/2014/main" id="{C4699285-C791-4A49-85B0-D64101B06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2" name="Elipse 7171">
          <a:extLst>
            <a:ext uri="{FF2B5EF4-FFF2-40B4-BE49-F238E27FC236}">
              <a16:creationId xmlns:a16="http://schemas.microsoft.com/office/drawing/2014/main" id="{E0B93F76-9EE3-4E44-9412-B19A3E9567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3" name="Elipse 7172">
          <a:extLst>
            <a:ext uri="{FF2B5EF4-FFF2-40B4-BE49-F238E27FC236}">
              <a16:creationId xmlns:a16="http://schemas.microsoft.com/office/drawing/2014/main" id="{0E16A55B-CDC2-4400-94E3-397E9B5172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4" name="Elipse 7173">
          <a:extLst>
            <a:ext uri="{FF2B5EF4-FFF2-40B4-BE49-F238E27FC236}">
              <a16:creationId xmlns:a16="http://schemas.microsoft.com/office/drawing/2014/main" id="{5873AE3A-DA45-4454-B9CE-F7F65F5852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5" name="Elipse 7174">
          <a:extLst>
            <a:ext uri="{FF2B5EF4-FFF2-40B4-BE49-F238E27FC236}">
              <a16:creationId xmlns:a16="http://schemas.microsoft.com/office/drawing/2014/main" id="{FB827098-AC34-45B0-84AC-FFD9A1B2CB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6" name="Elipse 7175">
          <a:extLst>
            <a:ext uri="{FF2B5EF4-FFF2-40B4-BE49-F238E27FC236}">
              <a16:creationId xmlns:a16="http://schemas.microsoft.com/office/drawing/2014/main" id="{0F117CD7-0D52-4143-A9CE-C833F88778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7" name="Elipse 7176">
          <a:extLst>
            <a:ext uri="{FF2B5EF4-FFF2-40B4-BE49-F238E27FC236}">
              <a16:creationId xmlns:a16="http://schemas.microsoft.com/office/drawing/2014/main" id="{E2A3E1F1-91FA-4D0E-B077-7ACB55B9EB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8" name="Elipse 7177">
          <a:extLst>
            <a:ext uri="{FF2B5EF4-FFF2-40B4-BE49-F238E27FC236}">
              <a16:creationId xmlns:a16="http://schemas.microsoft.com/office/drawing/2014/main" id="{0E26658C-EF16-43C4-B24B-4FADFB9B91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79" name="Elipse 7178">
          <a:extLst>
            <a:ext uri="{FF2B5EF4-FFF2-40B4-BE49-F238E27FC236}">
              <a16:creationId xmlns:a16="http://schemas.microsoft.com/office/drawing/2014/main" id="{15C6D18C-A6CF-4B6E-BA6A-F8F5CB63ED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0" name="Elipse 7179">
          <a:extLst>
            <a:ext uri="{FF2B5EF4-FFF2-40B4-BE49-F238E27FC236}">
              <a16:creationId xmlns:a16="http://schemas.microsoft.com/office/drawing/2014/main" id="{99D1A8E7-04D6-45EF-A786-3CA8AC71EA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1" name="Elipse 7180">
          <a:extLst>
            <a:ext uri="{FF2B5EF4-FFF2-40B4-BE49-F238E27FC236}">
              <a16:creationId xmlns:a16="http://schemas.microsoft.com/office/drawing/2014/main" id="{62B048FD-4C23-4870-85E1-6333039B0B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2" name="Elipse 7181">
          <a:extLst>
            <a:ext uri="{FF2B5EF4-FFF2-40B4-BE49-F238E27FC236}">
              <a16:creationId xmlns:a16="http://schemas.microsoft.com/office/drawing/2014/main" id="{14605B5E-2EA4-4575-ABBD-12BC7E58BC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3" name="Elipse 7182">
          <a:extLst>
            <a:ext uri="{FF2B5EF4-FFF2-40B4-BE49-F238E27FC236}">
              <a16:creationId xmlns:a16="http://schemas.microsoft.com/office/drawing/2014/main" id="{33B23C23-509A-4B62-A7EF-2A06D1EEDE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4" name="Elipse 7183">
          <a:extLst>
            <a:ext uri="{FF2B5EF4-FFF2-40B4-BE49-F238E27FC236}">
              <a16:creationId xmlns:a16="http://schemas.microsoft.com/office/drawing/2014/main" id="{AFE042A5-F75B-48BB-9A23-59A2A268D4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5" name="Elipse 7184">
          <a:extLst>
            <a:ext uri="{FF2B5EF4-FFF2-40B4-BE49-F238E27FC236}">
              <a16:creationId xmlns:a16="http://schemas.microsoft.com/office/drawing/2014/main" id="{744133E9-6C17-4D99-B3D4-43F6E07832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6" name="Elipse 7185">
          <a:extLst>
            <a:ext uri="{FF2B5EF4-FFF2-40B4-BE49-F238E27FC236}">
              <a16:creationId xmlns:a16="http://schemas.microsoft.com/office/drawing/2014/main" id="{383C4C98-4C6C-4CCC-BE46-8EA6FB0263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7" name="Elipse 7186">
          <a:extLst>
            <a:ext uri="{FF2B5EF4-FFF2-40B4-BE49-F238E27FC236}">
              <a16:creationId xmlns:a16="http://schemas.microsoft.com/office/drawing/2014/main" id="{E45B4455-F3C5-4F6A-AA48-CCBC9A36A0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8" name="Elipse 7187">
          <a:extLst>
            <a:ext uri="{FF2B5EF4-FFF2-40B4-BE49-F238E27FC236}">
              <a16:creationId xmlns:a16="http://schemas.microsoft.com/office/drawing/2014/main" id="{FD3B5BE3-C992-4872-BDC8-A495B42259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89" name="Elipse 7188">
          <a:extLst>
            <a:ext uri="{FF2B5EF4-FFF2-40B4-BE49-F238E27FC236}">
              <a16:creationId xmlns:a16="http://schemas.microsoft.com/office/drawing/2014/main" id="{C0C1CBBC-E006-41D2-B94C-61ADB81CF9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0" name="Elipse 7189">
          <a:extLst>
            <a:ext uri="{FF2B5EF4-FFF2-40B4-BE49-F238E27FC236}">
              <a16:creationId xmlns:a16="http://schemas.microsoft.com/office/drawing/2014/main" id="{5ADCF71A-2E9F-447D-A8C2-D8F393F69A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1" name="Elipse 7190">
          <a:extLst>
            <a:ext uri="{FF2B5EF4-FFF2-40B4-BE49-F238E27FC236}">
              <a16:creationId xmlns:a16="http://schemas.microsoft.com/office/drawing/2014/main" id="{D9C227DF-45C0-4343-9D24-FE8D1E6F8E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2" name="Elipse 7191">
          <a:extLst>
            <a:ext uri="{FF2B5EF4-FFF2-40B4-BE49-F238E27FC236}">
              <a16:creationId xmlns:a16="http://schemas.microsoft.com/office/drawing/2014/main" id="{516125FE-EC9D-4905-9107-65E53516C5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3" name="Elipse 7192">
          <a:extLst>
            <a:ext uri="{FF2B5EF4-FFF2-40B4-BE49-F238E27FC236}">
              <a16:creationId xmlns:a16="http://schemas.microsoft.com/office/drawing/2014/main" id="{08085794-F1C5-4E73-8116-FD2912B533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4" name="Elipse 7193">
          <a:extLst>
            <a:ext uri="{FF2B5EF4-FFF2-40B4-BE49-F238E27FC236}">
              <a16:creationId xmlns:a16="http://schemas.microsoft.com/office/drawing/2014/main" id="{B0297505-ECF3-45EC-91B9-349658397F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5" name="Elipse 7194">
          <a:extLst>
            <a:ext uri="{FF2B5EF4-FFF2-40B4-BE49-F238E27FC236}">
              <a16:creationId xmlns:a16="http://schemas.microsoft.com/office/drawing/2014/main" id="{FBC1F3E3-0B50-4461-B093-7561EEC9E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6" name="Elipse 7195">
          <a:extLst>
            <a:ext uri="{FF2B5EF4-FFF2-40B4-BE49-F238E27FC236}">
              <a16:creationId xmlns:a16="http://schemas.microsoft.com/office/drawing/2014/main" id="{C186EFD8-2312-4B28-9E32-5131D0954F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7" name="Elipse 7196">
          <a:extLst>
            <a:ext uri="{FF2B5EF4-FFF2-40B4-BE49-F238E27FC236}">
              <a16:creationId xmlns:a16="http://schemas.microsoft.com/office/drawing/2014/main" id="{C114A263-9A6E-4BBD-BB3D-26392CB065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8" name="Elipse 7197">
          <a:extLst>
            <a:ext uri="{FF2B5EF4-FFF2-40B4-BE49-F238E27FC236}">
              <a16:creationId xmlns:a16="http://schemas.microsoft.com/office/drawing/2014/main" id="{C1ADEEAD-7CCF-46DB-995B-60C1DBE836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199" name="Elipse 7198">
          <a:extLst>
            <a:ext uri="{FF2B5EF4-FFF2-40B4-BE49-F238E27FC236}">
              <a16:creationId xmlns:a16="http://schemas.microsoft.com/office/drawing/2014/main" id="{E9D327E5-FAC3-4064-A533-2BFD8D6141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0" name="Elipse 7199">
          <a:extLst>
            <a:ext uri="{FF2B5EF4-FFF2-40B4-BE49-F238E27FC236}">
              <a16:creationId xmlns:a16="http://schemas.microsoft.com/office/drawing/2014/main" id="{AE8018C6-4E8A-42C1-B133-C98A928373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1" name="Elipse 7200">
          <a:extLst>
            <a:ext uri="{FF2B5EF4-FFF2-40B4-BE49-F238E27FC236}">
              <a16:creationId xmlns:a16="http://schemas.microsoft.com/office/drawing/2014/main" id="{35434CBD-2200-433B-BAC6-9A720EE581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2" name="Elipse 7201">
          <a:extLst>
            <a:ext uri="{FF2B5EF4-FFF2-40B4-BE49-F238E27FC236}">
              <a16:creationId xmlns:a16="http://schemas.microsoft.com/office/drawing/2014/main" id="{D1DACF06-3B3E-4394-AA2D-03612D1E82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3" name="Elipse 7202">
          <a:extLst>
            <a:ext uri="{FF2B5EF4-FFF2-40B4-BE49-F238E27FC236}">
              <a16:creationId xmlns:a16="http://schemas.microsoft.com/office/drawing/2014/main" id="{B6B1D29C-7749-4FB8-A760-0CF0DDB329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4" name="Elipse 7203">
          <a:extLst>
            <a:ext uri="{FF2B5EF4-FFF2-40B4-BE49-F238E27FC236}">
              <a16:creationId xmlns:a16="http://schemas.microsoft.com/office/drawing/2014/main" id="{87C573D8-0C4E-481D-83E9-35AFB7AFE2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5" name="Elipse 7204">
          <a:extLst>
            <a:ext uri="{FF2B5EF4-FFF2-40B4-BE49-F238E27FC236}">
              <a16:creationId xmlns:a16="http://schemas.microsoft.com/office/drawing/2014/main" id="{D0675D8A-56A2-4AFD-BD74-B8BBB1C98C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6" name="Elipse 7205">
          <a:extLst>
            <a:ext uri="{FF2B5EF4-FFF2-40B4-BE49-F238E27FC236}">
              <a16:creationId xmlns:a16="http://schemas.microsoft.com/office/drawing/2014/main" id="{BB4C5A2F-B801-4DEF-B463-DFA8AD2475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7" name="Elipse 7206">
          <a:extLst>
            <a:ext uri="{FF2B5EF4-FFF2-40B4-BE49-F238E27FC236}">
              <a16:creationId xmlns:a16="http://schemas.microsoft.com/office/drawing/2014/main" id="{36DF0221-F6F6-4D6A-A334-8F439A5F88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8" name="Elipse 7207">
          <a:extLst>
            <a:ext uri="{FF2B5EF4-FFF2-40B4-BE49-F238E27FC236}">
              <a16:creationId xmlns:a16="http://schemas.microsoft.com/office/drawing/2014/main" id="{ACA75E43-8121-4300-929E-DA78FC7A66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09" name="Elipse 7208">
          <a:extLst>
            <a:ext uri="{FF2B5EF4-FFF2-40B4-BE49-F238E27FC236}">
              <a16:creationId xmlns:a16="http://schemas.microsoft.com/office/drawing/2014/main" id="{4BC45910-2C31-4076-9449-F5F561D2FA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0" name="Elipse 7209">
          <a:extLst>
            <a:ext uri="{FF2B5EF4-FFF2-40B4-BE49-F238E27FC236}">
              <a16:creationId xmlns:a16="http://schemas.microsoft.com/office/drawing/2014/main" id="{E8167468-10F7-4C74-9DD7-29B003FFD3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1" name="Elipse 7210">
          <a:extLst>
            <a:ext uri="{FF2B5EF4-FFF2-40B4-BE49-F238E27FC236}">
              <a16:creationId xmlns:a16="http://schemas.microsoft.com/office/drawing/2014/main" id="{E7339347-FE17-480E-A84C-FF7E57420E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2" name="Elipse 7211">
          <a:extLst>
            <a:ext uri="{FF2B5EF4-FFF2-40B4-BE49-F238E27FC236}">
              <a16:creationId xmlns:a16="http://schemas.microsoft.com/office/drawing/2014/main" id="{C4748629-2C98-44B1-B63F-52E3987859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3" name="Elipse 7212">
          <a:extLst>
            <a:ext uri="{FF2B5EF4-FFF2-40B4-BE49-F238E27FC236}">
              <a16:creationId xmlns:a16="http://schemas.microsoft.com/office/drawing/2014/main" id="{39A5658F-4A1B-4E54-A585-0154621828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4" name="Elipse 7213">
          <a:extLst>
            <a:ext uri="{FF2B5EF4-FFF2-40B4-BE49-F238E27FC236}">
              <a16:creationId xmlns:a16="http://schemas.microsoft.com/office/drawing/2014/main" id="{EC21792B-EDF9-41D1-9776-0503453762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5" name="Elipse 7214">
          <a:extLst>
            <a:ext uri="{FF2B5EF4-FFF2-40B4-BE49-F238E27FC236}">
              <a16:creationId xmlns:a16="http://schemas.microsoft.com/office/drawing/2014/main" id="{95B94A82-3591-4C74-AB0F-3B060871ED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6" name="Elipse 7215">
          <a:extLst>
            <a:ext uri="{FF2B5EF4-FFF2-40B4-BE49-F238E27FC236}">
              <a16:creationId xmlns:a16="http://schemas.microsoft.com/office/drawing/2014/main" id="{C64EE5D4-62C0-4C9A-AE7B-72ED43D0F6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7" name="Elipse 7216">
          <a:extLst>
            <a:ext uri="{FF2B5EF4-FFF2-40B4-BE49-F238E27FC236}">
              <a16:creationId xmlns:a16="http://schemas.microsoft.com/office/drawing/2014/main" id="{0A226D55-19FE-43BD-BDB1-D60441AAED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8" name="Elipse 7217">
          <a:extLst>
            <a:ext uri="{FF2B5EF4-FFF2-40B4-BE49-F238E27FC236}">
              <a16:creationId xmlns:a16="http://schemas.microsoft.com/office/drawing/2014/main" id="{93E166FF-6361-445B-998E-914BA4E59F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19" name="Elipse 7218">
          <a:extLst>
            <a:ext uri="{FF2B5EF4-FFF2-40B4-BE49-F238E27FC236}">
              <a16:creationId xmlns:a16="http://schemas.microsoft.com/office/drawing/2014/main" id="{0FBF4C42-DA1B-4EB6-BF8C-9B4AED001F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0" name="Elipse 7219">
          <a:extLst>
            <a:ext uri="{FF2B5EF4-FFF2-40B4-BE49-F238E27FC236}">
              <a16:creationId xmlns:a16="http://schemas.microsoft.com/office/drawing/2014/main" id="{E3D503D0-C7A1-4EB9-B213-544FA0BB3B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1" name="Elipse 7220">
          <a:extLst>
            <a:ext uri="{FF2B5EF4-FFF2-40B4-BE49-F238E27FC236}">
              <a16:creationId xmlns:a16="http://schemas.microsoft.com/office/drawing/2014/main" id="{0D213AD4-40E4-44CD-86EB-9226AC50A7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2" name="Elipse 7221">
          <a:extLst>
            <a:ext uri="{FF2B5EF4-FFF2-40B4-BE49-F238E27FC236}">
              <a16:creationId xmlns:a16="http://schemas.microsoft.com/office/drawing/2014/main" id="{E88A5932-F98C-48FA-BEA8-1D99A11D67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3" name="Elipse 7222">
          <a:extLst>
            <a:ext uri="{FF2B5EF4-FFF2-40B4-BE49-F238E27FC236}">
              <a16:creationId xmlns:a16="http://schemas.microsoft.com/office/drawing/2014/main" id="{F4220BDA-6F79-4AAB-B1C4-693DA8AEA9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4" name="Elipse 7223">
          <a:extLst>
            <a:ext uri="{FF2B5EF4-FFF2-40B4-BE49-F238E27FC236}">
              <a16:creationId xmlns:a16="http://schemas.microsoft.com/office/drawing/2014/main" id="{0147CD1D-727A-4BF6-82F7-ADA9F56322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5" name="Elipse 7224">
          <a:extLst>
            <a:ext uri="{FF2B5EF4-FFF2-40B4-BE49-F238E27FC236}">
              <a16:creationId xmlns:a16="http://schemas.microsoft.com/office/drawing/2014/main" id="{0F6F4661-AD72-401E-BC90-DEA1240F7C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6" name="Elipse 7225">
          <a:extLst>
            <a:ext uri="{FF2B5EF4-FFF2-40B4-BE49-F238E27FC236}">
              <a16:creationId xmlns:a16="http://schemas.microsoft.com/office/drawing/2014/main" id="{9099D89B-520F-44FE-AB43-6A506B3AFE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7" name="Elipse 7226">
          <a:extLst>
            <a:ext uri="{FF2B5EF4-FFF2-40B4-BE49-F238E27FC236}">
              <a16:creationId xmlns:a16="http://schemas.microsoft.com/office/drawing/2014/main" id="{B2DF2D77-CEA5-4126-9DC4-74A9E77F05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8" name="Elipse 7227">
          <a:extLst>
            <a:ext uri="{FF2B5EF4-FFF2-40B4-BE49-F238E27FC236}">
              <a16:creationId xmlns:a16="http://schemas.microsoft.com/office/drawing/2014/main" id="{1A00251E-CCB0-491D-ACB6-6E4AFE41FD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29" name="Elipse 7228">
          <a:extLst>
            <a:ext uri="{FF2B5EF4-FFF2-40B4-BE49-F238E27FC236}">
              <a16:creationId xmlns:a16="http://schemas.microsoft.com/office/drawing/2014/main" id="{8210DAEA-61B5-4DA9-B93D-9789759087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0" name="Elipse 7229">
          <a:extLst>
            <a:ext uri="{FF2B5EF4-FFF2-40B4-BE49-F238E27FC236}">
              <a16:creationId xmlns:a16="http://schemas.microsoft.com/office/drawing/2014/main" id="{FDF66C65-A7C1-4BE0-A7A3-5F1909F4DE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1" name="Elipse 7230">
          <a:extLst>
            <a:ext uri="{FF2B5EF4-FFF2-40B4-BE49-F238E27FC236}">
              <a16:creationId xmlns:a16="http://schemas.microsoft.com/office/drawing/2014/main" id="{04B9753B-8C52-4C99-977E-87E4244D62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2" name="Elipse 7231">
          <a:extLst>
            <a:ext uri="{FF2B5EF4-FFF2-40B4-BE49-F238E27FC236}">
              <a16:creationId xmlns:a16="http://schemas.microsoft.com/office/drawing/2014/main" id="{E14D7D4A-8B27-4C52-B947-3BA1C1D374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3" name="Elipse 7232">
          <a:extLst>
            <a:ext uri="{FF2B5EF4-FFF2-40B4-BE49-F238E27FC236}">
              <a16:creationId xmlns:a16="http://schemas.microsoft.com/office/drawing/2014/main" id="{B50ADF84-7D69-4932-B973-D89AF8C0B8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4" name="Elipse 7233">
          <a:extLst>
            <a:ext uri="{FF2B5EF4-FFF2-40B4-BE49-F238E27FC236}">
              <a16:creationId xmlns:a16="http://schemas.microsoft.com/office/drawing/2014/main" id="{AA59FF9C-41FD-4567-960E-E0B81E230B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5" name="Elipse 7234">
          <a:extLst>
            <a:ext uri="{FF2B5EF4-FFF2-40B4-BE49-F238E27FC236}">
              <a16:creationId xmlns:a16="http://schemas.microsoft.com/office/drawing/2014/main" id="{4FB5FC1F-3E00-4FBC-9100-70D69561A6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6" name="Elipse 7235">
          <a:extLst>
            <a:ext uri="{FF2B5EF4-FFF2-40B4-BE49-F238E27FC236}">
              <a16:creationId xmlns:a16="http://schemas.microsoft.com/office/drawing/2014/main" id="{E957CFFD-530B-48F1-917A-F2AEA3B24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7" name="Elipse 7236">
          <a:extLst>
            <a:ext uri="{FF2B5EF4-FFF2-40B4-BE49-F238E27FC236}">
              <a16:creationId xmlns:a16="http://schemas.microsoft.com/office/drawing/2014/main" id="{3EBFF11A-C59D-4D07-97AA-8BDB292D29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8" name="Elipse 7237">
          <a:extLst>
            <a:ext uri="{FF2B5EF4-FFF2-40B4-BE49-F238E27FC236}">
              <a16:creationId xmlns:a16="http://schemas.microsoft.com/office/drawing/2014/main" id="{8D7B1C43-CB4C-4AA3-86BA-EE6B941064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39" name="Elipse 7238">
          <a:extLst>
            <a:ext uri="{FF2B5EF4-FFF2-40B4-BE49-F238E27FC236}">
              <a16:creationId xmlns:a16="http://schemas.microsoft.com/office/drawing/2014/main" id="{A55A0149-4D79-491A-9AE0-38807AF10C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0" name="Elipse 7239">
          <a:extLst>
            <a:ext uri="{FF2B5EF4-FFF2-40B4-BE49-F238E27FC236}">
              <a16:creationId xmlns:a16="http://schemas.microsoft.com/office/drawing/2014/main" id="{6D553BDF-E4E6-4927-9D5F-3170B59438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1" name="Elipse 7240">
          <a:extLst>
            <a:ext uri="{FF2B5EF4-FFF2-40B4-BE49-F238E27FC236}">
              <a16:creationId xmlns:a16="http://schemas.microsoft.com/office/drawing/2014/main" id="{E022F5E0-4953-4555-B426-57F1D3EA2A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2" name="Elipse 7241">
          <a:extLst>
            <a:ext uri="{FF2B5EF4-FFF2-40B4-BE49-F238E27FC236}">
              <a16:creationId xmlns:a16="http://schemas.microsoft.com/office/drawing/2014/main" id="{368A2FE4-A0E6-4821-B467-486A48053B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3" name="Elipse 7242">
          <a:extLst>
            <a:ext uri="{FF2B5EF4-FFF2-40B4-BE49-F238E27FC236}">
              <a16:creationId xmlns:a16="http://schemas.microsoft.com/office/drawing/2014/main" id="{69A8E9C5-E57A-4795-A22A-84A446B96F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4" name="Elipse 7243">
          <a:extLst>
            <a:ext uri="{FF2B5EF4-FFF2-40B4-BE49-F238E27FC236}">
              <a16:creationId xmlns:a16="http://schemas.microsoft.com/office/drawing/2014/main" id="{73145025-CB4B-475C-82BF-1394DDF4DC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5" name="Elipse 7244">
          <a:extLst>
            <a:ext uri="{FF2B5EF4-FFF2-40B4-BE49-F238E27FC236}">
              <a16:creationId xmlns:a16="http://schemas.microsoft.com/office/drawing/2014/main" id="{3B269662-C892-4EBC-B203-62AAF35B32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6" name="Elipse 7245">
          <a:extLst>
            <a:ext uri="{FF2B5EF4-FFF2-40B4-BE49-F238E27FC236}">
              <a16:creationId xmlns:a16="http://schemas.microsoft.com/office/drawing/2014/main" id="{AC9EC441-804D-4D14-A479-683BD633C4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7" name="Elipse 7246">
          <a:extLst>
            <a:ext uri="{FF2B5EF4-FFF2-40B4-BE49-F238E27FC236}">
              <a16:creationId xmlns:a16="http://schemas.microsoft.com/office/drawing/2014/main" id="{7915CC8D-7F74-429E-90A8-B9D3AB1273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8" name="Elipse 7247">
          <a:extLst>
            <a:ext uri="{FF2B5EF4-FFF2-40B4-BE49-F238E27FC236}">
              <a16:creationId xmlns:a16="http://schemas.microsoft.com/office/drawing/2014/main" id="{8298D7E8-6D9C-4EFA-A414-74839A6E2A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49" name="Elipse 7248">
          <a:extLst>
            <a:ext uri="{FF2B5EF4-FFF2-40B4-BE49-F238E27FC236}">
              <a16:creationId xmlns:a16="http://schemas.microsoft.com/office/drawing/2014/main" id="{D2E32654-A004-4E93-960C-714442CC8F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0" name="Elipse 7249">
          <a:extLst>
            <a:ext uri="{FF2B5EF4-FFF2-40B4-BE49-F238E27FC236}">
              <a16:creationId xmlns:a16="http://schemas.microsoft.com/office/drawing/2014/main" id="{4CC16B93-CC26-47B5-962F-C8C4594270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1" name="Elipse 7250">
          <a:extLst>
            <a:ext uri="{FF2B5EF4-FFF2-40B4-BE49-F238E27FC236}">
              <a16:creationId xmlns:a16="http://schemas.microsoft.com/office/drawing/2014/main" id="{84CE9F45-39B8-4658-8540-1EC6D507A6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2" name="Elipse 7251">
          <a:extLst>
            <a:ext uri="{FF2B5EF4-FFF2-40B4-BE49-F238E27FC236}">
              <a16:creationId xmlns:a16="http://schemas.microsoft.com/office/drawing/2014/main" id="{1F7A526C-0E0D-4D58-9D63-3978B0D4B7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3" name="Elipse 7252">
          <a:extLst>
            <a:ext uri="{FF2B5EF4-FFF2-40B4-BE49-F238E27FC236}">
              <a16:creationId xmlns:a16="http://schemas.microsoft.com/office/drawing/2014/main" id="{874CA6DB-3444-488C-B94A-47AFADA15B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4" name="Elipse 7253">
          <a:extLst>
            <a:ext uri="{FF2B5EF4-FFF2-40B4-BE49-F238E27FC236}">
              <a16:creationId xmlns:a16="http://schemas.microsoft.com/office/drawing/2014/main" id="{B733973D-82E3-4B60-8224-E3FE68C75E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5" name="Elipse 7254">
          <a:extLst>
            <a:ext uri="{FF2B5EF4-FFF2-40B4-BE49-F238E27FC236}">
              <a16:creationId xmlns:a16="http://schemas.microsoft.com/office/drawing/2014/main" id="{DD65CA5C-63D8-40D7-8356-8395B505F6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6" name="Elipse 7255">
          <a:extLst>
            <a:ext uri="{FF2B5EF4-FFF2-40B4-BE49-F238E27FC236}">
              <a16:creationId xmlns:a16="http://schemas.microsoft.com/office/drawing/2014/main" id="{37AA5A8F-92FE-4DED-AD12-CD561B78A6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7" name="Elipse 7256">
          <a:extLst>
            <a:ext uri="{FF2B5EF4-FFF2-40B4-BE49-F238E27FC236}">
              <a16:creationId xmlns:a16="http://schemas.microsoft.com/office/drawing/2014/main" id="{31CBD284-0FDD-4189-B6A5-452B5913D2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8" name="Elipse 7257">
          <a:extLst>
            <a:ext uri="{FF2B5EF4-FFF2-40B4-BE49-F238E27FC236}">
              <a16:creationId xmlns:a16="http://schemas.microsoft.com/office/drawing/2014/main" id="{911B803F-834C-4020-B428-F3099167DF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59" name="Elipse 7258">
          <a:extLst>
            <a:ext uri="{FF2B5EF4-FFF2-40B4-BE49-F238E27FC236}">
              <a16:creationId xmlns:a16="http://schemas.microsoft.com/office/drawing/2014/main" id="{0ACAA954-7C30-488E-9A50-499075FAE2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0" name="Elipse 7259">
          <a:extLst>
            <a:ext uri="{FF2B5EF4-FFF2-40B4-BE49-F238E27FC236}">
              <a16:creationId xmlns:a16="http://schemas.microsoft.com/office/drawing/2014/main" id="{8FD09F6A-A861-44E0-B437-1B48E831CE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1" name="Elipse 7260">
          <a:extLst>
            <a:ext uri="{FF2B5EF4-FFF2-40B4-BE49-F238E27FC236}">
              <a16:creationId xmlns:a16="http://schemas.microsoft.com/office/drawing/2014/main" id="{7458CE70-FE84-4C98-BD88-CDE615DCFB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2" name="Elipse 7261">
          <a:extLst>
            <a:ext uri="{FF2B5EF4-FFF2-40B4-BE49-F238E27FC236}">
              <a16:creationId xmlns:a16="http://schemas.microsoft.com/office/drawing/2014/main" id="{9D4DED11-EC81-4AE3-B0E0-C334529A3B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3" name="Elipse 7262">
          <a:extLst>
            <a:ext uri="{FF2B5EF4-FFF2-40B4-BE49-F238E27FC236}">
              <a16:creationId xmlns:a16="http://schemas.microsoft.com/office/drawing/2014/main" id="{C2DAB89F-188D-4786-8307-C213B74D89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4" name="Elipse 7263">
          <a:extLst>
            <a:ext uri="{FF2B5EF4-FFF2-40B4-BE49-F238E27FC236}">
              <a16:creationId xmlns:a16="http://schemas.microsoft.com/office/drawing/2014/main" id="{6E39CAA0-5BDC-4168-95A0-3E1E7DBB49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5" name="Elipse 7264">
          <a:extLst>
            <a:ext uri="{FF2B5EF4-FFF2-40B4-BE49-F238E27FC236}">
              <a16:creationId xmlns:a16="http://schemas.microsoft.com/office/drawing/2014/main" id="{D2A96152-0263-48B2-A8A4-3BD8CB5D9C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6" name="Elipse 7265">
          <a:extLst>
            <a:ext uri="{FF2B5EF4-FFF2-40B4-BE49-F238E27FC236}">
              <a16:creationId xmlns:a16="http://schemas.microsoft.com/office/drawing/2014/main" id="{B35A2E3C-5075-450D-BBF6-BC19855212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7" name="Elipse 7266">
          <a:extLst>
            <a:ext uri="{FF2B5EF4-FFF2-40B4-BE49-F238E27FC236}">
              <a16:creationId xmlns:a16="http://schemas.microsoft.com/office/drawing/2014/main" id="{F086CF97-6075-4A27-9882-FF75DBAAA5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8" name="Elipse 7267">
          <a:extLst>
            <a:ext uri="{FF2B5EF4-FFF2-40B4-BE49-F238E27FC236}">
              <a16:creationId xmlns:a16="http://schemas.microsoft.com/office/drawing/2014/main" id="{F30FE782-CE3F-422C-BDC3-20B188C5E3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69" name="Elipse 7268">
          <a:extLst>
            <a:ext uri="{FF2B5EF4-FFF2-40B4-BE49-F238E27FC236}">
              <a16:creationId xmlns:a16="http://schemas.microsoft.com/office/drawing/2014/main" id="{5BF01D71-B7A6-49E1-AEDC-52FEBD3BC4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0" name="Elipse 7269">
          <a:extLst>
            <a:ext uri="{FF2B5EF4-FFF2-40B4-BE49-F238E27FC236}">
              <a16:creationId xmlns:a16="http://schemas.microsoft.com/office/drawing/2014/main" id="{B7C6D181-0D64-4132-850F-08C783A5D2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1" name="Elipse 7270">
          <a:extLst>
            <a:ext uri="{FF2B5EF4-FFF2-40B4-BE49-F238E27FC236}">
              <a16:creationId xmlns:a16="http://schemas.microsoft.com/office/drawing/2014/main" id="{6066BECB-4419-4918-B4FF-A9A19B972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2" name="Elipse 7271">
          <a:extLst>
            <a:ext uri="{FF2B5EF4-FFF2-40B4-BE49-F238E27FC236}">
              <a16:creationId xmlns:a16="http://schemas.microsoft.com/office/drawing/2014/main" id="{115E015E-9D6F-4D54-BDF6-54C8483B4B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3" name="Elipse 7272">
          <a:extLst>
            <a:ext uri="{FF2B5EF4-FFF2-40B4-BE49-F238E27FC236}">
              <a16:creationId xmlns:a16="http://schemas.microsoft.com/office/drawing/2014/main" id="{6E1BE11E-FCC4-4699-A483-16161ED27F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4" name="Elipse 7273">
          <a:extLst>
            <a:ext uri="{FF2B5EF4-FFF2-40B4-BE49-F238E27FC236}">
              <a16:creationId xmlns:a16="http://schemas.microsoft.com/office/drawing/2014/main" id="{1927E3ED-C0AF-45D5-82C9-CC38888D0D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5" name="Elipse 7274">
          <a:extLst>
            <a:ext uri="{FF2B5EF4-FFF2-40B4-BE49-F238E27FC236}">
              <a16:creationId xmlns:a16="http://schemas.microsoft.com/office/drawing/2014/main" id="{9212D766-7398-4250-973C-4F03AF7722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6" name="Elipse 7275">
          <a:extLst>
            <a:ext uri="{FF2B5EF4-FFF2-40B4-BE49-F238E27FC236}">
              <a16:creationId xmlns:a16="http://schemas.microsoft.com/office/drawing/2014/main" id="{71CEBBA3-48E4-4ACA-BE69-A3D0BF7205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7" name="Elipse 7276">
          <a:extLst>
            <a:ext uri="{FF2B5EF4-FFF2-40B4-BE49-F238E27FC236}">
              <a16:creationId xmlns:a16="http://schemas.microsoft.com/office/drawing/2014/main" id="{4C681B8B-8014-4777-88C5-B09A0FA831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8" name="Elipse 7277">
          <a:extLst>
            <a:ext uri="{FF2B5EF4-FFF2-40B4-BE49-F238E27FC236}">
              <a16:creationId xmlns:a16="http://schemas.microsoft.com/office/drawing/2014/main" id="{8704C1E6-0D5A-4937-9B8A-F4FD3CA736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79" name="Elipse 7278">
          <a:extLst>
            <a:ext uri="{FF2B5EF4-FFF2-40B4-BE49-F238E27FC236}">
              <a16:creationId xmlns:a16="http://schemas.microsoft.com/office/drawing/2014/main" id="{F40960EA-3CA1-4819-96C9-ABE87F8932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0" name="Elipse 7279">
          <a:extLst>
            <a:ext uri="{FF2B5EF4-FFF2-40B4-BE49-F238E27FC236}">
              <a16:creationId xmlns:a16="http://schemas.microsoft.com/office/drawing/2014/main" id="{E700BF8A-3789-4768-B708-FF56C3FE49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1" name="Elipse 7280">
          <a:extLst>
            <a:ext uri="{FF2B5EF4-FFF2-40B4-BE49-F238E27FC236}">
              <a16:creationId xmlns:a16="http://schemas.microsoft.com/office/drawing/2014/main" id="{8E01978F-A64C-4416-96FA-7DBF5A3393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2" name="Elipse 7281">
          <a:extLst>
            <a:ext uri="{FF2B5EF4-FFF2-40B4-BE49-F238E27FC236}">
              <a16:creationId xmlns:a16="http://schemas.microsoft.com/office/drawing/2014/main" id="{6B1A0014-C664-4D19-B7AC-4843FBE86A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3" name="Elipse 7282">
          <a:extLst>
            <a:ext uri="{FF2B5EF4-FFF2-40B4-BE49-F238E27FC236}">
              <a16:creationId xmlns:a16="http://schemas.microsoft.com/office/drawing/2014/main" id="{98A39710-D70A-470B-B1EA-1979F5423B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4" name="Elipse 7283">
          <a:extLst>
            <a:ext uri="{FF2B5EF4-FFF2-40B4-BE49-F238E27FC236}">
              <a16:creationId xmlns:a16="http://schemas.microsoft.com/office/drawing/2014/main" id="{853118D0-DD35-4507-9669-9854507A16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5" name="Elipse 7284">
          <a:extLst>
            <a:ext uri="{FF2B5EF4-FFF2-40B4-BE49-F238E27FC236}">
              <a16:creationId xmlns:a16="http://schemas.microsoft.com/office/drawing/2014/main" id="{510DC6CB-95D8-4F42-9C54-A9EC5892A3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6" name="Elipse 7285">
          <a:extLst>
            <a:ext uri="{FF2B5EF4-FFF2-40B4-BE49-F238E27FC236}">
              <a16:creationId xmlns:a16="http://schemas.microsoft.com/office/drawing/2014/main" id="{575503B8-63C1-4197-9D40-72B906B4F0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7" name="Elipse 7286">
          <a:extLst>
            <a:ext uri="{FF2B5EF4-FFF2-40B4-BE49-F238E27FC236}">
              <a16:creationId xmlns:a16="http://schemas.microsoft.com/office/drawing/2014/main" id="{E25063CA-5B76-415F-BC54-024AD1ACAD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8" name="Elipse 7287">
          <a:extLst>
            <a:ext uri="{FF2B5EF4-FFF2-40B4-BE49-F238E27FC236}">
              <a16:creationId xmlns:a16="http://schemas.microsoft.com/office/drawing/2014/main" id="{C87868D8-6A38-46EC-A7F5-0B72915272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89" name="Elipse 7288">
          <a:extLst>
            <a:ext uri="{FF2B5EF4-FFF2-40B4-BE49-F238E27FC236}">
              <a16:creationId xmlns:a16="http://schemas.microsoft.com/office/drawing/2014/main" id="{E74159B2-5671-4AEC-995E-CA6494C500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0" name="Elipse 7289">
          <a:extLst>
            <a:ext uri="{FF2B5EF4-FFF2-40B4-BE49-F238E27FC236}">
              <a16:creationId xmlns:a16="http://schemas.microsoft.com/office/drawing/2014/main" id="{CE10DDEC-1A17-4E7C-84EE-950CEFBF14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1" name="Elipse 7290">
          <a:extLst>
            <a:ext uri="{FF2B5EF4-FFF2-40B4-BE49-F238E27FC236}">
              <a16:creationId xmlns:a16="http://schemas.microsoft.com/office/drawing/2014/main" id="{455A3AFE-9D86-4E49-B275-481E5A0CF8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2" name="Elipse 7291">
          <a:extLst>
            <a:ext uri="{FF2B5EF4-FFF2-40B4-BE49-F238E27FC236}">
              <a16:creationId xmlns:a16="http://schemas.microsoft.com/office/drawing/2014/main" id="{98BD6823-AD30-45AC-A183-EB157075E4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3" name="Elipse 7292">
          <a:extLst>
            <a:ext uri="{FF2B5EF4-FFF2-40B4-BE49-F238E27FC236}">
              <a16:creationId xmlns:a16="http://schemas.microsoft.com/office/drawing/2014/main" id="{B805D3AD-737A-49C1-8AAB-753EF7AD43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4" name="Elipse 7293">
          <a:extLst>
            <a:ext uri="{FF2B5EF4-FFF2-40B4-BE49-F238E27FC236}">
              <a16:creationId xmlns:a16="http://schemas.microsoft.com/office/drawing/2014/main" id="{89F19419-C6BF-4765-BA3B-E285B5EA05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5" name="Elipse 7294">
          <a:extLst>
            <a:ext uri="{FF2B5EF4-FFF2-40B4-BE49-F238E27FC236}">
              <a16:creationId xmlns:a16="http://schemas.microsoft.com/office/drawing/2014/main" id="{6BB1DC90-8CEC-461D-9E47-1DDA1386BD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6" name="Elipse 7295">
          <a:extLst>
            <a:ext uri="{FF2B5EF4-FFF2-40B4-BE49-F238E27FC236}">
              <a16:creationId xmlns:a16="http://schemas.microsoft.com/office/drawing/2014/main" id="{BA368980-DC54-47B1-91C9-62D812E9DC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7" name="Elipse 7296">
          <a:extLst>
            <a:ext uri="{FF2B5EF4-FFF2-40B4-BE49-F238E27FC236}">
              <a16:creationId xmlns:a16="http://schemas.microsoft.com/office/drawing/2014/main" id="{AC87DB4D-439A-4D60-888A-7899210976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8" name="Elipse 7297">
          <a:extLst>
            <a:ext uri="{FF2B5EF4-FFF2-40B4-BE49-F238E27FC236}">
              <a16:creationId xmlns:a16="http://schemas.microsoft.com/office/drawing/2014/main" id="{8C984520-6713-4AC8-8CBF-28A78A6716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299" name="Elipse 7298">
          <a:extLst>
            <a:ext uri="{FF2B5EF4-FFF2-40B4-BE49-F238E27FC236}">
              <a16:creationId xmlns:a16="http://schemas.microsoft.com/office/drawing/2014/main" id="{6DE0BFE9-8ACA-4F2E-B9E7-AAD2A205D2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0" name="Elipse 7299">
          <a:extLst>
            <a:ext uri="{FF2B5EF4-FFF2-40B4-BE49-F238E27FC236}">
              <a16:creationId xmlns:a16="http://schemas.microsoft.com/office/drawing/2014/main" id="{AA25074E-1BE1-420C-AA5A-4BEA10B36C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1" name="Elipse 7300">
          <a:extLst>
            <a:ext uri="{FF2B5EF4-FFF2-40B4-BE49-F238E27FC236}">
              <a16:creationId xmlns:a16="http://schemas.microsoft.com/office/drawing/2014/main" id="{A10DE54A-DCD2-4852-828F-CDF4E8DAB3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2" name="Elipse 7301">
          <a:extLst>
            <a:ext uri="{FF2B5EF4-FFF2-40B4-BE49-F238E27FC236}">
              <a16:creationId xmlns:a16="http://schemas.microsoft.com/office/drawing/2014/main" id="{7E35F02E-90BD-40E4-AAD1-529F53DACC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3" name="Elipse 7302">
          <a:extLst>
            <a:ext uri="{FF2B5EF4-FFF2-40B4-BE49-F238E27FC236}">
              <a16:creationId xmlns:a16="http://schemas.microsoft.com/office/drawing/2014/main" id="{434052A2-EC76-49F7-9593-1CDEE3096F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4" name="Elipse 7303">
          <a:extLst>
            <a:ext uri="{FF2B5EF4-FFF2-40B4-BE49-F238E27FC236}">
              <a16:creationId xmlns:a16="http://schemas.microsoft.com/office/drawing/2014/main" id="{8072C7A8-8922-441B-A784-5FF33EA5FA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5" name="Elipse 7304">
          <a:extLst>
            <a:ext uri="{FF2B5EF4-FFF2-40B4-BE49-F238E27FC236}">
              <a16:creationId xmlns:a16="http://schemas.microsoft.com/office/drawing/2014/main" id="{71B5B4CE-B695-4090-B579-53CCDD0580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6" name="Elipse 7305">
          <a:extLst>
            <a:ext uri="{FF2B5EF4-FFF2-40B4-BE49-F238E27FC236}">
              <a16:creationId xmlns:a16="http://schemas.microsoft.com/office/drawing/2014/main" id="{09F1A194-4A67-41A0-A5C5-721CA2CA25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7" name="Elipse 7306">
          <a:extLst>
            <a:ext uri="{FF2B5EF4-FFF2-40B4-BE49-F238E27FC236}">
              <a16:creationId xmlns:a16="http://schemas.microsoft.com/office/drawing/2014/main" id="{33FE7787-5353-48E0-988A-8510C312D3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8" name="Elipse 7307">
          <a:extLst>
            <a:ext uri="{FF2B5EF4-FFF2-40B4-BE49-F238E27FC236}">
              <a16:creationId xmlns:a16="http://schemas.microsoft.com/office/drawing/2014/main" id="{1C247D5B-1F51-45AC-AD41-95AE2D85FA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09" name="Elipse 7308">
          <a:extLst>
            <a:ext uri="{FF2B5EF4-FFF2-40B4-BE49-F238E27FC236}">
              <a16:creationId xmlns:a16="http://schemas.microsoft.com/office/drawing/2014/main" id="{60822AA0-A66D-4483-88B4-45257B60AA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0" name="Elipse 7309">
          <a:extLst>
            <a:ext uri="{FF2B5EF4-FFF2-40B4-BE49-F238E27FC236}">
              <a16:creationId xmlns:a16="http://schemas.microsoft.com/office/drawing/2014/main" id="{44AE29DC-DF50-4B0F-A2A8-2CDE257800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1" name="Elipse 7310">
          <a:extLst>
            <a:ext uri="{FF2B5EF4-FFF2-40B4-BE49-F238E27FC236}">
              <a16:creationId xmlns:a16="http://schemas.microsoft.com/office/drawing/2014/main" id="{FF1319BB-18FA-4FA1-9131-6AF67338EB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2" name="Elipse 7311">
          <a:extLst>
            <a:ext uri="{FF2B5EF4-FFF2-40B4-BE49-F238E27FC236}">
              <a16:creationId xmlns:a16="http://schemas.microsoft.com/office/drawing/2014/main" id="{675C8BC9-21D6-495E-8F28-0456ED83B2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3" name="Elipse 7312">
          <a:extLst>
            <a:ext uri="{FF2B5EF4-FFF2-40B4-BE49-F238E27FC236}">
              <a16:creationId xmlns:a16="http://schemas.microsoft.com/office/drawing/2014/main" id="{EBBCB127-AC55-467C-9E83-E1AA1F817B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4" name="Elipse 7313">
          <a:extLst>
            <a:ext uri="{FF2B5EF4-FFF2-40B4-BE49-F238E27FC236}">
              <a16:creationId xmlns:a16="http://schemas.microsoft.com/office/drawing/2014/main" id="{42F7233A-A195-4540-B060-96AF8B17BD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5" name="Elipse 7314">
          <a:extLst>
            <a:ext uri="{FF2B5EF4-FFF2-40B4-BE49-F238E27FC236}">
              <a16:creationId xmlns:a16="http://schemas.microsoft.com/office/drawing/2014/main" id="{5D1A28B6-EF36-41CA-9936-C8940A467E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6" name="Elipse 7315">
          <a:extLst>
            <a:ext uri="{FF2B5EF4-FFF2-40B4-BE49-F238E27FC236}">
              <a16:creationId xmlns:a16="http://schemas.microsoft.com/office/drawing/2014/main" id="{1830C34C-450E-48FF-87EC-79F8C77CD5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7" name="Elipse 7316">
          <a:extLst>
            <a:ext uri="{FF2B5EF4-FFF2-40B4-BE49-F238E27FC236}">
              <a16:creationId xmlns:a16="http://schemas.microsoft.com/office/drawing/2014/main" id="{875DB980-A1C3-4FA1-A41F-2596F751A5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8" name="Elipse 7317">
          <a:extLst>
            <a:ext uri="{FF2B5EF4-FFF2-40B4-BE49-F238E27FC236}">
              <a16:creationId xmlns:a16="http://schemas.microsoft.com/office/drawing/2014/main" id="{0A290D6B-036E-4943-8C08-E8DEF99625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19" name="Elipse 7318">
          <a:extLst>
            <a:ext uri="{FF2B5EF4-FFF2-40B4-BE49-F238E27FC236}">
              <a16:creationId xmlns:a16="http://schemas.microsoft.com/office/drawing/2014/main" id="{6874C926-DE82-4BEB-BF6D-3448AAFD06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0" name="Elipse 7319">
          <a:extLst>
            <a:ext uri="{FF2B5EF4-FFF2-40B4-BE49-F238E27FC236}">
              <a16:creationId xmlns:a16="http://schemas.microsoft.com/office/drawing/2014/main" id="{033537DA-E81E-44E2-8F61-900B885818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1" name="Elipse 7320">
          <a:extLst>
            <a:ext uri="{FF2B5EF4-FFF2-40B4-BE49-F238E27FC236}">
              <a16:creationId xmlns:a16="http://schemas.microsoft.com/office/drawing/2014/main" id="{49F00420-A7EB-4CBC-A223-A047233ABB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2" name="Elipse 7321">
          <a:extLst>
            <a:ext uri="{FF2B5EF4-FFF2-40B4-BE49-F238E27FC236}">
              <a16:creationId xmlns:a16="http://schemas.microsoft.com/office/drawing/2014/main" id="{EE48D652-A011-4AF1-9B19-79849234EC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3" name="Elipse 7322">
          <a:extLst>
            <a:ext uri="{FF2B5EF4-FFF2-40B4-BE49-F238E27FC236}">
              <a16:creationId xmlns:a16="http://schemas.microsoft.com/office/drawing/2014/main" id="{13417FF1-B399-45F1-9CFE-ED9572EE0C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4" name="Elipse 7323">
          <a:extLst>
            <a:ext uri="{FF2B5EF4-FFF2-40B4-BE49-F238E27FC236}">
              <a16:creationId xmlns:a16="http://schemas.microsoft.com/office/drawing/2014/main" id="{917C7FC3-3B3E-47B1-BCEF-B132401AF3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5" name="Elipse 7324">
          <a:extLst>
            <a:ext uri="{FF2B5EF4-FFF2-40B4-BE49-F238E27FC236}">
              <a16:creationId xmlns:a16="http://schemas.microsoft.com/office/drawing/2014/main" id="{451EE9D2-E050-41DA-A551-41D17E6F4F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6" name="Elipse 7325">
          <a:extLst>
            <a:ext uri="{FF2B5EF4-FFF2-40B4-BE49-F238E27FC236}">
              <a16:creationId xmlns:a16="http://schemas.microsoft.com/office/drawing/2014/main" id="{CBAB3862-4D46-4497-9FB5-ADE95B74CE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7" name="Elipse 7326">
          <a:extLst>
            <a:ext uri="{FF2B5EF4-FFF2-40B4-BE49-F238E27FC236}">
              <a16:creationId xmlns:a16="http://schemas.microsoft.com/office/drawing/2014/main" id="{569C28B2-6FEA-4DF6-8EB0-DB4F44AE9E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8" name="Elipse 7327">
          <a:extLst>
            <a:ext uri="{FF2B5EF4-FFF2-40B4-BE49-F238E27FC236}">
              <a16:creationId xmlns:a16="http://schemas.microsoft.com/office/drawing/2014/main" id="{259225BD-E5ED-4FC5-8243-C80FB43A73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29" name="Elipse 7328">
          <a:extLst>
            <a:ext uri="{FF2B5EF4-FFF2-40B4-BE49-F238E27FC236}">
              <a16:creationId xmlns:a16="http://schemas.microsoft.com/office/drawing/2014/main" id="{E5D5C165-9107-4CA8-B9A7-DEB75C2BE3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0" name="Elipse 7329">
          <a:extLst>
            <a:ext uri="{FF2B5EF4-FFF2-40B4-BE49-F238E27FC236}">
              <a16:creationId xmlns:a16="http://schemas.microsoft.com/office/drawing/2014/main" id="{84B4B282-F7C2-4FC2-A316-8065A2FF75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1" name="Elipse 7330">
          <a:extLst>
            <a:ext uri="{FF2B5EF4-FFF2-40B4-BE49-F238E27FC236}">
              <a16:creationId xmlns:a16="http://schemas.microsoft.com/office/drawing/2014/main" id="{A52FA86D-96D2-42B6-9DE0-3A61783EE1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2" name="Elipse 7331">
          <a:extLst>
            <a:ext uri="{FF2B5EF4-FFF2-40B4-BE49-F238E27FC236}">
              <a16:creationId xmlns:a16="http://schemas.microsoft.com/office/drawing/2014/main" id="{CB5EDAA3-F9B9-4DC0-AA0E-A9A1A3E7C8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3" name="Elipse 7332">
          <a:extLst>
            <a:ext uri="{FF2B5EF4-FFF2-40B4-BE49-F238E27FC236}">
              <a16:creationId xmlns:a16="http://schemas.microsoft.com/office/drawing/2014/main" id="{9A917D8E-EC80-4FEE-91F3-DBD19B99A0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4" name="Elipse 7333">
          <a:extLst>
            <a:ext uri="{FF2B5EF4-FFF2-40B4-BE49-F238E27FC236}">
              <a16:creationId xmlns:a16="http://schemas.microsoft.com/office/drawing/2014/main" id="{0DB4F7BE-FFE8-49BC-B3DB-5D4666FF1E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5" name="Elipse 7334">
          <a:extLst>
            <a:ext uri="{FF2B5EF4-FFF2-40B4-BE49-F238E27FC236}">
              <a16:creationId xmlns:a16="http://schemas.microsoft.com/office/drawing/2014/main" id="{3685EA61-2914-4986-83BE-88E65DF028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6" name="Elipse 7335">
          <a:extLst>
            <a:ext uri="{FF2B5EF4-FFF2-40B4-BE49-F238E27FC236}">
              <a16:creationId xmlns:a16="http://schemas.microsoft.com/office/drawing/2014/main" id="{675B3A0F-CC37-4310-A2CD-315ECC3A62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7" name="Elipse 7336">
          <a:extLst>
            <a:ext uri="{FF2B5EF4-FFF2-40B4-BE49-F238E27FC236}">
              <a16:creationId xmlns:a16="http://schemas.microsoft.com/office/drawing/2014/main" id="{50129B5C-DC0C-48C2-8BE9-FCA1FCE951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8" name="Elipse 7337">
          <a:extLst>
            <a:ext uri="{FF2B5EF4-FFF2-40B4-BE49-F238E27FC236}">
              <a16:creationId xmlns:a16="http://schemas.microsoft.com/office/drawing/2014/main" id="{C34150F2-FADD-4F44-86DE-62B91D1D37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39" name="Elipse 7338">
          <a:extLst>
            <a:ext uri="{FF2B5EF4-FFF2-40B4-BE49-F238E27FC236}">
              <a16:creationId xmlns:a16="http://schemas.microsoft.com/office/drawing/2014/main" id="{52766C3F-EFF9-4728-BFF7-AD6639DC94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0" name="Elipse 7339">
          <a:extLst>
            <a:ext uri="{FF2B5EF4-FFF2-40B4-BE49-F238E27FC236}">
              <a16:creationId xmlns:a16="http://schemas.microsoft.com/office/drawing/2014/main" id="{B46DB064-1B77-4524-8FD2-0FB4C84141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1" name="Elipse 7340">
          <a:extLst>
            <a:ext uri="{FF2B5EF4-FFF2-40B4-BE49-F238E27FC236}">
              <a16:creationId xmlns:a16="http://schemas.microsoft.com/office/drawing/2014/main" id="{2F4C7B17-6BEE-4963-925A-9B76261BB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2" name="Elipse 7341">
          <a:extLst>
            <a:ext uri="{FF2B5EF4-FFF2-40B4-BE49-F238E27FC236}">
              <a16:creationId xmlns:a16="http://schemas.microsoft.com/office/drawing/2014/main" id="{C719AEC8-36CF-4D5F-BA0E-2E551C1773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3" name="Elipse 7342">
          <a:extLst>
            <a:ext uri="{FF2B5EF4-FFF2-40B4-BE49-F238E27FC236}">
              <a16:creationId xmlns:a16="http://schemas.microsoft.com/office/drawing/2014/main" id="{6067EDF6-9F65-478C-83B1-A9D0A11706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4" name="Elipse 7343">
          <a:extLst>
            <a:ext uri="{FF2B5EF4-FFF2-40B4-BE49-F238E27FC236}">
              <a16:creationId xmlns:a16="http://schemas.microsoft.com/office/drawing/2014/main" id="{398B4749-6977-491B-817F-0C74784093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5" name="Elipse 7344">
          <a:extLst>
            <a:ext uri="{FF2B5EF4-FFF2-40B4-BE49-F238E27FC236}">
              <a16:creationId xmlns:a16="http://schemas.microsoft.com/office/drawing/2014/main" id="{6E855FFE-8795-4808-8897-9C6C6FAFEA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6" name="Elipse 7345">
          <a:extLst>
            <a:ext uri="{FF2B5EF4-FFF2-40B4-BE49-F238E27FC236}">
              <a16:creationId xmlns:a16="http://schemas.microsoft.com/office/drawing/2014/main" id="{C8CF724B-51A8-4DEB-A467-7EF251EE8B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7" name="Elipse 7346">
          <a:extLst>
            <a:ext uri="{FF2B5EF4-FFF2-40B4-BE49-F238E27FC236}">
              <a16:creationId xmlns:a16="http://schemas.microsoft.com/office/drawing/2014/main" id="{7E44A133-AE6F-45FD-965F-2B4EABB069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8" name="Elipse 7347">
          <a:extLst>
            <a:ext uri="{FF2B5EF4-FFF2-40B4-BE49-F238E27FC236}">
              <a16:creationId xmlns:a16="http://schemas.microsoft.com/office/drawing/2014/main" id="{844294BB-9A88-4D8B-84BE-EB7C8B316F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49" name="Elipse 7348">
          <a:extLst>
            <a:ext uri="{FF2B5EF4-FFF2-40B4-BE49-F238E27FC236}">
              <a16:creationId xmlns:a16="http://schemas.microsoft.com/office/drawing/2014/main" id="{FAE1A0D4-E0F8-4FF3-AB81-F4B99AF16D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0" name="Elipse 7349">
          <a:extLst>
            <a:ext uri="{FF2B5EF4-FFF2-40B4-BE49-F238E27FC236}">
              <a16:creationId xmlns:a16="http://schemas.microsoft.com/office/drawing/2014/main" id="{4DA8420A-FA1A-4D50-A199-75EF8526B5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1" name="Elipse 7350">
          <a:extLst>
            <a:ext uri="{FF2B5EF4-FFF2-40B4-BE49-F238E27FC236}">
              <a16:creationId xmlns:a16="http://schemas.microsoft.com/office/drawing/2014/main" id="{58DF0F6E-AC9E-4601-A8DB-0E753502D2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2" name="Elipse 7351">
          <a:extLst>
            <a:ext uri="{FF2B5EF4-FFF2-40B4-BE49-F238E27FC236}">
              <a16:creationId xmlns:a16="http://schemas.microsoft.com/office/drawing/2014/main" id="{F1564CE1-CE1E-49C8-95FD-9665BEB69A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3" name="Elipse 7352">
          <a:extLst>
            <a:ext uri="{FF2B5EF4-FFF2-40B4-BE49-F238E27FC236}">
              <a16:creationId xmlns:a16="http://schemas.microsoft.com/office/drawing/2014/main" id="{691AF0FE-CEE0-4603-A7DA-5C4234A74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4" name="Elipse 7353">
          <a:extLst>
            <a:ext uri="{FF2B5EF4-FFF2-40B4-BE49-F238E27FC236}">
              <a16:creationId xmlns:a16="http://schemas.microsoft.com/office/drawing/2014/main" id="{5DB4A2CB-6F80-4FDB-B928-72C0399343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5" name="Elipse 7354">
          <a:extLst>
            <a:ext uri="{FF2B5EF4-FFF2-40B4-BE49-F238E27FC236}">
              <a16:creationId xmlns:a16="http://schemas.microsoft.com/office/drawing/2014/main" id="{9FA953C5-958D-4B04-AA25-B846E6377C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6" name="Elipse 7355">
          <a:extLst>
            <a:ext uri="{FF2B5EF4-FFF2-40B4-BE49-F238E27FC236}">
              <a16:creationId xmlns:a16="http://schemas.microsoft.com/office/drawing/2014/main" id="{DFEB93B7-88E4-48AE-B672-40B6DCCF0D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7" name="Elipse 7356">
          <a:extLst>
            <a:ext uri="{FF2B5EF4-FFF2-40B4-BE49-F238E27FC236}">
              <a16:creationId xmlns:a16="http://schemas.microsoft.com/office/drawing/2014/main" id="{BB336B1D-3E12-4BD3-BB8D-7A59B33294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8" name="Elipse 7357">
          <a:extLst>
            <a:ext uri="{FF2B5EF4-FFF2-40B4-BE49-F238E27FC236}">
              <a16:creationId xmlns:a16="http://schemas.microsoft.com/office/drawing/2014/main" id="{CAFD7DEC-0B8D-46EE-B344-A375DF3399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59" name="Elipse 7358">
          <a:extLst>
            <a:ext uri="{FF2B5EF4-FFF2-40B4-BE49-F238E27FC236}">
              <a16:creationId xmlns:a16="http://schemas.microsoft.com/office/drawing/2014/main" id="{4862FBC9-FC47-453A-B6C9-465099A02D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0" name="Elipse 7359">
          <a:extLst>
            <a:ext uri="{FF2B5EF4-FFF2-40B4-BE49-F238E27FC236}">
              <a16:creationId xmlns:a16="http://schemas.microsoft.com/office/drawing/2014/main" id="{2596CF85-883F-4B71-A11E-F57DB8B9E8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1" name="Elipse 7360">
          <a:extLst>
            <a:ext uri="{FF2B5EF4-FFF2-40B4-BE49-F238E27FC236}">
              <a16:creationId xmlns:a16="http://schemas.microsoft.com/office/drawing/2014/main" id="{D38E574D-BFF7-4352-BC2C-B4DAFDD654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2" name="Elipse 7361">
          <a:extLst>
            <a:ext uri="{FF2B5EF4-FFF2-40B4-BE49-F238E27FC236}">
              <a16:creationId xmlns:a16="http://schemas.microsoft.com/office/drawing/2014/main" id="{E7075EC3-25DD-42D1-8456-0789A0A7B5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3" name="Elipse 7362">
          <a:extLst>
            <a:ext uri="{FF2B5EF4-FFF2-40B4-BE49-F238E27FC236}">
              <a16:creationId xmlns:a16="http://schemas.microsoft.com/office/drawing/2014/main" id="{821D17F7-9C07-4A30-969D-CDF0AADDD5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4" name="Elipse 7363">
          <a:extLst>
            <a:ext uri="{FF2B5EF4-FFF2-40B4-BE49-F238E27FC236}">
              <a16:creationId xmlns:a16="http://schemas.microsoft.com/office/drawing/2014/main" id="{8B78DBC4-9510-4D2F-8E3A-A1696DEBCE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5" name="Elipse 7364">
          <a:extLst>
            <a:ext uri="{FF2B5EF4-FFF2-40B4-BE49-F238E27FC236}">
              <a16:creationId xmlns:a16="http://schemas.microsoft.com/office/drawing/2014/main" id="{F0CAC84B-C107-43A6-8600-46D80B702F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6" name="Elipse 7365">
          <a:extLst>
            <a:ext uri="{FF2B5EF4-FFF2-40B4-BE49-F238E27FC236}">
              <a16:creationId xmlns:a16="http://schemas.microsoft.com/office/drawing/2014/main" id="{EAA24F99-918F-40A9-8085-A1B5FFAD06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7" name="Elipse 7366">
          <a:extLst>
            <a:ext uri="{FF2B5EF4-FFF2-40B4-BE49-F238E27FC236}">
              <a16:creationId xmlns:a16="http://schemas.microsoft.com/office/drawing/2014/main" id="{57199D40-173B-4BE3-BB42-31119C2F1A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8" name="Elipse 7367">
          <a:extLst>
            <a:ext uri="{FF2B5EF4-FFF2-40B4-BE49-F238E27FC236}">
              <a16:creationId xmlns:a16="http://schemas.microsoft.com/office/drawing/2014/main" id="{981AF7C4-CD58-41C3-BE53-3D627FCB22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69" name="Elipse 7368">
          <a:extLst>
            <a:ext uri="{FF2B5EF4-FFF2-40B4-BE49-F238E27FC236}">
              <a16:creationId xmlns:a16="http://schemas.microsoft.com/office/drawing/2014/main" id="{98B0EDD1-F100-45FF-A0A2-67133743B5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0" name="Elipse 7369">
          <a:extLst>
            <a:ext uri="{FF2B5EF4-FFF2-40B4-BE49-F238E27FC236}">
              <a16:creationId xmlns:a16="http://schemas.microsoft.com/office/drawing/2014/main" id="{5497ADC1-5889-4408-90C5-6478DCDA41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1" name="Elipse 7370">
          <a:extLst>
            <a:ext uri="{FF2B5EF4-FFF2-40B4-BE49-F238E27FC236}">
              <a16:creationId xmlns:a16="http://schemas.microsoft.com/office/drawing/2014/main" id="{E3FE5C22-CECD-4D91-85DA-1A8F7776D0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2" name="Elipse 7371">
          <a:extLst>
            <a:ext uri="{FF2B5EF4-FFF2-40B4-BE49-F238E27FC236}">
              <a16:creationId xmlns:a16="http://schemas.microsoft.com/office/drawing/2014/main" id="{B38BB1FF-35E7-461D-AE13-DF5BF828A2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3" name="Elipse 7372">
          <a:extLst>
            <a:ext uri="{FF2B5EF4-FFF2-40B4-BE49-F238E27FC236}">
              <a16:creationId xmlns:a16="http://schemas.microsoft.com/office/drawing/2014/main" id="{82BDE9F9-9B9B-4D55-89D6-D3B4C7B2DD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4" name="Elipse 7373">
          <a:extLst>
            <a:ext uri="{FF2B5EF4-FFF2-40B4-BE49-F238E27FC236}">
              <a16:creationId xmlns:a16="http://schemas.microsoft.com/office/drawing/2014/main" id="{938D6CFA-C77E-4B7F-9C56-DA6A799096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5" name="Elipse 7374">
          <a:extLst>
            <a:ext uri="{FF2B5EF4-FFF2-40B4-BE49-F238E27FC236}">
              <a16:creationId xmlns:a16="http://schemas.microsoft.com/office/drawing/2014/main" id="{D6E6CC58-B9A8-48CA-A7E7-09617A59A4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6" name="Elipse 7375">
          <a:extLst>
            <a:ext uri="{FF2B5EF4-FFF2-40B4-BE49-F238E27FC236}">
              <a16:creationId xmlns:a16="http://schemas.microsoft.com/office/drawing/2014/main" id="{7D832086-F1A4-4AB7-9573-9A19CE0A89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7" name="Elipse 7376">
          <a:extLst>
            <a:ext uri="{FF2B5EF4-FFF2-40B4-BE49-F238E27FC236}">
              <a16:creationId xmlns:a16="http://schemas.microsoft.com/office/drawing/2014/main" id="{6592910D-3F63-4D7F-A568-475D82C457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8" name="Elipse 7377">
          <a:extLst>
            <a:ext uri="{FF2B5EF4-FFF2-40B4-BE49-F238E27FC236}">
              <a16:creationId xmlns:a16="http://schemas.microsoft.com/office/drawing/2014/main" id="{8AC9994B-7C92-4D1B-A7E0-7C67998CDA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79" name="Elipse 7378">
          <a:extLst>
            <a:ext uri="{FF2B5EF4-FFF2-40B4-BE49-F238E27FC236}">
              <a16:creationId xmlns:a16="http://schemas.microsoft.com/office/drawing/2014/main" id="{508112F8-A923-48D1-A1A5-41D5DFA262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0" name="Elipse 7379">
          <a:extLst>
            <a:ext uri="{FF2B5EF4-FFF2-40B4-BE49-F238E27FC236}">
              <a16:creationId xmlns:a16="http://schemas.microsoft.com/office/drawing/2014/main" id="{350A0F2F-2AA5-4936-BAE5-FAE82CF337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1" name="Elipse 7380">
          <a:extLst>
            <a:ext uri="{FF2B5EF4-FFF2-40B4-BE49-F238E27FC236}">
              <a16:creationId xmlns:a16="http://schemas.microsoft.com/office/drawing/2014/main" id="{E9A53E9B-2DC9-4AB1-9045-8C47688F61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2" name="Elipse 7381">
          <a:extLst>
            <a:ext uri="{FF2B5EF4-FFF2-40B4-BE49-F238E27FC236}">
              <a16:creationId xmlns:a16="http://schemas.microsoft.com/office/drawing/2014/main" id="{556BBE5D-5D32-4527-ACCD-325135D767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3" name="Elipse 7382">
          <a:extLst>
            <a:ext uri="{FF2B5EF4-FFF2-40B4-BE49-F238E27FC236}">
              <a16:creationId xmlns:a16="http://schemas.microsoft.com/office/drawing/2014/main" id="{A5277531-9EEE-4664-9675-F71EA53C28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4" name="Elipse 7383">
          <a:extLst>
            <a:ext uri="{FF2B5EF4-FFF2-40B4-BE49-F238E27FC236}">
              <a16:creationId xmlns:a16="http://schemas.microsoft.com/office/drawing/2014/main" id="{F4A1C8E6-0297-4310-BC63-29EB35E45F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5" name="Elipse 7384">
          <a:extLst>
            <a:ext uri="{FF2B5EF4-FFF2-40B4-BE49-F238E27FC236}">
              <a16:creationId xmlns:a16="http://schemas.microsoft.com/office/drawing/2014/main" id="{F362AD15-C1D1-40F4-9E05-8D73BF5E6A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6" name="Elipse 7385">
          <a:extLst>
            <a:ext uri="{FF2B5EF4-FFF2-40B4-BE49-F238E27FC236}">
              <a16:creationId xmlns:a16="http://schemas.microsoft.com/office/drawing/2014/main" id="{DA6DFB29-2D99-4D3A-ABBA-006AB47FA6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7" name="Elipse 7386">
          <a:extLst>
            <a:ext uri="{FF2B5EF4-FFF2-40B4-BE49-F238E27FC236}">
              <a16:creationId xmlns:a16="http://schemas.microsoft.com/office/drawing/2014/main" id="{0550E96A-FB05-49DB-B057-A0E1CF495F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8" name="Elipse 7387">
          <a:extLst>
            <a:ext uri="{FF2B5EF4-FFF2-40B4-BE49-F238E27FC236}">
              <a16:creationId xmlns:a16="http://schemas.microsoft.com/office/drawing/2014/main" id="{2DF11A01-86A2-4907-ADA9-E953462D82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89" name="Elipse 7388">
          <a:extLst>
            <a:ext uri="{FF2B5EF4-FFF2-40B4-BE49-F238E27FC236}">
              <a16:creationId xmlns:a16="http://schemas.microsoft.com/office/drawing/2014/main" id="{21944785-8CD5-4675-AA30-C96F3D9106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0" name="Elipse 7389">
          <a:extLst>
            <a:ext uri="{FF2B5EF4-FFF2-40B4-BE49-F238E27FC236}">
              <a16:creationId xmlns:a16="http://schemas.microsoft.com/office/drawing/2014/main" id="{C541BD9B-AC33-40EE-80D1-3DEABBBFDE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1" name="Elipse 7390">
          <a:extLst>
            <a:ext uri="{FF2B5EF4-FFF2-40B4-BE49-F238E27FC236}">
              <a16:creationId xmlns:a16="http://schemas.microsoft.com/office/drawing/2014/main" id="{A156863F-E615-4769-9B33-5F0E111543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2" name="Elipse 7391">
          <a:extLst>
            <a:ext uri="{FF2B5EF4-FFF2-40B4-BE49-F238E27FC236}">
              <a16:creationId xmlns:a16="http://schemas.microsoft.com/office/drawing/2014/main" id="{87904D4F-FEB1-4B99-91EE-DC81AEAAE1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3" name="Elipse 7392">
          <a:extLst>
            <a:ext uri="{FF2B5EF4-FFF2-40B4-BE49-F238E27FC236}">
              <a16:creationId xmlns:a16="http://schemas.microsoft.com/office/drawing/2014/main" id="{C97279BF-C9D0-4668-98F7-1E86C9D98F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4" name="Elipse 7393">
          <a:extLst>
            <a:ext uri="{FF2B5EF4-FFF2-40B4-BE49-F238E27FC236}">
              <a16:creationId xmlns:a16="http://schemas.microsoft.com/office/drawing/2014/main" id="{1875275D-DB40-4B93-994B-778CC2F3F7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5" name="Elipse 7394">
          <a:extLst>
            <a:ext uri="{FF2B5EF4-FFF2-40B4-BE49-F238E27FC236}">
              <a16:creationId xmlns:a16="http://schemas.microsoft.com/office/drawing/2014/main" id="{6BC044E8-B6DF-4E0C-ABD6-6BB4CF6610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6" name="Elipse 7395">
          <a:extLst>
            <a:ext uri="{FF2B5EF4-FFF2-40B4-BE49-F238E27FC236}">
              <a16:creationId xmlns:a16="http://schemas.microsoft.com/office/drawing/2014/main" id="{FF8F82C4-2D34-42F1-A5EF-E116AB6853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7" name="Elipse 7396">
          <a:extLst>
            <a:ext uri="{FF2B5EF4-FFF2-40B4-BE49-F238E27FC236}">
              <a16:creationId xmlns:a16="http://schemas.microsoft.com/office/drawing/2014/main" id="{843D666A-6101-48FB-ABB8-69681907F7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8" name="Elipse 7397">
          <a:extLst>
            <a:ext uri="{FF2B5EF4-FFF2-40B4-BE49-F238E27FC236}">
              <a16:creationId xmlns:a16="http://schemas.microsoft.com/office/drawing/2014/main" id="{1BF50451-7C16-41C8-981F-902E062111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399" name="Elipse 7398">
          <a:extLst>
            <a:ext uri="{FF2B5EF4-FFF2-40B4-BE49-F238E27FC236}">
              <a16:creationId xmlns:a16="http://schemas.microsoft.com/office/drawing/2014/main" id="{306AD896-6DDB-471A-9288-AD2F74A06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0" name="Elipse 7399">
          <a:extLst>
            <a:ext uri="{FF2B5EF4-FFF2-40B4-BE49-F238E27FC236}">
              <a16:creationId xmlns:a16="http://schemas.microsoft.com/office/drawing/2014/main" id="{3529196E-7E83-4C71-9124-0246EECB7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1" name="Elipse 7400">
          <a:extLst>
            <a:ext uri="{FF2B5EF4-FFF2-40B4-BE49-F238E27FC236}">
              <a16:creationId xmlns:a16="http://schemas.microsoft.com/office/drawing/2014/main" id="{25A379FB-C5B9-4DA3-BAB3-A121F3327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2" name="Elipse 7401">
          <a:extLst>
            <a:ext uri="{FF2B5EF4-FFF2-40B4-BE49-F238E27FC236}">
              <a16:creationId xmlns:a16="http://schemas.microsoft.com/office/drawing/2014/main" id="{B7811C0B-2BC5-432B-9EB3-DDA0F83AC9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3" name="Elipse 7402">
          <a:extLst>
            <a:ext uri="{FF2B5EF4-FFF2-40B4-BE49-F238E27FC236}">
              <a16:creationId xmlns:a16="http://schemas.microsoft.com/office/drawing/2014/main" id="{B9D8C463-BFC5-4589-AE6F-2C68ABD6A6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4" name="Elipse 7403">
          <a:extLst>
            <a:ext uri="{FF2B5EF4-FFF2-40B4-BE49-F238E27FC236}">
              <a16:creationId xmlns:a16="http://schemas.microsoft.com/office/drawing/2014/main" id="{059CE215-5AC4-4DA3-B39B-2B6233C6E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5" name="Elipse 7404">
          <a:extLst>
            <a:ext uri="{FF2B5EF4-FFF2-40B4-BE49-F238E27FC236}">
              <a16:creationId xmlns:a16="http://schemas.microsoft.com/office/drawing/2014/main" id="{258FDD64-D906-45D2-8D3E-ED95DFEB8F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6" name="Elipse 7405">
          <a:extLst>
            <a:ext uri="{FF2B5EF4-FFF2-40B4-BE49-F238E27FC236}">
              <a16:creationId xmlns:a16="http://schemas.microsoft.com/office/drawing/2014/main" id="{1EBF14C3-EFC6-48C6-BF2E-8E4751A9D3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7" name="Elipse 7406">
          <a:extLst>
            <a:ext uri="{FF2B5EF4-FFF2-40B4-BE49-F238E27FC236}">
              <a16:creationId xmlns:a16="http://schemas.microsoft.com/office/drawing/2014/main" id="{A886A6E6-CB73-4BD9-907B-D96BACDE32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8" name="Elipse 7407">
          <a:extLst>
            <a:ext uri="{FF2B5EF4-FFF2-40B4-BE49-F238E27FC236}">
              <a16:creationId xmlns:a16="http://schemas.microsoft.com/office/drawing/2014/main" id="{A6ED3717-D274-483F-9649-92467087EC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09" name="Elipse 7408">
          <a:extLst>
            <a:ext uri="{FF2B5EF4-FFF2-40B4-BE49-F238E27FC236}">
              <a16:creationId xmlns:a16="http://schemas.microsoft.com/office/drawing/2014/main" id="{EC7EA7C7-235F-4CF1-A7E4-55165B415C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0" name="Elipse 7409">
          <a:extLst>
            <a:ext uri="{FF2B5EF4-FFF2-40B4-BE49-F238E27FC236}">
              <a16:creationId xmlns:a16="http://schemas.microsoft.com/office/drawing/2014/main" id="{F6BB3AD3-1698-4E9A-9F59-BAF29899C3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1" name="Elipse 7410">
          <a:extLst>
            <a:ext uri="{FF2B5EF4-FFF2-40B4-BE49-F238E27FC236}">
              <a16:creationId xmlns:a16="http://schemas.microsoft.com/office/drawing/2014/main" id="{04E40BBB-3276-4CB9-86CB-A8D01D96B1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2" name="Elipse 7411">
          <a:extLst>
            <a:ext uri="{FF2B5EF4-FFF2-40B4-BE49-F238E27FC236}">
              <a16:creationId xmlns:a16="http://schemas.microsoft.com/office/drawing/2014/main" id="{20FC0E36-22CE-431B-8026-01A7A8C7D9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3" name="Elipse 7412">
          <a:extLst>
            <a:ext uri="{FF2B5EF4-FFF2-40B4-BE49-F238E27FC236}">
              <a16:creationId xmlns:a16="http://schemas.microsoft.com/office/drawing/2014/main" id="{DDEE8C03-4A2A-4759-BA4C-28A780B170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4" name="Elipse 7413">
          <a:extLst>
            <a:ext uri="{FF2B5EF4-FFF2-40B4-BE49-F238E27FC236}">
              <a16:creationId xmlns:a16="http://schemas.microsoft.com/office/drawing/2014/main" id="{E73E44DC-7C79-4218-8801-57EFD9C3C9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5" name="Elipse 7414">
          <a:extLst>
            <a:ext uri="{FF2B5EF4-FFF2-40B4-BE49-F238E27FC236}">
              <a16:creationId xmlns:a16="http://schemas.microsoft.com/office/drawing/2014/main" id="{9F2381B1-7E2C-4F5D-A425-C4F35CC893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6" name="Elipse 7415">
          <a:extLst>
            <a:ext uri="{FF2B5EF4-FFF2-40B4-BE49-F238E27FC236}">
              <a16:creationId xmlns:a16="http://schemas.microsoft.com/office/drawing/2014/main" id="{0DC63115-0FA5-4DD1-B618-01A347648F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7" name="Elipse 7416">
          <a:extLst>
            <a:ext uri="{FF2B5EF4-FFF2-40B4-BE49-F238E27FC236}">
              <a16:creationId xmlns:a16="http://schemas.microsoft.com/office/drawing/2014/main" id="{9CD5DB65-6EB4-4B7A-A3C1-5F019AAB73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8" name="Elipse 7417">
          <a:extLst>
            <a:ext uri="{FF2B5EF4-FFF2-40B4-BE49-F238E27FC236}">
              <a16:creationId xmlns:a16="http://schemas.microsoft.com/office/drawing/2014/main" id="{B355A897-7D72-47CE-9980-E82DD2B65F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19" name="Elipse 7418">
          <a:extLst>
            <a:ext uri="{FF2B5EF4-FFF2-40B4-BE49-F238E27FC236}">
              <a16:creationId xmlns:a16="http://schemas.microsoft.com/office/drawing/2014/main" id="{86162633-FE77-4055-A18B-1EB28360E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0" name="Elipse 7419">
          <a:extLst>
            <a:ext uri="{FF2B5EF4-FFF2-40B4-BE49-F238E27FC236}">
              <a16:creationId xmlns:a16="http://schemas.microsoft.com/office/drawing/2014/main" id="{A822ECED-44B6-4BFC-AFCA-646103667B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1" name="Elipse 7420">
          <a:extLst>
            <a:ext uri="{FF2B5EF4-FFF2-40B4-BE49-F238E27FC236}">
              <a16:creationId xmlns:a16="http://schemas.microsoft.com/office/drawing/2014/main" id="{788AA44D-6ABF-48A2-921E-E0D8CCE6B5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2" name="Elipse 7421">
          <a:extLst>
            <a:ext uri="{FF2B5EF4-FFF2-40B4-BE49-F238E27FC236}">
              <a16:creationId xmlns:a16="http://schemas.microsoft.com/office/drawing/2014/main" id="{C43D054B-6190-4C42-8E00-8703614415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3" name="Elipse 7422">
          <a:extLst>
            <a:ext uri="{FF2B5EF4-FFF2-40B4-BE49-F238E27FC236}">
              <a16:creationId xmlns:a16="http://schemas.microsoft.com/office/drawing/2014/main" id="{96EF1C7C-2BFB-47BC-8A53-F0FCCB8B7F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4" name="Elipse 7423">
          <a:extLst>
            <a:ext uri="{FF2B5EF4-FFF2-40B4-BE49-F238E27FC236}">
              <a16:creationId xmlns:a16="http://schemas.microsoft.com/office/drawing/2014/main" id="{C48D8747-11D5-4531-BC21-5998AAAA4B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5" name="Elipse 7424">
          <a:extLst>
            <a:ext uri="{FF2B5EF4-FFF2-40B4-BE49-F238E27FC236}">
              <a16:creationId xmlns:a16="http://schemas.microsoft.com/office/drawing/2014/main" id="{CE50A444-A328-466B-A700-CDA9B4496C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6" name="Elipse 7425">
          <a:extLst>
            <a:ext uri="{FF2B5EF4-FFF2-40B4-BE49-F238E27FC236}">
              <a16:creationId xmlns:a16="http://schemas.microsoft.com/office/drawing/2014/main" id="{96C82D82-37BD-4B22-AB64-EF7EABC117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7" name="Elipse 7426">
          <a:extLst>
            <a:ext uri="{FF2B5EF4-FFF2-40B4-BE49-F238E27FC236}">
              <a16:creationId xmlns:a16="http://schemas.microsoft.com/office/drawing/2014/main" id="{FD3BBD47-1442-4417-877E-C5890C7761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8" name="Elipse 7427">
          <a:extLst>
            <a:ext uri="{FF2B5EF4-FFF2-40B4-BE49-F238E27FC236}">
              <a16:creationId xmlns:a16="http://schemas.microsoft.com/office/drawing/2014/main" id="{17C88F9D-CE8B-4CB3-8A26-00431AF191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29" name="Elipse 7428">
          <a:extLst>
            <a:ext uri="{FF2B5EF4-FFF2-40B4-BE49-F238E27FC236}">
              <a16:creationId xmlns:a16="http://schemas.microsoft.com/office/drawing/2014/main" id="{2DC76A2B-4A5B-4AF5-BFC3-54A69675A7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0" name="Elipse 7429">
          <a:extLst>
            <a:ext uri="{FF2B5EF4-FFF2-40B4-BE49-F238E27FC236}">
              <a16:creationId xmlns:a16="http://schemas.microsoft.com/office/drawing/2014/main" id="{4654146F-429F-4D8E-8307-8C8D617576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1" name="Elipse 7430">
          <a:extLst>
            <a:ext uri="{FF2B5EF4-FFF2-40B4-BE49-F238E27FC236}">
              <a16:creationId xmlns:a16="http://schemas.microsoft.com/office/drawing/2014/main" id="{593F742E-5F28-49EB-BB13-87E602DF7C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2" name="Elipse 7431">
          <a:extLst>
            <a:ext uri="{FF2B5EF4-FFF2-40B4-BE49-F238E27FC236}">
              <a16:creationId xmlns:a16="http://schemas.microsoft.com/office/drawing/2014/main" id="{0E14D14D-2875-4820-9D9C-3D8AC18FC5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3" name="Elipse 7432">
          <a:extLst>
            <a:ext uri="{FF2B5EF4-FFF2-40B4-BE49-F238E27FC236}">
              <a16:creationId xmlns:a16="http://schemas.microsoft.com/office/drawing/2014/main" id="{1FC5E8B8-2FCA-41BE-B407-484F364C0C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4" name="Elipse 7433">
          <a:extLst>
            <a:ext uri="{FF2B5EF4-FFF2-40B4-BE49-F238E27FC236}">
              <a16:creationId xmlns:a16="http://schemas.microsoft.com/office/drawing/2014/main" id="{B6F488E9-E1F4-42C7-A884-49712C785B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5" name="Elipse 7434">
          <a:extLst>
            <a:ext uri="{FF2B5EF4-FFF2-40B4-BE49-F238E27FC236}">
              <a16:creationId xmlns:a16="http://schemas.microsoft.com/office/drawing/2014/main" id="{9807A149-7C40-4FFF-ABDA-2FB7EA4DDC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6" name="Elipse 7435">
          <a:extLst>
            <a:ext uri="{FF2B5EF4-FFF2-40B4-BE49-F238E27FC236}">
              <a16:creationId xmlns:a16="http://schemas.microsoft.com/office/drawing/2014/main" id="{AD708B68-BCCD-454B-B3A7-C16A74F0F0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7" name="Elipse 7436">
          <a:extLst>
            <a:ext uri="{FF2B5EF4-FFF2-40B4-BE49-F238E27FC236}">
              <a16:creationId xmlns:a16="http://schemas.microsoft.com/office/drawing/2014/main" id="{30678482-77C1-438D-A31E-D08163C841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8" name="Elipse 7437">
          <a:extLst>
            <a:ext uri="{FF2B5EF4-FFF2-40B4-BE49-F238E27FC236}">
              <a16:creationId xmlns:a16="http://schemas.microsoft.com/office/drawing/2014/main" id="{E4D24552-C0F9-4B90-9DD1-801ACE9ED4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39" name="Elipse 7438">
          <a:extLst>
            <a:ext uri="{FF2B5EF4-FFF2-40B4-BE49-F238E27FC236}">
              <a16:creationId xmlns:a16="http://schemas.microsoft.com/office/drawing/2014/main" id="{707FB6EC-7890-4FCD-999F-7DC963171A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0" name="Elipse 7439">
          <a:extLst>
            <a:ext uri="{FF2B5EF4-FFF2-40B4-BE49-F238E27FC236}">
              <a16:creationId xmlns:a16="http://schemas.microsoft.com/office/drawing/2014/main" id="{9DF666E0-764C-44D0-A461-7AC3E95AFA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1" name="Elipse 7440">
          <a:extLst>
            <a:ext uri="{FF2B5EF4-FFF2-40B4-BE49-F238E27FC236}">
              <a16:creationId xmlns:a16="http://schemas.microsoft.com/office/drawing/2014/main" id="{E1626B55-53DA-494E-9EB7-14E59FA86D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2" name="Elipse 7441">
          <a:extLst>
            <a:ext uri="{FF2B5EF4-FFF2-40B4-BE49-F238E27FC236}">
              <a16:creationId xmlns:a16="http://schemas.microsoft.com/office/drawing/2014/main" id="{C59490F9-945F-4AD9-9E22-F355A4F2D9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3" name="Elipse 7442">
          <a:extLst>
            <a:ext uri="{FF2B5EF4-FFF2-40B4-BE49-F238E27FC236}">
              <a16:creationId xmlns:a16="http://schemas.microsoft.com/office/drawing/2014/main" id="{D88378BD-E1B0-4174-93BC-77AF8F5594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4" name="Elipse 7443">
          <a:extLst>
            <a:ext uri="{FF2B5EF4-FFF2-40B4-BE49-F238E27FC236}">
              <a16:creationId xmlns:a16="http://schemas.microsoft.com/office/drawing/2014/main" id="{5CF4072E-2209-442B-BE17-C5D28A78AC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5" name="Elipse 7444">
          <a:extLst>
            <a:ext uri="{FF2B5EF4-FFF2-40B4-BE49-F238E27FC236}">
              <a16:creationId xmlns:a16="http://schemas.microsoft.com/office/drawing/2014/main" id="{13C31128-FDB8-4694-98DC-C17EB624BD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6" name="Elipse 7445">
          <a:extLst>
            <a:ext uri="{FF2B5EF4-FFF2-40B4-BE49-F238E27FC236}">
              <a16:creationId xmlns:a16="http://schemas.microsoft.com/office/drawing/2014/main" id="{FCDBCA5B-4F6F-418F-AB32-8A99FB5C9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7" name="Elipse 7446">
          <a:extLst>
            <a:ext uri="{FF2B5EF4-FFF2-40B4-BE49-F238E27FC236}">
              <a16:creationId xmlns:a16="http://schemas.microsoft.com/office/drawing/2014/main" id="{20BA47E5-D96F-48BD-A0FC-D757EEFE30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8" name="Elipse 7447">
          <a:extLst>
            <a:ext uri="{FF2B5EF4-FFF2-40B4-BE49-F238E27FC236}">
              <a16:creationId xmlns:a16="http://schemas.microsoft.com/office/drawing/2014/main" id="{C2796E41-00D9-4172-B27E-910825CD05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49" name="Elipse 7448">
          <a:extLst>
            <a:ext uri="{FF2B5EF4-FFF2-40B4-BE49-F238E27FC236}">
              <a16:creationId xmlns:a16="http://schemas.microsoft.com/office/drawing/2014/main" id="{64929093-6AF7-4DD1-9CAA-82BE1946B7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0" name="Elipse 7449">
          <a:extLst>
            <a:ext uri="{FF2B5EF4-FFF2-40B4-BE49-F238E27FC236}">
              <a16:creationId xmlns:a16="http://schemas.microsoft.com/office/drawing/2014/main" id="{9167BF75-4A2C-4B26-A812-3661961C72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1" name="Elipse 7450">
          <a:extLst>
            <a:ext uri="{FF2B5EF4-FFF2-40B4-BE49-F238E27FC236}">
              <a16:creationId xmlns:a16="http://schemas.microsoft.com/office/drawing/2014/main" id="{E194D083-BC55-4AF1-93C3-BE20B44D8A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2" name="Elipse 7451">
          <a:extLst>
            <a:ext uri="{FF2B5EF4-FFF2-40B4-BE49-F238E27FC236}">
              <a16:creationId xmlns:a16="http://schemas.microsoft.com/office/drawing/2014/main" id="{02101E54-91C3-437D-A7EC-668EA37F5D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3" name="Elipse 7452">
          <a:extLst>
            <a:ext uri="{FF2B5EF4-FFF2-40B4-BE49-F238E27FC236}">
              <a16:creationId xmlns:a16="http://schemas.microsoft.com/office/drawing/2014/main" id="{D34B2B6C-EEBF-413F-89C6-8B59D1503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4" name="Elipse 7453">
          <a:extLst>
            <a:ext uri="{FF2B5EF4-FFF2-40B4-BE49-F238E27FC236}">
              <a16:creationId xmlns:a16="http://schemas.microsoft.com/office/drawing/2014/main" id="{159328AA-C6D3-4D74-9D34-0855E3996F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5" name="Elipse 7454">
          <a:extLst>
            <a:ext uri="{FF2B5EF4-FFF2-40B4-BE49-F238E27FC236}">
              <a16:creationId xmlns:a16="http://schemas.microsoft.com/office/drawing/2014/main" id="{0330589A-DA49-48F0-B793-C15C669C9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6" name="Elipse 7455">
          <a:extLst>
            <a:ext uri="{FF2B5EF4-FFF2-40B4-BE49-F238E27FC236}">
              <a16:creationId xmlns:a16="http://schemas.microsoft.com/office/drawing/2014/main" id="{C2CDB71E-F1FA-414D-898B-628467C593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7" name="Elipse 7456">
          <a:extLst>
            <a:ext uri="{FF2B5EF4-FFF2-40B4-BE49-F238E27FC236}">
              <a16:creationId xmlns:a16="http://schemas.microsoft.com/office/drawing/2014/main" id="{1FD5A704-348E-458B-8610-4B3AB9EF41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8" name="Elipse 7457">
          <a:extLst>
            <a:ext uri="{FF2B5EF4-FFF2-40B4-BE49-F238E27FC236}">
              <a16:creationId xmlns:a16="http://schemas.microsoft.com/office/drawing/2014/main" id="{25843C1F-663B-4985-ABC6-F1899141F3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59" name="Elipse 7458">
          <a:extLst>
            <a:ext uri="{FF2B5EF4-FFF2-40B4-BE49-F238E27FC236}">
              <a16:creationId xmlns:a16="http://schemas.microsoft.com/office/drawing/2014/main" id="{3A2E5462-FCA4-4264-9DBA-1D55D05992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0" name="Elipse 7459">
          <a:extLst>
            <a:ext uri="{FF2B5EF4-FFF2-40B4-BE49-F238E27FC236}">
              <a16:creationId xmlns:a16="http://schemas.microsoft.com/office/drawing/2014/main" id="{67CF5836-4DD9-4739-AB93-B4074C3EA9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1" name="Elipse 7460">
          <a:extLst>
            <a:ext uri="{FF2B5EF4-FFF2-40B4-BE49-F238E27FC236}">
              <a16:creationId xmlns:a16="http://schemas.microsoft.com/office/drawing/2014/main" id="{27A80A76-7077-49C7-AC36-2C53378E95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2" name="Elipse 7461">
          <a:extLst>
            <a:ext uri="{FF2B5EF4-FFF2-40B4-BE49-F238E27FC236}">
              <a16:creationId xmlns:a16="http://schemas.microsoft.com/office/drawing/2014/main" id="{623CA95D-64FC-4714-BF6D-FBD7E46CF8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3" name="Elipse 7462">
          <a:extLst>
            <a:ext uri="{FF2B5EF4-FFF2-40B4-BE49-F238E27FC236}">
              <a16:creationId xmlns:a16="http://schemas.microsoft.com/office/drawing/2014/main" id="{7460AC27-3C39-41F6-8E12-0E35074D90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4" name="Elipse 7463">
          <a:extLst>
            <a:ext uri="{FF2B5EF4-FFF2-40B4-BE49-F238E27FC236}">
              <a16:creationId xmlns:a16="http://schemas.microsoft.com/office/drawing/2014/main" id="{23B0FFE9-9424-4700-A566-091827DCE0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5" name="Elipse 7464">
          <a:extLst>
            <a:ext uri="{FF2B5EF4-FFF2-40B4-BE49-F238E27FC236}">
              <a16:creationId xmlns:a16="http://schemas.microsoft.com/office/drawing/2014/main" id="{C373D5E3-9411-403D-BE0B-22B76205CE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6" name="Elipse 7465">
          <a:extLst>
            <a:ext uri="{FF2B5EF4-FFF2-40B4-BE49-F238E27FC236}">
              <a16:creationId xmlns:a16="http://schemas.microsoft.com/office/drawing/2014/main" id="{1589BD1F-861C-4687-9B80-AE148DC1B1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7" name="Elipse 7466">
          <a:extLst>
            <a:ext uri="{FF2B5EF4-FFF2-40B4-BE49-F238E27FC236}">
              <a16:creationId xmlns:a16="http://schemas.microsoft.com/office/drawing/2014/main" id="{8FE006CF-2D23-48C6-8D59-AD830910FB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8" name="Elipse 7467">
          <a:extLst>
            <a:ext uri="{FF2B5EF4-FFF2-40B4-BE49-F238E27FC236}">
              <a16:creationId xmlns:a16="http://schemas.microsoft.com/office/drawing/2014/main" id="{07927070-E041-4589-92FE-BA91036427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69" name="Elipse 7468">
          <a:extLst>
            <a:ext uri="{FF2B5EF4-FFF2-40B4-BE49-F238E27FC236}">
              <a16:creationId xmlns:a16="http://schemas.microsoft.com/office/drawing/2014/main" id="{2B0FB80B-8E3A-47AC-BD48-07B263B380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0" name="Elipse 7469">
          <a:extLst>
            <a:ext uri="{FF2B5EF4-FFF2-40B4-BE49-F238E27FC236}">
              <a16:creationId xmlns:a16="http://schemas.microsoft.com/office/drawing/2014/main" id="{9DFF3909-70B8-4680-B619-FDBE7F14B2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1" name="Elipse 7470">
          <a:extLst>
            <a:ext uri="{FF2B5EF4-FFF2-40B4-BE49-F238E27FC236}">
              <a16:creationId xmlns:a16="http://schemas.microsoft.com/office/drawing/2014/main" id="{34123FFF-ACE9-44D5-AF7A-688B5D4DF1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2" name="Elipse 7471">
          <a:extLst>
            <a:ext uri="{FF2B5EF4-FFF2-40B4-BE49-F238E27FC236}">
              <a16:creationId xmlns:a16="http://schemas.microsoft.com/office/drawing/2014/main" id="{B1095A2D-9945-4DB6-9762-F431F48E60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3" name="Elipse 7472">
          <a:extLst>
            <a:ext uri="{FF2B5EF4-FFF2-40B4-BE49-F238E27FC236}">
              <a16:creationId xmlns:a16="http://schemas.microsoft.com/office/drawing/2014/main" id="{CF7D7DF1-242C-43E4-A0C7-46668EC66F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4" name="Elipse 7473">
          <a:extLst>
            <a:ext uri="{FF2B5EF4-FFF2-40B4-BE49-F238E27FC236}">
              <a16:creationId xmlns:a16="http://schemas.microsoft.com/office/drawing/2014/main" id="{5D10FD53-C06C-47A1-88F8-10D3C34269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5" name="Elipse 7474">
          <a:extLst>
            <a:ext uri="{FF2B5EF4-FFF2-40B4-BE49-F238E27FC236}">
              <a16:creationId xmlns:a16="http://schemas.microsoft.com/office/drawing/2014/main" id="{3CD69368-12AC-4B1E-897F-38A7F2392F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6" name="Elipse 7475">
          <a:extLst>
            <a:ext uri="{FF2B5EF4-FFF2-40B4-BE49-F238E27FC236}">
              <a16:creationId xmlns:a16="http://schemas.microsoft.com/office/drawing/2014/main" id="{18C4A659-B8A0-4EB1-9003-9582E32E73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7" name="Elipse 7476">
          <a:extLst>
            <a:ext uri="{FF2B5EF4-FFF2-40B4-BE49-F238E27FC236}">
              <a16:creationId xmlns:a16="http://schemas.microsoft.com/office/drawing/2014/main" id="{4D3AB802-0705-4BF7-B4B9-66FE18839B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8" name="Elipse 7477">
          <a:extLst>
            <a:ext uri="{FF2B5EF4-FFF2-40B4-BE49-F238E27FC236}">
              <a16:creationId xmlns:a16="http://schemas.microsoft.com/office/drawing/2014/main" id="{DE21F761-011A-4B6A-B4E0-FE4FD7CCC3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79" name="Elipse 7478">
          <a:extLst>
            <a:ext uri="{FF2B5EF4-FFF2-40B4-BE49-F238E27FC236}">
              <a16:creationId xmlns:a16="http://schemas.microsoft.com/office/drawing/2014/main" id="{EF598A8C-E4A3-49C5-8B64-93BA75FABE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0" name="Elipse 7479">
          <a:extLst>
            <a:ext uri="{FF2B5EF4-FFF2-40B4-BE49-F238E27FC236}">
              <a16:creationId xmlns:a16="http://schemas.microsoft.com/office/drawing/2014/main" id="{329DEB8C-3C40-4327-A778-AFE2BA3FFA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1" name="Elipse 7480">
          <a:extLst>
            <a:ext uri="{FF2B5EF4-FFF2-40B4-BE49-F238E27FC236}">
              <a16:creationId xmlns:a16="http://schemas.microsoft.com/office/drawing/2014/main" id="{7B81DFB4-5EDD-4410-863F-B419812584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2" name="Elipse 7481">
          <a:extLst>
            <a:ext uri="{FF2B5EF4-FFF2-40B4-BE49-F238E27FC236}">
              <a16:creationId xmlns:a16="http://schemas.microsoft.com/office/drawing/2014/main" id="{62216246-F4BD-4086-8A1B-E960EF0371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3" name="Elipse 7482">
          <a:extLst>
            <a:ext uri="{FF2B5EF4-FFF2-40B4-BE49-F238E27FC236}">
              <a16:creationId xmlns:a16="http://schemas.microsoft.com/office/drawing/2014/main" id="{6C98AB74-39A0-4949-ACF6-F83842415B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4" name="Elipse 7483">
          <a:extLst>
            <a:ext uri="{FF2B5EF4-FFF2-40B4-BE49-F238E27FC236}">
              <a16:creationId xmlns:a16="http://schemas.microsoft.com/office/drawing/2014/main" id="{C99139FA-E69D-477A-8931-0386A7139C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5" name="Elipse 7484">
          <a:extLst>
            <a:ext uri="{FF2B5EF4-FFF2-40B4-BE49-F238E27FC236}">
              <a16:creationId xmlns:a16="http://schemas.microsoft.com/office/drawing/2014/main" id="{3430B44F-1754-494D-9BBB-52E986DA90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6" name="Elipse 7485">
          <a:extLst>
            <a:ext uri="{FF2B5EF4-FFF2-40B4-BE49-F238E27FC236}">
              <a16:creationId xmlns:a16="http://schemas.microsoft.com/office/drawing/2014/main" id="{65622BE2-34B0-4445-8366-F5CA3CA2E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7" name="Elipse 7486">
          <a:extLst>
            <a:ext uri="{FF2B5EF4-FFF2-40B4-BE49-F238E27FC236}">
              <a16:creationId xmlns:a16="http://schemas.microsoft.com/office/drawing/2014/main" id="{C7B7BBDA-EC25-4F80-BDA0-D80FC7B28E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8" name="Elipse 7487">
          <a:extLst>
            <a:ext uri="{FF2B5EF4-FFF2-40B4-BE49-F238E27FC236}">
              <a16:creationId xmlns:a16="http://schemas.microsoft.com/office/drawing/2014/main" id="{8313CE9B-7AA9-4B2E-B520-501F34FFC1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89" name="Elipse 7488">
          <a:extLst>
            <a:ext uri="{FF2B5EF4-FFF2-40B4-BE49-F238E27FC236}">
              <a16:creationId xmlns:a16="http://schemas.microsoft.com/office/drawing/2014/main" id="{E66753BE-0E8A-445E-8027-F6DECA3EF9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0" name="Elipse 7489">
          <a:extLst>
            <a:ext uri="{FF2B5EF4-FFF2-40B4-BE49-F238E27FC236}">
              <a16:creationId xmlns:a16="http://schemas.microsoft.com/office/drawing/2014/main" id="{6F19A5B1-CC7E-4E6F-B871-D5547A6E14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1" name="Elipse 7490">
          <a:extLst>
            <a:ext uri="{FF2B5EF4-FFF2-40B4-BE49-F238E27FC236}">
              <a16:creationId xmlns:a16="http://schemas.microsoft.com/office/drawing/2014/main" id="{78322E0F-1AAB-44C5-913D-0F317C7010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2" name="Elipse 7491">
          <a:extLst>
            <a:ext uri="{FF2B5EF4-FFF2-40B4-BE49-F238E27FC236}">
              <a16:creationId xmlns:a16="http://schemas.microsoft.com/office/drawing/2014/main" id="{0E8E2F07-E7A2-47B7-B8DB-DDCC492A08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3" name="Elipse 7492">
          <a:extLst>
            <a:ext uri="{FF2B5EF4-FFF2-40B4-BE49-F238E27FC236}">
              <a16:creationId xmlns:a16="http://schemas.microsoft.com/office/drawing/2014/main" id="{8F06DE37-0402-4162-A716-B2E11D4D8E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4" name="Elipse 7493">
          <a:extLst>
            <a:ext uri="{FF2B5EF4-FFF2-40B4-BE49-F238E27FC236}">
              <a16:creationId xmlns:a16="http://schemas.microsoft.com/office/drawing/2014/main" id="{AB16D7F7-28DC-44DB-A570-C7E1893707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5" name="Elipse 7494">
          <a:extLst>
            <a:ext uri="{FF2B5EF4-FFF2-40B4-BE49-F238E27FC236}">
              <a16:creationId xmlns:a16="http://schemas.microsoft.com/office/drawing/2014/main" id="{E3C33483-BE3B-452E-BDE1-7B9888299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6" name="Elipse 7495">
          <a:extLst>
            <a:ext uri="{FF2B5EF4-FFF2-40B4-BE49-F238E27FC236}">
              <a16:creationId xmlns:a16="http://schemas.microsoft.com/office/drawing/2014/main" id="{472332AD-8FD3-4029-90C3-8115B3D890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7" name="Elipse 7496">
          <a:extLst>
            <a:ext uri="{FF2B5EF4-FFF2-40B4-BE49-F238E27FC236}">
              <a16:creationId xmlns:a16="http://schemas.microsoft.com/office/drawing/2014/main" id="{F81FD6B8-B54F-4A1C-89DD-DAE73432DA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8" name="Elipse 7497">
          <a:extLst>
            <a:ext uri="{FF2B5EF4-FFF2-40B4-BE49-F238E27FC236}">
              <a16:creationId xmlns:a16="http://schemas.microsoft.com/office/drawing/2014/main" id="{0B96125F-B486-447C-B7A9-B1FA5E224C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499" name="Elipse 7498">
          <a:extLst>
            <a:ext uri="{FF2B5EF4-FFF2-40B4-BE49-F238E27FC236}">
              <a16:creationId xmlns:a16="http://schemas.microsoft.com/office/drawing/2014/main" id="{79F8AB09-1D63-4209-8D8C-954E66C290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0" name="Elipse 7499">
          <a:extLst>
            <a:ext uri="{FF2B5EF4-FFF2-40B4-BE49-F238E27FC236}">
              <a16:creationId xmlns:a16="http://schemas.microsoft.com/office/drawing/2014/main" id="{548F75F8-F11B-4FCA-B6A4-ACB251E042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1" name="Elipse 7500">
          <a:extLst>
            <a:ext uri="{FF2B5EF4-FFF2-40B4-BE49-F238E27FC236}">
              <a16:creationId xmlns:a16="http://schemas.microsoft.com/office/drawing/2014/main" id="{7C4ED4EF-4FDF-493A-B1E7-4C9CAA4D0D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2" name="Elipse 7501">
          <a:extLst>
            <a:ext uri="{FF2B5EF4-FFF2-40B4-BE49-F238E27FC236}">
              <a16:creationId xmlns:a16="http://schemas.microsoft.com/office/drawing/2014/main" id="{BA1F49CF-F68B-4C63-835E-0E3640F3A3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3" name="Elipse 7502">
          <a:extLst>
            <a:ext uri="{FF2B5EF4-FFF2-40B4-BE49-F238E27FC236}">
              <a16:creationId xmlns:a16="http://schemas.microsoft.com/office/drawing/2014/main" id="{31C336A8-C57F-4F6B-A816-8F0ACE5404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4" name="Elipse 7503">
          <a:extLst>
            <a:ext uri="{FF2B5EF4-FFF2-40B4-BE49-F238E27FC236}">
              <a16:creationId xmlns:a16="http://schemas.microsoft.com/office/drawing/2014/main" id="{CFF6A1BE-BEF3-4E41-861D-A7DC3CE6A4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5" name="Elipse 7504">
          <a:extLst>
            <a:ext uri="{FF2B5EF4-FFF2-40B4-BE49-F238E27FC236}">
              <a16:creationId xmlns:a16="http://schemas.microsoft.com/office/drawing/2014/main" id="{BBC82C4C-7DB5-4640-8296-B431D1DBBD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6" name="Elipse 7505">
          <a:extLst>
            <a:ext uri="{FF2B5EF4-FFF2-40B4-BE49-F238E27FC236}">
              <a16:creationId xmlns:a16="http://schemas.microsoft.com/office/drawing/2014/main" id="{5D8E0104-4E36-4AA6-849F-D0B0584D0F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7" name="Elipse 7506">
          <a:extLst>
            <a:ext uri="{FF2B5EF4-FFF2-40B4-BE49-F238E27FC236}">
              <a16:creationId xmlns:a16="http://schemas.microsoft.com/office/drawing/2014/main" id="{CD047ADE-338E-474E-8623-8CBAF1BFEC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8" name="Elipse 7507">
          <a:extLst>
            <a:ext uri="{FF2B5EF4-FFF2-40B4-BE49-F238E27FC236}">
              <a16:creationId xmlns:a16="http://schemas.microsoft.com/office/drawing/2014/main" id="{24182829-8B20-4667-9D44-D518566652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09" name="Elipse 7508">
          <a:extLst>
            <a:ext uri="{FF2B5EF4-FFF2-40B4-BE49-F238E27FC236}">
              <a16:creationId xmlns:a16="http://schemas.microsoft.com/office/drawing/2014/main" id="{D2303160-7E65-497E-A08B-2239E827B2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0" name="Elipse 7509">
          <a:extLst>
            <a:ext uri="{FF2B5EF4-FFF2-40B4-BE49-F238E27FC236}">
              <a16:creationId xmlns:a16="http://schemas.microsoft.com/office/drawing/2014/main" id="{EA5C7C58-5775-4473-B66C-61BC7338ED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1" name="Elipse 7510">
          <a:extLst>
            <a:ext uri="{FF2B5EF4-FFF2-40B4-BE49-F238E27FC236}">
              <a16:creationId xmlns:a16="http://schemas.microsoft.com/office/drawing/2014/main" id="{DD3FFFE5-E222-4447-8299-0D2ADBD3EE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2" name="Elipse 7511">
          <a:extLst>
            <a:ext uri="{FF2B5EF4-FFF2-40B4-BE49-F238E27FC236}">
              <a16:creationId xmlns:a16="http://schemas.microsoft.com/office/drawing/2014/main" id="{3C84CB2E-48DC-47D3-BFDE-D3D40A6694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3" name="Elipse 7512">
          <a:extLst>
            <a:ext uri="{FF2B5EF4-FFF2-40B4-BE49-F238E27FC236}">
              <a16:creationId xmlns:a16="http://schemas.microsoft.com/office/drawing/2014/main" id="{6DA45262-3615-411F-8D4A-6F6DCD4034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4" name="Elipse 7513">
          <a:extLst>
            <a:ext uri="{FF2B5EF4-FFF2-40B4-BE49-F238E27FC236}">
              <a16:creationId xmlns:a16="http://schemas.microsoft.com/office/drawing/2014/main" id="{C4A2D14C-A89B-4480-A60C-2BFEF3B3C5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5" name="Elipse 7514">
          <a:extLst>
            <a:ext uri="{FF2B5EF4-FFF2-40B4-BE49-F238E27FC236}">
              <a16:creationId xmlns:a16="http://schemas.microsoft.com/office/drawing/2014/main" id="{8CA36938-874C-48D8-B17C-09483F9450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6" name="Elipse 7515">
          <a:extLst>
            <a:ext uri="{FF2B5EF4-FFF2-40B4-BE49-F238E27FC236}">
              <a16:creationId xmlns:a16="http://schemas.microsoft.com/office/drawing/2014/main" id="{3D38CE55-BEA5-4542-BAB3-F04B871C85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7" name="Elipse 7516">
          <a:extLst>
            <a:ext uri="{FF2B5EF4-FFF2-40B4-BE49-F238E27FC236}">
              <a16:creationId xmlns:a16="http://schemas.microsoft.com/office/drawing/2014/main" id="{9CCCBADE-26F3-4FFF-A6CF-96DCA9AE12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8" name="Elipse 7517">
          <a:extLst>
            <a:ext uri="{FF2B5EF4-FFF2-40B4-BE49-F238E27FC236}">
              <a16:creationId xmlns:a16="http://schemas.microsoft.com/office/drawing/2014/main" id="{6C7D10AE-6C43-4B69-89E3-3D73BBADE4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19" name="Elipse 7518">
          <a:extLst>
            <a:ext uri="{FF2B5EF4-FFF2-40B4-BE49-F238E27FC236}">
              <a16:creationId xmlns:a16="http://schemas.microsoft.com/office/drawing/2014/main" id="{EDC8BF1F-6667-420B-9166-243D2A124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0" name="Elipse 7519">
          <a:extLst>
            <a:ext uri="{FF2B5EF4-FFF2-40B4-BE49-F238E27FC236}">
              <a16:creationId xmlns:a16="http://schemas.microsoft.com/office/drawing/2014/main" id="{1702C788-25FC-4541-A469-43171E9C5C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1" name="Elipse 7520">
          <a:extLst>
            <a:ext uri="{FF2B5EF4-FFF2-40B4-BE49-F238E27FC236}">
              <a16:creationId xmlns:a16="http://schemas.microsoft.com/office/drawing/2014/main" id="{DCD0EE1C-11A2-401C-9B01-9B836199AD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2" name="Elipse 7521">
          <a:extLst>
            <a:ext uri="{FF2B5EF4-FFF2-40B4-BE49-F238E27FC236}">
              <a16:creationId xmlns:a16="http://schemas.microsoft.com/office/drawing/2014/main" id="{6F3C9FD8-0803-4E44-AB3F-4C34BD06F7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3" name="Elipse 7522">
          <a:extLst>
            <a:ext uri="{FF2B5EF4-FFF2-40B4-BE49-F238E27FC236}">
              <a16:creationId xmlns:a16="http://schemas.microsoft.com/office/drawing/2014/main" id="{EBBBF76E-E24A-47B7-ADBD-5B20A840B1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4" name="Elipse 7523">
          <a:extLst>
            <a:ext uri="{FF2B5EF4-FFF2-40B4-BE49-F238E27FC236}">
              <a16:creationId xmlns:a16="http://schemas.microsoft.com/office/drawing/2014/main" id="{6A0FD643-6B6E-418C-86A1-4BB299FACA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5" name="Elipse 7524">
          <a:extLst>
            <a:ext uri="{FF2B5EF4-FFF2-40B4-BE49-F238E27FC236}">
              <a16:creationId xmlns:a16="http://schemas.microsoft.com/office/drawing/2014/main" id="{1A8E5950-FC17-462B-8BF6-A29320F894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6" name="Elipse 7525">
          <a:extLst>
            <a:ext uri="{FF2B5EF4-FFF2-40B4-BE49-F238E27FC236}">
              <a16:creationId xmlns:a16="http://schemas.microsoft.com/office/drawing/2014/main" id="{8927A36D-41D4-4CAE-BFF0-E2BA13BEC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7" name="Elipse 7526">
          <a:extLst>
            <a:ext uri="{FF2B5EF4-FFF2-40B4-BE49-F238E27FC236}">
              <a16:creationId xmlns:a16="http://schemas.microsoft.com/office/drawing/2014/main" id="{2052407A-3BF2-4312-932E-4C265C028D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8" name="Elipse 7527">
          <a:extLst>
            <a:ext uri="{FF2B5EF4-FFF2-40B4-BE49-F238E27FC236}">
              <a16:creationId xmlns:a16="http://schemas.microsoft.com/office/drawing/2014/main" id="{C7CCCD2B-598F-4B75-B864-608A8CEE84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29" name="Elipse 7528">
          <a:extLst>
            <a:ext uri="{FF2B5EF4-FFF2-40B4-BE49-F238E27FC236}">
              <a16:creationId xmlns:a16="http://schemas.microsoft.com/office/drawing/2014/main" id="{B375C157-A8FF-4658-BF4B-F378CFF360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0" name="Elipse 7529">
          <a:extLst>
            <a:ext uri="{FF2B5EF4-FFF2-40B4-BE49-F238E27FC236}">
              <a16:creationId xmlns:a16="http://schemas.microsoft.com/office/drawing/2014/main" id="{F97E08A1-6211-4832-8732-3FB4BE1736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1" name="Elipse 7530">
          <a:extLst>
            <a:ext uri="{FF2B5EF4-FFF2-40B4-BE49-F238E27FC236}">
              <a16:creationId xmlns:a16="http://schemas.microsoft.com/office/drawing/2014/main" id="{F77BE2E4-2B11-4EF8-9B39-58A81150E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2" name="Elipse 7531">
          <a:extLst>
            <a:ext uri="{FF2B5EF4-FFF2-40B4-BE49-F238E27FC236}">
              <a16:creationId xmlns:a16="http://schemas.microsoft.com/office/drawing/2014/main" id="{58B7481D-B8D5-4319-804B-B7507B2FA1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3" name="Elipse 7532">
          <a:extLst>
            <a:ext uri="{FF2B5EF4-FFF2-40B4-BE49-F238E27FC236}">
              <a16:creationId xmlns:a16="http://schemas.microsoft.com/office/drawing/2014/main" id="{AC639EBA-12A8-4EBE-A0DB-38A208CF32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4" name="Elipse 7533">
          <a:extLst>
            <a:ext uri="{FF2B5EF4-FFF2-40B4-BE49-F238E27FC236}">
              <a16:creationId xmlns:a16="http://schemas.microsoft.com/office/drawing/2014/main" id="{4892F973-CE76-4F7A-BF26-6B62D96009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5" name="Elipse 7534">
          <a:extLst>
            <a:ext uri="{FF2B5EF4-FFF2-40B4-BE49-F238E27FC236}">
              <a16:creationId xmlns:a16="http://schemas.microsoft.com/office/drawing/2014/main" id="{58BD2A9F-94D8-4423-BD26-2389B1F693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6" name="Elipse 7535">
          <a:extLst>
            <a:ext uri="{FF2B5EF4-FFF2-40B4-BE49-F238E27FC236}">
              <a16:creationId xmlns:a16="http://schemas.microsoft.com/office/drawing/2014/main" id="{EB08CBFC-DF8A-48DE-95D3-9767A01AE7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7" name="Elipse 7536">
          <a:extLst>
            <a:ext uri="{FF2B5EF4-FFF2-40B4-BE49-F238E27FC236}">
              <a16:creationId xmlns:a16="http://schemas.microsoft.com/office/drawing/2014/main" id="{F1D0D38D-3D61-464E-AC33-E89165B81F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8" name="Elipse 7537">
          <a:extLst>
            <a:ext uri="{FF2B5EF4-FFF2-40B4-BE49-F238E27FC236}">
              <a16:creationId xmlns:a16="http://schemas.microsoft.com/office/drawing/2014/main" id="{CD775DC0-2F4B-41D5-92CD-58BC0460DA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39" name="Elipse 7538">
          <a:extLst>
            <a:ext uri="{FF2B5EF4-FFF2-40B4-BE49-F238E27FC236}">
              <a16:creationId xmlns:a16="http://schemas.microsoft.com/office/drawing/2014/main" id="{A6F4B73A-D08E-4B29-8DA4-87301C2F1F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0" name="Elipse 7539">
          <a:extLst>
            <a:ext uri="{FF2B5EF4-FFF2-40B4-BE49-F238E27FC236}">
              <a16:creationId xmlns:a16="http://schemas.microsoft.com/office/drawing/2014/main" id="{FF189E55-49AA-4923-9B2E-CC0480B843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1" name="Elipse 7540">
          <a:extLst>
            <a:ext uri="{FF2B5EF4-FFF2-40B4-BE49-F238E27FC236}">
              <a16:creationId xmlns:a16="http://schemas.microsoft.com/office/drawing/2014/main" id="{08EE37C7-89FA-4230-848F-A4221B35E2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2" name="Elipse 7541">
          <a:extLst>
            <a:ext uri="{FF2B5EF4-FFF2-40B4-BE49-F238E27FC236}">
              <a16:creationId xmlns:a16="http://schemas.microsoft.com/office/drawing/2014/main" id="{BFA13D41-C5C3-4F62-812F-CD81C9775D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3" name="Elipse 7542">
          <a:extLst>
            <a:ext uri="{FF2B5EF4-FFF2-40B4-BE49-F238E27FC236}">
              <a16:creationId xmlns:a16="http://schemas.microsoft.com/office/drawing/2014/main" id="{D1ABFF0E-CBAB-4808-9569-6177A38242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4" name="Elipse 7543">
          <a:extLst>
            <a:ext uri="{FF2B5EF4-FFF2-40B4-BE49-F238E27FC236}">
              <a16:creationId xmlns:a16="http://schemas.microsoft.com/office/drawing/2014/main" id="{999A6FD6-1E5C-4E21-9B0B-AC9E9D5F1D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5" name="Elipse 7544">
          <a:extLst>
            <a:ext uri="{FF2B5EF4-FFF2-40B4-BE49-F238E27FC236}">
              <a16:creationId xmlns:a16="http://schemas.microsoft.com/office/drawing/2014/main" id="{F5327587-655B-427A-9A81-A08804B3E3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6" name="Elipse 7545">
          <a:extLst>
            <a:ext uri="{FF2B5EF4-FFF2-40B4-BE49-F238E27FC236}">
              <a16:creationId xmlns:a16="http://schemas.microsoft.com/office/drawing/2014/main" id="{023CB1C7-6D4D-4265-96D5-89ECFC8B04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7" name="Elipse 7546">
          <a:extLst>
            <a:ext uri="{FF2B5EF4-FFF2-40B4-BE49-F238E27FC236}">
              <a16:creationId xmlns:a16="http://schemas.microsoft.com/office/drawing/2014/main" id="{CF022D5E-9F0C-4102-ABAB-39AE324EA1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8" name="Elipse 7547">
          <a:extLst>
            <a:ext uri="{FF2B5EF4-FFF2-40B4-BE49-F238E27FC236}">
              <a16:creationId xmlns:a16="http://schemas.microsoft.com/office/drawing/2014/main" id="{DD83DD9E-DD8C-4992-96F7-93DC0E3A75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49" name="Elipse 7548">
          <a:extLst>
            <a:ext uri="{FF2B5EF4-FFF2-40B4-BE49-F238E27FC236}">
              <a16:creationId xmlns:a16="http://schemas.microsoft.com/office/drawing/2014/main" id="{480CB5B3-0396-4104-89B8-42E4DBDA7A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0" name="Elipse 7549">
          <a:extLst>
            <a:ext uri="{FF2B5EF4-FFF2-40B4-BE49-F238E27FC236}">
              <a16:creationId xmlns:a16="http://schemas.microsoft.com/office/drawing/2014/main" id="{B1BB346C-E13B-4553-A260-B4D84B4D1F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1" name="Elipse 7550">
          <a:extLst>
            <a:ext uri="{FF2B5EF4-FFF2-40B4-BE49-F238E27FC236}">
              <a16:creationId xmlns:a16="http://schemas.microsoft.com/office/drawing/2014/main" id="{36B9F171-4D42-433E-9B67-149BF1DF89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2" name="Elipse 7551">
          <a:extLst>
            <a:ext uri="{FF2B5EF4-FFF2-40B4-BE49-F238E27FC236}">
              <a16:creationId xmlns:a16="http://schemas.microsoft.com/office/drawing/2014/main" id="{7079C4ED-6CA2-42B6-9102-665B985CDE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3" name="Elipse 7552">
          <a:extLst>
            <a:ext uri="{FF2B5EF4-FFF2-40B4-BE49-F238E27FC236}">
              <a16:creationId xmlns:a16="http://schemas.microsoft.com/office/drawing/2014/main" id="{ED89138C-EC95-491F-A9CA-0642B39248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4" name="Elipse 7553">
          <a:extLst>
            <a:ext uri="{FF2B5EF4-FFF2-40B4-BE49-F238E27FC236}">
              <a16:creationId xmlns:a16="http://schemas.microsoft.com/office/drawing/2014/main" id="{66FC14B3-2E79-4194-B06C-25C09629D8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5" name="Elipse 7554">
          <a:extLst>
            <a:ext uri="{FF2B5EF4-FFF2-40B4-BE49-F238E27FC236}">
              <a16:creationId xmlns:a16="http://schemas.microsoft.com/office/drawing/2014/main" id="{BC526FAD-B314-4E62-A745-E032409A8C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6" name="Elipse 7555">
          <a:extLst>
            <a:ext uri="{FF2B5EF4-FFF2-40B4-BE49-F238E27FC236}">
              <a16:creationId xmlns:a16="http://schemas.microsoft.com/office/drawing/2014/main" id="{8235E037-2593-46CA-943F-89326B6CDF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7" name="Elipse 7556">
          <a:extLst>
            <a:ext uri="{FF2B5EF4-FFF2-40B4-BE49-F238E27FC236}">
              <a16:creationId xmlns:a16="http://schemas.microsoft.com/office/drawing/2014/main" id="{EF99E590-C9F4-483E-9FB8-E34A7DC902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8" name="Elipse 7557">
          <a:extLst>
            <a:ext uri="{FF2B5EF4-FFF2-40B4-BE49-F238E27FC236}">
              <a16:creationId xmlns:a16="http://schemas.microsoft.com/office/drawing/2014/main" id="{E59386DA-DEF3-4F9D-A372-C900C9DF82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59" name="Elipse 7558">
          <a:extLst>
            <a:ext uri="{FF2B5EF4-FFF2-40B4-BE49-F238E27FC236}">
              <a16:creationId xmlns:a16="http://schemas.microsoft.com/office/drawing/2014/main" id="{A07161F3-D9C0-450B-BA48-F5A457BDFA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0" name="Elipse 7559">
          <a:extLst>
            <a:ext uri="{FF2B5EF4-FFF2-40B4-BE49-F238E27FC236}">
              <a16:creationId xmlns:a16="http://schemas.microsoft.com/office/drawing/2014/main" id="{39D4582B-F2A0-4981-80AF-87B6F2A553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1" name="Elipse 7560">
          <a:extLst>
            <a:ext uri="{FF2B5EF4-FFF2-40B4-BE49-F238E27FC236}">
              <a16:creationId xmlns:a16="http://schemas.microsoft.com/office/drawing/2014/main" id="{1D77E731-43CA-46FC-94AA-6574AE83A1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2" name="Elipse 7561">
          <a:extLst>
            <a:ext uri="{FF2B5EF4-FFF2-40B4-BE49-F238E27FC236}">
              <a16:creationId xmlns:a16="http://schemas.microsoft.com/office/drawing/2014/main" id="{857227F4-567D-4369-BDD5-CDE313E459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3" name="Elipse 7562">
          <a:extLst>
            <a:ext uri="{FF2B5EF4-FFF2-40B4-BE49-F238E27FC236}">
              <a16:creationId xmlns:a16="http://schemas.microsoft.com/office/drawing/2014/main" id="{B9BEC033-3C5F-4AAD-95E7-8B8D9E01A5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4" name="Elipse 7563">
          <a:extLst>
            <a:ext uri="{FF2B5EF4-FFF2-40B4-BE49-F238E27FC236}">
              <a16:creationId xmlns:a16="http://schemas.microsoft.com/office/drawing/2014/main" id="{10883FBD-6FCB-4E74-9D23-38020F4781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5" name="Elipse 7564">
          <a:extLst>
            <a:ext uri="{FF2B5EF4-FFF2-40B4-BE49-F238E27FC236}">
              <a16:creationId xmlns:a16="http://schemas.microsoft.com/office/drawing/2014/main" id="{17AC607C-265A-4A86-A9AE-37822EED17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6" name="Elipse 7565">
          <a:extLst>
            <a:ext uri="{FF2B5EF4-FFF2-40B4-BE49-F238E27FC236}">
              <a16:creationId xmlns:a16="http://schemas.microsoft.com/office/drawing/2014/main" id="{8211B027-8C00-4796-AD84-C78867E3BB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7" name="Elipse 7566">
          <a:extLst>
            <a:ext uri="{FF2B5EF4-FFF2-40B4-BE49-F238E27FC236}">
              <a16:creationId xmlns:a16="http://schemas.microsoft.com/office/drawing/2014/main" id="{17AF3453-86AD-4D8C-8EFB-C5417BE111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8" name="Elipse 7567">
          <a:extLst>
            <a:ext uri="{FF2B5EF4-FFF2-40B4-BE49-F238E27FC236}">
              <a16:creationId xmlns:a16="http://schemas.microsoft.com/office/drawing/2014/main" id="{923676AD-0BE2-4EB6-B3F8-585E574106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69" name="Elipse 7568">
          <a:extLst>
            <a:ext uri="{FF2B5EF4-FFF2-40B4-BE49-F238E27FC236}">
              <a16:creationId xmlns:a16="http://schemas.microsoft.com/office/drawing/2014/main" id="{3B3AA7D2-3E07-4FAD-A4FA-4D2DE28064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0" name="Elipse 7569">
          <a:extLst>
            <a:ext uri="{FF2B5EF4-FFF2-40B4-BE49-F238E27FC236}">
              <a16:creationId xmlns:a16="http://schemas.microsoft.com/office/drawing/2014/main" id="{2814A8F1-EB79-4D08-A6DA-7F33E5FEA9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1" name="Elipse 7570">
          <a:extLst>
            <a:ext uri="{FF2B5EF4-FFF2-40B4-BE49-F238E27FC236}">
              <a16:creationId xmlns:a16="http://schemas.microsoft.com/office/drawing/2014/main" id="{E2B49C6B-9F0F-4D62-85BA-E83078B59F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2" name="Elipse 7571">
          <a:extLst>
            <a:ext uri="{FF2B5EF4-FFF2-40B4-BE49-F238E27FC236}">
              <a16:creationId xmlns:a16="http://schemas.microsoft.com/office/drawing/2014/main" id="{7225CF77-23A7-4EB7-94CA-4C779F3B7E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3" name="Elipse 7572">
          <a:extLst>
            <a:ext uri="{FF2B5EF4-FFF2-40B4-BE49-F238E27FC236}">
              <a16:creationId xmlns:a16="http://schemas.microsoft.com/office/drawing/2014/main" id="{0066F57A-9221-4582-A5C2-A2F21B2824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4" name="Elipse 7573">
          <a:extLst>
            <a:ext uri="{FF2B5EF4-FFF2-40B4-BE49-F238E27FC236}">
              <a16:creationId xmlns:a16="http://schemas.microsoft.com/office/drawing/2014/main" id="{C70D8599-60B9-4C69-82B1-488D27289B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5" name="Elipse 7574">
          <a:extLst>
            <a:ext uri="{FF2B5EF4-FFF2-40B4-BE49-F238E27FC236}">
              <a16:creationId xmlns:a16="http://schemas.microsoft.com/office/drawing/2014/main" id="{22E27A5E-F988-405A-B766-39EE544013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6" name="Elipse 7575">
          <a:extLst>
            <a:ext uri="{FF2B5EF4-FFF2-40B4-BE49-F238E27FC236}">
              <a16:creationId xmlns:a16="http://schemas.microsoft.com/office/drawing/2014/main" id="{8BE4A8F0-4E6E-443F-84DA-3EC08EBB8C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7" name="Elipse 7576">
          <a:extLst>
            <a:ext uri="{FF2B5EF4-FFF2-40B4-BE49-F238E27FC236}">
              <a16:creationId xmlns:a16="http://schemas.microsoft.com/office/drawing/2014/main" id="{3E849927-A9F7-4D54-B138-F037298C5A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8" name="Elipse 7577">
          <a:extLst>
            <a:ext uri="{FF2B5EF4-FFF2-40B4-BE49-F238E27FC236}">
              <a16:creationId xmlns:a16="http://schemas.microsoft.com/office/drawing/2014/main" id="{8539BD59-DE55-4F20-BAEF-00C5D0038A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79" name="Elipse 7578">
          <a:extLst>
            <a:ext uri="{FF2B5EF4-FFF2-40B4-BE49-F238E27FC236}">
              <a16:creationId xmlns:a16="http://schemas.microsoft.com/office/drawing/2014/main" id="{2E624769-6460-4375-A0A8-4BF3D4CD66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0" name="Elipse 7579">
          <a:extLst>
            <a:ext uri="{FF2B5EF4-FFF2-40B4-BE49-F238E27FC236}">
              <a16:creationId xmlns:a16="http://schemas.microsoft.com/office/drawing/2014/main" id="{AEAD66B8-999B-4827-84CC-31B9327F9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1" name="Elipse 7580">
          <a:extLst>
            <a:ext uri="{FF2B5EF4-FFF2-40B4-BE49-F238E27FC236}">
              <a16:creationId xmlns:a16="http://schemas.microsoft.com/office/drawing/2014/main" id="{11892828-F8F6-4A7F-BD2D-DD95571B4B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2" name="Elipse 7581">
          <a:extLst>
            <a:ext uri="{FF2B5EF4-FFF2-40B4-BE49-F238E27FC236}">
              <a16:creationId xmlns:a16="http://schemas.microsoft.com/office/drawing/2014/main" id="{212A70E6-BB08-4FCB-AAF9-8AC7698E15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3" name="Elipse 7582">
          <a:extLst>
            <a:ext uri="{FF2B5EF4-FFF2-40B4-BE49-F238E27FC236}">
              <a16:creationId xmlns:a16="http://schemas.microsoft.com/office/drawing/2014/main" id="{EBE6A801-C925-4B09-8852-8CEDFFBD9C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4" name="Elipse 7583">
          <a:extLst>
            <a:ext uri="{FF2B5EF4-FFF2-40B4-BE49-F238E27FC236}">
              <a16:creationId xmlns:a16="http://schemas.microsoft.com/office/drawing/2014/main" id="{03BBF202-9101-4DEA-A0B1-AED2547773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5" name="Elipse 7584">
          <a:extLst>
            <a:ext uri="{FF2B5EF4-FFF2-40B4-BE49-F238E27FC236}">
              <a16:creationId xmlns:a16="http://schemas.microsoft.com/office/drawing/2014/main" id="{1A6EA4A4-0648-439C-937D-B7A82C9D3A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6" name="Elipse 7585">
          <a:extLst>
            <a:ext uri="{FF2B5EF4-FFF2-40B4-BE49-F238E27FC236}">
              <a16:creationId xmlns:a16="http://schemas.microsoft.com/office/drawing/2014/main" id="{16B4CCF5-0282-4B34-9772-1AE61222FB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7" name="Elipse 7586">
          <a:extLst>
            <a:ext uri="{FF2B5EF4-FFF2-40B4-BE49-F238E27FC236}">
              <a16:creationId xmlns:a16="http://schemas.microsoft.com/office/drawing/2014/main" id="{5703CFA6-278F-4798-B91C-F45A3779EC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8" name="Elipse 7587">
          <a:extLst>
            <a:ext uri="{FF2B5EF4-FFF2-40B4-BE49-F238E27FC236}">
              <a16:creationId xmlns:a16="http://schemas.microsoft.com/office/drawing/2014/main" id="{0AD61BC2-DFDD-4366-BE3E-877D2DF91B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89" name="Elipse 7588">
          <a:extLst>
            <a:ext uri="{FF2B5EF4-FFF2-40B4-BE49-F238E27FC236}">
              <a16:creationId xmlns:a16="http://schemas.microsoft.com/office/drawing/2014/main" id="{BCAC4947-52D8-47B2-87CD-36EC6E9E21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0" name="Elipse 7589">
          <a:extLst>
            <a:ext uri="{FF2B5EF4-FFF2-40B4-BE49-F238E27FC236}">
              <a16:creationId xmlns:a16="http://schemas.microsoft.com/office/drawing/2014/main" id="{3E285A07-30BD-4730-A5E6-196878616A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1" name="Elipse 7590">
          <a:extLst>
            <a:ext uri="{FF2B5EF4-FFF2-40B4-BE49-F238E27FC236}">
              <a16:creationId xmlns:a16="http://schemas.microsoft.com/office/drawing/2014/main" id="{2FC4D6BF-77DE-482A-A8E1-AC68732D6F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2" name="Elipse 7591">
          <a:extLst>
            <a:ext uri="{FF2B5EF4-FFF2-40B4-BE49-F238E27FC236}">
              <a16:creationId xmlns:a16="http://schemas.microsoft.com/office/drawing/2014/main" id="{E8F0DE2E-B045-44C9-A2A1-62A2FFE1DA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3" name="Elipse 7592">
          <a:extLst>
            <a:ext uri="{FF2B5EF4-FFF2-40B4-BE49-F238E27FC236}">
              <a16:creationId xmlns:a16="http://schemas.microsoft.com/office/drawing/2014/main" id="{2EF6A099-7D75-407F-8E24-8D5D4B894B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4" name="Elipse 7593">
          <a:extLst>
            <a:ext uri="{FF2B5EF4-FFF2-40B4-BE49-F238E27FC236}">
              <a16:creationId xmlns:a16="http://schemas.microsoft.com/office/drawing/2014/main" id="{2C96AFA7-765C-4338-9039-3354298D40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5" name="Elipse 7594">
          <a:extLst>
            <a:ext uri="{FF2B5EF4-FFF2-40B4-BE49-F238E27FC236}">
              <a16:creationId xmlns:a16="http://schemas.microsoft.com/office/drawing/2014/main" id="{E99DDBC8-337D-42FC-AC41-B01DD9C39F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6" name="Elipse 7595">
          <a:extLst>
            <a:ext uri="{FF2B5EF4-FFF2-40B4-BE49-F238E27FC236}">
              <a16:creationId xmlns:a16="http://schemas.microsoft.com/office/drawing/2014/main" id="{79195A40-6AFB-499F-96D0-897CFE9B53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7" name="Elipse 7596">
          <a:extLst>
            <a:ext uri="{FF2B5EF4-FFF2-40B4-BE49-F238E27FC236}">
              <a16:creationId xmlns:a16="http://schemas.microsoft.com/office/drawing/2014/main" id="{D038B0D7-662C-47DA-A3D7-A8620E0464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8" name="Elipse 7597">
          <a:extLst>
            <a:ext uri="{FF2B5EF4-FFF2-40B4-BE49-F238E27FC236}">
              <a16:creationId xmlns:a16="http://schemas.microsoft.com/office/drawing/2014/main" id="{F072D7F3-8CE3-4A19-9CCA-29E531EC70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599" name="Elipse 7598">
          <a:extLst>
            <a:ext uri="{FF2B5EF4-FFF2-40B4-BE49-F238E27FC236}">
              <a16:creationId xmlns:a16="http://schemas.microsoft.com/office/drawing/2014/main" id="{74C32EBD-B2CB-48BA-9629-686C607B83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0" name="Elipse 7599">
          <a:extLst>
            <a:ext uri="{FF2B5EF4-FFF2-40B4-BE49-F238E27FC236}">
              <a16:creationId xmlns:a16="http://schemas.microsoft.com/office/drawing/2014/main" id="{802E06DB-B769-43FC-93C2-890F971467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1" name="Elipse 7600">
          <a:extLst>
            <a:ext uri="{FF2B5EF4-FFF2-40B4-BE49-F238E27FC236}">
              <a16:creationId xmlns:a16="http://schemas.microsoft.com/office/drawing/2014/main" id="{C59F3696-4886-494B-B2A2-DD4E090F3A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2" name="Elipse 7601">
          <a:extLst>
            <a:ext uri="{FF2B5EF4-FFF2-40B4-BE49-F238E27FC236}">
              <a16:creationId xmlns:a16="http://schemas.microsoft.com/office/drawing/2014/main" id="{0AE2D3DC-75ED-4536-ACB6-87E238EA81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3" name="Elipse 7602">
          <a:extLst>
            <a:ext uri="{FF2B5EF4-FFF2-40B4-BE49-F238E27FC236}">
              <a16:creationId xmlns:a16="http://schemas.microsoft.com/office/drawing/2014/main" id="{83CD0D7F-6ED3-48B1-A507-935FF574A9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4" name="Elipse 7603">
          <a:extLst>
            <a:ext uri="{FF2B5EF4-FFF2-40B4-BE49-F238E27FC236}">
              <a16:creationId xmlns:a16="http://schemas.microsoft.com/office/drawing/2014/main" id="{5D0DFA65-C0B5-49DB-AB51-9BBE5A31AB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5" name="Elipse 7604">
          <a:extLst>
            <a:ext uri="{FF2B5EF4-FFF2-40B4-BE49-F238E27FC236}">
              <a16:creationId xmlns:a16="http://schemas.microsoft.com/office/drawing/2014/main" id="{DE6232DA-FA80-4B82-B6AC-1067B582B1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6" name="Elipse 7605">
          <a:extLst>
            <a:ext uri="{FF2B5EF4-FFF2-40B4-BE49-F238E27FC236}">
              <a16:creationId xmlns:a16="http://schemas.microsoft.com/office/drawing/2014/main" id="{E1CE6454-68AC-4281-B273-E3B97674CF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7" name="Elipse 7606">
          <a:extLst>
            <a:ext uri="{FF2B5EF4-FFF2-40B4-BE49-F238E27FC236}">
              <a16:creationId xmlns:a16="http://schemas.microsoft.com/office/drawing/2014/main" id="{0DA2BB12-7A8A-49CD-A5D7-FCB18642D2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8" name="Elipse 7607">
          <a:extLst>
            <a:ext uri="{FF2B5EF4-FFF2-40B4-BE49-F238E27FC236}">
              <a16:creationId xmlns:a16="http://schemas.microsoft.com/office/drawing/2014/main" id="{CC47BD6B-B36F-46D7-B67E-A093E84ED4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09" name="Elipse 7608">
          <a:extLst>
            <a:ext uri="{FF2B5EF4-FFF2-40B4-BE49-F238E27FC236}">
              <a16:creationId xmlns:a16="http://schemas.microsoft.com/office/drawing/2014/main" id="{288BA169-05E4-440D-99D0-C1FADD2562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0" name="Elipse 7609">
          <a:extLst>
            <a:ext uri="{FF2B5EF4-FFF2-40B4-BE49-F238E27FC236}">
              <a16:creationId xmlns:a16="http://schemas.microsoft.com/office/drawing/2014/main" id="{14607F2C-2034-477E-83CE-AFC1E25A3C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1" name="Elipse 7610">
          <a:extLst>
            <a:ext uri="{FF2B5EF4-FFF2-40B4-BE49-F238E27FC236}">
              <a16:creationId xmlns:a16="http://schemas.microsoft.com/office/drawing/2014/main" id="{47E72D84-12D0-45E4-8F09-2BCC4FC3C0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2" name="Elipse 7611">
          <a:extLst>
            <a:ext uri="{FF2B5EF4-FFF2-40B4-BE49-F238E27FC236}">
              <a16:creationId xmlns:a16="http://schemas.microsoft.com/office/drawing/2014/main" id="{569FD2F1-8F8E-4E94-8EBA-48BA1455AD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3" name="Elipse 7612">
          <a:extLst>
            <a:ext uri="{FF2B5EF4-FFF2-40B4-BE49-F238E27FC236}">
              <a16:creationId xmlns:a16="http://schemas.microsoft.com/office/drawing/2014/main" id="{32F18661-BF16-466D-A5E7-089DFA7D56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4" name="Elipse 7613">
          <a:extLst>
            <a:ext uri="{FF2B5EF4-FFF2-40B4-BE49-F238E27FC236}">
              <a16:creationId xmlns:a16="http://schemas.microsoft.com/office/drawing/2014/main" id="{BC31F86F-4439-4C0D-9EF9-C2F342B7DF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5" name="Elipse 7614">
          <a:extLst>
            <a:ext uri="{FF2B5EF4-FFF2-40B4-BE49-F238E27FC236}">
              <a16:creationId xmlns:a16="http://schemas.microsoft.com/office/drawing/2014/main" id="{7944F44C-6845-4E11-99BB-D220F189B4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6" name="Elipse 7615">
          <a:extLst>
            <a:ext uri="{FF2B5EF4-FFF2-40B4-BE49-F238E27FC236}">
              <a16:creationId xmlns:a16="http://schemas.microsoft.com/office/drawing/2014/main" id="{575A7D55-7682-4AD9-9284-1BD4EB12B2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7" name="Elipse 7616">
          <a:extLst>
            <a:ext uri="{FF2B5EF4-FFF2-40B4-BE49-F238E27FC236}">
              <a16:creationId xmlns:a16="http://schemas.microsoft.com/office/drawing/2014/main" id="{5C5845C7-D712-41B3-9F64-E2330EB40C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8" name="Elipse 7617">
          <a:extLst>
            <a:ext uri="{FF2B5EF4-FFF2-40B4-BE49-F238E27FC236}">
              <a16:creationId xmlns:a16="http://schemas.microsoft.com/office/drawing/2014/main" id="{5C0ADDDE-7F63-4EC3-850D-D7D47C2F8C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19" name="Elipse 7618">
          <a:extLst>
            <a:ext uri="{FF2B5EF4-FFF2-40B4-BE49-F238E27FC236}">
              <a16:creationId xmlns:a16="http://schemas.microsoft.com/office/drawing/2014/main" id="{8263DD48-AA26-463C-B7A5-7D571768D0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0" name="Elipse 7619">
          <a:extLst>
            <a:ext uri="{FF2B5EF4-FFF2-40B4-BE49-F238E27FC236}">
              <a16:creationId xmlns:a16="http://schemas.microsoft.com/office/drawing/2014/main" id="{1AB2E285-B12B-4F0E-BBD1-8C15777B03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1" name="Elipse 7620">
          <a:extLst>
            <a:ext uri="{FF2B5EF4-FFF2-40B4-BE49-F238E27FC236}">
              <a16:creationId xmlns:a16="http://schemas.microsoft.com/office/drawing/2014/main" id="{51938893-8239-42E1-98BB-316837315C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2" name="Elipse 7621">
          <a:extLst>
            <a:ext uri="{FF2B5EF4-FFF2-40B4-BE49-F238E27FC236}">
              <a16:creationId xmlns:a16="http://schemas.microsoft.com/office/drawing/2014/main" id="{9F4E83DF-E41B-4F6B-A988-A3EFD80BCD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3" name="Elipse 7622">
          <a:extLst>
            <a:ext uri="{FF2B5EF4-FFF2-40B4-BE49-F238E27FC236}">
              <a16:creationId xmlns:a16="http://schemas.microsoft.com/office/drawing/2014/main" id="{374852AE-AE5E-47D7-B88A-3C27FE7D8C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4" name="Elipse 7623">
          <a:extLst>
            <a:ext uri="{FF2B5EF4-FFF2-40B4-BE49-F238E27FC236}">
              <a16:creationId xmlns:a16="http://schemas.microsoft.com/office/drawing/2014/main" id="{6A877B78-7ACC-4308-BBB7-41C8EFD4BF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5" name="Elipse 7624">
          <a:extLst>
            <a:ext uri="{FF2B5EF4-FFF2-40B4-BE49-F238E27FC236}">
              <a16:creationId xmlns:a16="http://schemas.microsoft.com/office/drawing/2014/main" id="{4CAA66B3-8E92-46C6-8150-7996FEE2C9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6" name="Elipse 7625">
          <a:extLst>
            <a:ext uri="{FF2B5EF4-FFF2-40B4-BE49-F238E27FC236}">
              <a16:creationId xmlns:a16="http://schemas.microsoft.com/office/drawing/2014/main" id="{F920D88B-8DCF-41BE-8699-C8B5987651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7" name="Elipse 7626">
          <a:extLst>
            <a:ext uri="{FF2B5EF4-FFF2-40B4-BE49-F238E27FC236}">
              <a16:creationId xmlns:a16="http://schemas.microsoft.com/office/drawing/2014/main" id="{C0BCA09E-9787-46C3-936C-B42F75B276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8" name="Elipse 7627">
          <a:extLst>
            <a:ext uri="{FF2B5EF4-FFF2-40B4-BE49-F238E27FC236}">
              <a16:creationId xmlns:a16="http://schemas.microsoft.com/office/drawing/2014/main" id="{14A2E643-F397-4EBD-9FF4-2EC3BFFF7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29" name="Elipse 7628">
          <a:extLst>
            <a:ext uri="{FF2B5EF4-FFF2-40B4-BE49-F238E27FC236}">
              <a16:creationId xmlns:a16="http://schemas.microsoft.com/office/drawing/2014/main" id="{BB374359-9407-4A97-A8E8-C4A856ED0E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0" name="Elipse 7629">
          <a:extLst>
            <a:ext uri="{FF2B5EF4-FFF2-40B4-BE49-F238E27FC236}">
              <a16:creationId xmlns:a16="http://schemas.microsoft.com/office/drawing/2014/main" id="{F41390C1-B9AA-4EC0-B828-AB46E5CACF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1" name="Elipse 7630">
          <a:extLst>
            <a:ext uri="{FF2B5EF4-FFF2-40B4-BE49-F238E27FC236}">
              <a16:creationId xmlns:a16="http://schemas.microsoft.com/office/drawing/2014/main" id="{B2C6C677-5D73-4491-A873-0A5C738429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2" name="Elipse 7631">
          <a:extLst>
            <a:ext uri="{FF2B5EF4-FFF2-40B4-BE49-F238E27FC236}">
              <a16:creationId xmlns:a16="http://schemas.microsoft.com/office/drawing/2014/main" id="{BBEA2DE8-93F3-4A94-BB85-9237C68965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3" name="Elipse 7632">
          <a:extLst>
            <a:ext uri="{FF2B5EF4-FFF2-40B4-BE49-F238E27FC236}">
              <a16:creationId xmlns:a16="http://schemas.microsoft.com/office/drawing/2014/main" id="{37BB003A-789F-45AC-A0D2-1E2D8E8916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4" name="Elipse 7633">
          <a:extLst>
            <a:ext uri="{FF2B5EF4-FFF2-40B4-BE49-F238E27FC236}">
              <a16:creationId xmlns:a16="http://schemas.microsoft.com/office/drawing/2014/main" id="{5A54A77B-859C-4644-AF76-8F9790F05B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5" name="Elipse 7634">
          <a:extLst>
            <a:ext uri="{FF2B5EF4-FFF2-40B4-BE49-F238E27FC236}">
              <a16:creationId xmlns:a16="http://schemas.microsoft.com/office/drawing/2014/main" id="{0DBF736C-9D10-4108-84F4-544BBD28EC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6" name="Elipse 7635">
          <a:extLst>
            <a:ext uri="{FF2B5EF4-FFF2-40B4-BE49-F238E27FC236}">
              <a16:creationId xmlns:a16="http://schemas.microsoft.com/office/drawing/2014/main" id="{9514E1D0-D0BE-4D21-ACA9-ED8A2531C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7" name="Elipse 7636">
          <a:extLst>
            <a:ext uri="{FF2B5EF4-FFF2-40B4-BE49-F238E27FC236}">
              <a16:creationId xmlns:a16="http://schemas.microsoft.com/office/drawing/2014/main" id="{F13B0338-5A90-48AC-B10D-B59FFD51E7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8" name="Elipse 7637">
          <a:extLst>
            <a:ext uri="{FF2B5EF4-FFF2-40B4-BE49-F238E27FC236}">
              <a16:creationId xmlns:a16="http://schemas.microsoft.com/office/drawing/2014/main" id="{7DBF0243-1CFF-459F-A959-33BDCFD16C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39" name="Elipse 7638">
          <a:extLst>
            <a:ext uri="{FF2B5EF4-FFF2-40B4-BE49-F238E27FC236}">
              <a16:creationId xmlns:a16="http://schemas.microsoft.com/office/drawing/2014/main" id="{79961F25-E6E2-4A48-A3FF-1CF1CD9121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0" name="Elipse 7639">
          <a:extLst>
            <a:ext uri="{FF2B5EF4-FFF2-40B4-BE49-F238E27FC236}">
              <a16:creationId xmlns:a16="http://schemas.microsoft.com/office/drawing/2014/main" id="{B221D5B7-8584-462A-9E1F-3A3419FFEA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1" name="Elipse 7640">
          <a:extLst>
            <a:ext uri="{FF2B5EF4-FFF2-40B4-BE49-F238E27FC236}">
              <a16:creationId xmlns:a16="http://schemas.microsoft.com/office/drawing/2014/main" id="{63CA7382-694A-48DF-B5DE-2D0BD5CF5C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2" name="Elipse 7641">
          <a:extLst>
            <a:ext uri="{FF2B5EF4-FFF2-40B4-BE49-F238E27FC236}">
              <a16:creationId xmlns:a16="http://schemas.microsoft.com/office/drawing/2014/main" id="{D6E889A4-CA27-40E2-BC55-E32E49A096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3" name="Elipse 7642">
          <a:extLst>
            <a:ext uri="{FF2B5EF4-FFF2-40B4-BE49-F238E27FC236}">
              <a16:creationId xmlns:a16="http://schemas.microsoft.com/office/drawing/2014/main" id="{8CF4344A-35CD-430B-82AE-3F51D5E36B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4" name="Elipse 7643">
          <a:extLst>
            <a:ext uri="{FF2B5EF4-FFF2-40B4-BE49-F238E27FC236}">
              <a16:creationId xmlns:a16="http://schemas.microsoft.com/office/drawing/2014/main" id="{F2700F3F-B28B-4486-8988-A1E0121E1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5" name="Elipse 7644">
          <a:extLst>
            <a:ext uri="{FF2B5EF4-FFF2-40B4-BE49-F238E27FC236}">
              <a16:creationId xmlns:a16="http://schemas.microsoft.com/office/drawing/2014/main" id="{9716B72B-C816-4297-9328-F24DAD3858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6" name="Elipse 7645">
          <a:extLst>
            <a:ext uri="{FF2B5EF4-FFF2-40B4-BE49-F238E27FC236}">
              <a16:creationId xmlns:a16="http://schemas.microsoft.com/office/drawing/2014/main" id="{129ECA95-3E95-4F3B-AF85-A63EE3C1BD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7" name="Elipse 7646">
          <a:extLst>
            <a:ext uri="{FF2B5EF4-FFF2-40B4-BE49-F238E27FC236}">
              <a16:creationId xmlns:a16="http://schemas.microsoft.com/office/drawing/2014/main" id="{B3A7871D-8D9B-4DEB-899F-161E6F51D4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8" name="Elipse 7647">
          <a:extLst>
            <a:ext uri="{FF2B5EF4-FFF2-40B4-BE49-F238E27FC236}">
              <a16:creationId xmlns:a16="http://schemas.microsoft.com/office/drawing/2014/main" id="{F347E1FC-9702-49CF-B593-644AA7C20C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49" name="Elipse 7648">
          <a:extLst>
            <a:ext uri="{FF2B5EF4-FFF2-40B4-BE49-F238E27FC236}">
              <a16:creationId xmlns:a16="http://schemas.microsoft.com/office/drawing/2014/main" id="{A45437C6-7790-4520-A8C8-C5DAE74100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0" name="Elipse 7649">
          <a:extLst>
            <a:ext uri="{FF2B5EF4-FFF2-40B4-BE49-F238E27FC236}">
              <a16:creationId xmlns:a16="http://schemas.microsoft.com/office/drawing/2014/main" id="{AC4E7563-3445-44B7-AA41-B9F4C43C3D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1" name="Elipse 7650">
          <a:extLst>
            <a:ext uri="{FF2B5EF4-FFF2-40B4-BE49-F238E27FC236}">
              <a16:creationId xmlns:a16="http://schemas.microsoft.com/office/drawing/2014/main" id="{6F0D85B3-604F-47BF-A15C-9C78BD4D3C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2" name="Elipse 7651">
          <a:extLst>
            <a:ext uri="{FF2B5EF4-FFF2-40B4-BE49-F238E27FC236}">
              <a16:creationId xmlns:a16="http://schemas.microsoft.com/office/drawing/2014/main" id="{3B62FA46-82DF-46A0-8772-0B070D021F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3" name="Elipse 7652">
          <a:extLst>
            <a:ext uri="{FF2B5EF4-FFF2-40B4-BE49-F238E27FC236}">
              <a16:creationId xmlns:a16="http://schemas.microsoft.com/office/drawing/2014/main" id="{86BEF8D2-5E45-4D72-A3B9-37DD496DA4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4" name="Elipse 7653">
          <a:extLst>
            <a:ext uri="{FF2B5EF4-FFF2-40B4-BE49-F238E27FC236}">
              <a16:creationId xmlns:a16="http://schemas.microsoft.com/office/drawing/2014/main" id="{855F720C-EDA2-4691-A47A-CC22FB796C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5" name="Elipse 7654">
          <a:extLst>
            <a:ext uri="{FF2B5EF4-FFF2-40B4-BE49-F238E27FC236}">
              <a16:creationId xmlns:a16="http://schemas.microsoft.com/office/drawing/2014/main" id="{BBAC822F-C354-4188-9EF6-D8A416991A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6" name="Elipse 7655">
          <a:extLst>
            <a:ext uri="{FF2B5EF4-FFF2-40B4-BE49-F238E27FC236}">
              <a16:creationId xmlns:a16="http://schemas.microsoft.com/office/drawing/2014/main" id="{24E79A08-F683-4403-8B13-FA6B5E1558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7" name="Elipse 7656">
          <a:extLst>
            <a:ext uri="{FF2B5EF4-FFF2-40B4-BE49-F238E27FC236}">
              <a16:creationId xmlns:a16="http://schemas.microsoft.com/office/drawing/2014/main" id="{C947474C-A729-44AE-A1C9-A502DFE612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8" name="Elipse 7657">
          <a:extLst>
            <a:ext uri="{FF2B5EF4-FFF2-40B4-BE49-F238E27FC236}">
              <a16:creationId xmlns:a16="http://schemas.microsoft.com/office/drawing/2014/main" id="{309BA429-492B-483F-8D88-35221E347A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59" name="Elipse 7658">
          <a:extLst>
            <a:ext uri="{FF2B5EF4-FFF2-40B4-BE49-F238E27FC236}">
              <a16:creationId xmlns:a16="http://schemas.microsoft.com/office/drawing/2014/main" id="{C87C2BDD-BEE7-41BD-AAF6-A55C45231E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0" name="Elipse 7659">
          <a:extLst>
            <a:ext uri="{FF2B5EF4-FFF2-40B4-BE49-F238E27FC236}">
              <a16:creationId xmlns:a16="http://schemas.microsoft.com/office/drawing/2014/main" id="{12655045-052E-4102-A825-33CE8E062C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1" name="Elipse 7660">
          <a:extLst>
            <a:ext uri="{FF2B5EF4-FFF2-40B4-BE49-F238E27FC236}">
              <a16:creationId xmlns:a16="http://schemas.microsoft.com/office/drawing/2014/main" id="{BE0A9A4C-9BC5-4065-B3B9-E0565F13D0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2" name="Elipse 7661">
          <a:extLst>
            <a:ext uri="{FF2B5EF4-FFF2-40B4-BE49-F238E27FC236}">
              <a16:creationId xmlns:a16="http://schemas.microsoft.com/office/drawing/2014/main" id="{955A899D-FF7E-43B1-88FB-75EBDA847D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3" name="Elipse 7662">
          <a:extLst>
            <a:ext uri="{FF2B5EF4-FFF2-40B4-BE49-F238E27FC236}">
              <a16:creationId xmlns:a16="http://schemas.microsoft.com/office/drawing/2014/main" id="{581ACB6F-25A0-48C7-8307-14FABB1CC1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4" name="Elipse 7663">
          <a:extLst>
            <a:ext uri="{FF2B5EF4-FFF2-40B4-BE49-F238E27FC236}">
              <a16:creationId xmlns:a16="http://schemas.microsoft.com/office/drawing/2014/main" id="{03EF5D04-7DFF-427E-8356-930FBD08D9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5" name="Elipse 7664">
          <a:extLst>
            <a:ext uri="{FF2B5EF4-FFF2-40B4-BE49-F238E27FC236}">
              <a16:creationId xmlns:a16="http://schemas.microsoft.com/office/drawing/2014/main" id="{2779CEEF-695E-4D19-8F57-948FBB5C6D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6" name="Elipse 7665">
          <a:extLst>
            <a:ext uri="{FF2B5EF4-FFF2-40B4-BE49-F238E27FC236}">
              <a16:creationId xmlns:a16="http://schemas.microsoft.com/office/drawing/2014/main" id="{FD879731-5807-46BE-8723-8621C0A50F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7" name="Elipse 7666">
          <a:extLst>
            <a:ext uri="{FF2B5EF4-FFF2-40B4-BE49-F238E27FC236}">
              <a16:creationId xmlns:a16="http://schemas.microsoft.com/office/drawing/2014/main" id="{474DCBB6-5EF6-4FAC-B893-96E68ED386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8" name="Elipse 7667">
          <a:extLst>
            <a:ext uri="{FF2B5EF4-FFF2-40B4-BE49-F238E27FC236}">
              <a16:creationId xmlns:a16="http://schemas.microsoft.com/office/drawing/2014/main" id="{2F3425A2-B098-40BE-8D19-4F6A55555D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69" name="Elipse 7668">
          <a:extLst>
            <a:ext uri="{FF2B5EF4-FFF2-40B4-BE49-F238E27FC236}">
              <a16:creationId xmlns:a16="http://schemas.microsoft.com/office/drawing/2014/main" id="{9F86C5BB-F1D3-4416-9DF6-9F0C400E5F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0" name="Elipse 7669">
          <a:extLst>
            <a:ext uri="{FF2B5EF4-FFF2-40B4-BE49-F238E27FC236}">
              <a16:creationId xmlns:a16="http://schemas.microsoft.com/office/drawing/2014/main" id="{907C6F5F-EB54-4D32-A6DC-E30D9F9C2A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1" name="Elipse 7670">
          <a:extLst>
            <a:ext uri="{FF2B5EF4-FFF2-40B4-BE49-F238E27FC236}">
              <a16:creationId xmlns:a16="http://schemas.microsoft.com/office/drawing/2014/main" id="{6A63AB57-5BF0-4FDE-9735-3D75B8A2E1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2" name="Elipse 7671">
          <a:extLst>
            <a:ext uri="{FF2B5EF4-FFF2-40B4-BE49-F238E27FC236}">
              <a16:creationId xmlns:a16="http://schemas.microsoft.com/office/drawing/2014/main" id="{A148DE47-BE77-4B05-A827-27E249913C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3" name="Elipse 7672">
          <a:extLst>
            <a:ext uri="{FF2B5EF4-FFF2-40B4-BE49-F238E27FC236}">
              <a16:creationId xmlns:a16="http://schemas.microsoft.com/office/drawing/2014/main" id="{43757165-119F-4917-99C0-5C1033C063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4" name="Elipse 7673">
          <a:extLst>
            <a:ext uri="{FF2B5EF4-FFF2-40B4-BE49-F238E27FC236}">
              <a16:creationId xmlns:a16="http://schemas.microsoft.com/office/drawing/2014/main" id="{CC1E22F5-B80C-4ACF-A281-473DCC073B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5" name="Elipse 7674">
          <a:extLst>
            <a:ext uri="{FF2B5EF4-FFF2-40B4-BE49-F238E27FC236}">
              <a16:creationId xmlns:a16="http://schemas.microsoft.com/office/drawing/2014/main" id="{59C3D5FE-1B3F-4063-AB2D-8903BDBB5B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6" name="Elipse 7675">
          <a:extLst>
            <a:ext uri="{FF2B5EF4-FFF2-40B4-BE49-F238E27FC236}">
              <a16:creationId xmlns:a16="http://schemas.microsoft.com/office/drawing/2014/main" id="{422DA9D9-B04D-4798-A2E5-72286CB9D5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7" name="Elipse 7676">
          <a:extLst>
            <a:ext uri="{FF2B5EF4-FFF2-40B4-BE49-F238E27FC236}">
              <a16:creationId xmlns:a16="http://schemas.microsoft.com/office/drawing/2014/main" id="{D1098715-65AD-4050-AE42-F0596F6DAC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8" name="Elipse 7677">
          <a:extLst>
            <a:ext uri="{FF2B5EF4-FFF2-40B4-BE49-F238E27FC236}">
              <a16:creationId xmlns:a16="http://schemas.microsoft.com/office/drawing/2014/main" id="{BA439D8A-521A-4151-B013-6EDD0F3158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79" name="Elipse 7678">
          <a:extLst>
            <a:ext uri="{FF2B5EF4-FFF2-40B4-BE49-F238E27FC236}">
              <a16:creationId xmlns:a16="http://schemas.microsoft.com/office/drawing/2014/main" id="{07ADDF2B-A98A-4F15-857C-334AF29278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0" name="Elipse 7679">
          <a:extLst>
            <a:ext uri="{FF2B5EF4-FFF2-40B4-BE49-F238E27FC236}">
              <a16:creationId xmlns:a16="http://schemas.microsoft.com/office/drawing/2014/main" id="{8ADAE286-05D2-4D79-95FD-A8F27B674E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1" name="Elipse 7680">
          <a:extLst>
            <a:ext uri="{FF2B5EF4-FFF2-40B4-BE49-F238E27FC236}">
              <a16:creationId xmlns:a16="http://schemas.microsoft.com/office/drawing/2014/main" id="{19D70BD8-B846-4B7D-8EC0-3E14D5636D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2" name="Elipse 7681">
          <a:extLst>
            <a:ext uri="{FF2B5EF4-FFF2-40B4-BE49-F238E27FC236}">
              <a16:creationId xmlns:a16="http://schemas.microsoft.com/office/drawing/2014/main" id="{6B5427C4-0CD7-463C-8439-2828A0538B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3" name="Elipse 7682">
          <a:extLst>
            <a:ext uri="{FF2B5EF4-FFF2-40B4-BE49-F238E27FC236}">
              <a16:creationId xmlns:a16="http://schemas.microsoft.com/office/drawing/2014/main" id="{54AA638B-A10D-4CBA-8BC1-5F08AAA9CC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4" name="Elipse 7683">
          <a:extLst>
            <a:ext uri="{FF2B5EF4-FFF2-40B4-BE49-F238E27FC236}">
              <a16:creationId xmlns:a16="http://schemas.microsoft.com/office/drawing/2014/main" id="{089177B2-FB9E-4743-8D6C-0B85279678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5" name="Elipse 7684">
          <a:extLst>
            <a:ext uri="{FF2B5EF4-FFF2-40B4-BE49-F238E27FC236}">
              <a16:creationId xmlns:a16="http://schemas.microsoft.com/office/drawing/2014/main" id="{D162DE24-DF44-422F-8D7C-F4BC3738FC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6" name="Elipse 7685">
          <a:extLst>
            <a:ext uri="{FF2B5EF4-FFF2-40B4-BE49-F238E27FC236}">
              <a16:creationId xmlns:a16="http://schemas.microsoft.com/office/drawing/2014/main" id="{25E7043E-FD7B-4B28-A4AF-93F598DA64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7" name="Elipse 7686">
          <a:extLst>
            <a:ext uri="{FF2B5EF4-FFF2-40B4-BE49-F238E27FC236}">
              <a16:creationId xmlns:a16="http://schemas.microsoft.com/office/drawing/2014/main" id="{BE3CCBC5-3BB4-4E17-A16E-20179B37DA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8" name="Elipse 7687">
          <a:extLst>
            <a:ext uri="{FF2B5EF4-FFF2-40B4-BE49-F238E27FC236}">
              <a16:creationId xmlns:a16="http://schemas.microsoft.com/office/drawing/2014/main" id="{4AA857C3-2A96-4788-A319-4843918B9C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89" name="Elipse 7688">
          <a:extLst>
            <a:ext uri="{FF2B5EF4-FFF2-40B4-BE49-F238E27FC236}">
              <a16:creationId xmlns:a16="http://schemas.microsoft.com/office/drawing/2014/main" id="{0B95D33A-D8F9-4EAF-A995-88EB05327A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0" name="Elipse 7689">
          <a:extLst>
            <a:ext uri="{FF2B5EF4-FFF2-40B4-BE49-F238E27FC236}">
              <a16:creationId xmlns:a16="http://schemas.microsoft.com/office/drawing/2014/main" id="{1419E72A-E27B-43F5-B4DF-C45ADF2F2F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1" name="Elipse 7690">
          <a:extLst>
            <a:ext uri="{FF2B5EF4-FFF2-40B4-BE49-F238E27FC236}">
              <a16:creationId xmlns:a16="http://schemas.microsoft.com/office/drawing/2014/main" id="{C9AA9B65-03C3-4904-831C-4303CE6B25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2" name="Elipse 7691">
          <a:extLst>
            <a:ext uri="{FF2B5EF4-FFF2-40B4-BE49-F238E27FC236}">
              <a16:creationId xmlns:a16="http://schemas.microsoft.com/office/drawing/2014/main" id="{F08E8481-0C7E-4F18-940B-0B3D4FF894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3" name="Elipse 7692">
          <a:extLst>
            <a:ext uri="{FF2B5EF4-FFF2-40B4-BE49-F238E27FC236}">
              <a16:creationId xmlns:a16="http://schemas.microsoft.com/office/drawing/2014/main" id="{A136DA3C-3FEE-457D-BD91-C0E90BF15A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4" name="Elipse 7693">
          <a:extLst>
            <a:ext uri="{FF2B5EF4-FFF2-40B4-BE49-F238E27FC236}">
              <a16:creationId xmlns:a16="http://schemas.microsoft.com/office/drawing/2014/main" id="{DE58D695-C24F-41A7-96D2-4E753C0F7C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5" name="Elipse 7694">
          <a:extLst>
            <a:ext uri="{FF2B5EF4-FFF2-40B4-BE49-F238E27FC236}">
              <a16:creationId xmlns:a16="http://schemas.microsoft.com/office/drawing/2014/main" id="{9AF3A59D-D9FE-4D02-8A8C-775B9D7222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6" name="Elipse 7695">
          <a:extLst>
            <a:ext uri="{FF2B5EF4-FFF2-40B4-BE49-F238E27FC236}">
              <a16:creationId xmlns:a16="http://schemas.microsoft.com/office/drawing/2014/main" id="{2D1A9CC9-4D83-46AB-8944-2FB8B25BAF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7" name="Elipse 7696">
          <a:extLst>
            <a:ext uri="{FF2B5EF4-FFF2-40B4-BE49-F238E27FC236}">
              <a16:creationId xmlns:a16="http://schemas.microsoft.com/office/drawing/2014/main" id="{6E00998F-FD1E-43C5-8912-C5A891DD69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8" name="Elipse 7697">
          <a:extLst>
            <a:ext uri="{FF2B5EF4-FFF2-40B4-BE49-F238E27FC236}">
              <a16:creationId xmlns:a16="http://schemas.microsoft.com/office/drawing/2014/main" id="{5CBBE8F4-D96D-4E4B-9629-B074BCDFC9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699" name="Elipse 7698">
          <a:extLst>
            <a:ext uri="{FF2B5EF4-FFF2-40B4-BE49-F238E27FC236}">
              <a16:creationId xmlns:a16="http://schemas.microsoft.com/office/drawing/2014/main" id="{7D6591DE-768C-4CA7-8988-3C6A4B8D07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0" name="Elipse 7699">
          <a:extLst>
            <a:ext uri="{FF2B5EF4-FFF2-40B4-BE49-F238E27FC236}">
              <a16:creationId xmlns:a16="http://schemas.microsoft.com/office/drawing/2014/main" id="{F55AD6C4-AF1E-4DDF-9D91-1412BF79CC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1" name="Elipse 7700">
          <a:extLst>
            <a:ext uri="{FF2B5EF4-FFF2-40B4-BE49-F238E27FC236}">
              <a16:creationId xmlns:a16="http://schemas.microsoft.com/office/drawing/2014/main" id="{21FAB43F-B24E-43C0-86E0-5309A79D14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2" name="Elipse 7701">
          <a:extLst>
            <a:ext uri="{FF2B5EF4-FFF2-40B4-BE49-F238E27FC236}">
              <a16:creationId xmlns:a16="http://schemas.microsoft.com/office/drawing/2014/main" id="{CB78FADB-228E-4543-84CB-E8F7018FCE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3" name="Elipse 7702">
          <a:extLst>
            <a:ext uri="{FF2B5EF4-FFF2-40B4-BE49-F238E27FC236}">
              <a16:creationId xmlns:a16="http://schemas.microsoft.com/office/drawing/2014/main" id="{9709AF4F-F130-465A-AAD9-0F78F5649D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4" name="Elipse 7703">
          <a:extLst>
            <a:ext uri="{FF2B5EF4-FFF2-40B4-BE49-F238E27FC236}">
              <a16:creationId xmlns:a16="http://schemas.microsoft.com/office/drawing/2014/main" id="{75BA650E-A3BE-4CCF-A7C2-68F5FC9C31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5" name="Elipse 7704">
          <a:extLst>
            <a:ext uri="{FF2B5EF4-FFF2-40B4-BE49-F238E27FC236}">
              <a16:creationId xmlns:a16="http://schemas.microsoft.com/office/drawing/2014/main" id="{40C929FA-2169-4B3E-AAFD-245725E262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6" name="Elipse 7705">
          <a:extLst>
            <a:ext uri="{FF2B5EF4-FFF2-40B4-BE49-F238E27FC236}">
              <a16:creationId xmlns:a16="http://schemas.microsoft.com/office/drawing/2014/main" id="{EBD1480D-61D0-42A4-9F20-2C6ED70E72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7" name="Elipse 7706">
          <a:extLst>
            <a:ext uri="{FF2B5EF4-FFF2-40B4-BE49-F238E27FC236}">
              <a16:creationId xmlns:a16="http://schemas.microsoft.com/office/drawing/2014/main" id="{6E771057-BE28-42B3-860C-CB8C43804D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8" name="Elipse 7707">
          <a:extLst>
            <a:ext uri="{FF2B5EF4-FFF2-40B4-BE49-F238E27FC236}">
              <a16:creationId xmlns:a16="http://schemas.microsoft.com/office/drawing/2014/main" id="{941DF711-677C-46A0-B78B-CAC60E14FB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09" name="Elipse 7708">
          <a:extLst>
            <a:ext uri="{FF2B5EF4-FFF2-40B4-BE49-F238E27FC236}">
              <a16:creationId xmlns:a16="http://schemas.microsoft.com/office/drawing/2014/main" id="{AF222F19-EC34-4E48-A704-0B2D8D8080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0" name="Elipse 7709">
          <a:extLst>
            <a:ext uri="{FF2B5EF4-FFF2-40B4-BE49-F238E27FC236}">
              <a16:creationId xmlns:a16="http://schemas.microsoft.com/office/drawing/2014/main" id="{666C5772-1409-4DAA-AACB-8FA2539448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1" name="Elipse 7710">
          <a:extLst>
            <a:ext uri="{FF2B5EF4-FFF2-40B4-BE49-F238E27FC236}">
              <a16:creationId xmlns:a16="http://schemas.microsoft.com/office/drawing/2014/main" id="{7E479B04-DDC1-4503-BE44-FCA94E3EE0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2" name="Elipse 7711">
          <a:extLst>
            <a:ext uri="{FF2B5EF4-FFF2-40B4-BE49-F238E27FC236}">
              <a16:creationId xmlns:a16="http://schemas.microsoft.com/office/drawing/2014/main" id="{72C3AF42-A43A-47D9-99F5-0A9653F29F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3" name="Elipse 7712">
          <a:extLst>
            <a:ext uri="{FF2B5EF4-FFF2-40B4-BE49-F238E27FC236}">
              <a16:creationId xmlns:a16="http://schemas.microsoft.com/office/drawing/2014/main" id="{39388641-3EF2-4B6E-BC6B-3DBC4F28B5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4" name="Elipse 7713">
          <a:extLst>
            <a:ext uri="{FF2B5EF4-FFF2-40B4-BE49-F238E27FC236}">
              <a16:creationId xmlns:a16="http://schemas.microsoft.com/office/drawing/2014/main" id="{E966AB1A-1409-427C-A441-F5F1DB2CF9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5" name="Elipse 7714">
          <a:extLst>
            <a:ext uri="{FF2B5EF4-FFF2-40B4-BE49-F238E27FC236}">
              <a16:creationId xmlns:a16="http://schemas.microsoft.com/office/drawing/2014/main" id="{8407F0E1-B50C-44FD-964C-103CBBFF46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6" name="Elipse 7715">
          <a:extLst>
            <a:ext uri="{FF2B5EF4-FFF2-40B4-BE49-F238E27FC236}">
              <a16:creationId xmlns:a16="http://schemas.microsoft.com/office/drawing/2014/main" id="{0BFD1AC9-1C90-47EE-8F70-B0EEB38CE6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7" name="Elipse 7716">
          <a:extLst>
            <a:ext uri="{FF2B5EF4-FFF2-40B4-BE49-F238E27FC236}">
              <a16:creationId xmlns:a16="http://schemas.microsoft.com/office/drawing/2014/main" id="{3D62454B-2010-45E7-A37C-44FEFE64F8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8" name="Elipse 7717">
          <a:extLst>
            <a:ext uri="{FF2B5EF4-FFF2-40B4-BE49-F238E27FC236}">
              <a16:creationId xmlns:a16="http://schemas.microsoft.com/office/drawing/2014/main" id="{E6C0D879-921C-426A-A8BF-880829DE93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19" name="Elipse 7718">
          <a:extLst>
            <a:ext uri="{FF2B5EF4-FFF2-40B4-BE49-F238E27FC236}">
              <a16:creationId xmlns:a16="http://schemas.microsoft.com/office/drawing/2014/main" id="{FF8EEF92-6E44-44DB-919F-354CD08CEF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0" name="Elipse 7719">
          <a:extLst>
            <a:ext uri="{FF2B5EF4-FFF2-40B4-BE49-F238E27FC236}">
              <a16:creationId xmlns:a16="http://schemas.microsoft.com/office/drawing/2014/main" id="{5866300E-CBBA-498C-8809-D6262C650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1" name="Elipse 7720">
          <a:extLst>
            <a:ext uri="{FF2B5EF4-FFF2-40B4-BE49-F238E27FC236}">
              <a16:creationId xmlns:a16="http://schemas.microsoft.com/office/drawing/2014/main" id="{CE5AEFFA-CC59-4677-82BE-4845189E5D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2" name="Elipse 7721">
          <a:extLst>
            <a:ext uri="{FF2B5EF4-FFF2-40B4-BE49-F238E27FC236}">
              <a16:creationId xmlns:a16="http://schemas.microsoft.com/office/drawing/2014/main" id="{21CB2D84-2600-455D-B29B-AB7D9BB802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3" name="Elipse 7722">
          <a:extLst>
            <a:ext uri="{FF2B5EF4-FFF2-40B4-BE49-F238E27FC236}">
              <a16:creationId xmlns:a16="http://schemas.microsoft.com/office/drawing/2014/main" id="{B33230C8-B653-48BD-AD25-A36B3D05D4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4" name="Elipse 7723">
          <a:extLst>
            <a:ext uri="{FF2B5EF4-FFF2-40B4-BE49-F238E27FC236}">
              <a16:creationId xmlns:a16="http://schemas.microsoft.com/office/drawing/2014/main" id="{6496F350-7519-4B18-A002-F12CAD0E8C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5" name="Elipse 7724">
          <a:extLst>
            <a:ext uri="{FF2B5EF4-FFF2-40B4-BE49-F238E27FC236}">
              <a16:creationId xmlns:a16="http://schemas.microsoft.com/office/drawing/2014/main" id="{4AD37365-DC28-4F6F-B063-FAFC462EC3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6" name="Elipse 7725">
          <a:extLst>
            <a:ext uri="{FF2B5EF4-FFF2-40B4-BE49-F238E27FC236}">
              <a16:creationId xmlns:a16="http://schemas.microsoft.com/office/drawing/2014/main" id="{617F9EBF-7C94-495C-A465-44263EC99F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7" name="Elipse 7726">
          <a:extLst>
            <a:ext uri="{FF2B5EF4-FFF2-40B4-BE49-F238E27FC236}">
              <a16:creationId xmlns:a16="http://schemas.microsoft.com/office/drawing/2014/main" id="{43F506FF-F391-4BAB-8A9F-6DC65E2752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8" name="Elipse 7727">
          <a:extLst>
            <a:ext uri="{FF2B5EF4-FFF2-40B4-BE49-F238E27FC236}">
              <a16:creationId xmlns:a16="http://schemas.microsoft.com/office/drawing/2014/main" id="{9536E170-6809-4620-A7F5-7A09FD1857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29" name="Elipse 7728">
          <a:extLst>
            <a:ext uri="{FF2B5EF4-FFF2-40B4-BE49-F238E27FC236}">
              <a16:creationId xmlns:a16="http://schemas.microsoft.com/office/drawing/2014/main" id="{B54AE82E-66A3-4280-AA37-F10B1FF6A9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0" name="Elipse 7729">
          <a:extLst>
            <a:ext uri="{FF2B5EF4-FFF2-40B4-BE49-F238E27FC236}">
              <a16:creationId xmlns:a16="http://schemas.microsoft.com/office/drawing/2014/main" id="{B1C5721E-8AE6-49A5-A115-B41B10DFC5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1" name="Elipse 7730">
          <a:extLst>
            <a:ext uri="{FF2B5EF4-FFF2-40B4-BE49-F238E27FC236}">
              <a16:creationId xmlns:a16="http://schemas.microsoft.com/office/drawing/2014/main" id="{07E66CC9-3713-4A7D-BC1D-753840DEF7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2" name="Elipse 7731">
          <a:extLst>
            <a:ext uri="{FF2B5EF4-FFF2-40B4-BE49-F238E27FC236}">
              <a16:creationId xmlns:a16="http://schemas.microsoft.com/office/drawing/2014/main" id="{55C6B06B-CC5C-4994-B3D5-438B34CEF0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3" name="Elipse 7732">
          <a:extLst>
            <a:ext uri="{FF2B5EF4-FFF2-40B4-BE49-F238E27FC236}">
              <a16:creationId xmlns:a16="http://schemas.microsoft.com/office/drawing/2014/main" id="{0A6BDD4A-F21F-4C59-AB60-4A87574247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4" name="Elipse 7733">
          <a:extLst>
            <a:ext uri="{FF2B5EF4-FFF2-40B4-BE49-F238E27FC236}">
              <a16:creationId xmlns:a16="http://schemas.microsoft.com/office/drawing/2014/main" id="{D412D244-C484-430B-AFE8-09C7648962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5" name="Elipse 7734">
          <a:extLst>
            <a:ext uri="{FF2B5EF4-FFF2-40B4-BE49-F238E27FC236}">
              <a16:creationId xmlns:a16="http://schemas.microsoft.com/office/drawing/2014/main" id="{BF540518-AE47-48BE-9EC4-3F886329D9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6" name="Elipse 7735">
          <a:extLst>
            <a:ext uri="{FF2B5EF4-FFF2-40B4-BE49-F238E27FC236}">
              <a16:creationId xmlns:a16="http://schemas.microsoft.com/office/drawing/2014/main" id="{56FAD247-3F95-47F4-AF26-FA470FA070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7" name="Elipse 7736">
          <a:extLst>
            <a:ext uri="{FF2B5EF4-FFF2-40B4-BE49-F238E27FC236}">
              <a16:creationId xmlns:a16="http://schemas.microsoft.com/office/drawing/2014/main" id="{DBE59603-4264-48F1-9A77-886300A886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8" name="Elipse 7737">
          <a:extLst>
            <a:ext uri="{FF2B5EF4-FFF2-40B4-BE49-F238E27FC236}">
              <a16:creationId xmlns:a16="http://schemas.microsoft.com/office/drawing/2014/main" id="{62C08DED-7C09-4DF8-B0AB-1CBA4703BF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39" name="Elipse 7738">
          <a:extLst>
            <a:ext uri="{FF2B5EF4-FFF2-40B4-BE49-F238E27FC236}">
              <a16:creationId xmlns:a16="http://schemas.microsoft.com/office/drawing/2014/main" id="{25708774-E23A-461C-9BAD-064CE95B6B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0" name="Elipse 7739">
          <a:extLst>
            <a:ext uri="{FF2B5EF4-FFF2-40B4-BE49-F238E27FC236}">
              <a16:creationId xmlns:a16="http://schemas.microsoft.com/office/drawing/2014/main" id="{F28CAAD1-1E07-4587-9D53-BFD1D54C05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1" name="Elipse 7740">
          <a:extLst>
            <a:ext uri="{FF2B5EF4-FFF2-40B4-BE49-F238E27FC236}">
              <a16:creationId xmlns:a16="http://schemas.microsoft.com/office/drawing/2014/main" id="{3D10E503-4818-494B-A827-D9E3BE36D6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2" name="Elipse 7741">
          <a:extLst>
            <a:ext uri="{FF2B5EF4-FFF2-40B4-BE49-F238E27FC236}">
              <a16:creationId xmlns:a16="http://schemas.microsoft.com/office/drawing/2014/main" id="{9561584D-C408-4CCF-9D2A-0C2B976C3B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3" name="Elipse 7742">
          <a:extLst>
            <a:ext uri="{FF2B5EF4-FFF2-40B4-BE49-F238E27FC236}">
              <a16:creationId xmlns:a16="http://schemas.microsoft.com/office/drawing/2014/main" id="{5EF4589A-1656-44DA-B8C5-2EB3B1B9A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4" name="Elipse 7743">
          <a:extLst>
            <a:ext uri="{FF2B5EF4-FFF2-40B4-BE49-F238E27FC236}">
              <a16:creationId xmlns:a16="http://schemas.microsoft.com/office/drawing/2014/main" id="{8774CC76-5F0B-443C-8F70-E91AD17964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5" name="Elipse 7744">
          <a:extLst>
            <a:ext uri="{FF2B5EF4-FFF2-40B4-BE49-F238E27FC236}">
              <a16:creationId xmlns:a16="http://schemas.microsoft.com/office/drawing/2014/main" id="{F82603E9-4EB4-4C23-B226-674AF3034C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6" name="Elipse 7745">
          <a:extLst>
            <a:ext uri="{FF2B5EF4-FFF2-40B4-BE49-F238E27FC236}">
              <a16:creationId xmlns:a16="http://schemas.microsoft.com/office/drawing/2014/main" id="{C60B5C84-261A-49DC-A62F-F4F2BDC9F9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7" name="Elipse 7746">
          <a:extLst>
            <a:ext uri="{FF2B5EF4-FFF2-40B4-BE49-F238E27FC236}">
              <a16:creationId xmlns:a16="http://schemas.microsoft.com/office/drawing/2014/main" id="{B7AB49B4-69AA-4FDE-8F4F-282DDF9284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8" name="Elipse 7747">
          <a:extLst>
            <a:ext uri="{FF2B5EF4-FFF2-40B4-BE49-F238E27FC236}">
              <a16:creationId xmlns:a16="http://schemas.microsoft.com/office/drawing/2014/main" id="{61D42C26-653B-4C7D-AB7B-72EFF2A226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49" name="Elipse 7748">
          <a:extLst>
            <a:ext uri="{FF2B5EF4-FFF2-40B4-BE49-F238E27FC236}">
              <a16:creationId xmlns:a16="http://schemas.microsoft.com/office/drawing/2014/main" id="{8D60A268-25CA-4460-8D09-2649A0F850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0" name="Elipse 7749">
          <a:extLst>
            <a:ext uri="{FF2B5EF4-FFF2-40B4-BE49-F238E27FC236}">
              <a16:creationId xmlns:a16="http://schemas.microsoft.com/office/drawing/2014/main" id="{3D220B57-EF7B-4B0D-AAEF-80584B7F15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1" name="Elipse 7750">
          <a:extLst>
            <a:ext uri="{FF2B5EF4-FFF2-40B4-BE49-F238E27FC236}">
              <a16:creationId xmlns:a16="http://schemas.microsoft.com/office/drawing/2014/main" id="{1E788CA1-1CF1-458C-9A16-7CEB29ED66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2" name="Elipse 7751">
          <a:extLst>
            <a:ext uri="{FF2B5EF4-FFF2-40B4-BE49-F238E27FC236}">
              <a16:creationId xmlns:a16="http://schemas.microsoft.com/office/drawing/2014/main" id="{0AF0D638-6445-4F67-98A5-394DDA06BD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3" name="Elipse 7752">
          <a:extLst>
            <a:ext uri="{FF2B5EF4-FFF2-40B4-BE49-F238E27FC236}">
              <a16:creationId xmlns:a16="http://schemas.microsoft.com/office/drawing/2014/main" id="{B06FCC53-02D9-4530-8470-B99FDDAB1A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4" name="Elipse 7753">
          <a:extLst>
            <a:ext uri="{FF2B5EF4-FFF2-40B4-BE49-F238E27FC236}">
              <a16:creationId xmlns:a16="http://schemas.microsoft.com/office/drawing/2014/main" id="{07930000-8EBE-4781-AB5A-9D70C2F579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5" name="Elipse 7754">
          <a:extLst>
            <a:ext uri="{FF2B5EF4-FFF2-40B4-BE49-F238E27FC236}">
              <a16:creationId xmlns:a16="http://schemas.microsoft.com/office/drawing/2014/main" id="{3E93FA2E-7BBF-4227-9618-7AD1C19F1A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6" name="Elipse 7755">
          <a:extLst>
            <a:ext uri="{FF2B5EF4-FFF2-40B4-BE49-F238E27FC236}">
              <a16:creationId xmlns:a16="http://schemas.microsoft.com/office/drawing/2014/main" id="{045BED21-A228-4ADB-869C-7F82069897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7" name="Elipse 7756">
          <a:extLst>
            <a:ext uri="{FF2B5EF4-FFF2-40B4-BE49-F238E27FC236}">
              <a16:creationId xmlns:a16="http://schemas.microsoft.com/office/drawing/2014/main" id="{B2633B23-ED85-40C7-A7C4-167A0B7837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8" name="Elipse 7757">
          <a:extLst>
            <a:ext uri="{FF2B5EF4-FFF2-40B4-BE49-F238E27FC236}">
              <a16:creationId xmlns:a16="http://schemas.microsoft.com/office/drawing/2014/main" id="{D8004F19-DA62-4AC4-8713-6BF38EB49E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59" name="Elipse 7758">
          <a:extLst>
            <a:ext uri="{FF2B5EF4-FFF2-40B4-BE49-F238E27FC236}">
              <a16:creationId xmlns:a16="http://schemas.microsoft.com/office/drawing/2014/main" id="{904C2F97-3164-4C46-9D2A-D67903FB70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0" name="Elipse 7759">
          <a:extLst>
            <a:ext uri="{FF2B5EF4-FFF2-40B4-BE49-F238E27FC236}">
              <a16:creationId xmlns:a16="http://schemas.microsoft.com/office/drawing/2014/main" id="{41A2AF84-7B66-4BBA-AA04-4FEC9AD537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1" name="Elipse 7760">
          <a:extLst>
            <a:ext uri="{FF2B5EF4-FFF2-40B4-BE49-F238E27FC236}">
              <a16:creationId xmlns:a16="http://schemas.microsoft.com/office/drawing/2014/main" id="{07F7793D-BFA7-4929-95E1-AB9C1D427B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2" name="Elipse 7761">
          <a:extLst>
            <a:ext uri="{FF2B5EF4-FFF2-40B4-BE49-F238E27FC236}">
              <a16:creationId xmlns:a16="http://schemas.microsoft.com/office/drawing/2014/main" id="{1024124C-0BBD-48A3-B73A-48A9237D52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3" name="Elipse 7762">
          <a:extLst>
            <a:ext uri="{FF2B5EF4-FFF2-40B4-BE49-F238E27FC236}">
              <a16:creationId xmlns:a16="http://schemas.microsoft.com/office/drawing/2014/main" id="{EB9A7FFE-BD74-4D7F-9361-227F322D84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4" name="Elipse 7763">
          <a:extLst>
            <a:ext uri="{FF2B5EF4-FFF2-40B4-BE49-F238E27FC236}">
              <a16:creationId xmlns:a16="http://schemas.microsoft.com/office/drawing/2014/main" id="{4EC0D255-3E63-45BF-A047-2F088E2072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5" name="Elipse 7764">
          <a:extLst>
            <a:ext uri="{FF2B5EF4-FFF2-40B4-BE49-F238E27FC236}">
              <a16:creationId xmlns:a16="http://schemas.microsoft.com/office/drawing/2014/main" id="{88B9F3D5-64F0-4D01-9C6D-1AA1AAFE7E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6" name="Elipse 7765">
          <a:extLst>
            <a:ext uri="{FF2B5EF4-FFF2-40B4-BE49-F238E27FC236}">
              <a16:creationId xmlns:a16="http://schemas.microsoft.com/office/drawing/2014/main" id="{D32C96F9-7A97-410B-8648-B9B18E6BA2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7" name="Elipse 7766">
          <a:extLst>
            <a:ext uri="{FF2B5EF4-FFF2-40B4-BE49-F238E27FC236}">
              <a16:creationId xmlns:a16="http://schemas.microsoft.com/office/drawing/2014/main" id="{E3E391CC-CCE6-4CEB-88FC-5CEACCA5E8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8" name="Elipse 7767">
          <a:extLst>
            <a:ext uri="{FF2B5EF4-FFF2-40B4-BE49-F238E27FC236}">
              <a16:creationId xmlns:a16="http://schemas.microsoft.com/office/drawing/2014/main" id="{0572CF80-03DD-48C4-9317-CAC59E0F5B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69" name="Elipse 7768">
          <a:extLst>
            <a:ext uri="{FF2B5EF4-FFF2-40B4-BE49-F238E27FC236}">
              <a16:creationId xmlns:a16="http://schemas.microsoft.com/office/drawing/2014/main" id="{98FB1185-BA16-4041-AD55-08B0F9573B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0" name="Elipse 7769">
          <a:extLst>
            <a:ext uri="{FF2B5EF4-FFF2-40B4-BE49-F238E27FC236}">
              <a16:creationId xmlns:a16="http://schemas.microsoft.com/office/drawing/2014/main" id="{9E4ED191-8C19-4718-B998-56FB3558B3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1" name="Elipse 7770">
          <a:extLst>
            <a:ext uri="{FF2B5EF4-FFF2-40B4-BE49-F238E27FC236}">
              <a16:creationId xmlns:a16="http://schemas.microsoft.com/office/drawing/2014/main" id="{0A70645D-FFBB-4B5A-AFCA-B6D4BE4BC3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2" name="Elipse 7771">
          <a:extLst>
            <a:ext uri="{FF2B5EF4-FFF2-40B4-BE49-F238E27FC236}">
              <a16:creationId xmlns:a16="http://schemas.microsoft.com/office/drawing/2014/main" id="{E1D177B1-4CF5-4EE0-991E-8FAAECB55C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3" name="Elipse 7772">
          <a:extLst>
            <a:ext uri="{FF2B5EF4-FFF2-40B4-BE49-F238E27FC236}">
              <a16:creationId xmlns:a16="http://schemas.microsoft.com/office/drawing/2014/main" id="{30040202-B5F9-4D05-B70E-B976CA5BCF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4" name="Elipse 7773">
          <a:extLst>
            <a:ext uri="{FF2B5EF4-FFF2-40B4-BE49-F238E27FC236}">
              <a16:creationId xmlns:a16="http://schemas.microsoft.com/office/drawing/2014/main" id="{4E5818B2-91FD-445F-B4D9-CDF1512343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5" name="Elipse 7774">
          <a:extLst>
            <a:ext uri="{FF2B5EF4-FFF2-40B4-BE49-F238E27FC236}">
              <a16:creationId xmlns:a16="http://schemas.microsoft.com/office/drawing/2014/main" id="{4A97A6CF-DE0E-4D64-83D2-D4692D31BE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6" name="Elipse 7775">
          <a:extLst>
            <a:ext uri="{FF2B5EF4-FFF2-40B4-BE49-F238E27FC236}">
              <a16:creationId xmlns:a16="http://schemas.microsoft.com/office/drawing/2014/main" id="{23B74F25-3C20-4D1B-9C8C-38F2EC9F57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7" name="Elipse 7776">
          <a:extLst>
            <a:ext uri="{FF2B5EF4-FFF2-40B4-BE49-F238E27FC236}">
              <a16:creationId xmlns:a16="http://schemas.microsoft.com/office/drawing/2014/main" id="{363195B3-2A32-4E5C-94A5-C4B380F946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8" name="Elipse 7777">
          <a:extLst>
            <a:ext uri="{FF2B5EF4-FFF2-40B4-BE49-F238E27FC236}">
              <a16:creationId xmlns:a16="http://schemas.microsoft.com/office/drawing/2014/main" id="{244B5644-F782-4B7D-9981-5E4434ED09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79" name="Elipse 7778">
          <a:extLst>
            <a:ext uri="{FF2B5EF4-FFF2-40B4-BE49-F238E27FC236}">
              <a16:creationId xmlns:a16="http://schemas.microsoft.com/office/drawing/2014/main" id="{2660B219-65B5-48E2-B058-D248618FF2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0" name="Elipse 7779">
          <a:extLst>
            <a:ext uri="{FF2B5EF4-FFF2-40B4-BE49-F238E27FC236}">
              <a16:creationId xmlns:a16="http://schemas.microsoft.com/office/drawing/2014/main" id="{34581507-8C67-496D-A610-0C60B31B16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1" name="Elipse 7780">
          <a:extLst>
            <a:ext uri="{FF2B5EF4-FFF2-40B4-BE49-F238E27FC236}">
              <a16:creationId xmlns:a16="http://schemas.microsoft.com/office/drawing/2014/main" id="{A7F52AA1-A730-4A69-B14D-76DD86AB06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2" name="Elipse 7781">
          <a:extLst>
            <a:ext uri="{FF2B5EF4-FFF2-40B4-BE49-F238E27FC236}">
              <a16:creationId xmlns:a16="http://schemas.microsoft.com/office/drawing/2014/main" id="{390447AD-9A38-45F3-B81A-C60CC04CEB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3" name="Elipse 7782">
          <a:extLst>
            <a:ext uri="{FF2B5EF4-FFF2-40B4-BE49-F238E27FC236}">
              <a16:creationId xmlns:a16="http://schemas.microsoft.com/office/drawing/2014/main" id="{69066269-CABD-4EF4-B512-480FF93E83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4" name="Elipse 7783">
          <a:extLst>
            <a:ext uri="{FF2B5EF4-FFF2-40B4-BE49-F238E27FC236}">
              <a16:creationId xmlns:a16="http://schemas.microsoft.com/office/drawing/2014/main" id="{6154AF7E-2F55-4E9D-875D-5E3572368B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5" name="Elipse 7784">
          <a:extLst>
            <a:ext uri="{FF2B5EF4-FFF2-40B4-BE49-F238E27FC236}">
              <a16:creationId xmlns:a16="http://schemas.microsoft.com/office/drawing/2014/main" id="{8FFC5EA7-36EB-427C-A376-819C5AE6B4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6" name="Elipse 7785">
          <a:extLst>
            <a:ext uri="{FF2B5EF4-FFF2-40B4-BE49-F238E27FC236}">
              <a16:creationId xmlns:a16="http://schemas.microsoft.com/office/drawing/2014/main" id="{8CA81166-BA80-490D-B08D-69A1D6C1B0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7" name="Elipse 7786">
          <a:extLst>
            <a:ext uri="{FF2B5EF4-FFF2-40B4-BE49-F238E27FC236}">
              <a16:creationId xmlns:a16="http://schemas.microsoft.com/office/drawing/2014/main" id="{04E500D8-DA83-4002-BA18-B1A49A88B7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8" name="Elipse 7787">
          <a:extLst>
            <a:ext uri="{FF2B5EF4-FFF2-40B4-BE49-F238E27FC236}">
              <a16:creationId xmlns:a16="http://schemas.microsoft.com/office/drawing/2014/main" id="{2503CC7C-85C2-4E5D-8B87-25E7E198EE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89" name="Elipse 7788">
          <a:extLst>
            <a:ext uri="{FF2B5EF4-FFF2-40B4-BE49-F238E27FC236}">
              <a16:creationId xmlns:a16="http://schemas.microsoft.com/office/drawing/2014/main" id="{6BAE299E-9424-45F6-AC72-782365A8C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0" name="Elipse 7789">
          <a:extLst>
            <a:ext uri="{FF2B5EF4-FFF2-40B4-BE49-F238E27FC236}">
              <a16:creationId xmlns:a16="http://schemas.microsoft.com/office/drawing/2014/main" id="{D7278A07-55A3-4362-82B3-5CB03BCE44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1" name="Elipse 7790">
          <a:extLst>
            <a:ext uri="{FF2B5EF4-FFF2-40B4-BE49-F238E27FC236}">
              <a16:creationId xmlns:a16="http://schemas.microsoft.com/office/drawing/2014/main" id="{98522FE8-AA6F-4C07-A88A-399E9B1574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2" name="Elipse 7791">
          <a:extLst>
            <a:ext uri="{FF2B5EF4-FFF2-40B4-BE49-F238E27FC236}">
              <a16:creationId xmlns:a16="http://schemas.microsoft.com/office/drawing/2014/main" id="{37CFC1EF-E62D-4930-B40C-FD6AA04C70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3" name="Elipse 7792">
          <a:extLst>
            <a:ext uri="{FF2B5EF4-FFF2-40B4-BE49-F238E27FC236}">
              <a16:creationId xmlns:a16="http://schemas.microsoft.com/office/drawing/2014/main" id="{D7635A3A-C6B4-4DF8-94EC-4ED88E0914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4" name="Elipse 7793">
          <a:extLst>
            <a:ext uri="{FF2B5EF4-FFF2-40B4-BE49-F238E27FC236}">
              <a16:creationId xmlns:a16="http://schemas.microsoft.com/office/drawing/2014/main" id="{BE5A9CC9-5EE6-4980-82D9-606EF364B9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5" name="Elipse 7794">
          <a:extLst>
            <a:ext uri="{FF2B5EF4-FFF2-40B4-BE49-F238E27FC236}">
              <a16:creationId xmlns:a16="http://schemas.microsoft.com/office/drawing/2014/main" id="{B64B32AF-920B-40FE-BB29-8B76191E09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6" name="Elipse 7795">
          <a:extLst>
            <a:ext uri="{FF2B5EF4-FFF2-40B4-BE49-F238E27FC236}">
              <a16:creationId xmlns:a16="http://schemas.microsoft.com/office/drawing/2014/main" id="{DC405F83-62B9-4AB2-AA13-051941D5A8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7" name="Elipse 7796">
          <a:extLst>
            <a:ext uri="{FF2B5EF4-FFF2-40B4-BE49-F238E27FC236}">
              <a16:creationId xmlns:a16="http://schemas.microsoft.com/office/drawing/2014/main" id="{7714DA04-E90F-4D22-84EE-051677534B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8" name="Elipse 7797">
          <a:extLst>
            <a:ext uri="{FF2B5EF4-FFF2-40B4-BE49-F238E27FC236}">
              <a16:creationId xmlns:a16="http://schemas.microsoft.com/office/drawing/2014/main" id="{5C4D2604-63A6-4983-A28C-21D84390AB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799" name="Elipse 7798">
          <a:extLst>
            <a:ext uri="{FF2B5EF4-FFF2-40B4-BE49-F238E27FC236}">
              <a16:creationId xmlns:a16="http://schemas.microsoft.com/office/drawing/2014/main" id="{73592B7A-4C8F-436D-B171-E23649ECEE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0" name="Elipse 7799">
          <a:extLst>
            <a:ext uri="{FF2B5EF4-FFF2-40B4-BE49-F238E27FC236}">
              <a16:creationId xmlns:a16="http://schemas.microsoft.com/office/drawing/2014/main" id="{DBD6D40E-263F-4666-9065-7D02674761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1" name="Elipse 7800">
          <a:extLst>
            <a:ext uri="{FF2B5EF4-FFF2-40B4-BE49-F238E27FC236}">
              <a16:creationId xmlns:a16="http://schemas.microsoft.com/office/drawing/2014/main" id="{92AD17D9-E6AC-4425-BD9C-009D377CC4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2" name="Elipse 7801">
          <a:extLst>
            <a:ext uri="{FF2B5EF4-FFF2-40B4-BE49-F238E27FC236}">
              <a16:creationId xmlns:a16="http://schemas.microsoft.com/office/drawing/2014/main" id="{7D3166D6-5FD4-4C6E-8C3B-99B0962AE3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3" name="Elipse 7802">
          <a:extLst>
            <a:ext uri="{FF2B5EF4-FFF2-40B4-BE49-F238E27FC236}">
              <a16:creationId xmlns:a16="http://schemas.microsoft.com/office/drawing/2014/main" id="{86A38FD2-3254-479B-B559-0827DD2279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4" name="Elipse 7803">
          <a:extLst>
            <a:ext uri="{FF2B5EF4-FFF2-40B4-BE49-F238E27FC236}">
              <a16:creationId xmlns:a16="http://schemas.microsoft.com/office/drawing/2014/main" id="{82CD8092-737F-44CA-8BDD-B9F47D8936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5" name="Elipse 7804">
          <a:extLst>
            <a:ext uri="{FF2B5EF4-FFF2-40B4-BE49-F238E27FC236}">
              <a16:creationId xmlns:a16="http://schemas.microsoft.com/office/drawing/2014/main" id="{CBF021DD-B232-4BBF-B272-33E222507C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6" name="Elipse 7805">
          <a:extLst>
            <a:ext uri="{FF2B5EF4-FFF2-40B4-BE49-F238E27FC236}">
              <a16:creationId xmlns:a16="http://schemas.microsoft.com/office/drawing/2014/main" id="{353A4E50-2FBC-412E-B9A4-831355F710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7" name="Elipse 7806">
          <a:extLst>
            <a:ext uri="{FF2B5EF4-FFF2-40B4-BE49-F238E27FC236}">
              <a16:creationId xmlns:a16="http://schemas.microsoft.com/office/drawing/2014/main" id="{A457105F-FB65-404B-A06B-2A5A196BCF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8" name="Elipse 7807">
          <a:extLst>
            <a:ext uri="{FF2B5EF4-FFF2-40B4-BE49-F238E27FC236}">
              <a16:creationId xmlns:a16="http://schemas.microsoft.com/office/drawing/2014/main" id="{DE76E86E-4A6F-4E7B-8141-EEA42A10EF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09" name="Elipse 7808">
          <a:extLst>
            <a:ext uri="{FF2B5EF4-FFF2-40B4-BE49-F238E27FC236}">
              <a16:creationId xmlns:a16="http://schemas.microsoft.com/office/drawing/2014/main" id="{08A70547-D44E-43AA-AD89-7192C76E14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0" name="Elipse 7809">
          <a:extLst>
            <a:ext uri="{FF2B5EF4-FFF2-40B4-BE49-F238E27FC236}">
              <a16:creationId xmlns:a16="http://schemas.microsoft.com/office/drawing/2014/main" id="{62A42912-C90C-4295-A68A-8A83FFB491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1" name="Elipse 7810">
          <a:extLst>
            <a:ext uri="{FF2B5EF4-FFF2-40B4-BE49-F238E27FC236}">
              <a16:creationId xmlns:a16="http://schemas.microsoft.com/office/drawing/2014/main" id="{60A7AD61-AEDE-492E-B78D-D49A7ED640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2" name="Elipse 7811">
          <a:extLst>
            <a:ext uri="{FF2B5EF4-FFF2-40B4-BE49-F238E27FC236}">
              <a16:creationId xmlns:a16="http://schemas.microsoft.com/office/drawing/2014/main" id="{513B09B6-5DD3-476D-8A99-E05427B3FF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3" name="Elipse 7812">
          <a:extLst>
            <a:ext uri="{FF2B5EF4-FFF2-40B4-BE49-F238E27FC236}">
              <a16:creationId xmlns:a16="http://schemas.microsoft.com/office/drawing/2014/main" id="{D76BF382-13DB-4E84-8C69-12DFD65401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4" name="Elipse 7813">
          <a:extLst>
            <a:ext uri="{FF2B5EF4-FFF2-40B4-BE49-F238E27FC236}">
              <a16:creationId xmlns:a16="http://schemas.microsoft.com/office/drawing/2014/main" id="{B0654822-6E02-49E8-88A3-40272728E3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5" name="Elipse 7814">
          <a:extLst>
            <a:ext uri="{FF2B5EF4-FFF2-40B4-BE49-F238E27FC236}">
              <a16:creationId xmlns:a16="http://schemas.microsoft.com/office/drawing/2014/main" id="{AE97A8A8-6BE0-49EC-B3A4-93F2A91E59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6" name="Elipse 7815">
          <a:extLst>
            <a:ext uri="{FF2B5EF4-FFF2-40B4-BE49-F238E27FC236}">
              <a16:creationId xmlns:a16="http://schemas.microsoft.com/office/drawing/2014/main" id="{5A0635FE-940F-4DBA-92FA-062C723CC1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7" name="Elipse 7816">
          <a:extLst>
            <a:ext uri="{FF2B5EF4-FFF2-40B4-BE49-F238E27FC236}">
              <a16:creationId xmlns:a16="http://schemas.microsoft.com/office/drawing/2014/main" id="{EAFD1C01-5B17-45C2-ACD2-BD18412A84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8" name="Elipse 7817">
          <a:extLst>
            <a:ext uri="{FF2B5EF4-FFF2-40B4-BE49-F238E27FC236}">
              <a16:creationId xmlns:a16="http://schemas.microsoft.com/office/drawing/2014/main" id="{02CC2773-3342-4807-8320-9E02AA26A5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19" name="Elipse 7818">
          <a:extLst>
            <a:ext uri="{FF2B5EF4-FFF2-40B4-BE49-F238E27FC236}">
              <a16:creationId xmlns:a16="http://schemas.microsoft.com/office/drawing/2014/main" id="{5533F329-C58E-4DE0-B4AB-501C1823D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0" name="Elipse 7819">
          <a:extLst>
            <a:ext uri="{FF2B5EF4-FFF2-40B4-BE49-F238E27FC236}">
              <a16:creationId xmlns:a16="http://schemas.microsoft.com/office/drawing/2014/main" id="{79860033-15AA-48D0-BB64-AF114500EE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1" name="Elipse 7820">
          <a:extLst>
            <a:ext uri="{FF2B5EF4-FFF2-40B4-BE49-F238E27FC236}">
              <a16:creationId xmlns:a16="http://schemas.microsoft.com/office/drawing/2014/main" id="{1B5E8444-353A-4F72-BFCD-B23595BB35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2" name="Elipse 7821">
          <a:extLst>
            <a:ext uri="{FF2B5EF4-FFF2-40B4-BE49-F238E27FC236}">
              <a16:creationId xmlns:a16="http://schemas.microsoft.com/office/drawing/2014/main" id="{78ECC7C2-9E63-45AC-BBF1-125388F2FA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3" name="Elipse 7822">
          <a:extLst>
            <a:ext uri="{FF2B5EF4-FFF2-40B4-BE49-F238E27FC236}">
              <a16:creationId xmlns:a16="http://schemas.microsoft.com/office/drawing/2014/main" id="{7879B5CA-EEFC-4620-82C3-07A1BD1133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4" name="Elipse 7823">
          <a:extLst>
            <a:ext uri="{FF2B5EF4-FFF2-40B4-BE49-F238E27FC236}">
              <a16:creationId xmlns:a16="http://schemas.microsoft.com/office/drawing/2014/main" id="{A4149267-222C-4A8B-856D-730DEEFFA5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5" name="Elipse 7824">
          <a:extLst>
            <a:ext uri="{FF2B5EF4-FFF2-40B4-BE49-F238E27FC236}">
              <a16:creationId xmlns:a16="http://schemas.microsoft.com/office/drawing/2014/main" id="{D32DF888-E2D0-43D3-AD46-6133EC3F82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6" name="Elipse 7825">
          <a:extLst>
            <a:ext uri="{FF2B5EF4-FFF2-40B4-BE49-F238E27FC236}">
              <a16:creationId xmlns:a16="http://schemas.microsoft.com/office/drawing/2014/main" id="{BC0AE412-4C69-400B-AE80-8F16614EE4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7" name="Elipse 7826">
          <a:extLst>
            <a:ext uri="{FF2B5EF4-FFF2-40B4-BE49-F238E27FC236}">
              <a16:creationId xmlns:a16="http://schemas.microsoft.com/office/drawing/2014/main" id="{12EDD29F-76F5-4CF8-8AD3-D3B0788AFC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8" name="Elipse 7827">
          <a:extLst>
            <a:ext uri="{FF2B5EF4-FFF2-40B4-BE49-F238E27FC236}">
              <a16:creationId xmlns:a16="http://schemas.microsoft.com/office/drawing/2014/main" id="{608D286B-6696-4271-A8D6-1ED33479BE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29" name="Elipse 7828">
          <a:extLst>
            <a:ext uri="{FF2B5EF4-FFF2-40B4-BE49-F238E27FC236}">
              <a16:creationId xmlns:a16="http://schemas.microsoft.com/office/drawing/2014/main" id="{71C27319-44C8-49BF-9335-641BF44335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0" name="Elipse 7829">
          <a:extLst>
            <a:ext uri="{FF2B5EF4-FFF2-40B4-BE49-F238E27FC236}">
              <a16:creationId xmlns:a16="http://schemas.microsoft.com/office/drawing/2014/main" id="{02B7C7A6-85EE-4885-BBCC-5198FFF9CA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1" name="Elipse 7830">
          <a:extLst>
            <a:ext uri="{FF2B5EF4-FFF2-40B4-BE49-F238E27FC236}">
              <a16:creationId xmlns:a16="http://schemas.microsoft.com/office/drawing/2014/main" id="{912016C3-6312-494F-AC46-9724DB0D09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2" name="Elipse 7831">
          <a:extLst>
            <a:ext uri="{FF2B5EF4-FFF2-40B4-BE49-F238E27FC236}">
              <a16:creationId xmlns:a16="http://schemas.microsoft.com/office/drawing/2014/main" id="{432334D2-A73F-4ABE-89B8-BC8CD40B35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3" name="Elipse 7832">
          <a:extLst>
            <a:ext uri="{FF2B5EF4-FFF2-40B4-BE49-F238E27FC236}">
              <a16:creationId xmlns:a16="http://schemas.microsoft.com/office/drawing/2014/main" id="{5DAD34AE-E1C7-42EC-8D5F-811988F5A3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4" name="Elipse 7833">
          <a:extLst>
            <a:ext uri="{FF2B5EF4-FFF2-40B4-BE49-F238E27FC236}">
              <a16:creationId xmlns:a16="http://schemas.microsoft.com/office/drawing/2014/main" id="{EC5F5060-60DC-4948-933D-7B54393C1B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5" name="Elipse 7834">
          <a:extLst>
            <a:ext uri="{FF2B5EF4-FFF2-40B4-BE49-F238E27FC236}">
              <a16:creationId xmlns:a16="http://schemas.microsoft.com/office/drawing/2014/main" id="{F58576DB-934F-4C26-88DB-F20889CA09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6" name="Elipse 7835">
          <a:extLst>
            <a:ext uri="{FF2B5EF4-FFF2-40B4-BE49-F238E27FC236}">
              <a16:creationId xmlns:a16="http://schemas.microsoft.com/office/drawing/2014/main" id="{6EA5EE97-F020-4000-ABE1-685B8EF365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7" name="Elipse 7836">
          <a:extLst>
            <a:ext uri="{FF2B5EF4-FFF2-40B4-BE49-F238E27FC236}">
              <a16:creationId xmlns:a16="http://schemas.microsoft.com/office/drawing/2014/main" id="{50FFCF22-5E02-4A65-B4C9-6A78F1B09B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8" name="Elipse 7837">
          <a:extLst>
            <a:ext uri="{FF2B5EF4-FFF2-40B4-BE49-F238E27FC236}">
              <a16:creationId xmlns:a16="http://schemas.microsoft.com/office/drawing/2014/main" id="{0E169ABB-DA1D-4304-8B80-4EE123E53F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39" name="Elipse 7838">
          <a:extLst>
            <a:ext uri="{FF2B5EF4-FFF2-40B4-BE49-F238E27FC236}">
              <a16:creationId xmlns:a16="http://schemas.microsoft.com/office/drawing/2014/main" id="{5CC57E70-7810-4C85-A1D8-1F5EC44303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0" name="Elipse 7839">
          <a:extLst>
            <a:ext uri="{FF2B5EF4-FFF2-40B4-BE49-F238E27FC236}">
              <a16:creationId xmlns:a16="http://schemas.microsoft.com/office/drawing/2014/main" id="{BA6173E7-C7BE-460D-B282-C9F984AACF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1" name="Elipse 7840">
          <a:extLst>
            <a:ext uri="{FF2B5EF4-FFF2-40B4-BE49-F238E27FC236}">
              <a16:creationId xmlns:a16="http://schemas.microsoft.com/office/drawing/2014/main" id="{B58142A2-AD0C-4393-9D2C-04BF0D91E7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2" name="Elipse 7841">
          <a:extLst>
            <a:ext uri="{FF2B5EF4-FFF2-40B4-BE49-F238E27FC236}">
              <a16:creationId xmlns:a16="http://schemas.microsoft.com/office/drawing/2014/main" id="{D3C43473-4832-4A1A-B6C4-A82F9FE3E6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3" name="Elipse 7842">
          <a:extLst>
            <a:ext uri="{FF2B5EF4-FFF2-40B4-BE49-F238E27FC236}">
              <a16:creationId xmlns:a16="http://schemas.microsoft.com/office/drawing/2014/main" id="{5F356761-68EA-43D1-8D34-E81F1C28D9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4" name="Elipse 7843">
          <a:extLst>
            <a:ext uri="{FF2B5EF4-FFF2-40B4-BE49-F238E27FC236}">
              <a16:creationId xmlns:a16="http://schemas.microsoft.com/office/drawing/2014/main" id="{F3AF2A91-45B8-47AD-9936-1220FDE3F9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5" name="Elipse 7844">
          <a:extLst>
            <a:ext uri="{FF2B5EF4-FFF2-40B4-BE49-F238E27FC236}">
              <a16:creationId xmlns:a16="http://schemas.microsoft.com/office/drawing/2014/main" id="{F78BB8DC-646F-4F7F-AA23-F1461665B2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6" name="Elipse 7845">
          <a:extLst>
            <a:ext uri="{FF2B5EF4-FFF2-40B4-BE49-F238E27FC236}">
              <a16:creationId xmlns:a16="http://schemas.microsoft.com/office/drawing/2014/main" id="{ACC843A8-0EF1-4FBE-949E-6B7859F138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7" name="Elipse 7846">
          <a:extLst>
            <a:ext uri="{FF2B5EF4-FFF2-40B4-BE49-F238E27FC236}">
              <a16:creationId xmlns:a16="http://schemas.microsoft.com/office/drawing/2014/main" id="{83128D32-57CB-4EA7-9988-8B6D74FF0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8" name="Elipse 7847">
          <a:extLst>
            <a:ext uri="{FF2B5EF4-FFF2-40B4-BE49-F238E27FC236}">
              <a16:creationId xmlns:a16="http://schemas.microsoft.com/office/drawing/2014/main" id="{0A57D3BD-3003-4D28-987D-EA90482426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49" name="Elipse 7848">
          <a:extLst>
            <a:ext uri="{FF2B5EF4-FFF2-40B4-BE49-F238E27FC236}">
              <a16:creationId xmlns:a16="http://schemas.microsoft.com/office/drawing/2014/main" id="{67FA51A8-3E99-45FE-AE4F-6B381E4CEE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0" name="Elipse 7849">
          <a:extLst>
            <a:ext uri="{FF2B5EF4-FFF2-40B4-BE49-F238E27FC236}">
              <a16:creationId xmlns:a16="http://schemas.microsoft.com/office/drawing/2014/main" id="{485D9050-2109-40C3-AC41-D060CB1C5B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1" name="Elipse 7850">
          <a:extLst>
            <a:ext uri="{FF2B5EF4-FFF2-40B4-BE49-F238E27FC236}">
              <a16:creationId xmlns:a16="http://schemas.microsoft.com/office/drawing/2014/main" id="{0A9531A0-6596-4DEE-B451-AAF8F23A6F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2" name="Elipse 7851">
          <a:extLst>
            <a:ext uri="{FF2B5EF4-FFF2-40B4-BE49-F238E27FC236}">
              <a16:creationId xmlns:a16="http://schemas.microsoft.com/office/drawing/2014/main" id="{6E69E41E-7908-4383-8A2E-5E1C9564E1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3" name="Elipse 7852">
          <a:extLst>
            <a:ext uri="{FF2B5EF4-FFF2-40B4-BE49-F238E27FC236}">
              <a16:creationId xmlns:a16="http://schemas.microsoft.com/office/drawing/2014/main" id="{D56F757A-2EEA-47C4-A416-A8C07D38C0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4" name="Elipse 7853">
          <a:extLst>
            <a:ext uri="{FF2B5EF4-FFF2-40B4-BE49-F238E27FC236}">
              <a16:creationId xmlns:a16="http://schemas.microsoft.com/office/drawing/2014/main" id="{53C3C9F6-B8FF-41DC-841D-B9E4D8DB76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5" name="Elipse 7854">
          <a:extLst>
            <a:ext uri="{FF2B5EF4-FFF2-40B4-BE49-F238E27FC236}">
              <a16:creationId xmlns:a16="http://schemas.microsoft.com/office/drawing/2014/main" id="{612503F0-E37E-4BF1-B37F-44622AF6C2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6" name="Elipse 7855">
          <a:extLst>
            <a:ext uri="{FF2B5EF4-FFF2-40B4-BE49-F238E27FC236}">
              <a16:creationId xmlns:a16="http://schemas.microsoft.com/office/drawing/2014/main" id="{C02299B6-4584-43A3-A716-F14CFDFA1E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7" name="Elipse 7856">
          <a:extLst>
            <a:ext uri="{FF2B5EF4-FFF2-40B4-BE49-F238E27FC236}">
              <a16:creationId xmlns:a16="http://schemas.microsoft.com/office/drawing/2014/main" id="{8ADECCD9-33B0-44A7-9FA6-8AA47B2666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8" name="Elipse 7857">
          <a:extLst>
            <a:ext uri="{FF2B5EF4-FFF2-40B4-BE49-F238E27FC236}">
              <a16:creationId xmlns:a16="http://schemas.microsoft.com/office/drawing/2014/main" id="{E3D0AE52-5F44-4BDF-94F6-1094EF9BC4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59" name="Elipse 7858">
          <a:extLst>
            <a:ext uri="{FF2B5EF4-FFF2-40B4-BE49-F238E27FC236}">
              <a16:creationId xmlns:a16="http://schemas.microsoft.com/office/drawing/2014/main" id="{368EC60E-ECB7-433D-B065-91CBADAE74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0" name="Elipse 7859">
          <a:extLst>
            <a:ext uri="{FF2B5EF4-FFF2-40B4-BE49-F238E27FC236}">
              <a16:creationId xmlns:a16="http://schemas.microsoft.com/office/drawing/2014/main" id="{05FB298E-FC07-477B-9100-63FB585B6E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1" name="Elipse 7860">
          <a:extLst>
            <a:ext uri="{FF2B5EF4-FFF2-40B4-BE49-F238E27FC236}">
              <a16:creationId xmlns:a16="http://schemas.microsoft.com/office/drawing/2014/main" id="{59A7C4A9-FB2B-444E-82A3-463BFADAEB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2" name="Elipse 7861">
          <a:extLst>
            <a:ext uri="{FF2B5EF4-FFF2-40B4-BE49-F238E27FC236}">
              <a16:creationId xmlns:a16="http://schemas.microsoft.com/office/drawing/2014/main" id="{BE5D7CEC-8256-4670-B1B5-7534BA41D5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3" name="Elipse 7862">
          <a:extLst>
            <a:ext uri="{FF2B5EF4-FFF2-40B4-BE49-F238E27FC236}">
              <a16:creationId xmlns:a16="http://schemas.microsoft.com/office/drawing/2014/main" id="{A65DC584-F87D-4AA1-8879-3D2C087734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4" name="Elipse 7863">
          <a:extLst>
            <a:ext uri="{FF2B5EF4-FFF2-40B4-BE49-F238E27FC236}">
              <a16:creationId xmlns:a16="http://schemas.microsoft.com/office/drawing/2014/main" id="{3B0CECE6-E86E-4C10-8B44-80BF144B87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5" name="Elipse 7864">
          <a:extLst>
            <a:ext uri="{FF2B5EF4-FFF2-40B4-BE49-F238E27FC236}">
              <a16:creationId xmlns:a16="http://schemas.microsoft.com/office/drawing/2014/main" id="{17737A2C-FAA5-4ED8-8CDA-250C2A1103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6" name="Elipse 7865">
          <a:extLst>
            <a:ext uri="{FF2B5EF4-FFF2-40B4-BE49-F238E27FC236}">
              <a16:creationId xmlns:a16="http://schemas.microsoft.com/office/drawing/2014/main" id="{652767C0-3117-4503-9A5D-C03AA86CEC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7" name="Elipse 7866">
          <a:extLst>
            <a:ext uri="{FF2B5EF4-FFF2-40B4-BE49-F238E27FC236}">
              <a16:creationId xmlns:a16="http://schemas.microsoft.com/office/drawing/2014/main" id="{1C81B14E-BDAC-405B-82F4-361694253B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8" name="Elipse 7867">
          <a:extLst>
            <a:ext uri="{FF2B5EF4-FFF2-40B4-BE49-F238E27FC236}">
              <a16:creationId xmlns:a16="http://schemas.microsoft.com/office/drawing/2014/main" id="{2DEDE12E-DD23-4914-A591-078A0B6E3E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69" name="Elipse 7868">
          <a:extLst>
            <a:ext uri="{FF2B5EF4-FFF2-40B4-BE49-F238E27FC236}">
              <a16:creationId xmlns:a16="http://schemas.microsoft.com/office/drawing/2014/main" id="{B15DE071-AD1B-4BAB-8820-1D2E316DA9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0" name="Elipse 7869">
          <a:extLst>
            <a:ext uri="{FF2B5EF4-FFF2-40B4-BE49-F238E27FC236}">
              <a16:creationId xmlns:a16="http://schemas.microsoft.com/office/drawing/2014/main" id="{86CEF205-884D-41D2-A5E8-73636B55B0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1" name="Elipse 7870">
          <a:extLst>
            <a:ext uri="{FF2B5EF4-FFF2-40B4-BE49-F238E27FC236}">
              <a16:creationId xmlns:a16="http://schemas.microsoft.com/office/drawing/2014/main" id="{91978FFA-6E88-4EEC-950E-310AE7F671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2" name="Elipse 7871">
          <a:extLst>
            <a:ext uri="{FF2B5EF4-FFF2-40B4-BE49-F238E27FC236}">
              <a16:creationId xmlns:a16="http://schemas.microsoft.com/office/drawing/2014/main" id="{0D37EFDB-D7C6-4AE7-937C-FC4F87793E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3" name="Elipse 7872">
          <a:extLst>
            <a:ext uri="{FF2B5EF4-FFF2-40B4-BE49-F238E27FC236}">
              <a16:creationId xmlns:a16="http://schemas.microsoft.com/office/drawing/2014/main" id="{B3AF3740-0E7E-4E99-AEAA-A83F9E3EE4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4" name="Elipse 7873">
          <a:extLst>
            <a:ext uri="{FF2B5EF4-FFF2-40B4-BE49-F238E27FC236}">
              <a16:creationId xmlns:a16="http://schemas.microsoft.com/office/drawing/2014/main" id="{F5E87FBF-D555-482C-9882-3C497BA3A2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5" name="Elipse 7874">
          <a:extLst>
            <a:ext uri="{FF2B5EF4-FFF2-40B4-BE49-F238E27FC236}">
              <a16:creationId xmlns:a16="http://schemas.microsoft.com/office/drawing/2014/main" id="{81351510-1F94-4E3C-B32A-8D6DFD6243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6" name="Elipse 7875">
          <a:extLst>
            <a:ext uri="{FF2B5EF4-FFF2-40B4-BE49-F238E27FC236}">
              <a16:creationId xmlns:a16="http://schemas.microsoft.com/office/drawing/2014/main" id="{0EF74B0B-8007-408D-A20A-0A01480AAD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7" name="Elipse 7876">
          <a:extLst>
            <a:ext uri="{FF2B5EF4-FFF2-40B4-BE49-F238E27FC236}">
              <a16:creationId xmlns:a16="http://schemas.microsoft.com/office/drawing/2014/main" id="{028B8B62-711E-4E74-B670-48BE0BAF34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8" name="Elipse 7877">
          <a:extLst>
            <a:ext uri="{FF2B5EF4-FFF2-40B4-BE49-F238E27FC236}">
              <a16:creationId xmlns:a16="http://schemas.microsoft.com/office/drawing/2014/main" id="{1B62EAE8-0D57-414A-8BBC-97839A61A4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79" name="Elipse 7878">
          <a:extLst>
            <a:ext uri="{FF2B5EF4-FFF2-40B4-BE49-F238E27FC236}">
              <a16:creationId xmlns:a16="http://schemas.microsoft.com/office/drawing/2014/main" id="{C646F906-EADF-435C-B835-44743EE019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0" name="Elipse 7879">
          <a:extLst>
            <a:ext uri="{FF2B5EF4-FFF2-40B4-BE49-F238E27FC236}">
              <a16:creationId xmlns:a16="http://schemas.microsoft.com/office/drawing/2014/main" id="{40DE97C9-1CF6-4569-AE6F-C0E557D3AB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1" name="Elipse 7880">
          <a:extLst>
            <a:ext uri="{FF2B5EF4-FFF2-40B4-BE49-F238E27FC236}">
              <a16:creationId xmlns:a16="http://schemas.microsoft.com/office/drawing/2014/main" id="{266BE265-8BFF-415A-942E-8FC8BF1F79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2" name="Elipse 7881">
          <a:extLst>
            <a:ext uri="{FF2B5EF4-FFF2-40B4-BE49-F238E27FC236}">
              <a16:creationId xmlns:a16="http://schemas.microsoft.com/office/drawing/2014/main" id="{73F68159-088F-474E-BE51-E919D9EA89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3" name="Elipse 7882">
          <a:extLst>
            <a:ext uri="{FF2B5EF4-FFF2-40B4-BE49-F238E27FC236}">
              <a16:creationId xmlns:a16="http://schemas.microsoft.com/office/drawing/2014/main" id="{61D308A3-BB8D-4A8A-BE00-4C5B92749E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4" name="Elipse 7883">
          <a:extLst>
            <a:ext uri="{FF2B5EF4-FFF2-40B4-BE49-F238E27FC236}">
              <a16:creationId xmlns:a16="http://schemas.microsoft.com/office/drawing/2014/main" id="{A01861C5-8E25-4119-A329-361F6BC85D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5" name="Elipse 7884">
          <a:extLst>
            <a:ext uri="{FF2B5EF4-FFF2-40B4-BE49-F238E27FC236}">
              <a16:creationId xmlns:a16="http://schemas.microsoft.com/office/drawing/2014/main" id="{072F651F-8867-4071-85DB-8B162BAAE5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6" name="Elipse 7885">
          <a:extLst>
            <a:ext uri="{FF2B5EF4-FFF2-40B4-BE49-F238E27FC236}">
              <a16:creationId xmlns:a16="http://schemas.microsoft.com/office/drawing/2014/main" id="{2E4C78FF-5E1A-4320-BFB7-FEA8E70733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7" name="Elipse 7886">
          <a:extLst>
            <a:ext uri="{FF2B5EF4-FFF2-40B4-BE49-F238E27FC236}">
              <a16:creationId xmlns:a16="http://schemas.microsoft.com/office/drawing/2014/main" id="{2703C33B-8EE0-4845-8734-CC336C89E2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8" name="Elipse 7887">
          <a:extLst>
            <a:ext uri="{FF2B5EF4-FFF2-40B4-BE49-F238E27FC236}">
              <a16:creationId xmlns:a16="http://schemas.microsoft.com/office/drawing/2014/main" id="{1E8EA036-3271-4808-967E-A4CC310053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89" name="Elipse 7888">
          <a:extLst>
            <a:ext uri="{FF2B5EF4-FFF2-40B4-BE49-F238E27FC236}">
              <a16:creationId xmlns:a16="http://schemas.microsoft.com/office/drawing/2014/main" id="{8B5B0BDE-A5FC-4487-ADAF-803AA20FD8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0" name="Elipse 7889">
          <a:extLst>
            <a:ext uri="{FF2B5EF4-FFF2-40B4-BE49-F238E27FC236}">
              <a16:creationId xmlns:a16="http://schemas.microsoft.com/office/drawing/2014/main" id="{62D956CE-3394-4B2B-AD86-06A7F0667E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1" name="Elipse 7890">
          <a:extLst>
            <a:ext uri="{FF2B5EF4-FFF2-40B4-BE49-F238E27FC236}">
              <a16:creationId xmlns:a16="http://schemas.microsoft.com/office/drawing/2014/main" id="{3E903A45-3E15-4C1D-8635-FAE88AC6C4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2" name="Elipse 7891">
          <a:extLst>
            <a:ext uri="{FF2B5EF4-FFF2-40B4-BE49-F238E27FC236}">
              <a16:creationId xmlns:a16="http://schemas.microsoft.com/office/drawing/2014/main" id="{C5BC59D6-4A9F-42F0-A33D-91ACCF6470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3" name="Elipse 7892">
          <a:extLst>
            <a:ext uri="{FF2B5EF4-FFF2-40B4-BE49-F238E27FC236}">
              <a16:creationId xmlns:a16="http://schemas.microsoft.com/office/drawing/2014/main" id="{D370D52B-7D02-4990-B2DF-65CBBEE05A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4" name="Elipse 7893">
          <a:extLst>
            <a:ext uri="{FF2B5EF4-FFF2-40B4-BE49-F238E27FC236}">
              <a16:creationId xmlns:a16="http://schemas.microsoft.com/office/drawing/2014/main" id="{4260267D-076E-419F-AD21-4B5EB79FBB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5" name="Elipse 7894">
          <a:extLst>
            <a:ext uri="{FF2B5EF4-FFF2-40B4-BE49-F238E27FC236}">
              <a16:creationId xmlns:a16="http://schemas.microsoft.com/office/drawing/2014/main" id="{AE1D684B-12E7-48AA-BAD0-36CF222D44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6" name="Elipse 7895">
          <a:extLst>
            <a:ext uri="{FF2B5EF4-FFF2-40B4-BE49-F238E27FC236}">
              <a16:creationId xmlns:a16="http://schemas.microsoft.com/office/drawing/2014/main" id="{5C517CFD-F450-4711-86A2-EB9B4B7B70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7" name="Elipse 7896">
          <a:extLst>
            <a:ext uri="{FF2B5EF4-FFF2-40B4-BE49-F238E27FC236}">
              <a16:creationId xmlns:a16="http://schemas.microsoft.com/office/drawing/2014/main" id="{49AAA3C6-510B-4ABF-9850-55B430C468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8" name="Elipse 7897">
          <a:extLst>
            <a:ext uri="{FF2B5EF4-FFF2-40B4-BE49-F238E27FC236}">
              <a16:creationId xmlns:a16="http://schemas.microsoft.com/office/drawing/2014/main" id="{066EC755-C8AB-4757-BEF0-C77B0FB3CD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899" name="Elipse 7898">
          <a:extLst>
            <a:ext uri="{FF2B5EF4-FFF2-40B4-BE49-F238E27FC236}">
              <a16:creationId xmlns:a16="http://schemas.microsoft.com/office/drawing/2014/main" id="{64FAB7F9-D561-4999-8AA7-4E6CC17315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0" name="Elipse 7899">
          <a:extLst>
            <a:ext uri="{FF2B5EF4-FFF2-40B4-BE49-F238E27FC236}">
              <a16:creationId xmlns:a16="http://schemas.microsoft.com/office/drawing/2014/main" id="{BF2027C2-0F63-4E7D-9EFC-B81809D70F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1" name="Elipse 7900">
          <a:extLst>
            <a:ext uri="{FF2B5EF4-FFF2-40B4-BE49-F238E27FC236}">
              <a16:creationId xmlns:a16="http://schemas.microsoft.com/office/drawing/2014/main" id="{7A080C07-9E25-44DA-90EF-A2BF776D57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2" name="Elipse 7901">
          <a:extLst>
            <a:ext uri="{FF2B5EF4-FFF2-40B4-BE49-F238E27FC236}">
              <a16:creationId xmlns:a16="http://schemas.microsoft.com/office/drawing/2014/main" id="{8D4C898A-E6B5-4BCD-ADB1-6721AD2758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3" name="Elipse 7902">
          <a:extLst>
            <a:ext uri="{FF2B5EF4-FFF2-40B4-BE49-F238E27FC236}">
              <a16:creationId xmlns:a16="http://schemas.microsoft.com/office/drawing/2014/main" id="{FA110505-8634-4421-ABA5-EA72AD5B9E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4" name="Elipse 7903">
          <a:extLst>
            <a:ext uri="{FF2B5EF4-FFF2-40B4-BE49-F238E27FC236}">
              <a16:creationId xmlns:a16="http://schemas.microsoft.com/office/drawing/2014/main" id="{3876B281-807F-4570-A74E-29607A4A43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5" name="Elipse 7904">
          <a:extLst>
            <a:ext uri="{FF2B5EF4-FFF2-40B4-BE49-F238E27FC236}">
              <a16:creationId xmlns:a16="http://schemas.microsoft.com/office/drawing/2014/main" id="{0210FDFF-C955-4CC7-A6D7-7FE76FD926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6" name="Elipse 7905">
          <a:extLst>
            <a:ext uri="{FF2B5EF4-FFF2-40B4-BE49-F238E27FC236}">
              <a16:creationId xmlns:a16="http://schemas.microsoft.com/office/drawing/2014/main" id="{8207DD05-8F94-4CA9-98B5-48F8F0823F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7" name="Elipse 7906">
          <a:extLst>
            <a:ext uri="{FF2B5EF4-FFF2-40B4-BE49-F238E27FC236}">
              <a16:creationId xmlns:a16="http://schemas.microsoft.com/office/drawing/2014/main" id="{B616B858-2847-4D32-B877-BC31AC86E8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8" name="Elipse 7907">
          <a:extLst>
            <a:ext uri="{FF2B5EF4-FFF2-40B4-BE49-F238E27FC236}">
              <a16:creationId xmlns:a16="http://schemas.microsoft.com/office/drawing/2014/main" id="{B953441A-9E8B-401C-A053-06F0F6C8EE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09" name="Elipse 7908">
          <a:extLst>
            <a:ext uri="{FF2B5EF4-FFF2-40B4-BE49-F238E27FC236}">
              <a16:creationId xmlns:a16="http://schemas.microsoft.com/office/drawing/2014/main" id="{9D8D5CD2-A688-4410-87FA-CA643A82EC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0" name="Elipse 7909">
          <a:extLst>
            <a:ext uri="{FF2B5EF4-FFF2-40B4-BE49-F238E27FC236}">
              <a16:creationId xmlns:a16="http://schemas.microsoft.com/office/drawing/2014/main" id="{6E7D58E3-41EC-4C59-91B7-9EE25BFA33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1" name="Elipse 7910">
          <a:extLst>
            <a:ext uri="{FF2B5EF4-FFF2-40B4-BE49-F238E27FC236}">
              <a16:creationId xmlns:a16="http://schemas.microsoft.com/office/drawing/2014/main" id="{29C61805-4C65-4FA2-ABCC-3C6E6CFAFD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2" name="Elipse 7911">
          <a:extLst>
            <a:ext uri="{FF2B5EF4-FFF2-40B4-BE49-F238E27FC236}">
              <a16:creationId xmlns:a16="http://schemas.microsoft.com/office/drawing/2014/main" id="{64924186-3CFE-4371-8F87-58D1CA2F26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3" name="Elipse 7912">
          <a:extLst>
            <a:ext uri="{FF2B5EF4-FFF2-40B4-BE49-F238E27FC236}">
              <a16:creationId xmlns:a16="http://schemas.microsoft.com/office/drawing/2014/main" id="{8A8483EF-746C-4E74-860A-4AD3161EA3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4" name="Elipse 7913">
          <a:extLst>
            <a:ext uri="{FF2B5EF4-FFF2-40B4-BE49-F238E27FC236}">
              <a16:creationId xmlns:a16="http://schemas.microsoft.com/office/drawing/2014/main" id="{3180FF7C-90D3-44CE-9CB5-84BF90C0AC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5" name="Elipse 7914">
          <a:extLst>
            <a:ext uri="{FF2B5EF4-FFF2-40B4-BE49-F238E27FC236}">
              <a16:creationId xmlns:a16="http://schemas.microsoft.com/office/drawing/2014/main" id="{3D612600-7BAD-4D24-A9A0-2751507B12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6" name="Elipse 7915">
          <a:extLst>
            <a:ext uri="{FF2B5EF4-FFF2-40B4-BE49-F238E27FC236}">
              <a16:creationId xmlns:a16="http://schemas.microsoft.com/office/drawing/2014/main" id="{49EFF6E4-3BE7-4B76-A95E-80A7A1A971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7" name="Elipse 7916">
          <a:extLst>
            <a:ext uri="{FF2B5EF4-FFF2-40B4-BE49-F238E27FC236}">
              <a16:creationId xmlns:a16="http://schemas.microsoft.com/office/drawing/2014/main" id="{2F27E765-A180-4DEF-8E3A-9B8983FA70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8" name="Elipse 7917">
          <a:extLst>
            <a:ext uri="{FF2B5EF4-FFF2-40B4-BE49-F238E27FC236}">
              <a16:creationId xmlns:a16="http://schemas.microsoft.com/office/drawing/2014/main" id="{72C14D92-EAE6-496B-B2B9-F8C32E40E9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19" name="Elipse 7918">
          <a:extLst>
            <a:ext uri="{FF2B5EF4-FFF2-40B4-BE49-F238E27FC236}">
              <a16:creationId xmlns:a16="http://schemas.microsoft.com/office/drawing/2014/main" id="{36DAB173-E07F-4E0E-B1BF-89C5944B03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0" name="Elipse 7919">
          <a:extLst>
            <a:ext uri="{FF2B5EF4-FFF2-40B4-BE49-F238E27FC236}">
              <a16:creationId xmlns:a16="http://schemas.microsoft.com/office/drawing/2014/main" id="{2413A5EC-D31F-44D7-9E9A-8A843F0D07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1" name="Elipse 7920">
          <a:extLst>
            <a:ext uri="{FF2B5EF4-FFF2-40B4-BE49-F238E27FC236}">
              <a16:creationId xmlns:a16="http://schemas.microsoft.com/office/drawing/2014/main" id="{5EE21F27-FCD3-4DE8-B8F5-505E3FA964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2" name="Elipse 7921">
          <a:extLst>
            <a:ext uri="{FF2B5EF4-FFF2-40B4-BE49-F238E27FC236}">
              <a16:creationId xmlns:a16="http://schemas.microsoft.com/office/drawing/2014/main" id="{DAC4961A-DE04-45A3-9E30-85001D2053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3" name="Elipse 7922">
          <a:extLst>
            <a:ext uri="{FF2B5EF4-FFF2-40B4-BE49-F238E27FC236}">
              <a16:creationId xmlns:a16="http://schemas.microsoft.com/office/drawing/2014/main" id="{5307505D-B009-42D7-A764-5CD5F743E2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4" name="Elipse 7923">
          <a:extLst>
            <a:ext uri="{FF2B5EF4-FFF2-40B4-BE49-F238E27FC236}">
              <a16:creationId xmlns:a16="http://schemas.microsoft.com/office/drawing/2014/main" id="{EAE0497E-A90F-4A18-A8AB-0285420460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5" name="Elipse 7924">
          <a:extLst>
            <a:ext uri="{FF2B5EF4-FFF2-40B4-BE49-F238E27FC236}">
              <a16:creationId xmlns:a16="http://schemas.microsoft.com/office/drawing/2014/main" id="{BEE3EBC8-BF65-4780-81B0-361F0FB0C2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6" name="Elipse 7925">
          <a:extLst>
            <a:ext uri="{FF2B5EF4-FFF2-40B4-BE49-F238E27FC236}">
              <a16:creationId xmlns:a16="http://schemas.microsoft.com/office/drawing/2014/main" id="{45C96DBB-9553-43D0-900E-589825C87B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7" name="Elipse 7926">
          <a:extLst>
            <a:ext uri="{FF2B5EF4-FFF2-40B4-BE49-F238E27FC236}">
              <a16:creationId xmlns:a16="http://schemas.microsoft.com/office/drawing/2014/main" id="{5D7CCB8D-9399-4AE0-BAD5-274CFE95ED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8" name="Elipse 7927">
          <a:extLst>
            <a:ext uri="{FF2B5EF4-FFF2-40B4-BE49-F238E27FC236}">
              <a16:creationId xmlns:a16="http://schemas.microsoft.com/office/drawing/2014/main" id="{917E6AD2-F268-4A96-8B7F-03B549F990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29" name="Elipse 7928">
          <a:extLst>
            <a:ext uri="{FF2B5EF4-FFF2-40B4-BE49-F238E27FC236}">
              <a16:creationId xmlns:a16="http://schemas.microsoft.com/office/drawing/2014/main" id="{C412BAD6-C42F-4559-BB53-B538CC6CFD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0" name="Elipse 7929">
          <a:extLst>
            <a:ext uri="{FF2B5EF4-FFF2-40B4-BE49-F238E27FC236}">
              <a16:creationId xmlns:a16="http://schemas.microsoft.com/office/drawing/2014/main" id="{FB37FFD4-FC4E-428D-83CD-C268893506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1" name="Elipse 7930">
          <a:extLst>
            <a:ext uri="{FF2B5EF4-FFF2-40B4-BE49-F238E27FC236}">
              <a16:creationId xmlns:a16="http://schemas.microsoft.com/office/drawing/2014/main" id="{1401A87C-E546-4E9F-BA4B-23729A0E5A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2" name="Elipse 7931">
          <a:extLst>
            <a:ext uri="{FF2B5EF4-FFF2-40B4-BE49-F238E27FC236}">
              <a16:creationId xmlns:a16="http://schemas.microsoft.com/office/drawing/2014/main" id="{62A3C5F6-240E-4843-B411-A2E6AE297A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3" name="Elipse 7932">
          <a:extLst>
            <a:ext uri="{FF2B5EF4-FFF2-40B4-BE49-F238E27FC236}">
              <a16:creationId xmlns:a16="http://schemas.microsoft.com/office/drawing/2014/main" id="{9D45B080-4D73-4950-A340-22C7B1FC3B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4" name="Elipse 7933">
          <a:extLst>
            <a:ext uri="{FF2B5EF4-FFF2-40B4-BE49-F238E27FC236}">
              <a16:creationId xmlns:a16="http://schemas.microsoft.com/office/drawing/2014/main" id="{72771FF0-FF60-4C30-BAF8-914499B8DA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5" name="Elipse 7934">
          <a:extLst>
            <a:ext uri="{FF2B5EF4-FFF2-40B4-BE49-F238E27FC236}">
              <a16:creationId xmlns:a16="http://schemas.microsoft.com/office/drawing/2014/main" id="{681D7734-85D6-4695-AA96-E178B8990E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6" name="Elipse 7935">
          <a:extLst>
            <a:ext uri="{FF2B5EF4-FFF2-40B4-BE49-F238E27FC236}">
              <a16:creationId xmlns:a16="http://schemas.microsoft.com/office/drawing/2014/main" id="{5FDCE933-51E5-4403-8136-451491442F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7" name="Elipse 7936">
          <a:extLst>
            <a:ext uri="{FF2B5EF4-FFF2-40B4-BE49-F238E27FC236}">
              <a16:creationId xmlns:a16="http://schemas.microsoft.com/office/drawing/2014/main" id="{D9F1E97F-D57E-4D88-A7C0-3635D37634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8" name="Elipse 7937">
          <a:extLst>
            <a:ext uri="{FF2B5EF4-FFF2-40B4-BE49-F238E27FC236}">
              <a16:creationId xmlns:a16="http://schemas.microsoft.com/office/drawing/2014/main" id="{8BC546F9-FE2F-40C4-9962-95A0A1E738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39" name="Elipse 7938">
          <a:extLst>
            <a:ext uri="{FF2B5EF4-FFF2-40B4-BE49-F238E27FC236}">
              <a16:creationId xmlns:a16="http://schemas.microsoft.com/office/drawing/2014/main" id="{EA9D46C9-A7BD-4805-B720-072045F4E4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0" name="Elipse 7939">
          <a:extLst>
            <a:ext uri="{FF2B5EF4-FFF2-40B4-BE49-F238E27FC236}">
              <a16:creationId xmlns:a16="http://schemas.microsoft.com/office/drawing/2014/main" id="{AA47FDE7-028B-4D2A-81D1-0501FC893B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1" name="Elipse 7940">
          <a:extLst>
            <a:ext uri="{FF2B5EF4-FFF2-40B4-BE49-F238E27FC236}">
              <a16:creationId xmlns:a16="http://schemas.microsoft.com/office/drawing/2014/main" id="{2E13DD67-C09A-4EDA-A40C-4C6F92C0CF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2" name="Elipse 7941">
          <a:extLst>
            <a:ext uri="{FF2B5EF4-FFF2-40B4-BE49-F238E27FC236}">
              <a16:creationId xmlns:a16="http://schemas.microsoft.com/office/drawing/2014/main" id="{E78ADCE9-282B-480E-B8E0-0C465DA6A0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3" name="Elipse 7942">
          <a:extLst>
            <a:ext uri="{FF2B5EF4-FFF2-40B4-BE49-F238E27FC236}">
              <a16:creationId xmlns:a16="http://schemas.microsoft.com/office/drawing/2014/main" id="{A79A89E1-3AEE-4813-8E93-208C11F697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4" name="Elipse 7943">
          <a:extLst>
            <a:ext uri="{FF2B5EF4-FFF2-40B4-BE49-F238E27FC236}">
              <a16:creationId xmlns:a16="http://schemas.microsoft.com/office/drawing/2014/main" id="{195CC6A5-5180-42D8-A4DA-3A6E4DEB61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5" name="Elipse 7944">
          <a:extLst>
            <a:ext uri="{FF2B5EF4-FFF2-40B4-BE49-F238E27FC236}">
              <a16:creationId xmlns:a16="http://schemas.microsoft.com/office/drawing/2014/main" id="{13497DFC-CDD6-4ECF-BF1E-8F8C58EF8E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6" name="Elipse 7945">
          <a:extLst>
            <a:ext uri="{FF2B5EF4-FFF2-40B4-BE49-F238E27FC236}">
              <a16:creationId xmlns:a16="http://schemas.microsoft.com/office/drawing/2014/main" id="{78BA09AC-150D-4675-8B11-24D5C69C47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7" name="Elipse 7946">
          <a:extLst>
            <a:ext uri="{FF2B5EF4-FFF2-40B4-BE49-F238E27FC236}">
              <a16:creationId xmlns:a16="http://schemas.microsoft.com/office/drawing/2014/main" id="{28DB75A1-AE90-4D98-8F07-2D045C05F3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8" name="Elipse 7947">
          <a:extLst>
            <a:ext uri="{FF2B5EF4-FFF2-40B4-BE49-F238E27FC236}">
              <a16:creationId xmlns:a16="http://schemas.microsoft.com/office/drawing/2014/main" id="{F0CEFEFA-97D4-4A32-9AAF-4BC736A1A4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49" name="Elipse 7948">
          <a:extLst>
            <a:ext uri="{FF2B5EF4-FFF2-40B4-BE49-F238E27FC236}">
              <a16:creationId xmlns:a16="http://schemas.microsoft.com/office/drawing/2014/main" id="{025F354F-1F44-463B-9C04-34641C84D1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0" name="Elipse 7949">
          <a:extLst>
            <a:ext uri="{FF2B5EF4-FFF2-40B4-BE49-F238E27FC236}">
              <a16:creationId xmlns:a16="http://schemas.microsoft.com/office/drawing/2014/main" id="{9A19840E-D3E7-4AD3-8D91-29F21EF1A5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1" name="Elipse 7950">
          <a:extLst>
            <a:ext uri="{FF2B5EF4-FFF2-40B4-BE49-F238E27FC236}">
              <a16:creationId xmlns:a16="http://schemas.microsoft.com/office/drawing/2014/main" id="{8FDC2EA7-D763-4D5B-B127-0D7D0D9313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2" name="Elipse 7951">
          <a:extLst>
            <a:ext uri="{FF2B5EF4-FFF2-40B4-BE49-F238E27FC236}">
              <a16:creationId xmlns:a16="http://schemas.microsoft.com/office/drawing/2014/main" id="{4A796A64-871C-4CCA-A01B-464C1BBBB3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3" name="Elipse 7952">
          <a:extLst>
            <a:ext uri="{FF2B5EF4-FFF2-40B4-BE49-F238E27FC236}">
              <a16:creationId xmlns:a16="http://schemas.microsoft.com/office/drawing/2014/main" id="{CAB72D54-F408-4B54-9C09-CA49DFDDC4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4" name="Elipse 7953">
          <a:extLst>
            <a:ext uri="{FF2B5EF4-FFF2-40B4-BE49-F238E27FC236}">
              <a16:creationId xmlns:a16="http://schemas.microsoft.com/office/drawing/2014/main" id="{A185EAD9-B227-4E19-9B37-5676506E8A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5" name="Elipse 7954">
          <a:extLst>
            <a:ext uri="{FF2B5EF4-FFF2-40B4-BE49-F238E27FC236}">
              <a16:creationId xmlns:a16="http://schemas.microsoft.com/office/drawing/2014/main" id="{D54DB0A3-D404-46F0-869B-2534CC2B7B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6" name="Elipse 7955">
          <a:extLst>
            <a:ext uri="{FF2B5EF4-FFF2-40B4-BE49-F238E27FC236}">
              <a16:creationId xmlns:a16="http://schemas.microsoft.com/office/drawing/2014/main" id="{B70CC2EB-B136-4A9C-AC26-2AF4C452E0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7" name="Elipse 7956">
          <a:extLst>
            <a:ext uri="{FF2B5EF4-FFF2-40B4-BE49-F238E27FC236}">
              <a16:creationId xmlns:a16="http://schemas.microsoft.com/office/drawing/2014/main" id="{956FEE87-CB6F-4A07-950D-7B273C1597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8" name="Elipse 7957">
          <a:extLst>
            <a:ext uri="{FF2B5EF4-FFF2-40B4-BE49-F238E27FC236}">
              <a16:creationId xmlns:a16="http://schemas.microsoft.com/office/drawing/2014/main" id="{06645225-C362-4ED8-848E-93D71CAF47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59" name="Elipse 7958">
          <a:extLst>
            <a:ext uri="{FF2B5EF4-FFF2-40B4-BE49-F238E27FC236}">
              <a16:creationId xmlns:a16="http://schemas.microsoft.com/office/drawing/2014/main" id="{39D68C97-5377-4367-B2A2-D76CC314F3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0" name="Elipse 7959">
          <a:extLst>
            <a:ext uri="{FF2B5EF4-FFF2-40B4-BE49-F238E27FC236}">
              <a16:creationId xmlns:a16="http://schemas.microsoft.com/office/drawing/2014/main" id="{26DCD9F4-A5F7-419B-8B75-373F81BD51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1" name="Elipse 7960">
          <a:extLst>
            <a:ext uri="{FF2B5EF4-FFF2-40B4-BE49-F238E27FC236}">
              <a16:creationId xmlns:a16="http://schemas.microsoft.com/office/drawing/2014/main" id="{79A92CFD-BF11-4FFD-939A-FD911F1A00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2" name="Elipse 7961">
          <a:extLst>
            <a:ext uri="{FF2B5EF4-FFF2-40B4-BE49-F238E27FC236}">
              <a16:creationId xmlns:a16="http://schemas.microsoft.com/office/drawing/2014/main" id="{690D71C7-4F9E-4E78-BED3-5C90781CCF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3" name="Elipse 7962">
          <a:extLst>
            <a:ext uri="{FF2B5EF4-FFF2-40B4-BE49-F238E27FC236}">
              <a16:creationId xmlns:a16="http://schemas.microsoft.com/office/drawing/2014/main" id="{FE5372F5-57AD-4EB9-A08D-909522396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4" name="Elipse 7963">
          <a:extLst>
            <a:ext uri="{FF2B5EF4-FFF2-40B4-BE49-F238E27FC236}">
              <a16:creationId xmlns:a16="http://schemas.microsoft.com/office/drawing/2014/main" id="{4E6023AB-6B44-4D2E-A494-8601DA6B2E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5" name="Elipse 7964">
          <a:extLst>
            <a:ext uri="{FF2B5EF4-FFF2-40B4-BE49-F238E27FC236}">
              <a16:creationId xmlns:a16="http://schemas.microsoft.com/office/drawing/2014/main" id="{8778A321-94F8-45A3-A6D3-4AA89E21F5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6" name="Elipse 7965">
          <a:extLst>
            <a:ext uri="{FF2B5EF4-FFF2-40B4-BE49-F238E27FC236}">
              <a16:creationId xmlns:a16="http://schemas.microsoft.com/office/drawing/2014/main" id="{876ACED5-ED90-4941-B624-D8AADA9783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7" name="Elipse 7966">
          <a:extLst>
            <a:ext uri="{FF2B5EF4-FFF2-40B4-BE49-F238E27FC236}">
              <a16:creationId xmlns:a16="http://schemas.microsoft.com/office/drawing/2014/main" id="{E7DBAB6F-B283-482D-88B6-12EAF4C1D4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8" name="Elipse 7967">
          <a:extLst>
            <a:ext uri="{FF2B5EF4-FFF2-40B4-BE49-F238E27FC236}">
              <a16:creationId xmlns:a16="http://schemas.microsoft.com/office/drawing/2014/main" id="{254FA579-CBE4-4ADC-B6A7-EF38072FF8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69" name="Elipse 7968">
          <a:extLst>
            <a:ext uri="{FF2B5EF4-FFF2-40B4-BE49-F238E27FC236}">
              <a16:creationId xmlns:a16="http://schemas.microsoft.com/office/drawing/2014/main" id="{EE45429B-8833-4E3E-9215-B8CBFC78EB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0" name="Elipse 7969">
          <a:extLst>
            <a:ext uri="{FF2B5EF4-FFF2-40B4-BE49-F238E27FC236}">
              <a16:creationId xmlns:a16="http://schemas.microsoft.com/office/drawing/2014/main" id="{9D2579AE-A049-443D-82F7-EDC1731FFD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1" name="Elipse 7970">
          <a:extLst>
            <a:ext uri="{FF2B5EF4-FFF2-40B4-BE49-F238E27FC236}">
              <a16:creationId xmlns:a16="http://schemas.microsoft.com/office/drawing/2014/main" id="{125F19CF-E152-43DA-86C6-F59DF6CBEB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2" name="Elipse 7971">
          <a:extLst>
            <a:ext uri="{FF2B5EF4-FFF2-40B4-BE49-F238E27FC236}">
              <a16:creationId xmlns:a16="http://schemas.microsoft.com/office/drawing/2014/main" id="{CCD7390F-AAE4-468D-B983-D88171A6E4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3" name="Elipse 7972">
          <a:extLst>
            <a:ext uri="{FF2B5EF4-FFF2-40B4-BE49-F238E27FC236}">
              <a16:creationId xmlns:a16="http://schemas.microsoft.com/office/drawing/2014/main" id="{CF0512A3-5E77-4E07-8A75-5032956C75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4" name="Elipse 7973">
          <a:extLst>
            <a:ext uri="{FF2B5EF4-FFF2-40B4-BE49-F238E27FC236}">
              <a16:creationId xmlns:a16="http://schemas.microsoft.com/office/drawing/2014/main" id="{A731BBBB-CDE8-40F3-8ED3-DC4EAEE247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5" name="Elipse 7974">
          <a:extLst>
            <a:ext uri="{FF2B5EF4-FFF2-40B4-BE49-F238E27FC236}">
              <a16:creationId xmlns:a16="http://schemas.microsoft.com/office/drawing/2014/main" id="{72744582-8411-4DE5-9B14-2B291CBA50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6" name="Elipse 7975">
          <a:extLst>
            <a:ext uri="{FF2B5EF4-FFF2-40B4-BE49-F238E27FC236}">
              <a16:creationId xmlns:a16="http://schemas.microsoft.com/office/drawing/2014/main" id="{8CF53527-2236-4A3C-B38F-5F2EECA551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7" name="Elipse 7976">
          <a:extLst>
            <a:ext uri="{FF2B5EF4-FFF2-40B4-BE49-F238E27FC236}">
              <a16:creationId xmlns:a16="http://schemas.microsoft.com/office/drawing/2014/main" id="{50AF449C-6334-496D-9985-895F1D3F49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8" name="Elipse 7977">
          <a:extLst>
            <a:ext uri="{FF2B5EF4-FFF2-40B4-BE49-F238E27FC236}">
              <a16:creationId xmlns:a16="http://schemas.microsoft.com/office/drawing/2014/main" id="{C0D7E7E0-5130-469E-A0F5-CDC7269303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79" name="Elipse 7978">
          <a:extLst>
            <a:ext uri="{FF2B5EF4-FFF2-40B4-BE49-F238E27FC236}">
              <a16:creationId xmlns:a16="http://schemas.microsoft.com/office/drawing/2014/main" id="{4686ED2A-AAB0-4E6F-8DF8-A2A197BCBC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0" name="Elipse 7979">
          <a:extLst>
            <a:ext uri="{FF2B5EF4-FFF2-40B4-BE49-F238E27FC236}">
              <a16:creationId xmlns:a16="http://schemas.microsoft.com/office/drawing/2014/main" id="{2E7182A4-B714-4B16-9E71-59B923B57F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1" name="Elipse 7980">
          <a:extLst>
            <a:ext uri="{FF2B5EF4-FFF2-40B4-BE49-F238E27FC236}">
              <a16:creationId xmlns:a16="http://schemas.microsoft.com/office/drawing/2014/main" id="{E56F431C-20CD-4BE7-B19A-E89F3B397D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2" name="Elipse 7981">
          <a:extLst>
            <a:ext uri="{FF2B5EF4-FFF2-40B4-BE49-F238E27FC236}">
              <a16:creationId xmlns:a16="http://schemas.microsoft.com/office/drawing/2014/main" id="{D7C8BB7C-8DFA-4B66-9A66-051914BDC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3" name="Elipse 7982">
          <a:extLst>
            <a:ext uri="{FF2B5EF4-FFF2-40B4-BE49-F238E27FC236}">
              <a16:creationId xmlns:a16="http://schemas.microsoft.com/office/drawing/2014/main" id="{746F8395-B177-46B2-A663-FE49D3DBDD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4" name="Elipse 7983">
          <a:extLst>
            <a:ext uri="{FF2B5EF4-FFF2-40B4-BE49-F238E27FC236}">
              <a16:creationId xmlns:a16="http://schemas.microsoft.com/office/drawing/2014/main" id="{10323B6E-B25C-420E-A80B-C359F482B0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5" name="Elipse 7984">
          <a:extLst>
            <a:ext uri="{FF2B5EF4-FFF2-40B4-BE49-F238E27FC236}">
              <a16:creationId xmlns:a16="http://schemas.microsoft.com/office/drawing/2014/main" id="{BF116586-B8C6-4881-A0C9-91003796BA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6" name="Elipse 7985">
          <a:extLst>
            <a:ext uri="{FF2B5EF4-FFF2-40B4-BE49-F238E27FC236}">
              <a16:creationId xmlns:a16="http://schemas.microsoft.com/office/drawing/2014/main" id="{67C98242-13AB-4148-9426-DE5911E3CF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7" name="Elipse 7986">
          <a:extLst>
            <a:ext uri="{FF2B5EF4-FFF2-40B4-BE49-F238E27FC236}">
              <a16:creationId xmlns:a16="http://schemas.microsoft.com/office/drawing/2014/main" id="{0EF2501A-730E-4962-81A8-48648B0DF6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8" name="Elipse 7987">
          <a:extLst>
            <a:ext uri="{FF2B5EF4-FFF2-40B4-BE49-F238E27FC236}">
              <a16:creationId xmlns:a16="http://schemas.microsoft.com/office/drawing/2014/main" id="{A415A619-35D1-469C-90C7-A678B9AD31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89" name="Elipse 7988">
          <a:extLst>
            <a:ext uri="{FF2B5EF4-FFF2-40B4-BE49-F238E27FC236}">
              <a16:creationId xmlns:a16="http://schemas.microsoft.com/office/drawing/2014/main" id="{446A8F18-E431-4BDE-A5FB-9F414B1018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0" name="Elipse 7989">
          <a:extLst>
            <a:ext uri="{FF2B5EF4-FFF2-40B4-BE49-F238E27FC236}">
              <a16:creationId xmlns:a16="http://schemas.microsoft.com/office/drawing/2014/main" id="{E53D4622-559A-4D05-B149-43D39A68BC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1" name="Elipse 7990">
          <a:extLst>
            <a:ext uri="{FF2B5EF4-FFF2-40B4-BE49-F238E27FC236}">
              <a16:creationId xmlns:a16="http://schemas.microsoft.com/office/drawing/2014/main" id="{C627BE6A-A740-4573-AC21-EC116CC018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2" name="Elipse 7991">
          <a:extLst>
            <a:ext uri="{FF2B5EF4-FFF2-40B4-BE49-F238E27FC236}">
              <a16:creationId xmlns:a16="http://schemas.microsoft.com/office/drawing/2014/main" id="{ECD21FCA-B691-4643-9FC1-FBE4F0490F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3" name="Elipse 7992">
          <a:extLst>
            <a:ext uri="{FF2B5EF4-FFF2-40B4-BE49-F238E27FC236}">
              <a16:creationId xmlns:a16="http://schemas.microsoft.com/office/drawing/2014/main" id="{07D440EC-462A-44AF-9AE7-7EA9B00385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4" name="Elipse 7993">
          <a:extLst>
            <a:ext uri="{FF2B5EF4-FFF2-40B4-BE49-F238E27FC236}">
              <a16:creationId xmlns:a16="http://schemas.microsoft.com/office/drawing/2014/main" id="{9753FCB8-0296-498A-ACE7-AD03D406B6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5" name="Elipse 7994">
          <a:extLst>
            <a:ext uri="{FF2B5EF4-FFF2-40B4-BE49-F238E27FC236}">
              <a16:creationId xmlns:a16="http://schemas.microsoft.com/office/drawing/2014/main" id="{5BAA8375-F8AC-4052-99C0-604A9E8143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6" name="Elipse 7995">
          <a:extLst>
            <a:ext uri="{FF2B5EF4-FFF2-40B4-BE49-F238E27FC236}">
              <a16:creationId xmlns:a16="http://schemas.microsoft.com/office/drawing/2014/main" id="{A044C695-C94D-42F1-8A09-E5C0900568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7" name="Elipse 7996">
          <a:extLst>
            <a:ext uri="{FF2B5EF4-FFF2-40B4-BE49-F238E27FC236}">
              <a16:creationId xmlns:a16="http://schemas.microsoft.com/office/drawing/2014/main" id="{3F2227B2-9381-49F5-9BAB-DFC19842A9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8" name="Elipse 7997">
          <a:extLst>
            <a:ext uri="{FF2B5EF4-FFF2-40B4-BE49-F238E27FC236}">
              <a16:creationId xmlns:a16="http://schemas.microsoft.com/office/drawing/2014/main" id="{A879F3BD-20E1-455D-B930-AF6E16DE9F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999" name="Elipse 7998">
          <a:extLst>
            <a:ext uri="{FF2B5EF4-FFF2-40B4-BE49-F238E27FC236}">
              <a16:creationId xmlns:a16="http://schemas.microsoft.com/office/drawing/2014/main" id="{E973D437-BF76-45A6-9F71-A306232F77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0" name="Elipse 7999">
          <a:extLst>
            <a:ext uri="{FF2B5EF4-FFF2-40B4-BE49-F238E27FC236}">
              <a16:creationId xmlns:a16="http://schemas.microsoft.com/office/drawing/2014/main" id="{F7D2B443-1045-49B0-B76E-2CC71102AB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1" name="Elipse 8000">
          <a:extLst>
            <a:ext uri="{FF2B5EF4-FFF2-40B4-BE49-F238E27FC236}">
              <a16:creationId xmlns:a16="http://schemas.microsoft.com/office/drawing/2014/main" id="{6F755E95-14B3-4228-ADC2-72DB2F147F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2" name="Elipse 8001">
          <a:extLst>
            <a:ext uri="{FF2B5EF4-FFF2-40B4-BE49-F238E27FC236}">
              <a16:creationId xmlns:a16="http://schemas.microsoft.com/office/drawing/2014/main" id="{E68CA358-621D-4DBF-B242-02274C5D0C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3" name="Elipse 8002">
          <a:extLst>
            <a:ext uri="{FF2B5EF4-FFF2-40B4-BE49-F238E27FC236}">
              <a16:creationId xmlns:a16="http://schemas.microsoft.com/office/drawing/2014/main" id="{1A0FFC4F-ED4B-40AB-8462-9DB5052E38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4" name="Elipse 8003">
          <a:extLst>
            <a:ext uri="{FF2B5EF4-FFF2-40B4-BE49-F238E27FC236}">
              <a16:creationId xmlns:a16="http://schemas.microsoft.com/office/drawing/2014/main" id="{5B8194DE-291C-41C1-AF1D-3E9CFE58EA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5" name="Elipse 8004">
          <a:extLst>
            <a:ext uri="{FF2B5EF4-FFF2-40B4-BE49-F238E27FC236}">
              <a16:creationId xmlns:a16="http://schemas.microsoft.com/office/drawing/2014/main" id="{5AF7FA24-EA5E-4734-A26F-E4B90CFE3A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6" name="Elipse 8005">
          <a:extLst>
            <a:ext uri="{FF2B5EF4-FFF2-40B4-BE49-F238E27FC236}">
              <a16:creationId xmlns:a16="http://schemas.microsoft.com/office/drawing/2014/main" id="{3D08A8CD-83CD-41C1-A515-2BD01D7454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7" name="Elipse 8006">
          <a:extLst>
            <a:ext uri="{FF2B5EF4-FFF2-40B4-BE49-F238E27FC236}">
              <a16:creationId xmlns:a16="http://schemas.microsoft.com/office/drawing/2014/main" id="{7C8C37B5-071E-4A02-9807-59B8390A38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8" name="Elipse 8007">
          <a:extLst>
            <a:ext uri="{FF2B5EF4-FFF2-40B4-BE49-F238E27FC236}">
              <a16:creationId xmlns:a16="http://schemas.microsoft.com/office/drawing/2014/main" id="{7D25E57A-0238-4324-8776-93053E7F7E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09" name="Elipse 8008">
          <a:extLst>
            <a:ext uri="{FF2B5EF4-FFF2-40B4-BE49-F238E27FC236}">
              <a16:creationId xmlns:a16="http://schemas.microsoft.com/office/drawing/2014/main" id="{CC8E368E-55FA-4D8E-9CC1-60B01C78F8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0" name="Elipse 8009">
          <a:extLst>
            <a:ext uri="{FF2B5EF4-FFF2-40B4-BE49-F238E27FC236}">
              <a16:creationId xmlns:a16="http://schemas.microsoft.com/office/drawing/2014/main" id="{51A2A821-7482-4120-8BD6-93A222646F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1" name="Elipse 8010">
          <a:extLst>
            <a:ext uri="{FF2B5EF4-FFF2-40B4-BE49-F238E27FC236}">
              <a16:creationId xmlns:a16="http://schemas.microsoft.com/office/drawing/2014/main" id="{830CE0CD-9917-472A-8E46-352CE02545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2" name="Elipse 8011">
          <a:extLst>
            <a:ext uri="{FF2B5EF4-FFF2-40B4-BE49-F238E27FC236}">
              <a16:creationId xmlns:a16="http://schemas.microsoft.com/office/drawing/2014/main" id="{5759A96A-74AE-48A6-ACC6-FE0CECA0EB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3" name="Elipse 8012">
          <a:extLst>
            <a:ext uri="{FF2B5EF4-FFF2-40B4-BE49-F238E27FC236}">
              <a16:creationId xmlns:a16="http://schemas.microsoft.com/office/drawing/2014/main" id="{A8FE14A3-D2DE-453C-BF7E-4C1B351EFF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4" name="Elipse 8013">
          <a:extLst>
            <a:ext uri="{FF2B5EF4-FFF2-40B4-BE49-F238E27FC236}">
              <a16:creationId xmlns:a16="http://schemas.microsoft.com/office/drawing/2014/main" id="{E262E43D-46E0-4652-802E-9BABFD559D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5" name="Elipse 8014">
          <a:extLst>
            <a:ext uri="{FF2B5EF4-FFF2-40B4-BE49-F238E27FC236}">
              <a16:creationId xmlns:a16="http://schemas.microsoft.com/office/drawing/2014/main" id="{92155960-2356-4700-819B-63C0558695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6" name="Elipse 8015">
          <a:extLst>
            <a:ext uri="{FF2B5EF4-FFF2-40B4-BE49-F238E27FC236}">
              <a16:creationId xmlns:a16="http://schemas.microsoft.com/office/drawing/2014/main" id="{37B4E77C-7196-4E08-91B4-3B0DB63D94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7" name="Elipse 8016">
          <a:extLst>
            <a:ext uri="{FF2B5EF4-FFF2-40B4-BE49-F238E27FC236}">
              <a16:creationId xmlns:a16="http://schemas.microsoft.com/office/drawing/2014/main" id="{CE64BB2F-2656-45A5-8AE6-EC714F59EA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8" name="Elipse 8017">
          <a:extLst>
            <a:ext uri="{FF2B5EF4-FFF2-40B4-BE49-F238E27FC236}">
              <a16:creationId xmlns:a16="http://schemas.microsoft.com/office/drawing/2014/main" id="{FD688E4F-D680-403A-B240-3912612B05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19" name="Elipse 8018">
          <a:extLst>
            <a:ext uri="{FF2B5EF4-FFF2-40B4-BE49-F238E27FC236}">
              <a16:creationId xmlns:a16="http://schemas.microsoft.com/office/drawing/2014/main" id="{9CE5BB97-00F4-4CC9-8674-CB2E6DBB92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0" name="Elipse 8019">
          <a:extLst>
            <a:ext uri="{FF2B5EF4-FFF2-40B4-BE49-F238E27FC236}">
              <a16:creationId xmlns:a16="http://schemas.microsoft.com/office/drawing/2014/main" id="{51BEF74A-0BA2-4F58-9EEB-A53702B096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1" name="Elipse 8020">
          <a:extLst>
            <a:ext uri="{FF2B5EF4-FFF2-40B4-BE49-F238E27FC236}">
              <a16:creationId xmlns:a16="http://schemas.microsoft.com/office/drawing/2014/main" id="{C1C47E6F-C66E-4E68-9003-37DC0633CB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2" name="Elipse 8021">
          <a:extLst>
            <a:ext uri="{FF2B5EF4-FFF2-40B4-BE49-F238E27FC236}">
              <a16:creationId xmlns:a16="http://schemas.microsoft.com/office/drawing/2014/main" id="{F746E193-871B-4D6C-9417-BADDDF1A25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3" name="Elipse 8022">
          <a:extLst>
            <a:ext uri="{FF2B5EF4-FFF2-40B4-BE49-F238E27FC236}">
              <a16:creationId xmlns:a16="http://schemas.microsoft.com/office/drawing/2014/main" id="{878D3957-BD15-470B-BF2E-9C6967CB2D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4" name="Elipse 8023">
          <a:extLst>
            <a:ext uri="{FF2B5EF4-FFF2-40B4-BE49-F238E27FC236}">
              <a16:creationId xmlns:a16="http://schemas.microsoft.com/office/drawing/2014/main" id="{F4572B83-693B-4678-B3F8-9427412CE4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5" name="Elipse 8024">
          <a:extLst>
            <a:ext uri="{FF2B5EF4-FFF2-40B4-BE49-F238E27FC236}">
              <a16:creationId xmlns:a16="http://schemas.microsoft.com/office/drawing/2014/main" id="{D194EE9C-3BF5-440C-AF72-A0475A82CF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6" name="Elipse 8025">
          <a:extLst>
            <a:ext uri="{FF2B5EF4-FFF2-40B4-BE49-F238E27FC236}">
              <a16:creationId xmlns:a16="http://schemas.microsoft.com/office/drawing/2014/main" id="{FB841554-1352-4025-836E-0FFCCFB4EC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7" name="Elipse 8026">
          <a:extLst>
            <a:ext uri="{FF2B5EF4-FFF2-40B4-BE49-F238E27FC236}">
              <a16:creationId xmlns:a16="http://schemas.microsoft.com/office/drawing/2014/main" id="{12A335B7-65A1-4363-8E40-A86C13F498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8" name="Elipse 8027">
          <a:extLst>
            <a:ext uri="{FF2B5EF4-FFF2-40B4-BE49-F238E27FC236}">
              <a16:creationId xmlns:a16="http://schemas.microsoft.com/office/drawing/2014/main" id="{728B379C-C702-4AFA-9870-5681A9368E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29" name="Elipse 8028">
          <a:extLst>
            <a:ext uri="{FF2B5EF4-FFF2-40B4-BE49-F238E27FC236}">
              <a16:creationId xmlns:a16="http://schemas.microsoft.com/office/drawing/2014/main" id="{C6487AB8-B139-424C-9617-8075015407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0" name="Elipse 8029">
          <a:extLst>
            <a:ext uri="{FF2B5EF4-FFF2-40B4-BE49-F238E27FC236}">
              <a16:creationId xmlns:a16="http://schemas.microsoft.com/office/drawing/2014/main" id="{5A505709-9B07-4739-AD49-C3E74BB849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1" name="Elipse 8030">
          <a:extLst>
            <a:ext uri="{FF2B5EF4-FFF2-40B4-BE49-F238E27FC236}">
              <a16:creationId xmlns:a16="http://schemas.microsoft.com/office/drawing/2014/main" id="{9873E915-5400-468A-A66C-B361F79157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2" name="Elipse 8031">
          <a:extLst>
            <a:ext uri="{FF2B5EF4-FFF2-40B4-BE49-F238E27FC236}">
              <a16:creationId xmlns:a16="http://schemas.microsoft.com/office/drawing/2014/main" id="{F38001DF-A9B4-4DE6-8F0B-F7606B7261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3" name="Elipse 8032">
          <a:extLst>
            <a:ext uri="{FF2B5EF4-FFF2-40B4-BE49-F238E27FC236}">
              <a16:creationId xmlns:a16="http://schemas.microsoft.com/office/drawing/2014/main" id="{6BB4514C-5789-4788-8BB6-47B8E07E6C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4" name="Elipse 8033">
          <a:extLst>
            <a:ext uri="{FF2B5EF4-FFF2-40B4-BE49-F238E27FC236}">
              <a16:creationId xmlns:a16="http://schemas.microsoft.com/office/drawing/2014/main" id="{6043DF58-F367-4893-9D93-7C29E34729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5" name="Elipse 8034">
          <a:extLst>
            <a:ext uri="{FF2B5EF4-FFF2-40B4-BE49-F238E27FC236}">
              <a16:creationId xmlns:a16="http://schemas.microsoft.com/office/drawing/2014/main" id="{F5194539-0FFB-459E-8DE2-579C331CAE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6" name="Elipse 8035">
          <a:extLst>
            <a:ext uri="{FF2B5EF4-FFF2-40B4-BE49-F238E27FC236}">
              <a16:creationId xmlns:a16="http://schemas.microsoft.com/office/drawing/2014/main" id="{543AFE7B-96FB-42E6-B8F7-11334D0C58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7" name="Elipse 8036">
          <a:extLst>
            <a:ext uri="{FF2B5EF4-FFF2-40B4-BE49-F238E27FC236}">
              <a16:creationId xmlns:a16="http://schemas.microsoft.com/office/drawing/2014/main" id="{748D6206-0D7E-4ECD-B609-9EB6F1430A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8" name="Elipse 8037">
          <a:extLst>
            <a:ext uri="{FF2B5EF4-FFF2-40B4-BE49-F238E27FC236}">
              <a16:creationId xmlns:a16="http://schemas.microsoft.com/office/drawing/2014/main" id="{EF446F40-B7D1-4463-84F9-E131960684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39" name="Elipse 8038">
          <a:extLst>
            <a:ext uri="{FF2B5EF4-FFF2-40B4-BE49-F238E27FC236}">
              <a16:creationId xmlns:a16="http://schemas.microsoft.com/office/drawing/2014/main" id="{EA42297B-3613-423B-9A10-2D663B7ED1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0" name="Elipse 8039">
          <a:extLst>
            <a:ext uri="{FF2B5EF4-FFF2-40B4-BE49-F238E27FC236}">
              <a16:creationId xmlns:a16="http://schemas.microsoft.com/office/drawing/2014/main" id="{2548E4FE-5C50-4CAE-A9D1-3F4D8129DC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1" name="Elipse 8040">
          <a:extLst>
            <a:ext uri="{FF2B5EF4-FFF2-40B4-BE49-F238E27FC236}">
              <a16:creationId xmlns:a16="http://schemas.microsoft.com/office/drawing/2014/main" id="{5988FCA6-BE38-4D06-819B-1D0C3DC875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2" name="Elipse 8041">
          <a:extLst>
            <a:ext uri="{FF2B5EF4-FFF2-40B4-BE49-F238E27FC236}">
              <a16:creationId xmlns:a16="http://schemas.microsoft.com/office/drawing/2014/main" id="{EA9D6097-3F83-4FBA-B265-EE90AECD32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3" name="Elipse 8042">
          <a:extLst>
            <a:ext uri="{FF2B5EF4-FFF2-40B4-BE49-F238E27FC236}">
              <a16:creationId xmlns:a16="http://schemas.microsoft.com/office/drawing/2014/main" id="{56C7C925-69B7-4A2A-BB5F-7EB72916C9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4" name="Elipse 8043">
          <a:extLst>
            <a:ext uri="{FF2B5EF4-FFF2-40B4-BE49-F238E27FC236}">
              <a16:creationId xmlns:a16="http://schemas.microsoft.com/office/drawing/2014/main" id="{7E7D98C8-428C-487D-9BF6-024827D86D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5" name="Elipse 8044">
          <a:extLst>
            <a:ext uri="{FF2B5EF4-FFF2-40B4-BE49-F238E27FC236}">
              <a16:creationId xmlns:a16="http://schemas.microsoft.com/office/drawing/2014/main" id="{268CC291-3261-4346-888F-CF23F506BF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6" name="Elipse 8045">
          <a:extLst>
            <a:ext uri="{FF2B5EF4-FFF2-40B4-BE49-F238E27FC236}">
              <a16:creationId xmlns:a16="http://schemas.microsoft.com/office/drawing/2014/main" id="{8E0A445F-DB54-4D68-BF8C-A13209B12B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7" name="Elipse 8046">
          <a:extLst>
            <a:ext uri="{FF2B5EF4-FFF2-40B4-BE49-F238E27FC236}">
              <a16:creationId xmlns:a16="http://schemas.microsoft.com/office/drawing/2014/main" id="{0AF7C882-CEA6-423C-BD03-81EE5DB054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8" name="Elipse 8047">
          <a:extLst>
            <a:ext uri="{FF2B5EF4-FFF2-40B4-BE49-F238E27FC236}">
              <a16:creationId xmlns:a16="http://schemas.microsoft.com/office/drawing/2014/main" id="{A5018C54-0112-4FA6-A0B5-60003A5426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49" name="Elipse 8048">
          <a:extLst>
            <a:ext uri="{FF2B5EF4-FFF2-40B4-BE49-F238E27FC236}">
              <a16:creationId xmlns:a16="http://schemas.microsoft.com/office/drawing/2014/main" id="{C0C339D0-588C-4C99-809C-1930EE97E4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0" name="Elipse 8049">
          <a:extLst>
            <a:ext uri="{FF2B5EF4-FFF2-40B4-BE49-F238E27FC236}">
              <a16:creationId xmlns:a16="http://schemas.microsoft.com/office/drawing/2014/main" id="{C4F88AF2-AB26-4758-B0C6-CB93A40459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1" name="Elipse 8050">
          <a:extLst>
            <a:ext uri="{FF2B5EF4-FFF2-40B4-BE49-F238E27FC236}">
              <a16:creationId xmlns:a16="http://schemas.microsoft.com/office/drawing/2014/main" id="{0B9FF34A-E6A5-4AED-B008-D04C79E0E2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2" name="Elipse 8051">
          <a:extLst>
            <a:ext uri="{FF2B5EF4-FFF2-40B4-BE49-F238E27FC236}">
              <a16:creationId xmlns:a16="http://schemas.microsoft.com/office/drawing/2014/main" id="{1445C6A8-9AAB-4680-9876-ED02F4DF2A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3" name="Elipse 8052">
          <a:extLst>
            <a:ext uri="{FF2B5EF4-FFF2-40B4-BE49-F238E27FC236}">
              <a16:creationId xmlns:a16="http://schemas.microsoft.com/office/drawing/2014/main" id="{D66095B7-06E3-4491-A557-06F5A30106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4" name="Elipse 8053">
          <a:extLst>
            <a:ext uri="{FF2B5EF4-FFF2-40B4-BE49-F238E27FC236}">
              <a16:creationId xmlns:a16="http://schemas.microsoft.com/office/drawing/2014/main" id="{04DDFBCA-5C07-4CB7-9038-DA614BEE6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5" name="Elipse 8054">
          <a:extLst>
            <a:ext uri="{FF2B5EF4-FFF2-40B4-BE49-F238E27FC236}">
              <a16:creationId xmlns:a16="http://schemas.microsoft.com/office/drawing/2014/main" id="{A993EA21-9E0B-4368-B389-5DE6272A74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6" name="Elipse 8055">
          <a:extLst>
            <a:ext uri="{FF2B5EF4-FFF2-40B4-BE49-F238E27FC236}">
              <a16:creationId xmlns:a16="http://schemas.microsoft.com/office/drawing/2014/main" id="{F90FD78E-4896-486A-8A6D-AA1AA32C0B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7" name="Elipse 8056">
          <a:extLst>
            <a:ext uri="{FF2B5EF4-FFF2-40B4-BE49-F238E27FC236}">
              <a16:creationId xmlns:a16="http://schemas.microsoft.com/office/drawing/2014/main" id="{2A906460-15CC-4C81-9333-223B125DC5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8" name="Elipse 8057">
          <a:extLst>
            <a:ext uri="{FF2B5EF4-FFF2-40B4-BE49-F238E27FC236}">
              <a16:creationId xmlns:a16="http://schemas.microsoft.com/office/drawing/2014/main" id="{10D0D749-6941-4866-93D1-7343F869CE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59" name="Elipse 8058">
          <a:extLst>
            <a:ext uri="{FF2B5EF4-FFF2-40B4-BE49-F238E27FC236}">
              <a16:creationId xmlns:a16="http://schemas.microsoft.com/office/drawing/2014/main" id="{EAF48670-0A0E-4197-A542-41C070254B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0" name="Elipse 8059">
          <a:extLst>
            <a:ext uri="{FF2B5EF4-FFF2-40B4-BE49-F238E27FC236}">
              <a16:creationId xmlns:a16="http://schemas.microsoft.com/office/drawing/2014/main" id="{E0DD6745-EEE8-45D2-816D-AA6B3816A8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1" name="Elipse 8060">
          <a:extLst>
            <a:ext uri="{FF2B5EF4-FFF2-40B4-BE49-F238E27FC236}">
              <a16:creationId xmlns:a16="http://schemas.microsoft.com/office/drawing/2014/main" id="{E2BB0806-24E7-48A7-BC60-2651AFC835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2" name="Elipse 8061">
          <a:extLst>
            <a:ext uri="{FF2B5EF4-FFF2-40B4-BE49-F238E27FC236}">
              <a16:creationId xmlns:a16="http://schemas.microsoft.com/office/drawing/2014/main" id="{EB203296-D528-49ED-A7F4-51EAC2D518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3" name="Elipse 8062">
          <a:extLst>
            <a:ext uri="{FF2B5EF4-FFF2-40B4-BE49-F238E27FC236}">
              <a16:creationId xmlns:a16="http://schemas.microsoft.com/office/drawing/2014/main" id="{CAE804AD-6564-4D7C-A374-9D6EDAE8EA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4" name="Elipse 8063">
          <a:extLst>
            <a:ext uri="{FF2B5EF4-FFF2-40B4-BE49-F238E27FC236}">
              <a16:creationId xmlns:a16="http://schemas.microsoft.com/office/drawing/2014/main" id="{582D7E42-DAE2-4C36-919A-B64EFD2730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5" name="Elipse 8064">
          <a:extLst>
            <a:ext uri="{FF2B5EF4-FFF2-40B4-BE49-F238E27FC236}">
              <a16:creationId xmlns:a16="http://schemas.microsoft.com/office/drawing/2014/main" id="{1338C984-6B8C-46DC-96E6-D8946594B6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6" name="Elipse 8065">
          <a:extLst>
            <a:ext uri="{FF2B5EF4-FFF2-40B4-BE49-F238E27FC236}">
              <a16:creationId xmlns:a16="http://schemas.microsoft.com/office/drawing/2014/main" id="{18A419A8-1DF1-46AA-81EE-97AFC8E212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7" name="Elipse 8066">
          <a:extLst>
            <a:ext uri="{FF2B5EF4-FFF2-40B4-BE49-F238E27FC236}">
              <a16:creationId xmlns:a16="http://schemas.microsoft.com/office/drawing/2014/main" id="{0FF27271-D112-4F3E-A89D-26CB8F0F1C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8" name="Elipse 8067">
          <a:extLst>
            <a:ext uri="{FF2B5EF4-FFF2-40B4-BE49-F238E27FC236}">
              <a16:creationId xmlns:a16="http://schemas.microsoft.com/office/drawing/2014/main" id="{E63CC1AD-037C-4B48-8D45-7EED144976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69" name="Elipse 8068">
          <a:extLst>
            <a:ext uri="{FF2B5EF4-FFF2-40B4-BE49-F238E27FC236}">
              <a16:creationId xmlns:a16="http://schemas.microsoft.com/office/drawing/2014/main" id="{40785BC5-8D0F-480C-93CE-0FB6FD7DDC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0" name="Elipse 8069">
          <a:extLst>
            <a:ext uri="{FF2B5EF4-FFF2-40B4-BE49-F238E27FC236}">
              <a16:creationId xmlns:a16="http://schemas.microsoft.com/office/drawing/2014/main" id="{911121EC-6BCB-4DDD-A671-3A042A3AC9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1" name="Elipse 8070">
          <a:extLst>
            <a:ext uri="{FF2B5EF4-FFF2-40B4-BE49-F238E27FC236}">
              <a16:creationId xmlns:a16="http://schemas.microsoft.com/office/drawing/2014/main" id="{D0296276-CC78-479B-877A-5CC16D099A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2" name="Elipse 8071">
          <a:extLst>
            <a:ext uri="{FF2B5EF4-FFF2-40B4-BE49-F238E27FC236}">
              <a16:creationId xmlns:a16="http://schemas.microsoft.com/office/drawing/2014/main" id="{26CFFCAB-DD25-47B8-BCF1-ABAA422946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3" name="Elipse 8072">
          <a:extLst>
            <a:ext uri="{FF2B5EF4-FFF2-40B4-BE49-F238E27FC236}">
              <a16:creationId xmlns:a16="http://schemas.microsoft.com/office/drawing/2014/main" id="{7A7D0521-0E4B-47AB-BE9F-F8BDF8654C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4" name="Elipse 8073">
          <a:extLst>
            <a:ext uri="{FF2B5EF4-FFF2-40B4-BE49-F238E27FC236}">
              <a16:creationId xmlns:a16="http://schemas.microsoft.com/office/drawing/2014/main" id="{ED659FE4-D119-456B-AF7C-7BE41FACB1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5" name="Elipse 8074">
          <a:extLst>
            <a:ext uri="{FF2B5EF4-FFF2-40B4-BE49-F238E27FC236}">
              <a16:creationId xmlns:a16="http://schemas.microsoft.com/office/drawing/2014/main" id="{A64DA3AE-31E3-4A5C-AF5D-A8F47C1283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6" name="Elipse 8075">
          <a:extLst>
            <a:ext uri="{FF2B5EF4-FFF2-40B4-BE49-F238E27FC236}">
              <a16:creationId xmlns:a16="http://schemas.microsoft.com/office/drawing/2014/main" id="{AB3D4A9B-3E09-4DDC-BE32-45C3ABE84F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7" name="Elipse 8076">
          <a:extLst>
            <a:ext uri="{FF2B5EF4-FFF2-40B4-BE49-F238E27FC236}">
              <a16:creationId xmlns:a16="http://schemas.microsoft.com/office/drawing/2014/main" id="{446181FA-BD11-4FB7-BEC2-797137F4B6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8" name="Elipse 8077">
          <a:extLst>
            <a:ext uri="{FF2B5EF4-FFF2-40B4-BE49-F238E27FC236}">
              <a16:creationId xmlns:a16="http://schemas.microsoft.com/office/drawing/2014/main" id="{7B871D07-BF07-4ADE-825C-8E3F7E0872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79" name="Elipse 8078">
          <a:extLst>
            <a:ext uri="{FF2B5EF4-FFF2-40B4-BE49-F238E27FC236}">
              <a16:creationId xmlns:a16="http://schemas.microsoft.com/office/drawing/2014/main" id="{DDF56042-6EF7-4D06-94A3-3F96277332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0" name="Elipse 8079">
          <a:extLst>
            <a:ext uri="{FF2B5EF4-FFF2-40B4-BE49-F238E27FC236}">
              <a16:creationId xmlns:a16="http://schemas.microsoft.com/office/drawing/2014/main" id="{908B22F3-C3E7-41AF-AEAD-900137F8CF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1" name="Elipse 8080">
          <a:extLst>
            <a:ext uri="{FF2B5EF4-FFF2-40B4-BE49-F238E27FC236}">
              <a16:creationId xmlns:a16="http://schemas.microsoft.com/office/drawing/2014/main" id="{5CF6055C-4B3E-4D20-AFC7-B88A97F9E2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2" name="Elipse 8081">
          <a:extLst>
            <a:ext uri="{FF2B5EF4-FFF2-40B4-BE49-F238E27FC236}">
              <a16:creationId xmlns:a16="http://schemas.microsoft.com/office/drawing/2014/main" id="{A182574F-5B06-4F98-8FE4-22DDC3940C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3" name="Elipse 8082">
          <a:extLst>
            <a:ext uri="{FF2B5EF4-FFF2-40B4-BE49-F238E27FC236}">
              <a16:creationId xmlns:a16="http://schemas.microsoft.com/office/drawing/2014/main" id="{F940308B-B869-4671-8646-31D3067ED9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4" name="Elipse 8083">
          <a:extLst>
            <a:ext uri="{FF2B5EF4-FFF2-40B4-BE49-F238E27FC236}">
              <a16:creationId xmlns:a16="http://schemas.microsoft.com/office/drawing/2014/main" id="{812F1E6A-A8A3-4A99-8526-8FF9D65C1E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5" name="Elipse 8084">
          <a:extLst>
            <a:ext uri="{FF2B5EF4-FFF2-40B4-BE49-F238E27FC236}">
              <a16:creationId xmlns:a16="http://schemas.microsoft.com/office/drawing/2014/main" id="{DAECECA7-8FC1-48D7-BA05-76AFE08466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6" name="Elipse 8085">
          <a:extLst>
            <a:ext uri="{FF2B5EF4-FFF2-40B4-BE49-F238E27FC236}">
              <a16:creationId xmlns:a16="http://schemas.microsoft.com/office/drawing/2014/main" id="{88055704-52CF-4A51-A463-186BA24532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7" name="Elipse 8086">
          <a:extLst>
            <a:ext uri="{FF2B5EF4-FFF2-40B4-BE49-F238E27FC236}">
              <a16:creationId xmlns:a16="http://schemas.microsoft.com/office/drawing/2014/main" id="{0BA93CB6-62D8-4B8A-A50C-02278610ED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8" name="Elipse 8087">
          <a:extLst>
            <a:ext uri="{FF2B5EF4-FFF2-40B4-BE49-F238E27FC236}">
              <a16:creationId xmlns:a16="http://schemas.microsoft.com/office/drawing/2014/main" id="{D0073736-5D75-47F5-910F-CD71700B79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89" name="Elipse 8088">
          <a:extLst>
            <a:ext uri="{FF2B5EF4-FFF2-40B4-BE49-F238E27FC236}">
              <a16:creationId xmlns:a16="http://schemas.microsoft.com/office/drawing/2014/main" id="{8208FEC8-8A11-40C8-A67F-EBF73E559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0" name="Elipse 8089">
          <a:extLst>
            <a:ext uri="{FF2B5EF4-FFF2-40B4-BE49-F238E27FC236}">
              <a16:creationId xmlns:a16="http://schemas.microsoft.com/office/drawing/2014/main" id="{4826BFA7-2475-4A61-8F1E-E506D4656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1" name="Elipse 8090">
          <a:extLst>
            <a:ext uri="{FF2B5EF4-FFF2-40B4-BE49-F238E27FC236}">
              <a16:creationId xmlns:a16="http://schemas.microsoft.com/office/drawing/2014/main" id="{3629D102-8B7C-4F37-98CF-A83EC433D2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2" name="Elipse 8091">
          <a:extLst>
            <a:ext uri="{FF2B5EF4-FFF2-40B4-BE49-F238E27FC236}">
              <a16:creationId xmlns:a16="http://schemas.microsoft.com/office/drawing/2014/main" id="{E376DBAA-8E39-467C-A209-A50A76EE47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3" name="Elipse 8092">
          <a:extLst>
            <a:ext uri="{FF2B5EF4-FFF2-40B4-BE49-F238E27FC236}">
              <a16:creationId xmlns:a16="http://schemas.microsoft.com/office/drawing/2014/main" id="{DB3D6768-7074-4D8D-84BD-4A6199DDE8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4" name="Elipse 8093">
          <a:extLst>
            <a:ext uri="{FF2B5EF4-FFF2-40B4-BE49-F238E27FC236}">
              <a16:creationId xmlns:a16="http://schemas.microsoft.com/office/drawing/2014/main" id="{DA1FE52C-6E9F-46F3-9C6D-FF64A52EEE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5" name="Elipse 8094">
          <a:extLst>
            <a:ext uri="{FF2B5EF4-FFF2-40B4-BE49-F238E27FC236}">
              <a16:creationId xmlns:a16="http://schemas.microsoft.com/office/drawing/2014/main" id="{AAFD6164-28BC-41C4-B329-1DE18D09B7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6" name="Elipse 8095">
          <a:extLst>
            <a:ext uri="{FF2B5EF4-FFF2-40B4-BE49-F238E27FC236}">
              <a16:creationId xmlns:a16="http://schemas.microsoft.com/office/drawing/2014/main" id="{5233E28A-2B57-4EB8-A8CC-F729B49D33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7" name="Elipse 8096">
          <a:extLst>
            <a:ext uri="{FF2B5EF4-FFF2-40B4-BE49-F238E27FC236}">
              <a16:creationId xmlns:a16="http://schemas.microsoft.com/office/drawing/2014/main" id="{B5078C9D-FC3A-4A55-8853-CD8C5035EC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8" name="Elipse 8097">
          <a:extLst>
            <a:ext uri="{FF2B5EF4-FFF2-40B4-BE49-F238E27FC236}">
              <a16:creationId xmlns:a16="http://schemas.microsoft.com/office/drawing/2014/main" id="{EB6E2085-CD5E-4900-A0FC-09636D1B24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099" name="Elipse 8098">
          <a:extLst>
            <a:ext uri="{FF2B5EF4-FFF2-40B4-BE49-F238E27FC236}">
              <a16:creationId xmlns:a16="http://schemas.microsoft.com/office/drawing/2014/main" id="{827C44C1-2006-416A-9FC8-EA17B0B739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0" name="Elipse 8099">
          <a:extLst>
            <a:ext uri="{FF2B5EF4-FFF2-40B4-BE49-F238E27FC236}">
              <a16:creationId xmlns:a16="http://schemas.microsoft.com/office/drawing/2014/main" id="{22BFC7C7-4A6C-4116-A280-0E5D3A6045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1" name="Elipse 8100">
          <a:extLst>
            <a:ext uri="{FF2B5EF4-FFF2-40B4-BE49-F238E27FC236}">
              <a16:creationId xmlns:a16="http://schemas.microsoft.com/office/drawing/2014/main" id="{A7EA968E-C4C1-4665-89AF-7D864BD899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2" name="Elipse 8101">
          <a:extLst>
            <a:ext uri="{FF2B5EF4-FFF2-40B4-BE49-F238E27FC236}">
              <a16:creationId xmlns:a16="http://schemas.microsoft.com/office/drawing/2014/main" id="{B1E98ACA-F5B9-472F-82F9-FEFBB0FDEA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3" name="Elipse 8102">
          <a:extLst>
            <a:ext uri="{FF2B5EF4-FFF2-40B4-BE49-F238E27FC236}">
              <a16:creationId xmlns:a16="http://schemas.microsoft.com/office/drawing/2014/main" id="{9A7F53C1-0614-4073-A8C2-39689C16E4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4" name="Elipse 8103">
          <a:extLst>
            <a:ext uri="{FF2B5EF4-FFF2-40B4-BE49-F238E27FC236}">
              <a16:creationId xmlns:a16="http://schemas.microsoft.com/office/drawing/2014/main" id="{BFA804CA-0260-4185-9C2C-00BA77DF8B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5" name="Elipse 8104">
          <a:extLst>
            <a:ext uri="{FF2B5EF4-FFF2-40B4-BE49-F238E27FC236}">
              <a16:creationId xmlns:a16="http://schemas.microsoft.com/office/drawing/2014/main" id="{F3CE5A9B-08EE-4E13-89C5-CF11C7D1F4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6" name="Elipse 8105">
          <a:extLst>
            <a:ext uri="{FF2B5EF4-FFF2-40B4-BE49-F238E27FC236}">
              <a16:creationId xmlns:a16="http://schemas.microsoft.com/office/drawing/2014/main" id="{8B5E8CFA-189F-41DF-922A-734D35A5C7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7" name="Elipse 8106">
          <a:extLst>
            <a:ext uri="{FF2B5EF4-FFF2-40B4-BE49-F238E27FC236}">
              <a16:creationId xmlns:a16="http://schemas.microsoft.com/office/drawing/2014/main" id="{980B8525-6D6D-4727-8231-35300A5FE1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8" name="Elipse 8107">
          <a:extLst>
            <a:ext uri="{FF2B5EF4-FFF2-40B4-BE49-F238E27FC236}">
              <a16:creationId xmlns:a16="http://schemas.microsoft.com/office/drawing/2014/main" id="{F4A607D8-3D2D-470C-BD77-CEBD5B229D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09" name="Elipse 8108">
          <a:extLst>
            <a:ext uri="{FF2B5EF4-FFF2-40B4-BE49-F238E27FC236}">
              <a16:creationId xmlns:a16="http://schemas.microsoft.com/office/drawing/2014/main" id="{113237A2-DBE8-4B5E-9BEF-461FD67003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0" name="Elipse 8109">
          <a:extLst>
            <a:ext uri="{FF2B5EF4-FFF2-40B4-BE49-F238E27FC236}">
              <a16:creationId xmlns:a16="http://schemas.microsoft.com/office/drawing/2014/main" id="{80C9EB6B-CAA7-421A-BD09-978DAA3425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1" name="Elipse 8110">
          <a:extLst>
            <a:ext uri="{FF2B5EF4-FFF2-40B4-BE49-F238E27FC236}">
              <a16:creationId xmlns:a16="http://schemas.microsoft.com/office/drawing/2014/main" id="{1360B4B3-7009-454E-AEC1-5C504AAE97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2" name="Elipse 8111">
          <a:extLst>
            <a:ext uri="{FF2B5EF4-FFF2-40B4-BE49-F238E27FC236}">
              <a16:creationId xmlns:a16="http://schemas.microsoft.com/office/drawing/2014/main" id="{E290C588-98BF-45F2-B6DC-7B7B3E57CD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3" name="Elipse 8112">
          <a:extLst>
            <a:ext uri="{FF2B5EF4-FFF2-40B4-BE49-F238E27FC236}">
              <a16:creationId xmlns:a16="http://schemas.microsoft.com/office/drawing/2014/main" id="{F2A7C397-FC1F-4BC5-9099-BB842051F6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4" name="Elipse 8113">
          <a:extLst>
            <a:ext uri="{FF2B5EF4-FFF2-40B4-BE49-F238E27FC236}">
              <a16:creationId xmlns:a16="http://schemas.microsoft.com/office/drawing/2014/main" id="{6168B0E9-CB5C-4AAB-8B93-5E8327EAE9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5" name="Elipse 8114">
          <a:extLst>
            <a:ext uri="{FF2B5EF4-FFF2-40B4-BE49-F238E27FC236}">
              <a16:creationId xmlns:a16="http://schemas.microsoft.com/office/drawing/2014/main" id="{F1E14276-854B-4341-B5C1-C159958624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6" name="Elipse 8115">
          <a:extLst>
            <a:ext uri="{FF2B5EF4-FFF2-40B4-BE49-F238E27FC236}">
              <a16:creationId xmlns:a16="http://schemas.microsoft.com/office/drawing/2014/main" id="{50795AB6-A151-4F11-AD4B-1048ECD1A6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7" name="Elipse 8116">
          <a:extLst>
            <a:ext uri="{FF2B5EF4-FFF2-40B4-BE49-F238E27FC236}">
              <a16:creationId xmlns:a16="http://schemas.microsoft.com/office/drawing/2014/main" id="{AC53D208-1EDB-49A3-9E47-3B5F6B1FB1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8" name="Elipse 8117">
          <a:extLst>
            <a:ext uri="{FF2B5EF4-FFF2-40B4-BE49-F238E27FC236}">
              <a16:creationId xmlns:a16="http://schemas.microsoft.com/office/drawing/2014/main" id="{DB42739C-481B-469A-990D-EA65936F72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19" name="Elipse 8118">
          <a:extLst>
            <a:ext uri="{FF2B5EF4-FFF2-40B4-BE49-F238E27FC236}">
              <a16:creationId xmlns:a16="http://schemas.microsoft.com/office/drawing/2014/main" id="{A50417E9-422E-4EE1-A720-5B6B1BBF0C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0" name="Elipse 8119">
          <a:extLst>
            <a:ext uri="{FF2B5EF4-FFF2-40B4-BE49-F238E27FC236}">
              <a16:creationId xmlns:a16="http://schemas.microsoft.com/office/drawing/2014/main" id="{B03766C1-738B-4106-8B2C-2363174D9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1" name="Elipse 8120">
          <a:extLst>
            <a:ext uri="{FF2B5EF4-FFF2-40B4-BE49-F238E27FC236}">
              <a16:creationId xmlns:a16="http://schemas.microsoft.com/office/drawing/2014/main" id="{F68B7535-8BEE-4C27-960B-BEC6C16369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2" name="Elipse 8121">
          <a:extLst>
            <a:ext uri="{FF2B5EF4-FFF2-40B4-BE49-F238E27FC236}">
              <a16:creationId xmlns:a16="http://schemas.microsoft.com/office/drawing/2014/main" id="{46FDC352-6D89-4241-BF7C-350B052125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3" name="Elipse 8122">
          <a:extLst>
            <a:ext uri="{FF2B5EF4-FFF2-40B4-BE49-F238E27FC236}">
              <a16:creationId xmlns:a16="http://schemas.microsoft.com/office/drawing/2014/main" id="{34B5B189-A9AE-4269-8903-3078D53BB1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4" name="Elipse 8123">
          <a:extLst>
            <a:ext uri="{FF2B5EF4-FFF2-40B4-BE49-F238E27FC236}">
              <a16:creationId xmlns:a16="http://schemas.microsoft.com/office/drawing/2014/main" id="{A4191EEB-11F7-46AC-8C2F-0440117A14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5" name="Elipse 8124">
          <a:extLst>
            <a:ext uri="{FF2B5EF4-FFF2-40B4-BE49-F238E27FC236}">
              <a16:creationId xmlns:a16="http://schemas.microsoft.com/office/drawing/2014/main" id="{B10AF389-04F2-46C5-8AA4-FFB265D1A4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6" name="Elipse 8125">
          <a:extLst>
            <a:ext uri="{FF2B5EF4-FFF2-40B4-BE49-F238E27FC236}">
              <a16:creationId xmlns:a16="http://schemas.microsoft.com/office/drawing/2014/main" id="{7817638F-3908-4002-944B-3C2B2C4E29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7" name="Elipse 8126">
          <a:extLst>
            <a:ext uri="{FF2B5EF4-FFF2-40B4-BE49-F238E27FC236}">
              <a16:creationId xmlns:a16="http://schemas.microsoft.com/office/drawing/2014/main" id="{3ABB0B27-D2A1-485D-A94D-D0E894A77E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8" name="Elipse 8127">
          <a:extLst>
            <a:ext uri="{FF2B5EF4-FFF2-40B4-BE49-F238E27FC236}">
              <a16:creationId xmlns:a16="http://schemas.microsoft.com/office/drawing/2014/main" id="{64C5DD63-D634-48AC-ABB8-43489583D5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29" name="Elipse 8128">
          <a:extLst>
            <a:ext uri="{FF2B5EF4-FFF2-40B4-BE49-F238E27FC236}">
              <a16:creationId xmlns:a16="http://schemas.microsoft.com/office/drawing/2014/main" id="{3ABBF5DF-C55F-4BDC-B7CD-EE1BC9652A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0" name="Elipse 8129">
          <a:extLst>
            <a:ext uri="{FF2B5EF4-FFF2-40B4-BE49-F238E27FC236}">
              <a16:creationId xmlns:a16="http://schemas.microsoft.com/office/drawing/2014/main" id="{4AC8C1E3-A635-4F04-8DEC-202A7EA41E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1" name="Elipse 8130">
          <a:extLst>
            <a:ext uri="{FF2B5EF4-FFF2-40B4-BE49-F238E27FC236}">
              <a16:creationId xmlns:a16="http://schemas.microsoft.com/office/drawing/2014/main" id="{190F2596-A8AC-4C12-9187-7DE501763E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2" name="Elipse 8131">
          <a:extLst>
            <a:ext uri="{FF2B5EF4-FFF2-40B4-BE49-F238E27FC236}">
              <a16:creationId xmlns:a16="http://schemas.microsoft.com/office/drawing/2014/main" id="{5F495DC5-E870-4583-A65B-D5DB9D208A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3" name="Elipse 8132">
          <a:extLst>
            <a:ext uri="{FF2B5EF4-FFF2-40B4-BE49-F238E27FC236}">
              <a16:creationId xmlns:a16="http://schemas.microsoft.com/office/drawing/2014/main" id="{66926CDF-A101-4215-878E-DC7DE26C76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4" name="Elipse 8133">
          <a:extLst>
            <a:ext uri="{FF2B5EF4-FFF2-40B4-BE49-F238E27FC236}">
              <a16:creationId xmlns:a16="http://schemas.microsoft.com/office/drawing/2014/main" id="{8374A500-E67F-4148-B34F-F1CD245FB9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5" name="Elipse 8134">
          <a:extLst>
            <a:ext uri="{FF2B5EF4-FFF2-40B4-BE49-F238E27FC236}">
              <a16:creationId xmlns:a16="http://schemas.microsoft.com/office/drawing/2014/main" id="{127C83EC-24CB-4008-A0A4-4F7B19AEBD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6" name="Elipse 8135">
          <a:extLst>
            <a:ext uri="{FF2B5EF4-FFF2-40B4-BE49-F238E27FC236}">
              <a16:creationId xmlns:a16="http://schemas.microsoft.com/office/drawing/2014/main" id="{D3C32D66-A239-4C63-94D7-AE160C156F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7" name="Elipse 8136">
          <a:extLst>
            <a:ext uri="{FF2B5EF4-FFF2-40B4-BE49-F238E27FC236}">
              <a16:creationId xmlns:a16="http://schemas.microsoft.com/office/drawing/2014/main" id="{45295BF6-6A82-4B21-BF64-C5B6C7996F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8" name="Elipse 8137">
          <a:extLst>
            <a:ext uri="{FF2B5EF4-FFF2-40B4-BE49-F238E27FC236}">
              <a16:creationId xmlns:a16="http://schemas.microsoft.com/office/drawing/2014/main" id="{83533652-B133-42D0-9DAC-961532F23C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39" name="Elipse 8138">
          <a:extLst>
            <a:ext uri="{FF2B5EF4-FFF2-40B4-BE49-F238E27FC236}">
              <a16:creationId xmlns:a16="http://schemas.microsoft.com/office/drawing/2014/main" id="{1BF85240-2D26-453F-9411-F1A4858C31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0" name="Elipse 8139">
          <a:extLst>
            <a:ext uri="{FF2B5EF4-FFF2-40B4-BE49-F238E27FC236}">
              <a16:creationId xmlns:a16="http://schemas.microsoft.com/office/drawing/2014/main" id="{BC2CBD59-C58F-464C-AD04-2722C1BE7C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1" name="Elipse 8140">
          <a:extLst>
            <a:ext uri="{FF2B5EF4-FFF2-40B4-BE49-F238E27FC236}">
              <a16:creationId xmlns:a16="http://schemas.microsoft.com/office/drawing/2014/main" id="{31F08973-E02B-4775-959E-4A1C8F8107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2" name="Elipse 8141">
          <a:extLst>
            <a:ext uri="{FF2B5EF4-FFF2-40B4-BE49-F238E27FC236}">
              <a16:creationId xmlns:a16="http://schemas.microsoft.com/office/drawing/2014/main" id="{066BA62D-F8DB-4128-85EC-B717B06C96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3" name="Elipse 8142">
          <a:extLst>
            <a:ext uri="{FF2B5EF4-FFF2-40B4-BE49-F238E27FC236}">
              <a16:creationId xmlns:a16="http://schemas.microsoft.com/office/drawing/2014/main" id="{A31D2BC8-83A9-4632-8E1A-B53BE23F8C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4" name="Elipse 8143">
          <a:extLst>
            <a:ext uri="{FF2B5EF4-FFF2-40B4-BE49-F238E27FC236}">
              <a16:creationId xmlns:a16="http://schemas.microsoft.com/office/drawing/2014/main" id="{EBB75D49-2725-4401-B283-515D5259F9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5" name="Elipse 8144">
          <a:extLst>
            <a:ext uri="{FF2B5EF4-FFF2-40B4-BE49-F238E27FC236}">
              <a16:creationId xmlns:a16="http://schemas.microsoft.com/office/drawing/2014/main" id="{E3224A93-09CC-460B-BE74-38A7147143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6" name="Elipse 8145">
          <a:extLst>
            <a:ext uri="{FF2B5EF4-FFF2-40B4-BE49-F238E27FC236}">
              <a16:creationId xmlns:a16="http://schemas.microsoft.com/office/drawing/2014/main" id="{B9C81297-5D6A-4409-A1C3-E80B8B466F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7" name="Elipse 8146">
          <a:extLst>
            <a:ext uri="{FF2B5EF4-FFF2-40B4-BE49-F238E27FC236}">
              <a16:creationId xmlns:a16="http://schemas.microsoft.com/office/drawing/2014/main" id="{CD29C450-0A62-41DA-ADD4-D7AB21FFA8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8" name="Elipse 8147">
          <a:extLst>
            <a:ext uri="{FF2B5EF4-FFF2-40B4-BE49-F238E27FC236}">
              <a16:creationId xmlns:a16="http://schemas.microsoft.com/office/drawing/2014/main" id="{83B3DC8D-BE0D-4EE9-9718-E65CBAD804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49" name="Elipse 8148">
          <a:extLst>
            <a:ext uri="{FF2B5EF4-FFF2-40B4-BE49-F238E27FC236}">
              <a16:creationId xmlns:a16="http://schemas.microsoft.com/office/drawing/2014/main" id="{962E2E8E-E3A7-4DBC-8546-3F56E261B7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0" name="Elipse 8149">
          <a:extLst>
            <a:ext uri="{FF2B5EF4-FFF2-40B4-BE49-F238E27FC236}">
              <a16:creationId xmlns:a16="http://schemas.microsoft.com/office/drawing/2014/main" id="{2D310057-A3A4-4D6A-B057-3C422609CF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1" name="Elipse 8150">
          <a:extLst>
            <a:ext uri="{FF2B5EF4-FFF2-40B4-BE49-F238E27FC236}">
              <a16:creationId xmlns:a16="http://schemas.microsoft.com/office/drawing/2014/main" id="{09E36554-6D39-4A96-8E68-491E5B5FF7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2" name="Elipse 8151">
          <a:extLst>
            <a:ext uri="{FF2B5EF4-FFF2-40B4-BE49-F238E27FC236}">
              <a16:creationId xmlns:a16="http://schemas.microsoft.com/office/drawing/2014/main" id="{632C1C8F-CCE7-4C38-8A9A-1F2662BC2A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3" name="Elipse 8152">
          <a:extLst>
            <a:ext uri="{FF2B5EF4-FFF2-40B4-BE49-F238E27FC236}">
              <a16:creationId xmlns:a16="http://schemas.microsoft.com/office/drawing/2014/main" id="{FEEA3E9F-4F8C-4732-A04C-9D8C944525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4" name="Elipse 8153">
          <a:extLst>
            <a:ext uri="{FF2B5EF4-FFF2-40B4-BE49-F238E27FC236}">
              <a16:creationId xmlns:a16="http://schemas.microsoft.com/office/drawing/2014/main" id="{87E47193-D1DA-4271-BB67-9FE197A36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5" name="Elipse 8154">
          <a:extLst>
            <a:ext uri="{FF2B5EF4-FFF2-40B4-BE49-F238E27FC236}">
              <a16:creationId xmlns:a16="http://schemas.microsoft.com/office/drawing/2014/main" id="{944EE853-DC52-4F13-AD03-8BBE227CB9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6" name="Elipse 8155">
          <a:extLst>
            <a:ext uri="{FF2B5EF4-FFF2-40B4-BE49-F238E27FC236}">
              <a16:creationId xmlns:a16="http://schemas.microsoft.com/office/drawing/2014/main" id="{EBD1BF04-AD46-4E56-9210-3601FCE173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7" name="Elipse 8156">
          <a:extLst>
            <a:ext uri="{FF2B5EF4-FFF2-40B4-BE49-F238E27FC236}">
              <a16:creationId xmlns:a16="http://schemas.microsoft.com/office/drawing/2014/main" id="{634BEB3C-BE32-4028-AB55-38516AA21D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8" name="Elipse 8157">
          <a:extLst>
            <a:ext uri="{FF2B5EF4-FFF2-40B4-BE49-F238E27FC236}">
              <a16:creationId xmlns:a16="http://schemas.microsoft.com/office/drawing/2014/main" id="{789DEC9B-2AAE-41B0-AEC3-7C04289E6E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59" name="Elipse 8158">
          <a:extLst>
            <a:ext uri="{FF2B5EF4-FFF2-40B4-BE49-F238E27FC236}">
              <a16:creationId xmlns:a16="http://schemas.microsoft.com/office/drawing/2014/main" id="{8766DF91-C765-4C61-BFB0-98DF26645D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0" name="Elipse 8159">
          <a:extLst>
            <a:ext uri="{FF2B5EF4-FFF2-40B4-BE49-F238E27FC236}">
              <a16:creationId xmlns:a16="http://schemas.microsoft.com/office/drawing/2014/main" id="{A93F0032-B51E-4788-A04D-8BE9E49CB1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1" name="Elipse 8160">
          <a:extLst>
            <a:ext uri="{FF2B5EF4-FFF2-40B4-BE49-F238E27FC236}">
              <a16:creationId xmlns:a16="http://schemas.microsoft.com/office/drawing/2014/main" id="{15BF30E0-171C-4402-91F2-240193D779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2" name="Elipse 8161">
          <a:extLst>
            <a:ext uri="{FF2B5EF4-FFF2-40B4-BE49-F238E27FC236}">
              <a16:creationId xmlns:a16="http://schemas.microsoft.com/office/drawing/2014/main" id="{B54D13DD-C224-4204-85A0-037518B74A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3" name="Elipse 8162">
          <a:extLst>
            <a:ext uri="{FF2B5EF4-FFF2-40B4-BE49-F238E27FC236}">
              <a16:creationId xmlns:a16="http://schemas.microsoft.com/office/drawing/2014/main" id="{10E598C3-A8F5-48A5-A851-CF14BE376C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4" name="Elipse 8163">
          <a:extLst>
            <a:ext uri="{FF2B5EF4-FFF2-40B4-BE49-F238E27FC236}">
              <a16:creationId xmlns:a16="http://schemas.microsoft.com/office/drawing/2014/main" id="{28F09B29-3E2F-462A-9444-A3D0F21DD1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5" name="Elipse 8164">
          <a:extLst>
            <a:ext uri="{FF2B5EF4-FFF2-40B4-BE49-F238E27FC236}">
              <a16:creationId xmlns:a16="http://schemas.microsoft.com/office/drawing/2014/main" id="{71E0EF99-5A0F-4096-AB82-6C1DCCB094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6" name="Elipse 8165">
          <a:extLst>
            <a:ext uri="{FF2B5EF4-FFF2-40B4-BE49-F238E27FC236}">
              <a16:creationId xmlns:a16="http://schemas.microsoft.com/office/drawing/2014/main" id="{9CA69100-75D4-4AF8-B714-B56A4B8429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7" name="Elipse 8166">
          <a:extLst>
            <a:ext uri="{FF2B5EF4-FFF2-40B4-BE49-F238E27FC236}">
              <a16:creationId xmlns:a16="http://schemas.microsoft.com/office/drawing/2014/main" id="{5791C5C2-07F4-4872-BEC0-AB424E6762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8" name="Elipse 8167">
          <a:extLst>
            <a:ext uri="{FF2B5EF4-FFF2-40B4-BE49-F238E27FC236}">
              <a16:creationId xmlns:a16="http://schemas.microsoft.com/office/drawing/2014/main" id="{FDEAD6C3-3990-4C2E-8DCD-A85F87CD76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69" name="Elipse 8168">
          <a:extLst>
            <a:ext uri="{FF2B5EF4-FFF2-40B4-BE49-F238E27FC236}">
              <a16:creationId xmlns:a16="http://schemas.microsoft.com/office/drawing/2014/main" id="{06F34C59-F3B4-4E82-B335-B767B1E151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0" name="Elipse 8169">
          <a:extLst>
            <a:ext uri="{FF2B5EF4-FFF2-40B4-BE49-F238E27FC236}">
              <a16:creationId xmlns:a16="http://schemas.microsoft.com/office/drawing/2014/main" id="{BB7C7866-2782-4988-9EC3-9FBF4D5090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1" name="Elipse 8170">
          <a:extLst>
            <a:ext uri="{FF2B5EF4-FFF2-40B4-BE49-F238E27FC236}">
              <a16:creationId xmlns:a16="http://schemas.microsoft.com/office/drawing/2014/main" id="{E072E679-E04B-46D9-AD67-25E6B6AE35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2" name="Elipse 8171">
          <a:extLst>
            <a:ext uri="{FF2B5EF4-FFF2-40B4-BE49-F238E27FC236}">
              <a16:creationId xmlns:a16="http://schemas.microsoft.com/office/drawing/2014/main" id="{6C4061F4-E657-482A-BC48-A0FD7BF7A0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3" name="Elipse 8172">
          <a:extLst>
            <a:ext uri="{FF2B5EF4-FFF2-40B4-BE49-F238E27FC236}">
              <a16:creationId xmlns:a16="http://schemas.microsoft.com/office/drawing/2014/main" id="{ADD3B218-9043-4093-B33A-E7C0E96946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4" name="Elipse 8173">
          <a:extLst>
            <a:ext uri="{FF2B5EF4-FFF2-40B4-BE49-F238E27FC236}">
              <a16:creationId xmlns:a16="http://schemas.microsoft.com/office/drawing/2014/main" id="{992CFE31-D6B2-4EA7-98E5-FDB76327C9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5" name="Elipse 8174">
          <a:extLst>
            <a:ext uri="{FF2B5EF4-FFF2-40B4-BE49-F238E27FC236}">
              <a16:creationId xmlns:a16="http://schemas.microsoft.com/office/drawing/2014/main" id="{F5DFAD47-7823-4377-BA05-EFB5CF525A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6" name="Elipse 8175">
          <a:extLst>
            <a:ext uri="{FF2B5EF4-FFF2-40B4-BE49-F238E27FC236}">
              <a16:creationId xmlns:a16="http://schemas.microsoft.com/office/drawing/2014/main" id="{A480D00C-EE49-47BC-93C2-7BF57EAF87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7" name="Elipse 8176">
          <a:extLst>
            <a:ext uri="{FF2B5EF4-FFF2-40B4-BE49-F238E27FC236}">
              <a16:creationId xmlns:a16="http://schemas.microsoft.com/office/drawing/2014/main" id="{8D4A77E9-D0C1-494F-AAB0-D3E91C1612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8" name="Elipse 8177">
          <a:extLst>
            <a:ext uri="{FF2B5EF4-FFF2-40B4-BE49-F238E27FC236}">
              <a16:creationId xmlns:a16="http://schemas.microsoft.com/office/drawing/2014/main" id="{2F19418C-ADE0-4612-B21F-5350C11E0F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79" name="Elipse 8178">
          <a:extLst>
            <a:ext uri="{FF2B5EF4-FFF2-40B4-BE49-F238E27FC236}">
              <a16:creationId xmlns:a16="http://schemas.microsoft.com/office/drawing/2014/main" id="{7EAC2C44-8FD9-47BC-9B87-DE84FBFD3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0" name="Elipse 8179">
          <a:extLst>
            <a:ext uri="{FF2B5EF4-FFF2-40B4-BE49-F238E27FC236}">
              <a16:creationId xmlns:a16="http://schemas.microsoft.com/office/drawing/2014/main" id="{91922952-7A63-45F1-94B4-A59DE3B55E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1" name="Elipse 8180">
          <a:extLst>
            <a:ext uri="{FF2B5EF4-FFF2-40B4-BE49-F238E27FC236}">
              <a16:creationId xmlns:a16="http://schemas.microsoft.com/office/drawing/2014/main" id="{3C369AD2-E49C-4F78-BFEC-356DE9CAB6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2" name="Elipse 8181">
          <a:extLst>
            <a:ext uri="{FF2B5EF4-FFF2-40B4-BE49-F238E27FC236}">
              <a16:creationId xmlns:a16="http://schemas.microsoft.com/office/drawing/2014/main" id="{C0FB9667-2422-4A07-8141-B37E3A20EF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3" name="Elipse 8182">
          <a:extLst>
            <a:ext uri="{FF2B5EF4-FFF2-40B4-BE49-F238E27FC236}">
              <a16:creationId xmlns:a16="http://schemas.microsoft.com/office/drawing/2014/main" id="{4BAC4BDE-6EC3-4627-8E99-8AABC2DD29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4" name="Elipse 8183">
          <a:extLst>
            <a:ext uri="{FF2B5EF4-FFF2-40B4-BE49-F238E27FC236}">
              <a16:creationId xmlns:a16="http://schemas.microsoft.com/office/drawing/2014/main" id="{606622BC-B299-43F1-8B57-4071C527F2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5" name="Elipse 8184">
          <a:extLst>
            <a:ext uri="{FF2B5EF4-FFF2-40B4-BE49-F238E27FC236}">
              <a16:creationId xmlns:a16="http://schemas.microsoft.com/office/drawing/2014/main" id="{E39AF3BE-19D2-48A5-82EC-253F261023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6" name="Elipse 8185">
          <a:extLst>
            <a:ext uri="{FF2B5EF4-FFF2-40B4-BE49-F238E27FC236}">
              <a16:creationId xmlns:a16="http://schemas.microsoft.com/office/drawing/2014/main" id="{42390720-2176-4697-952A-A752DC93DC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7" name="Elipse 8186">
          <a:extLst>
            <a:ext uri="{FF2B5EF4-FFF2-40B4-BE49-F238E27FC236}">
              <a16:creationId xmlns:a16="http://schemas.microsoft.com/office/drawing/2014/main" id="{A53410CE-DFD2-40CB-A97D-FD56FB8C93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8" name="Elipse 8187">
          <a:extLst>
            <a:ext uri="{FF2B5EF4-FFF2-40B4-BE49-F238E27FC236}">
              <a16:creationId xmlns:a16="http://schemas.microsoft.com/office/drawing/2014/main" id="{F5ED937A-DC35-4F47-AF29-EE0B07E0E7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89" name="Elipse 8188">
          <a:extLst>
            <a:ext uri="{FF2B5EF4-FFF2-40B4-BE49-F238E27FC236}">
              <a16:creationId xmlns:a16="http://schemas.microsoft.com/office/drawing/2014/main" id="{D940E449-4B79-4A5A-A08E-DE201346C3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0" name="Elipse 8189">
          <a:extLst>
            <a:ext uri="{FF2B5EF4-FFF2-40B4-BE49-F238E27FC236}">
              <a16:creationId xmlns:a16="http://schemas.microsoft.com/office/drawing/2014/main" id="{DE00AAFB-EC6B-4070-8C37-05401D4942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1" name="Elipse 8190">
          <a:extLst>
            <a:ext uri="{FF2B5EF4-FFF2-40B4-BE49-F238E27FC236}">
              <a16:creationId xmlns:a16="http://schemas.microsoft.com/office/drawing/2014/main" id="{DCC0A016-9DEF-434D-BB16-86743A027A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2" name="Elipse 8191">
          <a:extLst>
            <a:ext uri="{FF2B5EF4-FFF2-40B4-BE49-F238E27FC236}">
              <a16:creationId xmlns:a16="http://schemas.microsoft.com/office/drawing/2014/main" id="{41A077CA-C5FF-44AB-9453-305565247A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3" name="Elipse 8192">
          <a:extLst>
            <a:ext uri="{FF2B5EF4-FFF2-40B4-BE49-F238E27FC236}">
              <a16:creationId xmlns:a16="http://schemas.microsoft.com/office/drawing/2014/main" id="{A80C1B89-C6FE-4B35-B50A-1EE8CF7EA4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4" name="Elipse 8193">
          <a:extLst>
            <a:ext uri="{FF2B5EF4-FFF2-40B4-BE49-F238E27FC236}">
              <a16:creationId xmlns:a16="http://schemas.microsoft.com/office/drawing/2014/main" id="{6EBF3094-B37F-439E-B867-507E02F5CC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5" name="Elipse 8194">
          <a:extLst>
            <a:ext uri="{FF2B5EF4-FFF2-40B4-BE49-F238E27FC236}">
              <a16:creationId xmlns:a16="http://schemas.microsoft.com/office/drawing/2014/main" id="{1202CA10-ED86-4496-9BAD-F093B3B2C5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6" name="Elipse 8195">
          <a:extLst>
            <a:ext uri="{FF2B5EF4-FFF2-40B4-BE49-F238E27FC236}">
              <a16:creationId xmlns:a16="http://schemas.microsoft.com/office/drawing/2014/main" id="{BEEF196F-C7BA-4936-870D-C595CB2257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7" name="Elipse 8196">
          <a:extLst>
            <a:ext uri="{FF2B5EF4-FFF2-40B4-BE49-F238E27FC236}">
              <a16:creationId xmlns:a16="http://schemas.microsoft.com/office/drawing/2014/main" id="{DD85EE3A-3F78-456A-9AD8-8E08FBDA0D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8" name="Elipse 8197">
          <a:extLst>
            <a:ext uri="{FF2B5EF4-FFF2-40B4-BE49-F238E27FC236}">
              <a16:creationId xmlns:a16="http://schemas.microsoft.com/office/drawing/2014/main" id="{3DE02A5D-D563-4197-976D-D27C89730B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199" name="Elipse 8198">
          <a:extLst>
            <a:ext uri="{FF2B5EF4-FFF2-40B4-BE49-F238E27FC236}">
              <a16:creationId xmlns:a16="http://schemas.microsoft.com/office/drawing/2014/main" id="{E45AFC88-A58C-4CA4-B1B5-B0FF8DF157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0" name="Elipse 8199">
          <a:extLst>
            <a:ext uri="{FF2B5EF4-FFF2-40B4-BE49-F238E27FC236}">
              <a16:creationId xmlns:a16="http://schemas.microsoft.com/office/drawing/2014/main" id="{D9E2E3D3-8A94-4BF7-8AF6-2F145F5BDB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1" name="Elipse 8200">
          <a:extLst>
            <a:ext uri="{FF2B5EF4-FFF2-40B4-BE49-F238E27FC236}">
              <a16:creationId xmlns:a16="http://schemas.microsoft.com/office/drawing/2014/main" id="{E7B564C0-F813-4B8E-A181-B6AEA46D90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2" name="Elipse 8201">
          <a:extLst>
            <a:ext uri="{FF2B5EF4-FFF2-40B4-BE49-F238E27FC236}">
              <a16:creationId xmlns:a16="http://schemas.microsoft.com/office/drawing/2014/main" id="{0971E41E-0B6F-4D4A-9A6E-4050A0F6B4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3" name="Elipse 8202">
          <a:extLst>
            <a:ext uri="{FF2B5EF4-FFF2-40B4-BE49-F238E27FC236}">
              <a16:creationId xmlns:a16="http://schemas.microsoft.com/office/drawing/2014/main" id="{AB7D5E55-E614-4D51-9B86-039F51441C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4" name="Elipse 8203">
          <a:extLst>
            <a:ext uri="{FF2B5EF4-FFF2-40B4-BE49-F238E27FC236}">
              <a16:creationId xmlns:a16="http://schemas.microsoft.com/office/drawing/2014/main" id="{6F10C2AC-696D-4553-AECE-27B70D8195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5" name="Elipse 8204">
          <a:extLst>
            <a:ext uri="{FF2B5EF4-FFF2-40B4-BE49-F238E27FC236}">
              <a16:creationId xmlns:a16="http://schemas.microsoft.com/office/drawing/2014/main" id="{34430EEC-69EF-47CE-AF09-583A285E16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6" name="Elipse 8205">
          <a:extLst>
            <a:ext uri="{FF2B5EF4-FFF2-40B4-BE49-F238E27FC236}">
              <a16:creationId xmlns:a16="http://schemas.microsoft.com/office/drawing/2014/main" id="{EA98AFB9-D058-4D1D-9899-0010321D91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7" name="Elipse 8206">
          <a:extLst>
            <a:ext uri="{FF2B5EF4-FFF2-40B4-BE49-F238E27FC236}">
              <a16:creationId xmlns:a16="http://schemas.microsoft.com/office/drawing/2014/main" id="{F884C53F-5618-4B21-A020-D55ED1DCCC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8" name="Elipse 8207">
          <a:extLst>
            <a:ext uri="{FF2B5EF4-FFF2-40B4-BE49-F238E27FC236}">
              <a16:creationId xmlns:a16="http://schemas.microsoft.com/office/drawing/2014/main" id="{A8C4B896-45A0-4D30-B7BC-AC23D6B97F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09" name="Elipse 8208">
          <a:extLst>
            <a:ext uri="{FF2B5EF4-FFF2-40B4-BE49-F238E27FC236}">
              <a16:creationId xmlns:a16="http://schemas.microsoft.com/office/drawing/2014/main" id="{E863CFE0-2A75-4565-B720-1674E32B74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0" name="Elipse 8209">
          <a:extLst>
            <a:ext uri="{FF2B5EF4-FFF2-40B4-BE49-F238E27FC236}">
              <a16:creationId xmlns:a16="http://schemas.microsoft.com/office/drawing/2014/main" id="{86A3551C-C926-4509-9376-3FBBE0C327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1" name="Elipse 8210">
          <a:extLst>
            <a:ext uri="{FF2B5EF4-FFF2-40B4-BE49-F238E27FC236}">
              <a16:creationId xmlns:a16="http://schemas.microsoft.com/office/drawing/2014/main" id="{45AEC32B-2BE4-4E0D-A607-574D723A20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2" name="Elipse 8211">
          <a:extLst>
            <a:ext uri="{FF2B5EF4-FFF2-40B4-BE49-F238E27FC236}">
              <a16:creationId xmlns:a16="http://schemas.microsoft.com/office/drawing/2014/main" id="{805AC6EE-8664-405E-889D-1BA27E005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3" name="Elipse 8212">
          <a:extLst>
            <a:ext uri="{FF2B5EF4-FFF2-40B4-BE49-F238E27FC236}">
              <a16:creationId xmlns:a16="http://schemas.microsoft.com/office/drawing/2014/main" id="{0BD3851B-0BE2-4F3E-93D8-5AC112FA87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4" name="Elipse 8213">
          <a:extLst>
            <a:ext uri="{FF2B5EF4-FFF2-40B4-BE49-F238E27FC236}">
              <a16:creationId xmlns:a16="http://schemas.microsoft.com/office/drawing/2014/main" id="{296EFD11-A3EF-49A5-A94A-9874C233FF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5" name="Elipse 8214">
          <a:extLst>
            <a:ext uri="{FF2B5EF4-FFF2-40B4-BE49-F238E27FC236}">
              <a16:creationId xmlns:a16="http://schemas.microsoft.com/office/drawing/2014/main" id="{D729B8FC-67A1-41CB-AC29-194AE3C47F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6" name="Elipse 8215">
          <a:extLst>
            <a:ext uri="{FF2B5EF4-FFF2-40B4-BE49-F238E27FC236}">
              <a16:creationId xmlns:a16="http://schemas.microsoft.com/office/drawing/2014/main" id="{F0306FBD-3ECE-4CBC-9EFE-C9DED4B9DE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7" name="Elipse 8216">
          <a:extLst>
            <a:ext uri="{FF2B5EF4-FFF2-40B4-BE49-F238E27FC236}">
              <a16:creationId xmlns:a16="http://schemas.microsoft.com/office/drawing/2014/main" id="{9D2B3CA6-CD30-4E20-A2C7-1A3321AB06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8" name="Elipse 8217">
          <a:extLst>
            <a:ext uri="{FF2B5EF4-FFF2-40B4-BE49-F238E27FC236}">
              <a16:creationId xmlns:a16="http://schemas.microsoft.com/office/drawing/2014/main" id="{15E08ACF-68BB-47FA-93DE-54A156382E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19" name="Elipse 8218">
          <a:extLst>
            <a:ext uri="{FF2B5EF4-FFF2-40B4-BE49-F238E27FC236}">
              <a16:creationId xmlns:a16="http://schemas.microsoft.com/office/drawing/2014/main" id="{63C12922-62CD-43AC-9099-75BB5814FF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0" name="Elipse 8219">
          <a:extLst>
            <a:ext uri="{FF2B5EF4-FFF2-40B4-BE49-F238E27FC236}">
              <a16:creationId xmlns:a16="http://schemas.microsoft.com/office/drawing/2014/main" id="{BEEA0754-8F88-4F59-874A-37CE51DDAB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1" name="Elipse 8220">
          <a:extLst>
            <a:ext uri="{FF2B5EF4-FFF2-40B4-BE49-F238E27FC236}">
              <a16:creationId xmlns:a16="http://schemas.microsoft.com/office/drawing/2014/main" id="{F23E8451-782D-40D1-89B8-F2639B6FAA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2" name="Elipse 8221">
          <a:extLst>
            <a:ext uri="{FF2B5EF4-FFF2-40B4-BE49-F238E27FC236}">
              <a16:creationId xmlns:a16="http://schemas.microsoft.com/office/drawing/2014/main" id="{7D5B6042-E375-4011-9358-EB73D0722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3" name="Elipse 8222">
          <a:extLst>
            <a:ext uri="{FF2B5EF4-FFF2-40B4-BE49-F238E27FC236}">
              <a16:creationId xmlns:a16="http://schemas.microsoft.com/office/drawing/2014/main" id="{182FB0DA-5E30-43F8-B741-6DA836D93D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4" name="Elipse 8223">
          <a:extLst>
            <a:ext uri="{FF2B5EF4-FFF2-40B4-BE49-F238E27FC236}">
              <a16:creationId xmlns:a16="http://schemas.microsoft.com/office/drawing/2014/main" id="{3F1FEC62-B283-4394-A6DD-A009F4CA13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5" name="Elipse 8224">
          <a:extLst>
            <a:ext uri="{FF2B5EF4-FFF2-40B4-BE49-F238E27FC236}">
              <a16:creationId xmlns:a16="http://schemas.microsoft.com/office/drawing/2014/main" id="{C2D873AB-889D-4D1C-B42F-A828CEEA1A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6" name="Elipse 8225">
          <a:extLst>
            <a:ext uri="{FF2B5EF4-FFF2-40B4-BE49-F238E27FC236}">
              <a16:creationId xmlns:a16="http://schemas.microsoft.com/office/drawing/2014/main" id="{56B87A2A-2C02-4DC9-8B38-CB066BD200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7" name="Elipse 8226">
          <a:extLst>
            <a:ext uri="{FF2B5EF4-FFF2-40B4-BE49-F238E27FC236}">
              <a16:creationId xmlns:a16="http://schemas.microsoft.com/office/drawing/2014/main" id="{FCD8B0E4-70CD-42F3-804B-D79FC471D0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8" name="Elipse 8227">
          <a:extLst>
            <a:ext uri="{FF2B5EF4-FFF2-40B4-BE49-F238E27FC236}">
              <a16:creationId xmlns:a16="http://schemas.microsoft.com/office/drawing/2014/main" id="{1EB0A47B-DCA7-4275-B60E-144E1B349C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29" name="Elipse 8228">
          <a:extLst>
            <a:ext uri="{FF2B5EF4-FFF2-40B4-BE49-F238E27FC236}">
              <a16:creationId xmlns:a16="http://schemas.microsoft.com/office/drawing/2014/main" id="{F246B0FC-CA47-4670-97DC-7039743F29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0" name="Elipse 8229">
          <a:extLst>
            <a:ext uri="{FF2B5EF4-FFF2-40B4-BE49-F238E27FC236}">
              <a16:creationId xmlns:a16="http://schemas.microsoft.com/office/drawing/2014/main" id="{ED98A818-3AD4-4DC2-A623-16B122261B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1" name="Elipse 8230">
          <a:extLst>
            <a:ext uri="{FF2B5EF4-FFF2-40B4-BE49-F238E27FC236}">
              <a16:creationId xmlns:a16="http://schemas.microsoft.com/office/drawing/2014/main" id="{AC186D80-4804-4E01-B273-58F300F8DF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2" name="Elipse 8231">
          <a:extLst>
            <a:ext uri="{FF2B5EF4-FFF2-40B4-BE49-F238E27FC236}">
              <a16:creationId xmlns:a16="http://schemas.microsoft.com/office/drawing/2014/main" id="{253D3310-A11B-4DE8-836B-D943095FE2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3" name="Elipse 8232">
          <a:extLst>
            <a:ext uri="{FF2B5EF4-FFF2-40B4-BE49-F238E27FC236}">
              <a16:creationId xmlns:a16="http://schemas.microsoft.com/office/drawing/2014/main" id="{E3CF2D01-B599-4AF5-AE9E-10F3EFEC8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4" name="Elipse 8233">
          <a:extLst>
            <a:ext uri="{FF2B5EF4-FFF2-40B4-BE49-F238E27FC236}">
              <a16:creationId xmlns:a16="http://schemas.microsoft.com/office/drawing/2014/main" id="{8B68AE0A-51DC-42E0-8CF5-CD873ED71E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5" name="Elipse 8234">
          <a:extLst>
            <a:ext uri="{FF2B5EF4-FFF2-40B4-BE49-F238E27FC236}">
              <a16:creationId xmlns:a16="http://schemas.microsoft.com/office/drawing/2014/main" id="{D9F0722E-8B6A-4A12-B791-12D1D9B109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6" name="Elipse 8235">
          <a:extLst>
            <a:ext uri="{FF2B5EF4-FFF2-40B4-BE49-F238E27FC236}">
              <a16:creationId xmlns:a16="http://schemas.microsoft.com/office/drawing/2014/main" id="{35D5B722-6CB2-47E0-A431-2690A9C19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7" name="Elipse 8236">
          <a:extLst>
            <a:ext uri="{FF2B5EF4-FFF2-40B4-BE49-F238E27FC236}">
              <a16:creationId xmlns:a16="http://schemas.microsoft.com/office/drawing/2014/main" id="{23BEEB97-9A81-413F-85F8-67623E9CF2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8" name="Elipse 8237">
          <a:extLst>
            <a:ext uri="{FF2B5EF4-FFF2-40B4-BE49-F238E27FC236}">
              <a16:creationId xmlns:a16="http://schemas.microsoft.com/office/drawing/2014/main" id="{1CFA2B8E-8EB5-4097-8346-C328B04BCC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39" name="Elipse 8238">
          <a:extLst>
            <a:ext uri="{FF2B5EF4-FFF2-40B4-BE49-F238E27FC236}">
              <a16:creationId xmlns:a16="http://schemas.microsoft.com/office/drawing/2014/main" id="{ECA6F634-8A12-4999-AE1A-06AE19B72C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0" name="Elipse 8239">
          <a:extLst>
            <a:ext uri="{FF2B5EF4-FFF2-40B4-BE49-F238E27FC236}">
              <a16:creationId xmlns:a16="http://schemas.microsoft.com/office/drawing/2014/main" id="{2C91110D-82BC-43EF-B3F9-3846628414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1" name="Elipse 8240">
          <a:extLst>
            <a:ext uri="{FF2B5EF4-FFF2-40B4-BE49-F238E27FC236}">
              <a16:creationId xmlns:a16="http://schemas.microsoft.com/office/drawing/2014/main" id="{89DE1DC9-5890-4016-8FD9-62D5D88704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2" name="Elipse 8241">
          <a:extLst>
            <a:ext uri="{FF2B5EF4-FFF2-40B4-BE49-F238E27FC236}">
              <a16:creationId xmlns:a16="http://schemas.microsoft.com/office/drawing/2014/main" id="{4B47C020-E571-4A5A-8ADE-1B382A613F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3" name="Elipse 8242">
          <a:extLst>
            <a:ext uri="{FF2B5EF4-FFF2-40B4-BE49-F238E27FC236}">
              <a16:creationId xmlns:a16="http://schemas.microsoft.com/office/drawing/2014/main" id="{1C6CEC4A-B03A-4FE6-8013-71CCD4125E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4" name="Elipse 8243">
          <a:extLst>
            <a:ext uri="{FF2B5EF4-FFF2-40B4-BE49-F238E27FC236}">
              <a16:creationId xmlns:a16="http://schemas.microsoft.com/office/drawing/2014/main" id="{49CD66DB-9D7A-4893-BD85-ECEA168056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5" name="Elipse 8244">
          <a:extLst>
            <a:ext uri="{FF2B5EF4-FFF2-40B4-BE49-F238E27FC236}">
              <a16:creationId xmlns:a16="http://schemas.microsoft.com/office/drawing/2014/main" id="{876FA0EB-E331-40CC-9C63-822BA70D40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6" name="Elipse 8245">
          <a:extLst>
            <a:ext uri="{FF2B5EF4-FFF2-40B4-BE49-F238E27FC236}">
              <a16:creationId xmlns:a16="http://schemas.microsoft.com/office/drawing/2014/main" id="{BB68B136-21E2-4606-8074-F0B1D06E32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7" name="Elipse 8246">
          <a:extLst>
            <a:ext uri="{FF2B5EF4-FFF2-40B4-BE49-F238E27FC236}">
              <a16:creationId xmlns:a16="http://schemas.microsoft.com/office/drawing/2014/main" id="{3F2A326A-332A-4528-A9EF-901831933A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8" name="Elipse 8247">
          <a:extLst>
            <a:ext uri="{FF2B5EF4-FFF2-40B4-BE49-F238E27FC236}">
              <a16:creationId xmlns:a16="http://schemas.microsoft.com/office/drawing/2014/main" id="{332B018B-2647-459D-8989-EC60DB08A9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49" name="Elipse 8248">
          <a:extLst>
            <a:ext uri="{FF2B5EF4-FFF2-40B4-BE49-F238E27FC236}">
              <a16:creationId xmlns:a16="http://schemas.microsoft.com/office/drawing/2014/main" id="{97A7A257-FB11-406D-B19F-91887128AA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0" name="Elipse 8249">
          <a:extLst>
            <a:ext uri="{FF2B5EF4-FFF2-40B4-BE49-F238E27FC236}">
              <a16:creationId xmlns:a16="http://schemas.microsoft.com/office/drawing/2014/main" id="{0FF9BCDA-47B0-44D9-A41A-809410D21E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1" name="Elipse 8250">
          <a:extLst>
            <a:ext uri="{FF2B5EF4-FFF2-40B4-BE49-F238E27FC236}">
              <a16:creationId xmlns:a16="http://schemas.microsoft.com/office/drawing/2014/main" id="{647718A9-5BF8-45AB-9B36-E1A88F3D5D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2" name="Elipse 8251">
          <a:extLst>
            <a:ext uri="{FF2B5EF4-FFF2-40B4-BE49-F238E27FC236}">
              <a16:creationId xmlns:a16="http://schemas.microsoft.com/office/drawing/2014/main" id="{7DCD13B5-90D5-4217-90CD-B9D5D6B8B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3" name="Elipse 8252">
          <a:extLst>
            <a:ext uri="{FF2B5EF4-FFF2-40B4-BE49-F238E27FC236}">
              <a16:creationId xmlns:a16="http://schemas.microsoft.com/office/drawing/2014/main" id="{C2D32DBF-FB65-4DDF-BD45-3DA9123B02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4" name="Elipse 8253">
          <a:extLst>
            <a:ext uri="{FF2B5EF4-FFF2-40B4-BE49-F238E27FC236}">
              <a16:creationId xmlns:a16="http://schemas.microsoft.com/office/drawing/2014/main" id="{03FAA807-421F-460B-92E8-9B7BEA12F2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5" name="Elipse 8254">
          <a:extLst>
            <a:ext uri="{FF2B5EF4-FFF2-40B4-BE49-F238E27FC236}">
              <a16:creationId xmlns:a16="http://schemas.microsoft.com/office/drawing/2014/main" id="{C56FFC0B-C215-4C0B-B66E-F871ECB52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6" name="Elipse 8255">
          <a:extLst>
            <a:ext uri="{FF2B5EF4-FFF2-40B4-BE49-F238E27FC236}">
              <a16:creationId xmlns:a16="http://schemas.microsoft.com/office/drawing/2014/main" id="{A9E3B89C-9A60-45EF-AAEE-35F47BA78C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7" name="Elipse 8256">
          <a:extLst>
            <a:ext uri="{FF2B5EF4-FFF2-40B4-BE49-F238E27FC236}">
              <a16:creationId xmlns:a16="http://schemas.microsoft.com/office/drawing/2014/main" id="{247FD002-ADAF-4126-9D89-BB51B4FACB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8" name="Elipse 8257">
          <a:extLst>
            <a:ext uri="{FF2B5EF4-FFF2-40B4-BE49-F238E27FC236}">
              <a16:creationId xmlns:a16="http://schemas.microsoft.com/office/drawing/2014/main" id="{D2EF24DC-3B88-48B0-83EA-9C3FF162E5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59" name="Elipse 8258">
          <a:extLst>
            <a:ext uri="{FF2B5EF4-FFF2-40B4-BE49-F238E27FC236}">
              <a16:creationId xmlns:a16="http://schemas.microsoft.com/office/drawing/2014/main" id="{FA67D95D-305F-471A-88AC-C63C660EEC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0" name="Elipse 8259">
          <a:extLst>
            <a:ext uri="{FF2B5EF4-FFF2-40B4-BE49-F238E27FC236}">
              <a16:creationId xmlns:a16="http://schemas.microsoft.com/office/drawing/2014/main" id="{69DD7E72-D84F-4BCB-B551-286856B2C2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1" name="Elipse 8260">
          <a:extLst>
            <a:ext uri="{FF2B5EF4-FFF2-40B4-BE49-F238E27FC236}">
              <a16:creationId xmlns:a16="http://schemas.microsoft.com/office/drawing/2014/main" id="{EF169870-03E3-4206-94AE-1E1DEDD2A8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2" name="Elipse 8261">
          <a:extLst>
            <a:ext uri="{FF2B5EF4-FFF2-40B4-BE49-F238E27FC236}">
              <a16:creationId xmlns:a16="http://schemas.microsoft.com/office/drawing/2014/main" id="{DAC8C75F-6375-4E16-802B-9BBCCC9364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3" name="Elipse 8262">
          <a:extLst>
            <a:ext uri="{FF2B5EF4-FFF2-40B4-BE49-F238E27FC236}">
              <a16:creationId xmlns:a16="http://schemas.microsoft.com/office/drawing/2014/main" id="{CD84C6FE-D76A-44F7-99DD-3781D72A86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4" name="Elipse 8263">
          <a:extLst>
            <a:ext uri="{FF2B5EF4-FFF2-40B4-BE49-F238E27FC236}">
              <a16:creationId xmlns:a16="http://schemas.microsoft.com/office/drawing/2014/main" id="{A7947337-F1CB-44FA-8172-11D72A9F94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5" name="Elipse 8264">
          <a:extLst>
            <a:ext uri="{FF2B5EF4-FFF2-40B4-BE49-F238E27FC236}">
              <a16:creationId xmlns:a16="http://schemas.microsoft.com/office/drawing/2014/main" id="{69FD6532-9321-4C5D-AA30-DF82D4D25D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6" name="Elipse 8265">
          <a:extLst>
            <a:ext uri="{FF2B5EF4-FFF2-40B4-BE49-F238E27FC236}">
              <a16:creationId xmlns:a16="http://schemas.microsoft.com/office/drawing/2014/main" id="{E3774182-DE81-418C-BC92-49315B4846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7" name="Elipse 8266">
          <a:extLst>
            <a:ext uri="{FF2B5EF4-FFF2-40B4-BE49-F238E27FC236}">
              <a16:creationId xmlns:a16="http://schemas.microsoft.com/office/drawing/2014/main" id="{6891C4DF-F063-491A-A941-D722C1D4B0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8" name="Elipse 8267">
          <a:extLst>
            <a:ext uri="{FF2B5EF4-FFF2-40B4-BE49-F238E27FC236}">
              <a16:creationId xmlns:a16="http://schemas.microsoft.com/office/drawing/2014/main" id="{7F6A3D00-406A-462F-8CFD-28E8963F77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69" name="Elipse 8268">
          <a:extLst>
            <a:ext uri="{FF2B5EF4-FFF2-40B4-BE49-F238E27FC236}">
              <a16:creationId xmlns:a16="http://schemas.microsoft.com/office/drawing/2014/main" id="{B95E1941-9813-43D5-9B63-195A892D44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0" name="Elipse 8269">
          <a:extLst>
            <a:ext uri="{FF2B5EF4-FFF2-40B4-BE49-F238E27FC236}">
              <a16:creationId xmlns:a16="http://schemas.microsoft.com/office/drawing/2014/main" id="{97DAE293-DC6F-4FEF-BBB2-C99FC884BC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1" name="Elipse 8270">
          <a:extLst>
            <a:ext uri="{FF2B5EF4-FFF2-40B4-BE49-F238E27FC236}">
              <a16:creationId xmlns:a16="http://schemas.microsoft.com/office/drawing/2014/main" id="{CEB6059F-CC0E-4120-9CCC-B77E0D0393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2" name="Elipse 8271">
          <a:extLst>
            <a:ext uri="{FF2B5EF4-FFF2-40B4-BE49-F238E27FC236}">
              <a16:creationId xmlns:a16="http://schemas.microsoft.com/office/drawing/2014/main" id="{E3BDBD7A-B960-4F56-A3E0-E84EBF7691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3" name="Elipse 8272">
          <a:extLst>
            <a:ext uri="{FF2B5EF4-FFF2-40B4-BE49-F238E27FC236}">
              <a16:creationId xmlns:a16="http://schemas.microsoft.com/office/drawing/2014/main" id="{A21AAD9F-B207-4FFB-863B-2CBD47EF1F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4" name="Elipse 8273">
          <a:extLst>
            <a:ext uri="{FF2B5EF4-FFF2-40B4-BE49-F238E27FC236}">
              <a16:creationId xmlns:a16="http://schemas.microsoft.com/office/drawing/2014/main" id="{FAC13426-00CA-45AA-AA82-EA548DF16B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5" name="Elipse 8274">
          <a:extLst>
            <a:ext uri="{FF2B5EF4-FFF2-40B4-BE49-F238E27FC236}">
              <a16:creationId xmlns:a16="http://schemas.microsoft.com/office/drawing/2014/main" id="{43C7B7F6-87E5-4789-8F51-93A81EA793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6" name="Elipse 8275">
          <a:extLst>
            <a:ext uri="{FF2B5EF4-FFF2-40B4-BE49-F238E27FC236}">
              <a16:creationId xmlns:a16="http://schemas.microsoft.com/office/drawing/2014/main" id="{42D5EE53-461F-4D5F-BF60-50BE1B53D2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7" name="Elipse 8276">
          <a:extLst>
            <a:ext uri="{FF2B5EF4-FFF2-40B4-BE49-F238E27FC236}">
              <a16:creationId xmlns:a16="http://schemas.microsoft.com/office/drawing/2014/main" id="{245DD095-A7B1-408A-9CFD-25DAC98038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8" name="Elipse 8277">
          <a:extLst>
            <a:ext uri="{FF2B5EF4-FFF2-40B4-BE49-F238E27FC236}">
              <a16:creationId xmlns:a16="http://schemas.microsoft.com/office/drawing/2014/main" id="{BF2BB048-3F49-4707-987F-BA6140A6CD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79" name="Elipse 8278">
          <a:extLst>
            <a:ext uri="{FF2B5EF4-FFF2-40B4-BE49-F238E27FC236}">
              <a16:creationId xmlns:a16="http://schemas.microsoft.com/office/drawing/2014/main" id="{DE427E85-F85B-432E-90E6-B90375F819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0" name="Elipse 8279">
          <a:extLst>
            <a:ext uri="{FF2B5EF4-FFF2-40B4-BE49-F238E27FC236}">
              <a16:creationId xmlns:a16="http://schemas.microsoft.com/office/drawing/2014/main" id="{C3ED3810-E00A-4688-A00F-058628440D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1" name="Elipse 8280">
          <a:extLst>
            <a:ext uri="{FF2B5EF4-FFF2-40B4-BE49-F238E27FC236}">
              <a16:creationId xmlns:a16="http://schemas.microsoft.com/office/drawing/2014/main" id="{49008AFC-D3E8-41E7-A7AE-A79ED4ABD9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2" name="Elipse 8281">
          <a:extLst>
            <a:ext uri="{FF2B5EF4-FFF2-40B4-BE49-F238E27FC236}">
              <a16:creationId xmlns:a16="http://schemas.microsoft.com/office/drawing/2014/main" id="{0F889142-87E6-46F3-AB51-CBA9FEF0B7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3" name="Elipse 8282">
          <a:extLst>
            <a:ext uri="{FF2B5EF4-FFF2-40B4-BE49-F238E27FC236}">
              <a16:creationId xmlns:a16="http://schemas.microsoft.com/office/drawing/2014/main" id="{C6BDDF61-3D52-4562-8604-E33CE95889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4" name="Elipse 8283">
          <a:extLst>
            <a:ext uri="{FF2B5EF4-FFF2-40B4-BE49-F238E27FC236}">
              <a16:creationId xmlns:a16="http://schemas.microsoft.com/office/drawing/2014/main" id="{D1E53068-4564-46EE-90C6-2B6EED486D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5" name="Elipse 8284">
          <a:extLst>
            <a:ext uri="{FF2B5EF4-FFF2-40B4-BE49-F238E27FC236}">
              <a16:creationId xmlns:a16="http://schemas.microsoft.com/office/drawing/2014/main" id="{E6AB34B3-7227-4D33-ABCB-60AA5C52AA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6" name="Elipse 8285">
          <a:extLst>
            <a:ext uri="{FF2B5EF4-FFF2-40B4-BE49-F238E27FC236}">
              <a16:creationId xmlns:a16="http://schemas.microsoft.com/office/drawing/2014/main" id="{F21CBED2-6685-4398-8550-D52C99751B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7" name="Elipse 8286">
          <a:extLst>
            <a:ext uri="{FF2B5EF4-FFF2-40B4-BE49-F238E27FC236}">
              <a16:creationId xmlns:a16="http://schemas.microsoft.com/office/drawing/2014/main" id="{5CD0FD54-A440-4758-A4F4-37D721DFE4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8" name="Elipse 8287">
          <a:extLst>
            <a:ext uri="{FF2B5EF4-FFF2-40B4-BE49-F238E27FC236}">
              <a16:creationId xmlns:a16="http://schemas.microsoft.com/office/drawing/2014/main" id="{8E4EE804-2FD5-481B-9AD0-EA2706B890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89" name="Elipse 8288">
          <a:extLst>
            <a:ext uri="{FF2B5EF4-FFF2-40B4-BE49-F238E27FC236}">
              <a16:creationId xmlns:a16="http://schemas.microsoft.com/office/drawing/2014/main" id="{8E0F85C9-14E9-4547-AF8D-EFAAF8A49D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0" name="Elipse 8289">
          <a:extLst>
            <a:ext uri="{FF2B5EF4-FFF2-40B4-BE49-F238E27FC236}">
              <a16:creationId xmlns:a16="http://schemas.microsoft.com/office/drawing/2014/main" id="{59C77EAE-E592-4004-8970-EEA027432D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1" name="Elipse 8290">
          <a:extLst>
            <a:ext uri="{FF2B5EF4-FFF2-40B4-BE49-F238E27FC236}">
              <a16:creationId xmlns:a16="http://schemas.microsoft.com/office/drawing/2014/main" id="{0B25298E-ECD4-4EEE-982A-38EAA1C9CB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2" name="Elipse 8291">
          <a:extLst>
            <a:ext uri="{FF2B5EF4-FFF2-40B4-BE49-F238E27FC236}">
              <a16:creationId xmlns:a16="http://schemas.microsoft.com/office/drawing/2014/main" id="{F1546B84-FA5E-4219-9E92-B4D024C8DC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3" name="Elipse 8292">
          <a:extLst>
            <a:ext uri="{FF2B5EF4-FFF2-40B4-BE49-F238E27FC236}">
              <a16:creationId xmlns:a16="http://schemas.microsoft.com/office/drawing/2014/main" id="{5010455D-FDE1-421D-97D4-BABB060CBB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4" name="Elipse 8293">
          <a:extLst>
            <a:ext uri="{FF2B5EF4-FFF2-40B4-BE49-F238E27FC236}">
              <a16:creationId xmlns:a16="http://schemas.microsoft.com/office/drawing/2014/main" id="{D5758BE9-6747-4F3E-92B4-7BAE3FF653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5" name="Elipse 8294">
          <a:extLst>
            <a:ext uri="{FF2B5EF4-FFF2-40B4-BE49-F238E27FC236}">
              <a16:creationId xmlns:a16="http://schemas.microsoft.com/office/drawing/2014/main" id="{B46513E9-D27A-4DB5-8A5B-66F47B5F56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6" name="Elipse 8295">
          <a:extLst>
            <a:ext uri="{FF2B5EF4-FFF2-40B4-BE49-F238E27FC236}">
              <a16:creationId xmlns:a16="http://schemas.microsoft.com/office/drawing/2014/main" id="{68612B04-7A7B-4E44-8389-B1058A53D7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7" name="Elipse 8296">
          <a:extLst>
            <a:ext uri="{FF2B5EF4-FFF2-40B4-BE49-F238E27FC236}">
              <a16:creationId xmlns:a16="http://schemas.microsoft.com/office/drawing/2014/main" id="{88754363-11E2-4F6E-8211-9EF073006B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8" name="Elipse 8297">
          <a:extLst>
            <a:ext uri="{FF2B5EF4-FFF2-40B4-BE49-F238E27FC236}">
              <a16:creationId xmlns:a16="http://schemas.microsoft.com/office/drawing/2014/main" id="{C2A41562-477E-4217-9176-3DFBED4489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299" name="Elipse 8298">
          <a:extLst>
            <a:ext uri="{FF2B5EF4-FFF2-40B4-BE49-F238E27FC236}">
              <a16:creationId xmlns:a16="http://schemas.microsoft.com/office/drawing/2014/main" id="{9204A315-A829-47F8-BFC7-FA3EC20BFA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0" name="Elipse 8299">
          <a:extLst>
            <a:ext uri="{FF2B5EF4-FFF2-40B4-BE49-F238E27FC236}">
              <a16:creationId xmlns:a16="http://schemas.microsoft.com/office/drawing/2014/main" id="{B1AD8A41-FBA4-42BC-AFAC-A06FADB886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1" name="Elipse 8300">
          <a:extLst>
            <a:ext uri="{FF2B5EF4-FFF2-40B4-BE49-F238E27FC236}">
              <a16:creationId xmlns:a16="http://schemas.microsoft.com/office/drawing/2014/main" id="{5F316478-B819-4C37-8BB8-72237D6E42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2" name="Elipse 8301">
          <a:extLst>
            <a:ext uri="{FF2B5EF4-FFF2-40B4-BE49-F238E27FC236}">
              <a16:creationId xmlns:a16="http://schemas.microsoft.com/office/drawing/2014/main" id="{02B27DD4-B457-454B-982B-BE5F88A6B7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3" name="Elipse 8302">
          <a:extLst>
            <a:ext uri="{FF2B5EF4-FFF2-40B4-BE49-F238E27FC236}">
              <a16:creationId xmlns:a16="http://schemas.microsoft.com/office/drawing/2014/main" id="{126C073C-ED9B-4204-BC30-6A5E16D21A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4" name="Elipse 8303">
          <a:extLst>
            <a:ext uri="{FF2B5EF4-FFF2-40B4-BE49-F238E27FC236}">
              <a16:creationId xmlns:a16="http://schemas.microsoft.com/office/drawing/2014/main" id="{37E21F1D-1DFC-4C26-8D5C-77F39995F3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5" name="Elipse 8304">
          <a:extLst>
            <a:ext uri="{FF2B5EF4-FFF2-40B4-BE49-F238E27FC236}">
              <a16:creationId xmlns:a16="http://schemas.microsoft.com/office/drawing/2014/main" id="{74F9518B-9029-422A-8C3C-C8B1839D13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6" name="Elipse 8305">
          <a:extLst>
            <a:ext uri="{FF2B5EF4-FFF2-40B4-BE49-F238E27FC236}">
              <a16:creationId xmlns:a16="http://schemas.microsoft.com/office/drawing/2014/main" id="{63776F7A-42B5-4045-AF90-5F6A0C7F98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7" name="Elipse 8306">
          <a:extLst>
            <a:ext uri="{FF2B5EF4-FFF2-40B4-BE49-F238E27FC236}">
              <a16:creationId xmlns:a16="http://schemas.microsoft.com/office/drawing/2014/main" id="{C797675D-8B5A-489A-B6A8-EDCEE6F336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8" name="Elipse 8307">
          <a:extLst>
            <a:ext uri="{FF2B5EF4-FFF2-40B4-BE49-F238E27FC236}">
              <a16:creationId xmlns:a16="http://schemas.microsoft.com/office/drawing/2014/main" id="{4F645E8A-64E1-4759-B0AF-E0A04F78E8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09" name="Elipse 8308">
          <a:extLst>
            <a:ext uri="{FF2B5EF4-FFF2-40B4-BE49-F238E27FC236}">
              <a16:creationId xmlns:a16="http://schemas.microsoft.com/office/drawing/2014/main" id="{A0AA83F9-A066-4DCA-9DF1-852564BB19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0" name="Elipse 8309">
          <a:extLst>
            <a:ext uri="{FF2B5EF4-FFF2-40B4-BE49-F238E27FC236}">
              <a16:creationId xmlns:a16="http://schemas.microsoft.com/office/drawing/2014/main" id="{11A9AF31-3EEC-4C3D-837A-E339299A52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1" name="Elipse 8310">
          <a:extLst>
            <a:ext uri="{FF2B5EF4-FFF2-40B4-BE49-F238E27FC236}">
              <a16:creationId xmlns:a16="http://schemas.microsoft.com/office/drawing/2014/main" id="{69D39D8E-8378-475E-959A-EC6D88A2A2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2" name="Elipse 8311">
          <a:extLst>
            <a:ext uri="{FF2B5EF4-FFF2-40B4-BE49-F238E27FC236}">
              <a16:creationId xmlns:a16="http://schemas.microsoft.com/office/drawing/2014/main" id="{97CFEB76-160F-4C2B-A11C-926638A1CE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3" name="Elipse 8312">
          <a:extLst>
            <a:ext uri="{FF2B5EF4-FFF2-40B4-BE49-F238E27FC236}">
              <a16:creationId xmlns:a16="http://schemas.microsoft.com/office/drawing/2014/main" id="{1FC0F720-4979-4442-BEF7-FD83734638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4" name="Elipse 8313">
          <a:extLst>
            <a:ext uri="{FF2B5EF4-FFF2-40B4-BE49-F238E27FC236}">
              <a16:creationId xmlns:a16="http://schemas.microsoft.com/office/drawing/2014/main" id="{BD469EDD-635B-4971-9BC1-44BADD9404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5" name="Elipse 8314">
          <a:extLst>
            <a:ext uri="{FF2B5EF4-FFF2-40B4-BE49-F238E27FC236}">
              <a16:creationId xmlns:a16="http://schemas.microsoft.com/office/drawing/2014/main" id="{2EC2F6EF-6B49-4F04-ABA8-987BE4D1C3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6" name="Elipse 8315">
          <a:extLst>
            <a:ext uri="{FF2B5EF4-FFF2-40B4-BE49-F238E27FC236}">
              <a16:creationId xmlns:a16="http://schemas.microsoft.com/office/drawing/2014/main" id="{762BD9DB-5C61-4A86-94AA-3C2B893CF5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7" name="Elipse 8316">
          <a:extLst>
            <a:ext uri="{FF2B5EF4-FFF2-40B4-BE49-F238E27FC236}">
              <a16:creationId xmlns:a16="http://schemas.microsoft.com/office/drawing/2014/main" id="{0020793A-1B84-4224-868E-A36BEF5FA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8" name="Elipse 8317">
          <a:extLst>
            <a:ext uri="{FF2B5EF4-FFF2-40B4-BE49-F238E27FC236}">
              <a16:creationId xmlns:a16="http://schemas.microsoft.com/office/drawing/2014/main" id="{657B3746-3763-49C6-94EB-19A02C5038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19" name="Elipse 8318">
          <a:extLst>
            <a:ext uri="{FF2B5EF4-FFF2-40B4-BE49-F238E27FC236}">
              <a16:creationId xmlns:a16="http://schemas.microsoft.com/office/drawing/2014/main" id="{FBEABA27-31C3-45B6-9FD5-C4E389793D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0" name="Elipse 8319">
          <a:extLst>
            <a:ext uri="{FF2B5EF4-FFF2-40B4-BE49-F238E27FC236}">
              <a16:creationId xmlns:a16="http://schemas.microsoft.com/office/drawing/2014/main" id="{C3792C7F-996E-402D-897D-D733A1F7B5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1" name="Elipse 8320">
          <a:extLst>
            <a:ext uri="{FF2B5EF4-FFF2-40B4-BE49-F238E27FC236}">
              <a16:creationId xmlns:a16="http://schemas.microsoft.com/office/drawing/2014/main" id="{50A320BD-BA39-46DE-A996-53C8960FF8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2" name="Elipse 8321">
          <a:extLst>
            <a:ext uri="{FF2B5EF4-FFF2-40B4-BE49-F238E27FC236}">
              <a16:creationId xmlns:a16="http://schemas.microsoft.com/office/drawing/2014/main" id="{0C1B7CC0-6A07-4392-AA3C-F85090D193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3" name="Elipse 8322">
          <a:extLst>
            <a:ext uri="{FF2B5EF4-FFF2-40B4-BE49-F238E27FC236}">
              <a16:creationId xmlns:a16="http://schemas.microsoft.com/office/drawing/2014/main" id="{0231DB46-F28D-43F4-81F0-1C493807D7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4" name="Elipse 8323">
          <a:extLst>
            <a:ext uri="{FF2B5EF4-FFF2-40B4-BE49-F238E27FC236}">
              <a16:creationId xmlns:a16="http://schemas.microsoft.com/office/drawing/2014/main" id="{2396E3C0-54D4-4C76-99E7-99B0A8B171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5" name="Elipse 8324">
          <a:extLst>
            <a:ext uri="{FF2B5EF4-FFF2-40B4-BE49-F238E27FC236}">
              <a16:creationId xmlns:a16="http://schemas.microsoft.com/office/drawing/2014/main" id="{650C0BB8-5EBB-4A2E-8598-AC22D31AA6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6" name="Elipse 8325">
          <a:extLst>
            <a:ext uri="{FF2B5EF4-FFF2-40B4-BE49-F238E27FC236}">
              <a16:creationId xmlns:a16="http://schemas.microsoft.com/office/drawing/2014/main" id="{EBD0B0CC-71EC-4FCE-9179-059CDEFD93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7" name="Elipse 8326">
          <a:extLst>
            <a:ext uri="{FF2B5EF4-FFF2-40B4-BE49-F238E27FC236}">
              <a16:creationId xmlns:a16="http://schemas.microsoft.com/office/drawing/2014/main" id="{AF259968-5AC6-4B58-BFAD-C868513635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8" name="Elipse 8327">
          <a:extLst>
            <a:ext uri="{FF2B5EF4-FFF2-40B4-BE49-F238E27FC236}">
              <a16:creationId xmlns:a16="http://schemas.microsoft.com/office/drawing/2014/main" id="{7826F2F3-FED4-431D-9EB6-8C70B96FEF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29" name="Elipse 8328">
          <a:extLst>
            <a:ext uri="{FF2B5EF4-FFF2-40B4-BE49-F238E27FC236}">
              <a16:creationId xmlns:a16="http://schemas.microsoft.com/office/drawing/2014/main" id="{3C30E730-9E70-4AF4-A6F2-E6FF51CBC1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0" name="Elipse 8329">
          <a:extLst>
            <a:ext uri="{FF2B5EF4-FFF2-40B4-BE49-F238E27FC236}">
              <a16:creationId xmlns:a16="http://schemas.microsoft.com/office/drawing/2014/main" id="{0982699B-05BB-4E80-BC98-314D19E95A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1" name="Elipse 8330">
          <a:extLst>
            <a:ext uri="{FF2B5EF4-FFF2-40B4-BE49-F238E27FC236}">
              <a16:creationId xmlns:a16="http://schemas.microsoft.com/office/drawing/2014/main" id="{60AECF96-21BF-4F25-B670-A73DC866B4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2" name="Elipse 8331">
          <a:extLst>
            <a:ext uri="{FF2B5EF4-FFF2-40B4-BE49-F238E27FC236}">
              <a16:creationId xmlns:a16="http://schemas.microsoft.com/office/drawing/2014/main" id="{0296A762-5DA1-4409-B577-B957F0439B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3" name="Elipse 8332">
          <a:extLst>
            <a:ext uri="{FF2B5EF4-FFF2-40B4-BE49-F238E27FC236}">
              <a16:creationId xmlns:a16="http://schemas.microsoft.com/office/drawing/2014/main" id="{55353FDD-9404-4C9F-86AB-2B23F64012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4" name="Elipse 8333">
          <a:extLst>
            <a:ext uri="{FF2B5EF4-FFF2-40B4-BE49-F238E27FC236}">
              <a16:creationId xmlns:a16="http://schemas.microsoft.com/office/drawing/2014/main" id="{BBD58B6D-08A3-402D-A0AE-2FAA65E9F4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5" name="Elipse 8334">
          <a:extLst>
            <a:ext uri="{FF2B5EF4-FFF2-40B4-BE49-F238E27FC236}">
              <a16:creationId xmlns:a16="http://schemas.microsoft.com/office/drawing/2014/main" id="{42100B6C-C3C7-49E0-8E4B-E4B918E573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6" name="Elipse 8335">
          <a:extLst>
            <a:ext uri="{FF2B5EF4-FFF2-40B4-BE49-F238E27FC236}">
              <a16:creationId xmlns:a16="http://schemas.microsoft.com/office/drawing/2014/main" id="{2D630758-6EE0-4841-9B87-A831929675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7" name="Elipse 8336">
          <a:extLst>
            <a:ext uri="{FF2B5EF4-FFF2-40B4-BE49-F238E27FC236}">
              <a16:creationId xmlns:a16="http://schemas.microsoft.com/office/drawing/2014/main" id="{C31C8F3A-3A2E-4D4C-A820-325924E53C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8" name="Elipse 8337">
          <a:extLst>
            <a:ext uri="{FF2B5EF4-FFF2-40B4-BE49-F238E27FC236}">
              <a16:creationId xmlns:a16="http://schemas.microsoft.com/office/drawing/2014/main" id="{82910CD9-029A-42F3-AE69-6CE50CC886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39" name="Elipse 8338">
          <a:extLst>
            <a:ext uri="{FF2B5EF4-FFF2-40B4-BE49-F238E27FC236}">
              <a16:creationId xmlns:a16="http://schemas.microsoft.com/office/drawing/2014/main" id="{5516B346-6C8B-4D25-B305-66BF8A577F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0" name="Elipse 8339">
          <a:extLst>
            <a:ext uri="{FF2B5EF4-FFF2-40B4-BE49-F238E27FC236}">
              <a16:creationId xmlns:a16="http://schemas.microsoft.com/office/drawing/2014/main" id="{A4EBCD6A-758C-4B9E-9A6B-8E3AC1C1C2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1" name="Elipse 8340">
          <a:extLst>
            <a:ext uri="{FF2B5EF4-FFF2-40B4-BE49-F238E27FC236}">
              <a16:creationId xmlns:a16="http://schemas.microsoft.com/office/drawing/2014/main" id="{665AA475-F12E-4952-8967-CD6DF842A9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2" name="Elipse 8341">
          <a:extLst>
            <a:ext uri="{FF2B5EF4-FFF2-40B4-BE49-F238E27FC236}">
              <a16:creationId xmlns:a16="http://schemas.microsoft.com/office/drawing/2014/main" id="{2E66E128-5FCB-461A-8FE9-BC80CC0E03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3" name="Elipse 8342">
          <a:extLst>
            <a:ext uri="{FF2B5EF4-FFF2-40B4-BE49-F238E27FC236}">
              <a16:creationId xmlns:a16="http://schemas.microsoft.com/office/drawing/2014/main" id="{22640FF2-E696-4360-8BC6-B7119703A5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4" name="Elipse 8343">
          <a:extLst>
            <a:ext uri="{FF2B5EF4-FFF2-40B4-BE49-F238E27FC236}">
              <a16:creationId xmlns:a16="http://schemas.microsoft.com/office/drawing/2014/main" id="{41DA1216-1EED-4F4C-8AB0-377ED29842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5" name="Elipse 8344">
          <a:extLst>
            <a:ext uri="{FF2B5EF4-FFF2-40B4-BE49-F238E27FC236}">
              <a16:creationId xmlns:a16="http://schemas.microsoft.com/office/drawing/2014/main" id="{6FBD5A9D-082E-4571-93D6-C63B4C85B1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6" name="Elipse 8345">
          <a:extLst>
            <a:ext uri="{FF2B5EF4-FFF2-40B4-BE49-F238E27FC236}">
              <a16:creationId xmlns:a16="http://schemas.microsoft.com/office/drawing/2014/main" id="{864C738F-1810-4AA4-96CB-64B7891C5D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7" name="Elipse 8346">
          <a:extLst>
            <a:ext uri="{FF2B5EF4-FFF2-40B4-BE49-F238E27FC236}">
              <a16:creationId xmlns:a16="http://schemas.microsoft.com/office/drawing/2014/main" id="{5300E402-8096-4F66-B683-2F5120B36F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8" name="Elipse 8347">
          <a:extLst>
            <a:ext uri="{FF2B5EF4-FFF2-40B4-BE49-F238E27FC236}">
              <a16:creationId xmlns:a16="http://schemas.microsoft.com/office/drawing/2014/main" id="{CA6B827E-B545-40F1-964C-EC2E43A821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49" name="Elipse 8348">
          <a:extLst>
            <a:ext uri="{FF2B5EF4-FFF2-40B4-BE49-F238E27FC236}">
              <a16:creationId xmlns:a16="http://schemas.microsoft.com/office/drawing/2014/main" id="{1E71CD54-1CDB-48F1-86DC-E717297A51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0" name="Elipse 8349">
          <a:extLst>
            <a:ext uri="{FF2B5EF4-FFF2-40B4-BE49-F238E27FC236}">
              <a16:creationId xmlns:a16="http://schemas.microsoft.com/office/drawing/2014/main" id="{5932D600-5442-4511-9B5D-0C10516851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1" name="Elipse 8350">
          <a:extLst>
            <a:ext uri="{FF2B5EF4-FFF2-40B4-BE49-F238E27FC236}">
              <a16:creationId xmlns:a16="http://schemas.microsoft.com/office/drawing/2014/main" id="{06A1B582-F7FA-4C52-8559-2A6E755F00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2" name="Elipse 8351">
          <a:extLst>
            <a:ext uri="{FF2B5EF4-FFF2-40B4-BE49-F238E27FC236}">
              <a16:creationId xmlns:a16="http://schemas.microsoft.com/office/drawing/2014/main" id="{AE04D74A-2F29-42EC-8304-BDD32FE1A8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3" name="Elipse 8352">
          <a:extLst>
            <a:ext uri="{FF2B5EF4-FFF2-40B4-BE49-F238E27FC236}">
              <a16:creationId xmlns:a16="http://schemas.microsoft.com/office/drawing/2014/main" id="{D8A378EC-F140-4774-9B06-833C837A27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4" name="Elipse 8353">
          <a:extLst>
            <a:ext uri="{FF2B5EF4-FFF2-40B4-BE49-F238E27FC236}">
              <a16:creationId xmlns:a16="http://schemas.microsoft.com/office/drawing/2014/main" id="{D20C721E-B0B0-4816-9094-DB88E6AFAF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5" name="Elipse 8354">
          <a:extLst>
            <a:ext uri="{FF2B5EF4-FFF2-40B4-BE49-F238E27FC236}">
              <a16:creationId xmlns:a16="http://schemas.microsoft.com/office/drawing/2014/main" id="{4BDE3DEF-A8B7-4FF2-8780-9B0B029802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6" name="Elipse 8355">
          <a:extLst>
            <a:ext uri="{FF2B5EF4-FFF2-40B4-BE49-F238E27FC236}">
              <a16:creationId xmlns:a16="http://schemas.microsoft.com/office/drawing/2014/main" id="{D8280550-EF12-448E-88CC-1DC1865D3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7" name="Elipse 8356">
          <a:extLst>
            <a:ext uri="{FF2B5EF4-FFF2-40B4-BE49-F238E27FC236}">
              <a16:creationId xmlns:a16="http://schemas.microsoft.com/office/drawing/2014/main" id="{142E5BAA-B674-4CE2-9540-5EF065B522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8" name="Elipse 8357">
          <a:extLst>
            <a:ext uri="{FF2B5EF4-FFF2-40B4-BE49-F238E27FC236}">
              <a16:creationId xmlns:a16="http://schemas.microsoft.com/office/drawing/2014/main" id="{08E0CDFD-5DEF-482B-9CDF-0DA5A4F47F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59" name="Elipse 8358">
          <a:extLst>
            <a:ext uri="{FF2B5EF4-FFF2-40B4-BE49-F238E27FC236}">
              <a16:creationId xmlns:a16="http://schemas.microsoft.com/office/drawing/2014/main" id="{24C5F52B-B9B5-4495-9FCB-C6FB704888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0" name="Elipse 8359">
          <a:extLst>
            <a:ext uri="{FF2B5EF4-FFF2-40B4-BE49-F238E27FC236}">
              <a16:creationId xmlns:a16="http://schemas.microsoft.com/office/drawing/2014/main" id="{15232005-8B3C-44BD-90C7-656598C7B0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1" name="Elipse 8360">
          <a:extLst>
            <a:ext uri="{FF2B5EF4-FFF2-40B4-BE49-F238E27FC236}">
              <a16:creationId xmlns:a16="http://schemas.microsoft.com/office/drawing/2014/main" id="{4C46CC03-F4AE-484A-A6AE-72933318C4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2" name="Elipse 8361">
          <a:extLst>
            <a:ext uri="{FF2B5EF4-FFF2-40B4-BE49-F238E27FC236}">
              <a16:creationId xmlns:a16="http://schemas.microsoft.com/office/drawing/2014/main" id="{1DE6BBB0-D148-4CE1-AA2F-BD5064375F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3" name="Elipse 8362">
          <a:extLst>
            <a:ext uri="{FF2B5EF4-FFF2-40B4-BE49-F238E27FC236}">
              <a16:creationId xmlns:a16="http://schemas.microsoft.com/office/drawing/2014/main" id="{C2AF336A-68AF-4154-A04E-EF7C2F0CA8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4" name="Elipse 8363">
          <a:extLst>
            <a:ext uri="{FF2B5EF4-FFF2-40B4-BE49-F238E27FC236}">
              <a16:creationId xmlns:a16="http://schemas.microsoft.com/office/drawing/2014/main" id="{5695E294-5805-4C89-A9F4-06D227B0D9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5" name="Elipse 8364">
          <a:extLst>
            <a:ext uri="{FF2B5EF4-FFF2-40B4-BE49-F238E27FC236}">
              <a16:creationId xmlns:a16="http://schemas.microsoft.com/office/drawing/2014/main" id="{D96E843D-BA3B-452A-9926-C1DB853B1B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6" name="Elipse 8365">
          <a:extLst>
            <a:ext uri="{FF2B5EF4-FFF2-40B4-BE49-F238E27FC236}">
              <a16:creationId xmlns:a16="http://schemas.microsoft.com/office/drawing/2014/main" id="{CBAA8CC0-447C-4DC3-97A5-E8D23E17A3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7" name="Elipse 8366">
          <a:extLst>
            <a:ext uri="{FF2B5EF4-FFF2-40B4-BE49-F238E27FC236}">
              <a16:creationId xmlns:a16="http://schemas.microsoft.com/office/drawing/2014/main" id="{A4C3144E-22C0-4F50-A991-E766373FB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8" name="Elipse 8367">
          <a:extLst>
            <a:ext uri="{FF2B5EF4-FFF2-40B4-BE49-F238E27FC236}">
              <a16:creationId xmlns:a16="http://schemas.microsoft.com/office/drawing/2014/main" id="{4AC978A1-F12B-4F85-8F3D-53243B2063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69" name="Elipse 8368">
          <a:extLst>
            <a:ext uri="{FF2B5EF4-FFF2-40B4-BE49-F238E27FC236}">
              <a16:creationId xmlns:a16="http://schemas.microsoft.com/office/drawing/2014/main" id="{71CBA538-D89F-40E2-BC1C-46973DC8BF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0" name="Elipse 8369">
          <a:extLst>
            <a:ext uri="{FF2B5EF4-FFF2-40B4-BE49-F238E27FC236}">
              <a16:creationId xmlns:a16="http://schemas.microsoft.com/office/drawing/2014/main" id="{3C677478-4F1D-4E34-8107-2A84BBD8DB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1" name="Elipse 8370">
          <a:extLst>
            <a:ext uri="{FF2B5EF4-FFF2-40B4-BE49-F238E27FC236}">
              <a16:creationId xmlns:a16="http://schemas.microsoft.com/office/drawing/2014/main" id="{3EA08899-C0B9-4012-9CA4-43A978A649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2" name="Elipse 8371">
          <a:extLst>
            <a:ext uri="{FF2B5EF4-FFF2-40B4-BE49-F238E27FC236}">
              <a16:creationId xmlns:a16="http://schemas.microsoft.com/office/drawing/2014/main" id="{1B28E44F-2099-4123-A5D3-464AEC03B2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3" name="Elipse 8372">
          <a:extLst>
            <a:ext uri="{FF2B5EF4-FFF2-40B4-BE49-F238E27FC236}">
              <a16:creationId xmlns:a16="http://schemas.microsoft.com/office/drawing/2014/main" id="{A445937E-907F-4DB8-A79E-0FFE6D88EE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4" name="Elipse 8373">
          <a:extLst>
            <a:ext uri="{FF2B5EF4-FFF2-40B4-BE49-F238E27FC236}">
              <a16:creationId xmlns:a16="http://schemas.microsoft.com/office/drawing/2014/main" id="{D198D32A-D3E0-4B1C-AF60-332AA3EDDC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5" name="Elipse 8374">
          <a:extLst>
            <a:ext uri="{FF2B5EF4-FFF2-40B4-BE49-F238E27FC236}">
              <a16:creationId xmlns:a16="http://schemas.microsoft.com/office/drawing/2014/main" id="{499BC019-6293-4724-BA75-BA32EBA3C8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6" name="Elipse 8375">
          <a:extLst>
            <a:ext uri="{FF2B5EF4-FFF2-40B4-BE49-F238E27FC236}">
              <a16:creationId xmlns:a16="http://schemas.microsoft.com/office/drawing/2014/main" id="{FE05E4CD-BB2D-4EC4-AADD-40E5BBB7F2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7" name="Elipse 8376">
          <a:extLst>
            <a:ext uri="{FF2B5EF4-FFF2-40B4-BE49-F238E27FC236}">
              <a16:creationId xmlns:a16="http://schemas.microsoft.com/office/drawing/2014/main" id="{61BAE086-26FF-472F-B96F-D6B056F8AD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8" name="Elipse 8377">
          <a:extLst>
            <a:ext uri="{FF2B5EF4-FFF2-40B4-BE49-F238E27FC236}">
              <a16:creationId xmlns:a16="http://schemas.microsoft.com/office/drawing/2014/main" id="{19396936-1787-4BEB-BEE1-0A629ADF77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79" name="Elipse 8378">
          <a:extLst>
            <a:ext uri="{FF2B5EF4-FFF2-40B4-BE49-F238E27FC236}">
              <a16:creationId xmlns:a16="http://schemas.microsoft.com/office/drawing/2014/main" id="{ACF90C28-0A6D-4DD9-91A1-67FB6E9C9F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0" name="Elipse 8379">
          <a:extLst>
            <a:ext uri="{FF2B5EF4-FFF2-40B4-BE49-F238E27FC236}">
              <a16:creationId xmlns:a16="http://schemas.microsoft.com/office/drawing/2014/main" id="{F6D10AD8-053D-42F7-A9C7-0FA62A9915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1" name="Elipse 8380">
          <a:extLst>
            <a:ext uri="{FF2B5EF4-FFF2-40B4-BE49-F238E27FC236}">
              <a16:creationId xmlns:a16="http://schemas.microsoft.com/office/drawing/2014/main" id="{52883311-A4AE-407B-B024-6BC66B2639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2" name="Elipse 8381">
          <a:extLst>
            <a:ext uri="{FF2B5EF4-FFF2-40B4-BE49-F238E27FC236}">
              <a16:creationId xmlns:a16="http://schemas.microsoft.com/office/drawing/2014/main" id="{DA765165-4CBD-4339-845D-C0E5ADF73A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3" name="Elipse 8382">
          <a:extLst>
            <a:ext uri="{FF2B5EF4-FFF2-40B4-BE49-F238E27FC236}">
              <a16:creationId xmlns:a16="http://schemas.microsoft.com/office/drawing/2014/main" id="{372BEA39-5E3C-44F7-8346-D7B7C9FDAE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4" name="Elipse 8383">
          <a:extLst>
            <a:ext uri="{FF2B5EF4-FFF2-40B4-BE49-F238E27FC236}">
              <a16:creationId xmlns:a16="http://schemas.microsoft.com/office/drawing/2014/main" id="{493F7E91-2473-4594-A452-7E987E3462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5" name="Elipse 8384">
          <a:extLst>
            <a:ext uri="{FF2B5EF4-FFF2-40B4-BE49-F238E27FC236}">
              <a16:creationId xmlns:a16="http://schemas.microsoft.com/office/drawing/2014/main" id="{BB48EB47-48FA-42E1-9DFB-D9343AB7F3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6" name="Elipse 8385">
          <a:extLst>
            <a:ext uri="{FF2B5EF4-FFF2-40B4-BE49-F238E27FC236}">
              <a16:creationId xmlns:a16="http://schemas.microsoft.com/office/drawing/2014/main" id="{C9899F1E-5774-413C-B9F6-B02FD06305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7" name="Elipse 8386">
          <a:extLst>
            <a:ext uri="{FF2B5EF4-FFF2-40B4-BE49-F238E27FC236}">
              <a16:creationId xmlns:a16="http://schemas.microsoft.com/office/drawing/2014/main" id="{AD6BAECC-3841-4B19-8425-D77C9EB4EB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8" name="Elipse 8387">
          <a:extLst>
            <a:ext uri="{FF2B5EF4-FFF2-40B4-BE49-F238E27FC236}">
              <a16:creationId xmlns:a16="http://schemas.microsoft.com/office/drawing/2014/main" id="{D9AB600C-C45E-4AE3-B437-11A657E532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89" name="Elipse 8388">
          <a:extLst>
            <a:ext uri="{FF2B5EF4-FFF2-40B4-BE49-F238E27FC236}">
              <a16:creationId xmlns:a16="http://schemas.microsoft.com/office/drawing/2014/main" id="{6EDC7C0C-4A16-4436-A237-76E514890D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0" name="Elipse 8389">
          <a:extLst>
            <a:ext uri="{FF2B5EF4-FFF2-40B4-BE49-F238E27FC236}">
              <a16:creationId xmlns:a16="http://schemas.microsoft.com/office/drawing/2014/main" id="{35AA3F24-2ACD-4390-A1BA-8CCC417A0B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1" name="Elipse 8390">
          <a:extLst>
            <a:ext uri="{FF2B5EF4-FFF2-40B4-BE49-F238E27FC236}">
              <a16:creationId xmlns:a16="http://schemas.microsoft.com/office/drawing/2014/main" id="{E7FC5933-B727-413E-B1FF-B419C38247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2" name="Elipse 8391">
          <a:extLst>
            <a:ext uri="{FF2B5EF4-FFF2-40B4-BE49-F238E27FC236}">
              <a16:creationId xmlns:a16="http://schemas.microsoft.com/office/drawing/2014/main" id="{14438C55-0003-4B7B-A624-557C6D8391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3" name="Elipse 8392">
          <a:extLst>
            <a:ext uri="{FF2B5EF4-FFF2-40B4-BE49-F238E27FC236}">
              <a16:creationId xmlns:a16="http://schemas.microsoft.com/office/drawing/2014/main" id="{0CAB9BA5-35D0-4B3F-B9EE-8FE0986D36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4" name="Elipse 8393">
          <a:extLst>
            <a:ext uri="{FF2B5EF4-FFF2-40B4-BE49-F238E27FC236}">
              <a16:creationId xmlns:a16="http://schemas.microsoft.com/office/drawing/2014/main" id="{B2FC61A8-1D9E-40A9-A209-833C1CF9EC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5" name="Elipse 8394">
          <a:extLst>
            <a:ext uri="{FF2B5EF4-FFF2-40B4-BE49-F238E27FC236}">
              <a16:creationId xmlns:a16="http://schemas.microsoft.com/office/drawing/2014/main" id="{18537073-6F0D-4A03-8F96-E320CAD9A9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6" name="Elipse 8395">
          <a:extLst>
            <a:ext uri="{FF2B5EF4-FFF2-40B4-BE49-F238E27FC236}">
              <a16:creationId xmlns:a16="http://schemas.microsoft.com/office/drawing/2014/main" id="{8DEF9FD7-CF6A-4BBB-A93B-B260AA3746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7" name="Elipse 8396">
          <a:extLst>
            <a:ext uri="{FF2B5EF4-FFF2-40B4-BE49-F238E27FC236}">
              <a16:creationId xmlns:a16="http://schemas.microsoft.com/office/drawing/2014/main" id="{3248989A-5F9A-4F7D-BDA7-548929D5A5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8" name="Elipse 8397">
          <a:extLst>
            <a:ext uri="{FF2B5EF4-FFF2-40B4-BE49-F238E27FC236}">
              <a16:creationId xmlns:a16="http://schemas.microsoft.com/office/drawing/2014/main" id="{2375DE8F-1462-4881-B6A7-0BC62E0B53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399" name="Elipse 8398">
          <a:extLst>
            <a:ext uri="{FF2B5EF4-FFF2-40B4-BE49-F238E27FC236}">
              <a16:creationId xmlns:a16="http://schemas.microsoft.com/office/drawing/2014/main" id="{4D4136AB-E6CF-4FF3-B264-68BAF2A1D4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0" name="Elipse 8399">
          <a:extLst>
            <a:ext uri="{FF2B5EF4-FFF2-40B4-BE49-F238E27FC236}">
              <a16:creationId xmlns:a16="http://schemas.microsoft.com/office/drawing/2014/main" id="{BBE56A3E-352B-4C76-89B7-156415A56C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1" name="Elipse 8400">
          <a:extLst>
            <a:ext uri="{FF2B5EF4-FFF2-40B4-BE49-F238E27FC236}">
              <a16:creationId xmlns:a16="http://schemas.microsoft.com/office/drawing/2014/main" id="{B9E7CCFC-830E-48AF-812E-3CE4AF26C8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2" name="Elipse 8401">
          <a:extLst>
            <a:ext uri="{FF2B5EF4-FFF2-40B4-BE49-F238E27FC236}">
              <a16:creationId xmlns:a16="http://schemas.microsoft.com/office/drawing/2014/main" id="{CEAFD5D5-90FE-4602-A221-FC678D1BBB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3" name="Elipse 8402">
          <a:extLst>
            <a:ext uri="{FF2B5EF4-FFF2-40B4-BE49-F238E27FC236}">
              <a16:creationId xmlns:a16="http://schemas.microsoft.com/office/drawing/2014/main" id="{BA74DA49-3989-4236-8B64-2DFEC40F8F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4" name="Elipse 8403">
          <a:extLst>
            <a:ext uri="{FF2B5EF4-FFF2-40B4-BE49-F238E27FC236}">
              <a16:creationId xmlns:a16="http://schemas.microsoft.com/office/drawing/2014/main" id="{CDCBF63C-38DE-4092-AD70-FC79F39E69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5" name="Elipse 8404">
          <a:extLst>
            <a:ext uri="{FF2B5EF4-FFF2-40B4-BE49-F238E27FC236}">
              <a16:creationId xmlns:a16="http://schemas.microsoft.com/office/drawing/2014/main" id="{6B06D118-3F48-4BCD-9A89-A7E177CED1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6" name="Elipse 8405">
          <a:extLst>
            <a:ext uri="{FF2B5EF4-FFF2-40B4-BE49-F238E27FC236}">
              <a16:creationId xmlns:a16="http://schemas.microsoft.com/office/drawing/2014/main" id="{3204C0E0-9C19-40D4-82A8-21EC988117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7" name="Elipse 8406">
          <a:extLst>
            <a:ext uri="{FF2B5EF4-FFF2-40B4-BE49-F238E27FC236}">
              <a16:creationId xmlns:a16="http://schemas.microsoft.com/office/drawing/2014/main" id="{2A6B32D2-5AC4-4B60-8D28-DADB623BA2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8" name="Elipse 8407">
          <a:extLst>
            <a:ext uri="{FF2B5EF4-FFF2-40B4-BE49-F238E27FC236}">
              <a16:creationId xmlns:a16="http://schemas.microsoft.com/office/drawing/2014/main" id="{D828A4F1-CFDF-4960-9369-C16E47CF79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09" name="Elipse 8408">
          <a:extLst>
            <a:ext uri="{FF2B5EF4-FFF2-40B4-BE49-F238E27FC236}">
              <a16:creationId xmlns:a16="http://schemas.microsoft.com/office/drawing/2014/main" id="{B3BF3DFA-4A14-4BD0-B7F9-A06D4A1A53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0" name="Elipse 8409">
          <a:extLst>
            <a:ext uri="{FF2B5EF4-FFF2-40B4-BE49-F238E27FC236}">
              <a16:creationId xmlns:a16="http://schemas.microsoft.com/office/drawing/2014/main" id="{BB5BE533-C2FB-4474-9F72-3FD199C98A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1" name="Elipse 8410">
          <a:extLst>
            <a:ext uri="{FF2B5EF4-FFF2-40B4-BE49-F238E27FC236}">
              <a16:creationId xmlns:a16="http://schemas.microsoft.com/office/drawing/2014/main" id="{861789EF-6E1E-448F-8F22-F4A9B9E4A2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2" name="Elipse 8411">
          <a:extLst>
            <a:ext uri="{FF2B5EF4-FFF2-40B4-BE49-F238E27FC236}">
              <a16:creationId xmlns:a16="http://schemas.microsoft.com/office/drawing/2014/main" id="{49A29AB6-BFA1-47A9-AE38-F553773DBA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3" name="Elipse 8412">
          <a:extLst>
            <a:ext uri="{FF2B5EF4-FFF2-40B4-BE49-F238E27FC236}">
              <a16:creationId xmlns:a16="http://schemas.microsoft.com/office/drawing/2014/main" id="{A9D9BA1B-9343-4A62-A032-CC355C4240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4" name="Elipse 8413">
          <a:extLst>
            <a:ext uri="{FF2B5EF4-FFF2-40B4-BE49-F238E27FC236}">
              <a16:creationId xmlns:a16="http://schemas.microsoft.com/office/drawing/2014/main" id="{1D1B7830-66E6-46E2-889F-FB8FC4D455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5" name="Elipse 8414">
          <a:extLst>
            <a:ext uri="{FF2B5EF4-FFF2-40B4-BE49-F238E27FC236}">
              <a16:creationId xmlns:a16="http://schemas.microsoft.com/office/drawing/2014/main" id="{C9276235-04DA-47B9-918C-691DD69AC2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6" name="Elipse 8415">
          <a:extLst>
            <a:ext uri="{FF2B5EF4-FFF2-40B4-BE49-F238E27FC236}">
              <a16:creationId xmlns:a16="http://schemas.microsoft.com/office/drawing/2014/main" id="{CA90414D-D121-44A7-956C-E970B7844B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7" name="Elipse 8416">
          <a:extLst>
            <a:ext uri="{FF2B5EF4-FFF2-40B4-BE49-F238E27FC236}">
              <a16:creationId xmlns:a16="http://schemas.microsoft.com/office/drawing/2014/main" id="{C420188F-F684-4673-84CD-725FA2A930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8" name="Elipse 8417">
          <a:extLst>
            <a:ext uri="{FF2B5EF4-FFF2-40B4-BE49-F238E27FC236}">
              <a16:creationId xmlns:a16="http://schemas.microsoft.com/office/drawing/2014/main" id="{35A87A3F-C73C-48DF-B81A-77CBCE706E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19" name="Elipse 8418">
          <a:extLst>
            <a:ext uri="{FF2B5EF4-FFF2-40B4-BE49-F238E27FC236}">
              <a16:creationId xmlns:a16="http://schemas.microsoft.com/office/drawing/2014/main" id="{058228BD-BA81-42D5-AB50-CB839FF04F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0" name="Elipse 8419">
          <a:extLst>
            <a:ext uri="{FF2B5EF4-FFF2-40B4-BE49-F238E27FC236}">
              <a16:creationId xmlns:a16="http://schemas.microsoft.com/office/drawing/2014/main" id="{58E69CFC-7B8D-4B9D-85FA-C026B8CA19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1" name="Elipse 8420">
          <a:extLst>
            <a:ext uri="{FF2B5EF4-FFF2-40B4-BE49-F238E27FC236}">
              <a16:creationId xmlns:a16="http://schemas.microsoft.com/office/drawing/2014/main" id="{5DB594D8-FE22-40CA-BF25-C79C0A32B0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2" name="Elipse 8421">
          <a:extLst>
            <a:ext uri="{FF2B5EF4-FFF2-40B4-BE49-F238E27FC236}">
              <a16:creationId xmlns:a16="http://schemas.microsoft.com/office/drawing/2014/main" id="{B50569DE-8A95-4A94-8B23-D9D2454367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3" name="Elipse 8422">
          <a:extLst>
            <a:ext uri="{FF2B5EF4-FFF2-40B4-BE49-F238E27FC236}">
              <a16:creationId xmlns:a16="http://schemas.microsoft.com/office/drawing/2014/main" id="{58AF9826-5118-4D6C-AEF8-D6DF457B39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4" name="Elipse 8423">
          <a:extLst>
            <a:ext uri="{FF2B5EF4-FFF2-40B4-BE49-F238E27FC236}">
              <a16:creationId xmlns:a16="http://schemas.microsoft.com/office/drawing/2014/main" id="{5B47E507-8018-4ECE-B03F-1BF0E368C7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5" name="Elipse 8424">
          <a:extLst>
            <a:ext uri="{FF2B5EF4-FFF2-40B4-BE49-F238E27FC236}">
              <a16:creationId xmlns:a16="http://schemas.microsoft.com/office/drawing/2014/main" id="{AFCE8EEC-4699-4BCD-88B7-81107C0E44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6" name="Elipse 8425">
          <a:extLst>
            <a:ext uri="{FF2B5EF4-FFF2-40B4-BE49-F238E27FC236}">
              <a16:creationId xmlns:a16="http://schemas.microsoft.com/office/drawing/2014/main" id="{F356F215-76F9-4EA3-B64F-E750A9C94B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7" name="Elipse 8426">
          <a:extLst>
            <a:ext uri="{FF2B5EF4-FFF2-40B4-BE49-F238E27FC236}">
              <a16:creationId xmlns:a16="http://schemas.microsoft.com/office/drawing/2014/main" id="{7475E449-CB65-42EA-80BA-B8629ABF4F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8" name="Elipse 8427">
          <a:extLst>
            <a:ext uri="{FF2B5EF4-FFF2-40B4-BE49-F238E27FC236}">
              <a16:creationId xmlns:a16="http://schemas.microsoft.com/office/drawing/2014/main" id="{2D90A6C6-B54D-46DE-8405-4046EB8CAC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29" name="Elipse 8428">
          <a:extLst>
            <a:ext uri="{FF2B5EF4-FFF2-40B4-BE49-F238E27FC236}">
              <a16:creationId xmlns:a16="http://schemas.microsoft.com/office/drawing/2014/main" id="{A37803E5-A094-4CAC-8259-830178A378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0" name="Elipse 8429">
          <a:extLst>
            <a:ext uri="{FF2B5EF4-FFF2-40B4-BE49-F238E27FC236}">
              <a16:creationId xmlns:a16="http://schemas.microsoft.com/office/drawing/2014/main" id="{5524189A-843E-4636-8F3A-C87339DA9C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1" name="Elipse 8430">
          <a:extLst>
            <a:ext uri="{FF2B5EF4-FFF2-40B4-BE49-F238E27FC236}">
              <a16:creationId xmlns:a16="http://schemas.microsoft.com/office/drawing/2014/main" id="{07A420C6-4051-4EDA-AC61-2A6DD02AF8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2" name="Elipse 8431">
          <a:extLst>
            <a:ext uri="{FF2B5EF4-FFF2-40B4-BE49-F238E27FC236}">
              <a16:creationId xmlns:a16="http://schemas.microsoft.com/office/drawing/2014/main" id="{D1DDE71E-1E21-4065-A818-B68FA7DC5D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3" name="Elipse 8432">
          <a:extLst>
            <a:ext uri="{FF2B5EF4-FFF2-40B4-BE49-F238E27FC236}">
              <a16:creationId xmlns:a16="http://schemas.microsoft.com/office/drawing/2014/main" id="{977B5BB1-4844-4518-A0DB-2EB27B9318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4" name="Elipse 8433">
          <a:extLst>
            <a:ext uri="{FF2B5EF4-FFF2-40B4-BE49-F238E27FC236}">
              <a16:creationId xmlns:a16="http://schemas.microsoft.com/office/drawing/2014/main" id="{476760CA-2BAD-400C-B38B-12F9887540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5" name="Elipse 8434">
          <a:extLst>
            <a:ext uri="{FF2B5EF4-FFF2-40B4-BE49-F238E27FC236}">
              <a16:creationId xmlns:a16="http://schemas.microsoft.com/office/drawing/2014/main" id="{FBAF5FF6-DE12-4798-9777-0B53D9EC05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6" name="Elipse 8435">
          <a:extLst>
            <a:ext uri="{FF2B5EF4-FFF2-40B4-BE49-F238E27FC236}">
              <a16:creationId xmlns:a16="http://schemas.microsoft.com/office/drawing/2014/main" id="{D2E5A852-028C-426F-BBA4-E657511283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7" name="Elipse 8436">
          <a:extLst>
            <a:ext uri="{FF2B5EF4-FFF2-40B4-BE49-F238E27FC236}">
              <a16:creationId xmlns:a16="http://schemas.microsoft.com/office/drawing/2014/main" id="{2E98B4D4-06DB-4DBE-8E01-D97FC4E7F9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8" name="Elipse 8437">
          <a:extLst>
            <a:ext uri="{FF2B5EF4-FFF2-40B4-BE49-F238E27FC236}">
              <a16:creationId xmlns:a16="http://schemas.microsoft.com/office/drawing/2014/main" id="{E749AD3B-E0D8-4C7F-9CDA-F88CEC6D3E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39" name="Elipse 8438">
          <a:extLst>
            <a:ext uri="{FF2B5EF4-FFF2-40B4-BE49-F238E27FC236}">
              <a16:creationId xmlns:a16="http://schemas.microsoft.com/office/drawing/2014/main" id="{D41E576A-31A0-401A-AD5F-D4BF450F1A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0" name="Elipse 8439">
          <a:extLst>
            <a:ext uri="{FF2B5EF4-FFF2-40B4-BE49-F238E27FC236}">
              <a16:creationId xmlns:a16="http://schemas.microsoft.com/office/drawing/2014/main" id="{E98DD71A-9FD4-4511-BB8A-9AC5E85F83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1" name="Elipse 8440">
          <a:extLst>
            <a:ext uri="{FF2B5EF4-FFF2-40B4-BE49-F238E27FC236}">
              <a16:creationId xmlns:a16="http://schemas.microsoft.com/office/drawing/2014/main" id="{B99CA1DA-2980-4AE3-B3F5-F577B4FA5A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2" name="Elipse 8441">
          <a:extLst>
            <a:ext uri="{FF2B5EF4-FFF2-40B4-BE49-F238E27FC236}">
              <a16:creationId xmlns:a16="http://schemas.microsoft.com/office/drawing/2014/main" id="{D6DF4980-0ABE-43C9-98CC-F29F0F6600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3" name="Elipse 8442">
          <a:extLst>
            <a:ext uri="{FF2B5EF4-FFF2-40B4-BE49-F238E27FC236}">
              <a16:creationId xmlns:a16="http://schemas.microsoft.com/office/drawing/2014/main" id="{A891CAFD-AF1B-4371-A93D-AEAB406A3C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4" name="Elipse 8443">
          <a:extLst>
            <a:ext uri="{FF2B5EF4-FFF2-40B4-BE49-F238E27FC236}">
              <a16:creationId xmlns:a16="http://schemas.microsoft.com/office/drawing/2014/main" id="{CCA24C72-6AFE-4376-B12F-C567952AE7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5" name="Elipse 8444">
          <a:extLst>
            <a:ext uri="{FF2B5EF4-FFF2-40B4-BE49-F238E27FC236}">
              <a16:creationId xmlns:a16="http://schemas.microsoft.com/office/drawing/2014/main" id="{8A450744-9C85-4FAE-B2BD-025C482555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6" name="Elipse 8445">
          <a:extLst>
            <a:ext uri="{FF2B5EF4-FFF2-40B4-BE49-F238E27FC236}">
              <a16:creationId xmlns:a16="http://schemas.microsoft.com/office/drawing/2014/main" id="{F2E639AC-DEA3-45D3-82E3-2AEBDB9144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7" name="Elipse 8446">
          <a:extLst>
            <a:ext uri="{FF2B5EF4-FFF2-40B4-BE49-F238E27FC236}">
              <a16:creationId xmlns:a16="http://schemas.microsoft.com/office/drawing/2014/main" id="{EE08E6BD-4FD2-4471-8459-213975A4A0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8" name="Elipse 8447">
          <a:extLst>
            <a:ext uri="{FF2B5EF4-FFF2-40B4-BE49-F238E27FC236}">
              <a16:creationId xmlns:a16="http://schemas.microsoft.com/office/drawing/2014/main" id="{A3A2852E-67BA-4859-9DBE-4800B21FF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49" name="Elipse 8448">
          <a:extLst>
            <a:ext uri="{FF2B5EF4-FFF2-40B4-BE49-F238E27FC236}">
              <a16:creationId xmlns:a16="http://schemas.microsoft.com/office/drawing/2014/main" id="{C4C14CCF-8CF0-4B5C-8001-CD63EDEA98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0" name="Elipse 8449">
          <a:extLst>
            <a:ext uri="{FF2B5EF4-FFF2-40B4-BE49-F238E27FC236}">
              <a16:creationId xmlns:a16="http://schemas.microsoft.com/office/drawing/2014/main" id="{A62764E5-80B1-4BA5-9350-9055442049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1" name="Elipse 8450">
          <a:extLst>
            <a:ext uri="{FF2B5EF4-FFF2-40B4-BE49-F238E27FC236}">
              <a16:creationId xmlns:a16="http://schemas.microsoft.com/office/drawing/2014/main" id="{A309B1E6-16F4-4035-985C-CA672C4B5E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2" name="Elipse 8451">
          <a:extLst>
            <a:ext uri="{FF2B5EF4-FFF2-40B4-BE49-F238E27FC236}">
              <a16:creationId xmlns:a16="http://schemas.microsoft.com/office/drawing/2014/main" id="{DB4FA7BB-3CEB-4D8D-89E7-5F3B674F4D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3" name="Elipse 8452">
          <a:extLst>
            <a:ext uri="{FF2B5EF4-FFF2-40B4-BE49-F238E27FC236}">
              <a16:creationId xmlns:a16="http://schemas.microsoft.com/office/drawing/2014/main" id="{A7F39FB8-40E9-44D3-82B3-485B8F70E1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4" name="Elipse 8453">
          <a:extLst>
            <a:ext uri="{FF2B5EF4-FFF2-40B4-BE49-F238E27FC236}">
              <a16:creationId xmlns:a16="http://schemas.microsoft.com/office/drawing/2014/main" id="{D8F3B0E4-4E1D-4F03-B5D9-237E7150EE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5" name="Elipse 8454">
          <a:extLst>
            <a:ext uri="{FF2B5EF4-FFF2-40B4-BE49-F238E27FC236}">
              <a16:creationId xmlns:a16="http://schemas.microsoft.com/office/drawing/2014/main" id="{0464946F-57B1-4ED7-9275-352B29FECE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6" name="Elipse 8455">
          <a:extLst>
            <a:ext uri="{FF2B5EF4-FFF2-40B4-BE49-F238E27FC236}">
              <a16:creationId xmlns:a16="http://schemas.microsoft.com/office/drawing/2014/main" id="{9BAF36F0-4EF7-4FC4-8533-924D59A83D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7" name="Elipse 8456">
          <a:extLst>
            <a:ext uri="{FF2B5EF4-FFF2-40B4-BE49-F238E27FC236}">
              <a16:creationId xmlns:a16="http://schemas.microsoft.com/office/drawing/2014/main" id="{169B0908-657A-4BBB-8E6B-C552102BE0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8" name="Elipse 8457">
          <a:extLst>
            <a:ext uri="{FF2B5EF4-FFF2-40B4-BE49-F238E27FC236}">
              <a16:creationId xmlns:a16="http://schemas.microsoft.com/office/drawing/2014/main" id="{0DF618D0-0854-4BE2-913C-191B8250E1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59" name="Elipse 8458">
          <a:extLst>
            <a:ext uri="{FF2B5EF4-FFF2-40B4-BE49-F238E27FC236}">
              <a16:creationId xmlns:a16="http://schemas.microsoft.com/office/drawing/2014/main" id="{6D512756-434C-4D27-B785-B8211859C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0" name="Elipse 8459">
          <a:extLst>
            <a:ext uri="{FF2B5EF4-FFF2-40B4-BE49-F238E27FC236}">
              <a16:creationId xmlns:a16="http://schemas.microsoft.com/office/drawing/2014/main" id="{99B37526-C179-439E-8235-2543BD6E41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1" name="Elipse 8460">
          <a:extLst>
            <a:ext uri="{FF2B5EF4-FFF2-40B4-BE49-F238E27FC236}">
              <a16:creationId xmlns:a16="http://schemas.microsoft.com/office/drawing/2014/main" id="{DEC8660A-0F07-441B-B560-6664691E9F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2" name="Elipse 8461">
          <a:extLst>
            <a:ext uri="{FF2B5EF4-FFF2-40B4-BE49-F238E27FC236}">
              <a16:creationId xmlns:a16="http://schemas.microsoft.com/office/drawing/2014/main" id="{DE5E2BF2-5893-4F68-AA28-04B0A11BB8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3" name="Elipse 8462">
          <a:extLst>
            <a:ext uri="{FF2B5EF4-FFF2-40B4-BE49-F238E27FC236}">
              <a16:creationId xmlns:a16="http://schemas.microsoft.com/office/drawing/2014/main" id="{ECBA8C7D-7C89-4439-A006-B186FBA07A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4" name="Elipse 8463">
          <a:extLst>
            <a:ext uri="{FF2B5EF4-FFF2-40B4-BE49-F238E27FC236}">
              <a16:creationId xmlns:a16="http://schemas.microsoft.com/office/drawing/2014/main" id="{6A980EB7-A6DE-4108-B4EE-A536163BF5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5" name="Elipse 8464">
          <a:extLst>
            <a:ext uri="{FF2B5EF4-FFF2-40B4-BE49-F238E27FC236}">
              <a16:creationId xmlns:a16="http://schemas.microsoft.com/office/drawing/2014/main" id="{B7162DE8-ACFA-45FC-B461-ECDE0EDC8C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6" name="Elipse 8465">
          <a:extLst>
            <a:ext uri="{FF2B5EF4-FFF2-40B4-BE49-F238E27FC236}">
              <a16:creationId xmlns:a16="http://schemas.microsoft.com/office/drawing/2014/main" id="{0649CA4F-F46F-48A8-8868-40DEBD1892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7" name="Elipse 8466">
          <a:extLst>
            <a:ext uri="{FF2B5EF4-FFF2-40B4-BE49-F238E27FC236}">
              <a16:creationId xmlns:a16="http://schemas.microsoft.com/office/drawing/2014/main" id="{BAED4219-16AB-43E4-9F53-373D78458F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8" name="Elipse 8467">
          <a:extLst>
            <a:ext uri="{FF2B5EF4-FFF2-40B4-BE49-F238E27FC236}">
              <a16:creationId xmlns:a16="http://schemas.microsoft.com/office/drawing/2014/main" id="{C22404D1-D21E-4AFF-B684-5E9984C9CC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69" name="Elipse 8468">
          <a:extLst>
            <a:ext uri="{FF2B5EF4-FFF2-40B4-BE49-F238E27FC236}">
              <a16:creationId xmlns:a16="http://schemas.microsoft.com/office/drawing/2014/main" id="{E7FC2358-8682-4E31-B781-E1E501562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0" name="Elipse 8469">
          <a:extLst>
            <a:ext uri="{FF2B5EF4-FFF2-40B4-BE49-F238E27FC236}">
              <a16:creationId xmlns:a16="http://schemas.microsoft.com/office/drawing/2014/main" id="{9488A598-0C81-4412-935C-9212B2A953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1" name="Elipse 8470">
          <a:extLst>
            <a:ext uri="{FF2B5EF4-FFF2-40B4-BE49-F238E27FC236}">
              <a16:creationId xmlns:a16="http://schemas.microsoft.com/office/drawing/2014/main" id="{5D45CA63-BAAD-4044-9F58-0DC23BDA2A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2" name="Elipse 8471">
          <a:extLst>
            <a:ext uri="{FF2B5EF4-FFF2-40B4-BE49-F238E27FC236}">
              <a16:creationId xmlns:a16="http://schemas.microsoft.com/office/drawing/2014/main" id="{A3275600-6417-4A4D-9060-0B5675E62F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3" name="Elipse 8472">
          <a:extLst>
            <a:ext uri="{FF2B5EF4-FFF2-40B4-BE49-F238E27FC236}">
              <a16:creationId xmlns:a16="http://schemas.microsoft.com/office/drawing/2014/main" id="{46A4F42E-35A1-46C1-A5BE-E58BBB2764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4" name="Elipse 8473">
          <a:extLst>
            <a:ext uri="{FF2B5EF4-FFF2-40B4-BE49-F238E27FC236}">
              <a16:creationId xmlns:a16="http://schemas.microsoft.com/office/drawing/2014/main" id="{AA00405F-1E89-4966-BC07-A785F09FF0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5" name="Elipse 8474">
          <a:extLst>
            <a:ext uri="{FF2B5EF4-FFF2-40B4-BE49-F238E27FC236}">
              <a16:creationId xmlns:a16="http://schemas.microsoft.com/office/drawing/2014/main" id="{56C890A4-7594-4301-9FCA-ADB829D16B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6" name="Elipse 8475">
          <a:extLst>
            <a:ext uri="{FF2B5EF4-FFF2-40B4-BE49-F238E27FC236}">
              <a16:creationId xmlns:a16="http://schemas.microsoft.com/office/drawing/2014/main" id="{B9857000-B325-4B1E-AC2D-D5D091FE95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7" name="Elipse 8476">
          <a:extLst>
            <a:ext uri="{FF2B5EF4-FFF2-40B4-BE49-F238E27FC236}">
              <a16:creationId xmlns:a16="http://schemas.microsoft.com/office/drawing/2014/main" id="{10E5058A-5305-4261-BFD3-16DB2BD027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8" name="Elipse 8477">
          <a:extLst>
            <a:ext uri="{FF2B5EF4-FFF2-40B4-BE49-F238E27FC236}">
              <a16:creationId xmlns:a16="http://schemas.microsoft.com/office/drawing/2014/main" id="{EBCE1185-2A39-42D9-808D-F9E6E7671A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79" name="Elipse 8478">
          <a:extLst>
            <a:ext uri="{FF2B5EF4-FFF2-40B4-BE49-F238E27FC236}">
              <a16:creationId xmlns:a16="http://schemas.microsoft.com/office/drawing/2014/main" id="{7DC6CE12-01B1-454E-8F8F-41168C0F97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0" name="Elipse 8479">
          <a:extLst>
            <a:ext uri="{FF2B5EF4-FFF2-40B4-BE49-F238E27FC236}">
              <a16:creationId xmlns:a16="http://schemas.microsoft.com/office/drawing/2014/main" id="{D2ED833E-E54B-448E-9ADC-8583E32DC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1" name="Elipse 8480">
          <a:extLst>
            <a:ext uri="{FF2B5EF4-FFF2-40B4-BE49-F238E27FC236}">
              <a16:creationId xmlns:a16="http://schemas.microsoft.com/office/drawing/2014/main" id="{C2407D30-E4AF-42FB-A8E3-C27D5DFE67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2" name="Elipse 8481">
          <a:extLst>
            <a:ext uri="{FF2B5EF4-FFF2-40B4-BE49-F238E27FC236}">
              <a16:creationId xmlns:a16="http://schemas.microsoft.com/office/drawing/2014/main" id="{157D0DDF-5B0F-4296-A1EF-ABB5D239FF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3" name="Elipse 8482">
          <a:extLst>
            <a:ext uri="{FF2B5EF4-FFF2-40B4-BE49-F238E27FC236}">
              <a16:creationId xmlns:a16="http://schemas.microsoft.com/office/drawing/2014/main" id="{9E07FA46-3564-491E-B062-FCF950A633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4" name="Elipse 8483">
          <a:extLst>
            <a:ext uri="{FF2B5EF4-FFF2-40B4-BE49-F238E27FC236}">
              <a16:creationId xmlns:a16="http://schemas.microsoft.com/office/drawing/2014/main" id="{BEAA16F1-90B1-43F4-80DD-7F7AAC2F1A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5" name="Elipse 8484">
          <a:extLst>
            <a:ext uri="{FF2B5EF4-FFF2-40B4-BE49-F238E27FC236}">
              <a16:creationId xmlns:a16="http://schemas.microsoft.com/office/drawing/2014/main" id="{56D1D9AD-ED84-4B9D-B192-C6FE88631F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6" name="Elipse 8485">
          <a:extLst>
            <a:ext uri="{FF2B5EF4-FFF2-40B4-BE49-F238E27FC236}">
              <a16:creationId xmlns:a16="http://schemas.microsoft.com/office/drawing/2014/main" id="{096FE21D-E7FA-40C8-8277-D98430E33E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7" name="Elipse 8486">
          <a:extLst>
            <a:ext uri="{FF2B5EF4-FFF2-40B4-BE49-F238E27FC236}">
              <a16:creationId xmlns:a16="http://schemas.microsoft.com/office/drawing/2014/main" id="{CB219014-F3BB-4EBE-B653-F2ACF9659D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8" name="Elipse 8487">
          <a:extLst>
            <a:ext uri="{FF2B5EF4-FFF2-40B4-BE49-F238E27FC236}">
              <a16:creationId xmlns:a16="http://schemas.microsoft.com/office/drawing/2014/main" id="{8B969200-84B9-4DDC-B722-0E3A91246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89" name="Elipse 8488">
          <a:extLst>
            <a:ext uri="{FF2B5EF4-FFF2-40B4-BE49-F238E27FC236}">
              <a16:creationId xmlns:a16="http://schemas.microsoft.com/office/drawing/2014/main" id="{CC5BF8AC-F609-47BA-AB6A-894B3FE09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0" name="Elipse 8489">
          <a:extLst>
            <a:ext uri="{FF2B5EF4-FFF2-40B4-BE49-F238E27FC236}">
              <a16:creationId xmlns:a16="http://schemas.microsoft.com/office/drawing/2014/main" id="{71CA15BB-19EB-45F5-8660-AD23160160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1" name="Elipse 8490">
          <a:extLst>
            <a:ext uri="{FF2B5EF4-FFF2-40B4-BE49-F238E27FC236}">
              <a16:creationId xmlns:a16="http://schemas.microsoft.com/office/drawing/2014/main" id="{048B985F-C914-400A-BB76-05DB8D083F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2" name="Elipse 8491">
          <a:extLst>
            <a:ext uri="{FF2B5EF4-FFF2-40B4-BE49-F238E27FC236}">
              <a16:creationId xmlns:a16="http://schemas.microsoft.com/office/drawing/2014/main" id="{8C694F90-3F3C-44CF-92E3-2586A7EF87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3" name="Elipse 8492">
          <a:extLst>
            <a:ext uri="{FF2B5EF4-FFF2-40B4-BE49-F238E27FC236}">
              <a16:creationId xmlns:a16="http://schemas.microsoft.com/office/drawing/2014/main" id="{B9E1AB42-3FDE-4AC8-8FEF-21CF8639B3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4" name="Elipse 8493">
          <a:extLst>
            <a:ext uri="{FF2B5EF4-FFF2-40B4-BE49-F238E27FC236}">
              <a16:creationId xmlns:a16="http://schemas.microsoft.com/office/drawing/2014/main" id="{F812D94B-1D44-44B2-B7A8-C05E35BC52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5" name="Elipse 8494">
          <a:extLst>
            <a:ext uri="{FF2B5EF4-FFF2-40B4-BE49-F238E27FC236}">
              <a16:creationId xmlns:a16="http://schemas.microsoft.com/office/drawing/2014/main" id="{CCFF54B6-B848-4277-9290-924DC73FEE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6" name="Elipse 8495">
          <a:extLst>
            <a:ext uri="{FF2B5EF4-FFF2-40B4-BE49-F238E27FC236}">
              <a16:creationId xmlns:a16="http://schemas.microsoft.com/office/drawing/2014/main" id="{B60FAA7C-40DF-421B-A04B-5B689D20FF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7" name="Elipse 8496">
          <a:extLst>
            <a:ext uri="{FF2B5EF4-FFF2-40B4-BE49-F238E27FC236}">
              <a16:creationId xmlns:a16="http://schemas.microsoft.com/office/drawing/2014/main" id="{FBFDA080-6670-44F8-AEB4-6660D20AEB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8" name="Elipse 8497">
          <a:extLst>
            <a:ext uri="{FF2B5EF4-FFF2-40B4-BE49-F238E27FC236}">
              <a16:creationId xmlns:a16="http://schemas.microsoft.com/office/drawing/2014/main" id="{B6CB2482-92DE-4ED7-9C45-405752B37D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499" name="Elipse 8498">
          <a:extLst>
            <a:ext uri="{FF2B5EF4-FFF2-40B4-BE49-F238E27FC236}">
              <a16:creationId xmlns:a16="http://schemas.microsoft.com/office/drawing/2014/main" id="{47EC564C-2AB5-4AB1-8943-A2EADFC5D7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0" name="Elipse 8499">
          <a:extLst>
            <a:ext uri="{FF2B5EF4-FFF2-40B4-BE49-F238E27FC236}">
              <a16:creationId xmlns:a16="http://schemas.microsoft.com/office/drawing/2014/main" id="{E8103EA2-BC0B-45BF-9005-DDD1D1B700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1" name="Elipse 8500">
          <a:extLst>
            <a:ext uri="{FF2B5EF4-FFF2-40B4-BE49-F238E27FC236}">
              <a16:creationId xmlns:a16="http://schemas.microsoft.com/office/drawing/2014/main" id="{39E90B12-B8D2-4C0A-836C-3DAAC2CA13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2" name="Elipse 8501">
          <a:extLst>
            <a:ext uri="{FF2B5EF4-FFF2-40B4-BE49-F238E27FC236}">
              <a16:creationId xmlns:a16="http://schemas.microsoft.com/office/drawing/2014/main" id="{87C6BADC-5D44-4A52-9DB5-D8BF629A1E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3" name="Elipse 8502">
          <a:extLst>
            <a:ext uri="{FF2B5EF4-FFF2-40B4-BE49-F238E27FC236}">
              <a16:creationId xmlns:a16="http://schemas.microsoft.com/office/drawing/2014/main" id="{2AC9C3AD-4B56-4598-94E5-C904A285EC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4" name="Elipse 8503">
          <a:extLst>
            <a:ext uri="{FF2B5EF4-FFF2-40B4-BE49-F238E27FC236}">
              <a16:creationId xmlns:a16="http://schemas.microsoft.com/office/drawing/2014/main" id="{A319720D-4DD0-4923-8082-1BD798EDC4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5" name="Elipse 8504">
          <a:extLst>
            <a:ext uri="{FF2B5EF4-FFF2-40B4-BE49-F238E27FC236}">
              <a16:creationId xmlns:a16="http://schemas.microsoft.com/office/drawing/2014/main" id="{6DA1AF9F-6CEA-45AC-BB4A-53D097568B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6" name="Elipse 8505">
          <a:extLst>
            <a:ext uri="{FF2B5EF4-FFF2-40B4-BE49-F238E27FC236}">
              <a16:creationId xmlns:a16="http://schemas.microsoft.com/office/drawing/2014/main" id="{895B91F1-1516-41DB-A455-FDF3038FCC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7" name="Elipse 8506">
          <a:extLst>
            <a:ext uri="{FF2B5EF4-FFF2-40B4-BE49-F238E27FC236}">
              <a16:creationId xmlns:a16="http://schemas.microsoft.com/office/drawing/2014/main" id="{7312A510-BF96-4DA8-9D4F-B2C6106F38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8" name="Elipse 8507">
          <a:extLst>
            <a:ext uri="{FF2B5EF4-FFF2-40B4-BE49-F238E27FC236}">
              <a16:creationId xmlns:a16="http://schemas.microsoft.com/office/drawing/2014/main" id="{9574C71D-7062-449F-A5DC-859E7ABAC8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09" name="Elipse 8508">
          <a:extLst>
            <a:ext uri="{FF2B5EF4-FFF2-40B4-BE49-F238E27FC236}">
              <a16:creationId xmlns:a16="http://schemas.microsoft.com/office/drawing/2014/main" id="{550F1309-1C2E-4FC0-AA22-FB6507E2C9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0" name="Elipse 8509">
          <a:extLst>
            <a:ext uri="{FF2B5EF4-FFF2-40B4-BE49-F238E27FC236}">
              <a16:creationId xmlns:a16="http://schemas.microsoft.com/office/drawing/2014/main" id="{E7FC7776-020C-491A-8472-3512B7E46F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1" name="Elipse 8510">
          <a:extLst>
            <a:ext uri="{FF2B5EF4-FFF2-40B4-BE49-F238E27FC236}">
              <a16:creationId xmlns:a16="http://schemas.microsoft.com/office/drawing/2014/main" id="{16E1A81F-B4CF-4362-9F70-AD11AE1762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2" name="Elipse 8511">
          <a:extLst>
            <a:ext uri="{FF2B5EF4-FFF2-40B4-BE49-F238E27FC236}">
              <a16:creationId xmlns:a16="http://schemas.microsoft.com/office/drawing/2014/main" id="{0DF82E20-0B5B-4E69-BFBA-994F182607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3" name="Elipse 8512">
          <a:extLst>
            <a:ext uri="{FF2B5EF4-FFF2-40B4-BE49-F238E27FC236}">
              <a16:creationId xmlns:a16="http://schemas.microsoft.com/office/drawing/2014/main" id="{0B71790D-50FB-496B-868A-431B5D42B7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4" name="Elipse 8513">
          <a:extLst>
            <a:ext uri="{FF2B5EF4-FFF2-40B4-BE49-F238E27FC236}">
              <a16:creationId xmlns:a16="http://schemas.microsoft.com/office/drawing/2014/main" id="{995C1198-E475-4949-9310-B3EAA4862C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5" name="Elipse 8514">
          <a:extLst>
            <a:ext uri="{FF2B5EF4-FFF2-40B4-BE49-F238E27FC236}">
              <a16:creationId xmlns:a16="http://schemas.microsoft.com/office/drawing/2014/main" id="{981448CC-3A1D-4217-82F7-9940A1DBE8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6" name="Elipse 8515">
          <a:extLst>
            <a:ext uri="{FF2B5EF4-FFF2-40B4-BE49-F238E27FC236}">
              <a16:creationId xmlns:a16="http://schemas.microsoft.com/office/drawing/2014/main" id="{8146B93C-D836-4BD3-874C-91115B3C1D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7" name="Elipse 8516">
          <a:extLst>
            <a:ext uri="{FF2B5EF4-FFF2-40B4-BE49-F238E27FC236}">
              <a16:creationId xmlns:a16="http://schemas.microsoft.com/office/drawing/2014/main" id="{C332078A-6B30-45F6-86CE-99D569ABEE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8" name="Elipse 8517">
          <a:extLst>
            <a:ext uri="{FF2B5EF4-FFF2-40B4-BE49-F238E27FC236}">
              <a16:creationId xmlns:a16="http://schemas.microsoft.com/office/drawing/2014/main" id="{CAAD8DE4-32B8-4FFE-986E-1739256F79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19" name="Elipse 8518">
          <a:extLst>
            <a:ext uri="{FF2B5EF4-FFF2-40B4-BE49-F238E27FC236}">
              <a16:creationId xmlns:a16="http://schemas.microsoft.com/office/drawing/2014/main" id="{52B67C24-63D1-436E-899F-AB77226183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0" name="Elipse 8519">
          <a:extLst>
            <a:ext uri="{FF2B5EF4-FFF2-40B4-BE49-F238E27FC236}">
              <a16:creationId xmlns:a16="http://schemas.microsoft.com/office/drawing/2014/main" id="{A99D2AD9-665B-4335-AF11-02C0316197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1" name="Elipse 8520">
          <a:extLst>
            <a:ext uri="{FF2B5EF4-FFF2-40B4-BE49-F238E27FC236}">
              <a16:creationId xmlns:a16="http://schemas.microsoft.com/office/drawing/2014/main" id="{B4DC90E7-2EF2-4D39-A543-911B678203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2" name="Elipse 8521">
          <a:extLst>
            <a:ext uri="{FF2B5EF4-FFF2-40B4-BE49-F238E27FC236}">
              <a16:creationId xmlns:a16="http://schemas.microsoft.com/office/drawing/2014/main" id="{2B6FD757-F618-4868-A10E-32EB6D8D98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3" name="Elipse 8522">
          <a:extLst>
            <a:ext uri="{FF2B5EF4-FFF2-40B4-BE49-F238E27FC236}">
              <a16:creationId xmlns:a16="http://schemas.microsoft.com/office/drawing/2014/main" id="{2BB1F474-C55C-4433-9AE8-94B2D3EABD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4" name="Elipse 8523">
          <a:extLst>
            <a:ext uri="{FF2B5EF4-FFF2-40B4-BE49-F238E27FC236}">
              <a16:creationId xmlns:a16="http://schemas.microsoft.com/office/drawing/2014/main" id="{7EAB395A-EE44-4CD2-A6CB-D016883726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5" name="Elipse 8524">
          <a:extLst>
            <a:ext uri="{FF2B5EF4-FFF2-40B4-BE49-F238E27FC236}">
              <a16:creationId xmlns:a16="http://schemas.microsoft.com/office/drawing/2014/main" id="{BD2E7B8F-77F9-40C7-A62C-43B3B7A27B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6" name="Elipse 8525">
          <a:extLst>
            <a:ext uri="{FF2B5EF4-FFF2-40B4-BE49-F238E27FC236}">
              <a16:creationId xmlns:a16="http://schemas.microsoft.com/office/drawing/2014/main" id="{53122AF2-E02F-48F7-8757-ABE2AA350B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7" name="Elipse 8526">
          <a:extLst>
            <a:ext uri="{FF2B5EF4-FFF2-40B4-BE49-F238E27FC236}">
              <a16:creationId xmlns:a16="http://schemas.microsoft.com/office/drawing/2014/main" id="{F0906C0B-849B-4B2F-A335-B1FAB3FF72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8" name="Elipse 8527">
          <a:extLst>
            <a:ext uri="{FF2B5EF4-FFF2-40B4-BE49-F238E27FC236}">
              <a16:creationId xmlns:a16="http://schemas.microsoft.com/office/drawing/2014/main" id="{6720E774-816F-4148-A890-CA956394D0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29" name="Elipse 8528">
          <a:extLst>
            <a:ext uri="{FF2B5EF4-FFF2-40B4-BE49-F238E27FC236}">
              <a16:creationId xmlns:a16="http://schemas.microsoft.com/office/drawing/2014/main" id="{5870B47E-BC63-4087-B167-57B7FC3ACE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0" name="Elipse 8529">
          <a:extLst>
            <a:ext uri="{FF2B5EF4-FFF2-40B4-BE49-F238E27FC236}">
              <a16:creationId xmlns:a16="http://schemas.microsoft.com/office/drawing/2014/main" id="{51D231D9-1D59-41C0-9E03-3E2A2C48CB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1" name="Elipse 8530">
          <a:extLst>
            <a:ext uri="{FF2B5EF4-FFF2-40B4-BE49-F238E27FC236}">
              <a16:creationId xmlns:a16="http://schemas.microsoft.com/office/drawing/2014/main" id="{1DE30619-29A2-49D1-BDD6-45780EA54B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2" name="Elipse 8531">
          <a:extLst>
            <a:ext uri="{FF2B5EF4-FFF2-40B4-BE49-F238E27FC236}">
              <a16:creationId xmlns:a16="http://schemas.microsoft.com/office/drawing/2014/main" id="{AD8DFAF7-389E-4D8A-A3A4-342021EDF9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3" name="Elipse 8532">
          <a:extLst>
            <a:ext uri="{FF2B5EF4-FFF2-40B4-BE49-F238E27FC236}">
              <a16:creationId xmlns:a16="http://schemas.microsoft.com/office/drawing/2014/main" id="{CBD502DD-B2DA-47B9-9A09-2C434028AF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4" name="Elipse 8533">
          <a:extLst>
            <a:ext uri="{FF2B5EF4-FFF2-40B4-BE49-F238E27FC236}">
              <a16:creationId xmlns:a16="http://schemas.microsoft.com/office/drawing/2014/main" id="{739181C9-B19D-412C-B534-74B5DDD4B0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5" name="Elipse 8534">
          <a:extLst>
            <a:ext uri="{FF2B5EF4-FFF2-40B4-BE49-F238E27FC236}">
              <a16:creationId xmlns:a16="http://schemas.microsoft.com/office/drawing/2014/main" id="{83E5E4D4-2B23-45A2-972B-1D6E53E196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6" name="Elipse 8535">
          <a:extLst>
            <a:ext uri="{FF2B5EF4-FFF2-40B4-BE49-F238E27FC236}">
              <a16:creationId xmlns:a16="http://schemas.microsoft.com/office/drawing/2014/main" id="{CE7D79B0-49FF-40E3-9A51-B3C69BD1DB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7" name="Elipse 8536">
          <a:extLst>
            <a:ext uri="{FF2B5EF4-FFF2-40B4-BE49-F238E27FC236}">
              <a16:creationId xmlns:a16="http://schemas.microsoft.com/office/drawing/2014/main" id="{86972381-B7D0-42C2-983F-99362C4D55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8" name="Elipse 8537">
          <a:extLst>
            <a:ext uri="{FF2B5EF4-FFF2-40B4-BE49-F238E27FC236}">
              <a16:creationId xmlns:a16="http://schemas.microsoft.com/office/drawing/2014/main" id="{AD83E299-8888-47B7-ADB3-6F86B6B090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39" name="Elipse 8538">
          <a:extLst>
            <a:ext uri="{FF2B5EF4-FFF2-40B4-BE49-F238E27FC236}">
              <a16:creationId xmlns:a16="http://schemas.microsoft.com/office/drawing/2014/main" id="{1076CD61-E648-4133-B839-3DA3B1899D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0" name="Elipse 8539">
          <a:extLst>
            <a:ext uri="{FF2B5EF4-FFF2-40B4-BE49-F238E27FC236}">
              <a16:creationId xmlns:a16="http://schemas.microsoft.com/office/drawing/2014/main" id="{C9B690D7-7BB4-40F4-9813-6E3B684350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1" name="Elipse 8540">
          <a:extLst>
            <a:ext uri="{FF2B5EF4-FFF2-40B4-BE49-F238E27FC236}">
              <a16:creationId xmlns:a16="http://schemas.microsoft.com/office/drawing/2014/main" id="{42EC85F6-9768-44EB-8480-27E07975CB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2" name="Elipse 8541">
          <a:extLst>
            <a:ext uri="{FF2B5EF4-FFF2-40B4-BE49-F238E27FC236}">
              <a16:creationId xmlns:a16="http://schemas.microsoft.com/office/drawing/2014/main" id="{006EC762-6263-42D0-83D2-8F4C00363B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3" name="Elipse 8542">
          <a:extLst>
            <a:ext uri="{FF2B5EF4-FFF2-40B4-BE49-F238E27FC236}">
              <a16:creationId xmlns:a16="http://schemas.microsoft.com/office/drawing/2014/main" id="{14F485FB-1D39-4166-A251-6A2A8CA154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4" name="Elipse 8543">
          <a:extLst>
            <a:ext uri="{FF2B5EF4-FFF2-40B4-BE49-F238E27FC236}">
              <a16:creationId xmlns:a16="http://schemas.microsoft.com/office/drawing/2014/main" id="{B68BC3FF-CAA9-4837-A3DB-B065F0F494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5" name="Elipse 8544">
          <a:extLst>
            <a:ext uri="{FF2B5EF4-FFF2-40B4-BE49-F238E27FC236}">
              <a16:creationId xmlns:a16="http://schemas.microsoft.com/office/drawing/2014/main" id="{955D0C40-1A81-4C89-9068-1F3E5E5C9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6" name="Elipse 8545">
          <a:extLst>
            <a:ext uri="{FF2B5EF4-FFF2-40B4-BE49-F238E27FC236}">
              <a16:creationId xmlns:a16="http://schemas.microsoft.com/office/drawing/2014/main" id="{406D1C91-E59C-4F11-BD58-BAB712A5AF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7" name="Elipse 8546">
          <a:extLst>
            <a:ext uri="{FF2B5EF4-FFF2-40B4-BE49-F238E27FC236}">
              <a16:creationId xmlns:a16="http://schemas.microsoft.com/office/drawing/2014/main" id="{66E42F35-3129-496A-9D0A-B137BFF5FC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8" name="Elipse 8547">
          <a:extLst>
            <a:ext uri="{FF2B5EF4-FFF2-40B4-BE49-F238E27FC236}">
              <a16:creationId xmlns:a16="http://schemas.microsoft.com/office/drawing/2014/main" id="{5A3BAB7D-AA41-4EF2-9B2A-91A6996197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49" name="Elipse 8548">
          <a:extLst>
            <a:ext uri="{FF2B5EF4-FFF2-40B4-BE49-F238E27FC236}">
              <a16:creationId xmlns:a16="http://schemas.microsoft.com/office/drawing/2014/main" id="{ADE71214-4AA5-4D3C-AED2-CAD896FA09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0" name="Elipse 8549">
          <a:extLst>
            <a:ext uri="{FF2B5EF4-FFF2-40B4-BE49-F238E27FC236}">
              <a16:creationId xmlns:a16="http://schemas.microsoft.com/office/drawing/2014/main" id="{F8B5044D-ADDA-4CE5-B941-A58E2A016B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1" name="Elipse 8550">
          <a:extLst>
            <a:ext uri="{FF2B5EF4-FFF2-40B4-BE49-F238E27FC236}">
              <a16:creationId xmlns:a16="http://schemas.microsoft.com/office/drawing/2014/main" id="{6702EB01-085C-47AC-A179-20D75A36F6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2" name="Elipse 8551">
          <a:extLst>
            <a:ext uri="{FF2B5EF4-FFF2-40B4-BE49-F238E27FC236}">
              <a16:creationId xmlns:a16="http://schemas.microsoft.com/office/drawing/2014/main" id="{33EB78F7-A642-4D56-9C57-D84B2EF31D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3" name="Elipse 8552">
          <a:extLst>
            <a:ext uri="{FF2B5EF4-FFF2-40B4-BE49-F238E27FC236}">
              <a16:creationId xmlns:a16="http://schemas.microsoft.com/office/drawing/2014/main" id="{977B4F5C-0C35-498D-8B38-541DB7BE25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4" name="Elipse 8553">
          <a:extLst>
            <a:ext uri="{FF2B5EF4-FFF2-40B4-BE49-F238E27FC236}">
              <a16:creationId xmlns:a16="http://schemas.microsoft.com/office/drawing/2014/main" id="{746FF944-5B0E-484B-9392-E93C8AB02C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5" name="Elipse 8554">
          <a:extLst>
            <a:ext uri="{FF2B5EF4-FFF2-40B4-BE49-F238E27FC236}">
              <a16:creationId xmlns:a16="http://schemas.microsoft.com/office/drawing/2014/main" id="{3B756292-FD98-4F2A-9BE8-14F9392132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6" name="Elipse 8555">
          <a:extLst>
            <a:ext uri="{FF2B5EF4-FFF2-40B4-BE49-F238E27FC236}">
              <a16:creationId xmlns:a16="http://schemas.microsoft.com/office/drawing/2014/main" id="{FE7E19BF-D9B6-4ED1-8B2D-0F9926324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7" name="Elipse 8556">
          <a:extLst>
            <a:ext uri="{FF2B5EF4-FFF2-40B4-BE49-F238E27FC236}">
              <a16:creationId xmlns:a16="http://schemas.microsoft.com/office/drawing/2014/main" id="{B17A8CA6-5889-4718-9CAB-D8AC39F2E2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8" name="Elipse 8557">
          <a:extLst>
            <a:ext uri="{FF2B5EF4-FFF2-40B4-BE49-F238E27FC236}">
              <a16:creationId xmlns:a16="http://schemas.microsoft.com/office/drawing/2014/main" id="{AD4FBCB6-19B0-4EEF-BD02-84D8A6AC15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59" name="Elipse 8558">
          <a:extLst>
            <a:ext uri="{FF2B5EF4-FFF2-40B4-BE49-F238E27FC236}">
              <a16:creationId xmlns:a16="http://schemas.microsoft.com/office/drawing/2014/main" id="{DF78C956-463E-491D-85E9-FF7460899A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0" name="Elipse 8559">
          <a:extLst>
            <a:ext uri="{FF2B5EF4-FFF2-40B4-BE49-F238E27FC236}">
              <a16:creationId xmlns:a16="http://schemas.microsoft.com/office/drawing/2014/main" id="{5B9B4B71-39C0-4C81-83D0-1492C6AA74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1" name="Elipse 8560">
          <a:extLst>
            <a:ext uri="{FF2B5EF4-FFF2-40B4-BE49-F238E27FC236}">
              <a16:creationId xmlns:a16="http://schemas.microsoft.com/office/drawing/2014/main" id="{AA327A52-F0DC-44FF-9025-A7A192FB42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2" name="Elipse 8561">
          <a:extLst>
            <a:ext uri="{FF2B5EF4-FFF2-40B4-BE49-F238E27FC236}">
              <a16:creationId xmlns:a16="http://schemas.microsoft.com/office/drawing/2014/main" id="{03518784-AAB7-4B88-B27A-207DE38792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3" name="Elipse 8562">
          <a:extLst>
            <a:ext uri="{FF2B5EF4-FFF2-40B4-BE49-F238E27FC236}">
              <a16:creationId xmlns:a16="http://schemas.microsoft.com/office/drawing/2014/main" id="{7A560A90-8095-4356-8109-4C3567848D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4" name="Elipse 8563">
          <a:extLst>
            <a:ext uri="{FF2B5EF4-FFF2-40B4-BE49-F238E27FC236}">
              <a16:creationId xmlns:a16="http://schemas.microsoft.com/office/drawing/2014/main" id="{70F080D0-F322-441A-B94D-8F9415A5FA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5" name="Elipse 8564">
          <a:extLst>
            <a:ext uri="{FF2B5EF4-FFF2-40B4-BE49-F238E27FC236}">
              <a16:creationId xmlns:a16="http://schemas.microsoft.com/office/drawing/2014/main" id="{26C20148-7B27-4D40-BA32-07EB5FB7B3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6" name="Elipse 8565">
          <a:extLst>
            <a:ext uri="{FF2B5EF4-FFF2-40B4-BE49-F238E27FC236}">
              <a16:creationId xmlns:a16="http://schemas.microsoft.com/office/drawing/2014/main" id="{68EB614A-ABA3-42EB-B3C4-9CCACFD530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7" name="Elipse 8566">
          <a:extLst>
            <a:ext uri="{FF2B5EF4-FFF2-40B4-BE49-F238E27FC236}">
              <a16:creationId xmlns:a16="http://schemas.microsoft.com/office/drawing/2014/main" id="{CBF8C955-D50F-4F08-8D50-1632290A2C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8" name="Elipse 8567">
          <a:extLst>
            <a:ext uri="{FF2B5EF4-FFF2-40B4-BE49-F238E27FC236}">
              <a16:creationId xmlns:a16="http://schemas.microsoft.com/office/drawing/2014/main" id="{ACBDD3E8-D615-4F89-80D4-19D8A3C898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69" name="Elipse 8568">
          <a:extLst>
            <a:ext uri="{FF2B5EF4-FFF2-40B4-BE49-F238E27FC236}">
              <a16:creationId xmlns:a16="http://schemas.microsoft.com/office/drawing/2014/main" id="{53C10E12-904A-4379-A0E3-3EFC5B3327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0" name="Elipse 8569">
          <a:extLst>
            <a:ext uri="{FF2B5EF4-FFF2-40B4-BE49-F238E27FC236}">
              <a16:creationId xmlns:a16="http://schemas.microsoft.com/office/drawing/2014/main" id="{016CEA33-0EA6-4A48-AA1E-798643E44B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1" name="Elipse 8570">
          <a:extLst>
            <a:ext uri="{FF2B5EF4-FFF2-40B4-BE49-F238E27FC236}">
              <a16:creationId xmlns:a16="http://schemas.microsoft.com/office/drawing/2014/main" id="{92C950CA-CAED-4FF0-9D86-53A495D152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2" name="Elipse 8571">
          <a:extLst>
            <a:ext uri="{FF2B5EF4-FFF2-40B4-BE49-F238E27FC236}">
              <a16:creationId xmlns:a16="http://schemas.microsoft.com/office/drawing/2014/main" id="{A15A4FA4-3E46-4F22-A1E7-4613A9E123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3" name="Elipse 8572">
          <a:extLst>
            <a:ext uri="{FF2B5EF4-FFF2-40B4-BE49-F238E27FC236}">
              <a16:creationId xmlns:a16="http://schemas.microsoft.com/office/drawing/2014/main" id="{3E29C32A-BA9C-4B66-88A7-283BE9FEC0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4" name="Elipse 8573">
          <a:extLst>
            <a:ext uri="{FF2B5EF4-FFF2-40B4-BE49-F238E27FC236}">
              <a16:creationId xmlns:a16="http://schemas.microsoft.com/office/drawing/2014/main" id="{4E6ED58A-B098-418A-9D27-D96096410F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5" name="Elipse 8574">
          <a:extLst>
            <a:ext uri="{FF2B5EF4-FFF2-40B4-BE49-F238E27FC236}">
              <a16:creationId xmlns:a16="http://schemas.microsoft.com/office/drawing/2014/main" id="{FAE9ECDD-6B5C-4A8E-B671-E3ACCB668D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6" name="Elipse 8575">
          <a:extLst>
            <a:ext uri="{FF2B5EF4-FFF2-40B4-BE49-F238E27FC236}">
              <a16:creationId xmlns:a16="http://schemas.microsoft.com/office/drawing/2014/main" id="{2C922C46-4F2D-4A35-A72A-E25BFB5AB0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7" name="Elipse 8576">
          <a:extLst>
            <a:ext uri="{FF2B5EF4-FFF2-40B4-BE49-F238E27FC236}">
              <a16:creationId xmlns:a16="http://schemas.microsoft.com/office/drawing/2014/main" id="{AE1DE251-49C8-4B31-B547-A8C91E5C14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8" name="Elipse 8577">
          <a:extLst>
            <a:ext uri="{FF2B5EF4-FFF2-40B4-BE49-F238E27FC236}">
              <a16:creationId xmlns:a16="http://schemas.microsoft.com/office/drawing/2014/main" id="{528CAA87-0C8C-4A36-BC83-98B0AEC585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79" name="Elipse 8578">
          <a:extLst>
            <a:ext uri="{FF2B5EF4-FFF2-40B4-BE49-F238E27FC236}">
              <a16:creationId xmlns:a16="http://schemas.microsoft.com/office/drawing/2014/main" id="{E2485626-C5CB-40EE-87B2-11EEBC62F1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0" name="Elipse 8579">
          <a:extLst>
            <a:ext uri="{FF2B5EF4-FFF2-40B4-BE49-F238E27FC236}">
              <a16:creationId xmlns:a16="http://schemas.microsoft.com/office/drawing/2014/main" id="{0ED968CE-A64E-46CE-A17B-4100FCD7DB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1" name="Elipse 8580">
          <a:extLst>
            <a:ext uri="{FF2B5EF4-FFF2-40B4-BE49-F238E27FC236}">
              <a16:creationId xmlns:a16="http://schemas.microsoft.com/office/drawing/2014/main" id="{8CA0694B-5F62-402E-A22C-C103795D50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2" name="Elipse 8581">
          <a:extLst>
            <a:ext uri="{FF2B5EF4-FFF2-40B4-BE49-F238E27FC236}">
              <a16:creationId xmlns:a16="http://schemas.microsoft.com/office/drawing/2014/main" id="{14E2C3EA-90CC-4878-A1DA-F24D0E64F3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3" name="Elipse 8582">
          <a:extLst>
            <a:ext uri="{FF2B5EF4-FFF2-40B4-BE49-F238E27FC236}">
              <a16:creationId xmlns:a16="http://schemas.microsoft.com/office/drawing/2014/main" id="{6A889398-CFDC-4A36-9654-BDA0A93BCB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4" name="Elipse 8583">
          <a:extLst>
            <a:ext uri="{FF2B5EF4-FFF2-40B4-BE49-F238E27FC236}">
              <a16:creationId xmlns:a16="http://schemas.microsoft.com/office/drawing/2014/main" id="{EE57EB0C-73DC-4652-BE6A-7099B3C3BA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5" name="Elipse 8584">
          <a:extLst>
            <a:ext uri="{FF2B5EF4-FFF2-40B4-BE49-F238E27FC236}">
              <a16:creationId xmlns:a16="http://schemas.microsoft.com/office/drawing/2014/main" id="{2967ED97-2928-409E-9823-9CF0F8B296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6" name="Elipse 8585">
          <a:extLst>
            <a:ext uri="{FF2B5EF4-FFF2-40B4-BE49-F238E27FC236}">
              <a16:creationId xmlns:a16="http://schemas.microsoft.com/office/drawing/2014/main" id="{49459117-1C26-4264-87F7-A95F403AB0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7" name="Elipse 8586">
          <a:extLst>
            <a:ext uri="{FF2B5EF4-FFF2-40B4-BE49-F238E27FC236}">
              <a16:creationId xmlns:a16="http://schemas.microsoft.com/office/drawing/2014/main" id="{91598598-A0C3-495A-B8D4-9698273A1E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8" name="Elipse 8587">
          <a:extLst>
            <a:ext uri="{FF2B5EF4-FFF2-40B4-BE49-F238E27FC236}">
              <a16:creationId xmlns:a16="http://schemas.microsoft.com/office/drawing/2014/main" id="{79AD0DB6-FD3A-43D2-9CF3-090936144B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89" name="Elipse 8588">
          <a:extLst>
            <a:ext uri="{FF2B5EF4-FFF2-40B4-BE49-F238E27FC236}">
              <a16:creationId xmlns:a16="http://schemas.microsoft.com/office/drawing/2014/main" id="{4BC7316A-55A7-4C70-8C26-676A3E1845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0" name="Elipse 8589">
          <a:extLst>
            <a:ext uri="{FF2B5EF4-FFF2-40B4-BE49-F238E27FC236}">
              <a16:creationId xmlns:a16="http://schemas.microsoft.com/office/drawing/2014/main" id="{FC65C028-CAA2-4669-9C1A-8634A008B9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1" name="Elipse 8590">
          <a:extLst>
            <a:ext uri="{FF2B5EF4-FFF2-40B4-BE49-F238E27FC236}">
              <a16:creationId xmlns:a16="http://schemas.microsoft.com/office/drawing/2014/main" id="{9710FE9D-B194-4CF7-8FF2-99FF36F5C5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2" name="Elipse 8591">
          <a:extLst>
            <a:ext uri="{FF2B5EF4-FFF2-40B4-BE49-F238E27FC236}">
              <a16:creationId xmlns:a16="http://schemas.microsoft.com/office/drawing/2014/main" id="{95DB0298-385E-4F6B-8AEE-4D69BE1934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3" name="Elipse 8592">
          <a:extLst>
            <a:ext uri="{FF2B5EF4-FFF2-40B4-BE49-F238E27FC236}">
              <a16:creationId xmlns:a16="http://schemas.microsoft.com/office/drawing/2014/main" id="{87E3BDF1-08FB-4D9A-A9A1-B3AA0636DA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4" name="Elipse 8593">
          <a:extLst>
            <a:ext uri="{FF2B5EF4-FFF2-40B4-BE49-F238E27FC236}">
              <a16:creationId xmlns:a16="http://schemas.microsoft.com/office/drawing/2014/main" id="{309F3AC7-06C4-47A5-B194-8D1E8C87E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5" name="Elipse 8594">
          <a:extLst>
            <a:ext uri="{FF2B5EF4-FFF2-40B4-BE49-F238E27FC236}">
              <a16:creationId xmlns:a16="http://schemas.microsoft.com/office/drawing/2014/main" id="{0B7117DA-B6F6-4238-86DC-B2BCD519C2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6" name="Elipse 8595">
          <a:extLst>
            <a:ext uri="{FF2B5EF4-FFF2-40B4-BE49-F238E27FC236}">
              <a16:creationId xmlns:a16="http://schemas.microsoft.com/office/drawing/2014/main" id="{B5632290-0EA8-44C4-A4F2-A7765357A5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7" name="Elipse 8596">
          <a:extLst>
            <a:ext uri="{FF2B5EF4-FFF2-40B4-BE49-F238E27FC236}">
              <a16:creationId xmlns:a16="http://schemas.microsoft.com/office/drawing/2014/main" id="{9D6B8765-85FE-436B-BDC3-D423DA7A4C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8" name="Elipse 8597">
          <a:extLst>
            <a:ext uri="{FF2B5EF4-FFF2-40B4-BE49-F238E27FC236}">
              <a16:creationId xmlns:a16="http://schemas.microsoft.com/office/drawing/2014/main" id="{20F49BD7-FADE-4AD7-A299-18F84CD41C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599" name="Elipse 8598">
          <a:extLst>
            <a:ext uri="{FF2B5EF4-FFF2-40B4-BE49-F238E27FC236}">
              <a16:creationId xmlns:a16="http://schemas.microsoft.com/office/drawing/2014/main" id="{2C32F01D-84A4-431A-9B6C-27BC0DA818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0" name="Elipse 8599">
          <a:extLst>
            <a:ext uri="{FF2B5EF4-FFF2-40B4-BE49-F238E27FC236}">
              <a16:creationId xmlns:a16="http://schemas.microsoft.com/office/drawing/2014/main" id="{94DD1099-661A-4819-A926-E7F9389F2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1" name="Elipse 8600">
          <a:extLst>
            <a:ext uri="{FF2B5EF4-FFF2-40B4-BE49-F238E27FC236}">
              <a16:creationId xmlns:a16="http://schemas.microsoft.com/office/drawing/2014/main" id="{65AF148D-B394-4B92-8CF6-CF274B2DD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2" name="Elipse 8601">
          <a:extLst>
            <a:ext uri="{FF2B5EF4-FFF2-40B4-BE49-F238E27FC236}">
              <a16:creationId xmlns:a16="http://schemas.microsoft.com/office/drawing/2014/main" id="{CFEBC186-D0BD-4E65-8C55-7EB7BCB401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3" name="Elipse 8602">
          <a:extLst>
            <a:ext uri="{FF2B5EF4-FFF2-40B4-BE49-F238E27FC236}">
              <a16:creationId xmlns:a16="http://schemas.microsoft.com/office/drawing/2014/main" id="{25AB7FA4-14E4-4CD3-B3A1-9950A9E310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4" name="Elipse 8603">
          <a:extLst>
            <a:ext uri="{FF2B5EF4-FFF2-40B4-BE49-F238E27FC236}">
              <a16:creationId xmlns:a16="http://schemas.microsoft.com/office/drawing/2014/main" id="{098B0C6B-9C35-412C-843C-4657388869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5" name="Elipse 8604">
          <a:extLst>
            <a:ext uri="{FF2B5EF4-FFF2-40B4-BE49-F238E27FC236}">
              <a16:creationId xmlns:a16="http://schemas.microsoft.com/office/drawing/2014/main" id="{EA56E079-2374-4E7C-ACD4-CDFFF2BCFA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6" name="Elipse 8605">
          <a:extLst>
            <a:ext uri="{FF2B5EF4-FFF2-40B4-BE49-F238E27FC236}">
              <a16:creationId xmlns:a16="http://schemas.microsoft.com/office/drawing/2014/main" id="{249AC4FD-8BF7-4BFF-8E85-F434978A78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7" name="Elipse 8606">
          <a:extLst>
            <a:ext uri="{FF2B5EF4-FFF2-40B4-BE49-F238E27FC236}">
              <a16:creationId xmlns:a16="http://schemas.microsoft.com/office/drawing/2014/main" id="{692C3C9D-DF41-4948-9360-0EA1FB07EC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8" name="Elipse 8607">
          <a:extLst>
            <a:ext uri="{FF2B5EF4-FFF2-40B4-BE49-F238E27FC236}">
              <a16:creationId xmlns:a16="http://schemas.microsoft.com/office/drawing/2014/main" id="{CE1D2146-8AC4-4FFB-8FC8-06B91DB1AF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09" name="Elipse 8608">
          <a:extLst>
            <a:ext uri="{FF2B5EF4-FFF2-40B4-BE49-F238E27FC236}">
              <a16:creationId xmlns:a16="http://schemas.microsoft.com/office/drawing/2014/main" id="{0F0EA9F9-7C0B-458A-9715-8C9648554E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0" name="Elipse 8609">
          <a:extLst>
            <a:ext uri="{FF2B5EF4-FFF2-40B4-BE49-F238E27FC236}">
              <a16:creationId xmlns:a16="http://schemas.microsoft.com/office/drawing/2014/main" id="{5429976C-4EB8-4AA2-AFC9-7511AC29F2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1" name="Elipse 8610">
          <a:extLst>
            <a:ext uri="{FF2B5EF4-FFF2-40B4-BE49-F238E27FC236}">
              <a16:creationId xmlns:a16="http://schemas.microsoft.com/office/drawing/2014/main" id="{35B88906-F3A1-4B6F-9CDA-5684707A1A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2" name="Elipse 8611">
          <a:extLst>
            <a:ext uri="{FF2B5EF4-FFF2-40B4-BE49-F238E27FC236}">
              <a16:creationId xmlns:a16="http://schemas.microsoft.com/office/drawing/2014/main" id="{A4679491-0ECF-44E3-88C8-7050809BE2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3" name="Elipse 8612">
          <a:extLst>
            <a:ext uri="{FF2B5EF4-FFF2-40B4-BE49-F238E27FC236}">
              <a16:creationId xmlns:a16="http://schemas.microsoft.com/office/drawing/2014/main" id="{1748C859-5084-41A5-A330-6D0FED1867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4" name="Elipse 8613">
          <a:extLst>
            <a:ext uri="{FF2B5EF4-FFF2-40B4-BE49-F238E27FC236}">
              <a16:creationId xmlns:a16="http://schemas.microsoft.com/office/drawing/2014/main" id="{33B22551-020B-40CA-B81C-2972D7E3D5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5" name="Elipse 8614">
          <a:extLst>
            <a:ext uri="{FF2B5EF4-FFF2-40B4-BE49-F238E27FC236}">
              <a16:creationId xmlns:a16="http://schemas.microsoft.com/office/drawing/2014/main" id="{C02AA649-2C3F-4BF6-944E-F38930531B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6" name="Elipse 8615">
          <a:extLst>
            <a:ext uri="{FF2B5EF4-FFF2-40B4-BE49-F238E27FC236}">
              <a16:creationId xmlns:a16="http://schemas.microsoft.com/office/drawing/2014/main" id="{7090AE73-12A8-402F-9EF9-6457B367F0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7" name="Elipse 8616">
          <a:extLst>
            <a:ext uri="{FF2B5EF4-FFF2-40B4-BE49-F238E27FC236}">
              <a16:creationId xmlns:a16="http://schemas.microsoft.com/office/drawing/2014/main" id="{7BA2B163-E2C0-4405-94CB-A7CA511164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8" name="Elipse 8617">
          <a:extLst>
            <a:ext uri="{FF2B5EF4-FFF2-40B4-BE49-F238E27FC236}">
              <a16:creationId xmlns:a16="http://schemas.microsoft.com/office/drawing/2014/main" id="{EEA84FCF-0B4E-4BE5-8C24-53F0748FA2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19" name="Elipse 8618">
          <a:extLst>
            <a:ext uri="{FF2B5EF4-FFF2-40B4-BE49-F238E27FC236}">
              <a16:creationId xmlns:a16="http://schemas.microsoft.com/office/drawing/2014/main" id="{AC1DF193-3DB5-4057-A7D7-05E9929072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0" name="Elipse 8619">
          <a:extLst>
            <a:ext uri="{FF2B5EF4-FFF2-40B4-BE49-F238E27FC236}">
              <a16:creationId xmlns:a16="http://schemas.microsoft.com/office/drawing/2014/main" id="{826C883C-B33B-4B06-9E25-71B489004D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1" name="Elipse 8620">
          <a:extLst>
            <a:ext uri="{FF2B5EF4-FFF2-40B4-BE49-F238E27FC236}">
              <a16:creationId xmlns:a16="http://schemas.microsoft.com/office/drawing/2014/main" id="{7B147E53-63D4-4802-B73C-187A2D76ED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2" name="Elipse 8621">
          <a:extLst>
            <a:ext uri="{FF2B5EF4-FFF2-40B4-BE49-F238E27FC236}">
              <a16:creationId xmlns:a16="http://schemas.microsoft.com/office/drawing/2014/main" id="{13FB901C-67C9-4374-96F5-5B649D5001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3" name="Elipse 8622">
          <a:extLst>
            <a:ext uri="{FF2B5EF4-FFF2-40B4-BE49-F238E27FC236}">
              <a16:creationId xmlns:a16="http://schemas.microsoft.com/office/drawing/2014/main" id="{CE5E2809-E684-4E93-8E23-8600663233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4" name="Elipse 8623">
          <a:extLst>
            <a:ext uri="{FF2B5EF4-FFF2-40B4-BE49-F238E27FC236}">
              <a16:creationId xmlns:a16="http://schemas.microsoft.com/office/drawing/2014/main" id="{DDF84288-9EBA-4566-96D6-A9417110EE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5" name="Elipse 8624">
          <a:extLst>
            <a:ext uri="{FF2B5EF4-FFF2-40B4-BE49-F238E27FC236}">
              <a16:creationId xmlns:a16="http://schemas.microsoft.com/office/drawing/2014/main" id="{A54B8890-2F4E-48E5-AA62-096EAFC5EF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6" name="Elipse 8625">
          <a:extLst>
            <a:ext uri="{FF2B5EF4-FFF2-40B4-BE49-F238E27FC236}">
              <a16:creationId xmlns:a16="http://schemas.microsoft.com/office/drawing/2014/main" id="{23269567-D559-4D60-8E3A-47212A470E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7" name="Elipse 8626">
          <a:extLst>
            <a:ext uri="{FF2B5EF4-FFF2-40B4-BE49-F238E27FC236}">
              <a16:creationId xmlns:a16="http://schemas.microsoft.com/office/drawing/2014/main" id="{37D53638-8111-4C82-BFDF-F39486C807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8" name="Elipse 8627">
          <a:extLst>
            <a:ext uri="{FF2B5EF4-FFF2-40B4-BE49-F238E27FC236}">
              <a16:creationId xmlns:a16="http://schemas.microsoft.com/office/drawing/2014/main" id="{C9E59BC6-0E27-42C2-A785-096B384310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29" name="Elipse 8628">
          <a:extLst>
            <a:ext uri="{FF2B5EF4-FFF2-40B4-BE49-F238E27FC236}">
              <a16:creationId xmlns:a16="http://schemas.microsoft.com/office/drawing/2014/main" id="{8574C718-F8B2-44F2-B51C-03EB696CAB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0" name="Elipse 8629">
          <a:extLst>
            <a:ext uri="{FF2B5EF4-FFF2-40B4-BE49-F238E27FC236}">
              <a16:creationId xmlns:a16="http://schemas.microsoft.com/office/drawing/2014/main" id="{552BB4B4-9DA5-400F-A548-A5277C73B0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1" name="Elipse 8630">
          <a:extLst>
            <a:ext uri="{FF2B5EF4-FFF2-40B4-BE49-F238E27FC236}">
              <a16:creationId xmlns:a16="http://schemas.microsoft.com/office/drawing/2014/main" id="{91A152ED-51BE-4558-8030-BA0AF11236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2" name="Elipse 8631">
          <a:extLst>
            <a:ext uri="{FF2B5EF4-FFF2-40B4-BE49-F238E27FC236}">
              <a16:creationId xmlns:a16="http://schemas.microsoft.com/office/drawing/2014/main" id="{43ED502C-1CD5-4229-82F0-465A6B782D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3" name="Elipse 8632">
          <a:extLst>
            <a:ext uri="{FF2B5EF4-FFF2-40B4-BE49-F238E27FC236}">
              <a16:creationId xmlns:a16="http://schemas.microsoft.com/office/drawing/2014/main" id="{2DE8CB0B-F449-447A-A8C0-0333E72D83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4" name="Elipse 8633">
          <a:extLst>
            <a:ext uri="{FF2B5EF4-FFF2-40B4-BE49-F238E27FC236}">
              <a16:creationId xmlns:a16="http://schemas.microsoft.com/office/drawing/2014/main" id="{DFE91678-7EF3-449C-9E26-858EB33315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5" name="Elipse 8634">
          <a:extLst>
            <a:ext uri="{FF2B5EF4-FFF2-40B4-BE49-F238E27FC236}">
              <a16:creationId xmlns:a16="http://schemas.microsoft.com/office/drawing/2014/main" id="{E29E91E2-8529-484C-A075-BC39E18C04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6" name="Elipse 8635">
          <a:extLst>
            <a:ext uri="{FF2B5EF4-FFF2-40B4-BE49-F238E27FC236}">
              <a16:creationId xmlns:a16="http://schemas.microsoft.com/office/drawing/2014/main" id="{B0B2840F-9FB8-4DF8-9BF4-AE1FC7A0FD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7" name="Elipse 8636">
          <a:extLst>
            <a:ext uri="{FF2B5EF4-FFF2-40B4-BE49-F238E27FC236}">
              <a16:creationId xmlns:a16="http://schemas.microsoft.com/office/drawing/2014/main" id="{36EE2398-7DAA-4483-9F15-B362347A9B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8" name="Elipse 8637">
          <a:extLst>
            <a:ext uri="{FF2B5EF4-FFF2-40B4-BE49-F238E27FC236}">
              <a16:creationId xmlns:a16="http://schemas.microsoft.com/office/drawing/2014/main" id="{EF6896BD-B7D0-4DE0-B788-8EFEC6D42D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39" name="Elipse 8638">
          <a:extLst>
            <a:ext uri="{FF2B5EF4-FFF2-40B4-BE49-F238E27FC236}">
              <a16:creationId xmlns:a16="http://schemas.microsoft.com/office/drawing/2014/main" id="{A5434A7F-CC2F-4D7A-BD91-5C447B3682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0" name="Elipse 8639">
          <a:extLst>
            <a:ext uri="{FF2B5EF4-FFF2-40B4-BE49-F238E27FC236}">
              <a16:creationId xmlns:a16="http://schemas.microsoft.com/office/drawing/2014/main" id="{1D491F91-5538-4F60-99CA-B0D352DD7D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1" name="Elipse 8640">
          <a:extLst>
            <a:ext uri="{FF2B5EF4-FFF2-40B4-BE49-F238E27FC236}">
              <a16:creationId xmlns:a16="http://schemas.microsoft.com/office/drawing/2014/main" id="{158E7F78-8EC1-411F-95DE-D58B8AAFE8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2" name="Elipse 8641">
          <a:extLst>
            <a:ext uri="{FF2B5EF4-FFF2-40B4-BE49-F238E27FC236}">
              <a16:creationId xmlns:a16="http://schemas.microsoft.com/office/drawing/2014/main" id="{1200EDC3-EDC6-4D1A-973D-068423EDE9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3" name="Elipse 8642">
          <a:extLst>
            <a:ext uri="{FF2B5EF4-FFF2-40B4-BE49-F238E27FC236}">
              <a16:creationId xmlns:a16="http://schemas.microsoft.com/office/drawing/2014/main" id="{0A1E1F68-2906-4495-821E-21D649786F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4" name="Elipse 8643">
          <a:extLst>
            <a:ext uri="{FF2B5EF4-FFF2-40B4-BE49-F238E27FC236}">
              <a16:creationId xmlns:a16="http://schemas.microsoft.com/office/drawing/2014/main" id="{0A830492-D948-4ADB-A2B7-03E7FD37EC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5" name="Elipse 8644">
          <a:extLst>
            <a:ext uri="{FF2B5EF4-FFF2-40B4-BE49-F238E27FC236}">
              <a16:creationId xmlns:a16="http://schemas.microsoft.com/office/drawing/2014/main" id="{75E33147-6497-4490-9400-3BC30AB1A6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6" name="Elipse 8645">
          <a:extLst>
            <a:ext uri="{FF2B5EF4-FFF2-40B4-BE49-F238E27FC236}">
              <a16:creationId xmlns:a16="http://schemas.microsoft.com/office/drawing/2014/main" id="{E87BDF26-D9E0-42F6-845B-A0CDC0888C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7" name="Elipse 8646">
          <a:extLst>
            <a:ext uri="{FF2B5EF4-FFF2-40B4-BE49-F238E27FC236}">
              <a16:creationId xmlns:a16="http://schemas.microsoft.com/office/drawing/2014/main" id="{D72AABB9-50F2-497A-BC8A-9A68A3E68E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8" name="Elipse 8647">
          <a:extLst>
            <a:ext uri="{FF2B5EF4-FFF2-40B4-BE49-F238E27FC236}">
              <a16:creationId xmlns:a16="http://schemas.microsoft.com/office/drawing/2014/main" id="{8429CE10-DB10-431C-9F62-8487CE5853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49" name="Elipse 8648">
          <a:extLst>
            <a:ext uri="{FF2B5EF4-FFF2-40B4-BE49-F238E27FC236}">
              <a16:creationId xmlns:a16="http://schemas.microsoft.com/office/drawing/2014/main" id="{DE03737A-EC86-4BE9-A4F9-8BA7167EF2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0" name="Elipse 8649">
          <a:extLst>
            <a:ext uri="{FF2B5EF4-FFF2-40B4-BE49-F238E27FC236}">
              <a16:creationId xmlns:a16="http://schemas.microsoft.com/office/drawing/2014/main" id="{459C9BAE-68C9-4A7A-B266-9F8D3F25F3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1" name="Elipse 8650">
          <a:extLst>
            <a:ext uri="{FF2B5EF4-FFF2-40B4-BE49-F238E27FC236}">
              <a16:creationId xmlns:a16="http://schemas.microsoft.com/office/drawing/2014/main" id="{7D129AB0-3CAB-4FC7-97D2-374941AA8F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2" name="Elipse 8651">
          <a:extLst>
            <a:ext uri="{FF2B5EF4-FFF2-40B4-BE49-F238E27FC236}">
              <a16:creationId xmlns:a16="http://schemas.microsoft.com/office/drawing/2014/main" id="{71046E12-C508-4162-B949-7B1D4BE794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3" name="Elipse 8652">
          <a:extLst>
            <a:ext uri="{FF2B5EF4-FFF2-40B4-BE49-F238E27FC236}">
              <a16:creationId xmlns:a16="http://schemas.microsoft.com/office/drawing/2014/main" id="{1DCD9CE6-D278-4D08-B858-5EF39B8A38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4" name="Elipse 8653">
          <a:extLst>
            <a:ext uri="{FF2B5EF4-FFF2-40B4-BE49-F238E27FC236}">
              <a16:creationId xmlns:a16="http://schemas.microsoft.com/office/drawing/2014/main" id="{728F9A91-C02B-41EA-8B5F-68E21B27EF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5" name="Elipse 8654">
          <a:extLst>
            <a:ext uri="{FF2B5EF4-FFF2-40B4-BE49-F238E27FC236}">
              <a16:creationId xmlns:a16="http://schemas.microsoft.com/office/drawing/2014/main" id="{11F16D95-D678-412E-9559-9321E048C6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6" name="Elipse 8655">
          <a:extLst>
            <a:ext uri="{FF2B5EF4-FFF2-40B4-BE49-F238E27FC236}">
              <a16:creationId xmlns:a16="http://schemas.microsoft.com/office/drawing/2014/main" id="{841806AF-3848-477C-B99E-5C5DB4A468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7" name="Elipse 8656">
          <a:extLst>
            <a:ext uri="{FF2B5EF4-FFF2-40B4-BE49-F238E27FC236}">
              <a16:creationId xmlns:a16="http://schemas.microsoft.com/office/drawing/2014/main" id="{AE22B300-9BFE-4F20-9AFB-9B0F6AEC61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8" name="Elipse 8657">
          <a:extLst>
            <a:ext uri="{FF2B5EF4-FFF2-40B4-BE49-F238E27FC236}">
              <a16:creationId xmlns:a16="http://schemas.microsoft.com/office/drawing/2014/main" id="{A1705526-682B-4403-B75A-48176BB85F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59" name="Elipse 8658">
          <a:extLst>
            <a:ext uri="{FF2B5EF4-FFF2-40B4-BE49-F238E27FC236}">
              <a16:creationId xmlns:a16="http://schemas.microsoft.com/office/drawing/2014/main" id="{FEA5E77D-26AA-4E6C-AF93-22EBA2C5B4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0" name="Elipse 8659">
          <a:extLst>
            <a:ext uri="{FF2B5EF4-FFF2-40B4-BE49-F238E27FC236}">
              <a16:creationId xmlns:a16="http://schemas.microsoft.com/office/drawing/2014/main" id="{79B90AE7-AAB1-465E-A3BC-F86293628D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1" name="Elipse 8660">
          <a:extLst>
            <a:ext uri="{FF2B5EF4-FFF2-40B4-BE49-F238E27FC236}">
              <a16:creationId xmlns:a16="http://schemas.microsoft.com/office/drawing/2014/main" id="{44F92185-FEB8-4B7F-B360-9337B9DC8B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2" name="Elipse 8661">
          <a:extLst>
            <a:ext uri="{FF2B5EF4-FFF2-40B4-BE49-F238E27FC236}">
              <a16:creationId xmlns:a16="http://schemas.microsoft.com/office/drawing/2014/main" id="{DC9B8326-150E-44FC-B5AF-ABBCC213A0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3" name="Elipse 8662">
          <a:extLst>
            <a:ext uri="{FF2B5EF4-FFF2-40B4-BE49-F238E27FC236}">
              <a16:creationId xmlns:a16="http://schemas.microsoft.com/office/drawing/2014/main" id="{F19E1B3A-99D0-43FB-9758-5D0BFEFB67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4" name="Elipse 8663">
          <a:extLst>
            <a:ext uri="{FF2B5EF4-FFF2-40B4-BE49-F238E27FC236}">
              <a16:creationId xmlns:a16="http://schemas.microsoft.com/office/drawing/2014/main" id="{835EA273-8F19-4937-A3AE-91106E4213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5" name="Elipse 8664">
          <a:extLst>
            <a:ext uri="{FF2B5EF4-FFF2-40B4-BE49-F238E27FC236}">
              <a16:creationId xmlns:a16="http://schemas.microsoft.com/office/drawing/2014/main" id="{07BD79F8-D6DD-4D8B-B60F-0E51EAB683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6" name="Elipse 8665">
          <a:extLst>
            <a:ext uri="{FF2B5EF4-FFF2-40B4-BE49-F238E27FC236}">
              <a16:creationId xmlns:a16="http://schemas.microsoft.com/office/drawing/2014/main" id="{78F7D07F-E68E-4183-A9C3-56D2B55099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7" name="Elipse 8666">
          <a:extLst>
            <a:ext uri="{FF2B5EF4-FFF2-40B4-BE49-F238E27FC236}">
              <a16:creationId xmlns:a16="http://schemas.microsoft.com/office/drawing/2014/main" id="{E9F2F81F-DE6B-406C-B116-8C09C0CA8B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8" name="Elipse 8667">
          <a:extLst>
            <a:ext uri="{FF2B5EF4-FFF2-40B4-BE49-F238E27FC236}">
              <a16:creationId xmlns:a16="http://schemas.microsoft.com/office/drawing/2014/main" id="{5B886974-D217-4429-B3EF-BD547E8F37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69" name="Elipse 8668">
          <a:extLst>
            <a:ext uri="{FF2B5EF4-FFF2-40B4-BE49-F238E27FC236}">
              <a16:creationId xmlns:a16="http://schemas.microsoft.com/office/drawing/2014/main" id="{7673919D-25ED-4CE2-A08E-C406ED6D36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0" name="Elipse 8669">
          <a:extLst>
            <a:ext uri="{FF2B5EF4-FFF2-40B4-BE49-F238E27FC236}">
              <a16:creationId xmlns:a16="http://schemas.microsoft.com/office/drawing/2014/main" id="{C3BDC5A1-EF36-43FD-A29E-D924DBA0A4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1" name="Elipse 8670">
          <a:extLst>
            <a:ext uri="{FF2B5EF4-FFF2-40B4-BE49-F238E27FC236}">
              <a16:creationId xmlns:a16="http://schemas.microsoft.com/office/drawing/2014/main" id="{12AF033F-44B4-4925-AC18-88E186F07B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2" name="Elipse 8671">
          <a:extLst>
            <a:ext uri="{FF2B5EF4-FFF2-40B4-BE49-F238E27FC236}">
              <a16:creationId xmlns:a16="http://schemas.microsoft.com/office/drawing/2014/main" id="{2DE3CA71-2166-4BC1-B038-A301E34E69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3" name="Elipse 8672">
          <a:extLst>
            <a:ext uri="{FF2B5EF4-FFF2-40B4-BE49-F238E27FC236}">
              <a16:creationId xmlns:a16="http://schemas.microsoft.com/office/drawing/2014/main" id="{C3749D39-D663-420C-BD54-19541014B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4" name="Elipse 8673">
          <a:extLst>
            <a:ext uri="{FF2B5EF4-FFF2-40B4-BE49-F238E27FC236}">
              <a16:creationId xmlns:a16="http://schemas.microsoft.com/office/drawing/2014/main" id="{992965B6-8231-4F20-AB7E-6BF37FC50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5" name="Elipse 8674">
          <a:extLst>
            <a:ext uri="{FF2B5EF4-FFF2-40B4-BE49-F238E27FC236}">
              <a16:creationId xmlns:a16="http://schemas.microsoft.com/office/drawing/2014/main" id="{D293D726-A930-4EDD-A286-F90D666CB7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6" name="Elipse 8675">
          <a:extLst>
            <a:ext uri="{FF2B5EF4-FFF2-40B4-BE49-F238E27FC236}">
              <a16:creationId xmlns:a16="http://schemas.microsoft.com/office/drawing/2014/main" id="{7CB01419-CFB2-4FD9-9D0C-AD60B501E4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7" name="Elipse 8676">
          <a:extLst>
            <a:ext uri="{FF2B5EF4-FFF2-40B4-BE49-F238E27FC236}">
              <a16:creationId xmlns:a16="http://schemas.microsoft.com/office/drawing/2014/main" id="{35DABDA8-E3FA-4D5F-B418-1DB776A5CE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8" name="Elipse 8677">
          <a:extLst>
            <a:ext uri="{FF2B5EF4-FFF2-40B4-BE49-F238E27FC236}">
              <a16:creationId xmlns:a16="http://schemas.microsoft.com/office/drawing/2014/main" id="{8BF5356A-AE3E-4CE0-96EA-236E8B6F54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79" name="Elipse 8678">
          <a:extLst>
            <a:ext uri="{FF2B5EF4-FFF2-40B4-BE49-F238E27FC236}">
              <a16:creationId xmlns:a16="http://schemas.microsoft.com/office/drawing/2014/main" id="{8EFAAC94-A3C3-4D6A-8B12-7A97CE0913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0" name="Elipse 8679">
          <a:extLst>
            <a:ext uri="{FF2B5EF4-FFF2-40B4-BE49-F238E27FC236}">
              <a16:creationId xmlns:a16="http://schemas.microsoft.com/office/drawing/2014/main" id="{4803C7FA-666B-41DA-BBA3-4A7254912B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1" name="Elipse 8680">
          <a:extLst>
            <a:ext uri="{FF2B5EF4-FFF2-40B4-BE49-F238E27FC236}">
              <a16:creationId xmlns:a16="http://schemas.microsoft.com/office/drawing/2014/main" id="{90E02A9C-7332-406B-8951-839770E44B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2" name="Elipse 8681">
          <a:extLst>
            <a:ext uri="{FF2B5EF4-FFF2-40B4-BE49-F238E27FC236}">
              <a16:creationId xmlns:a16="http://schemas.microsoft.com/office/drawing/2014/main" id="{5D4CEE3F-6C34-4FB6-9501-39245E66A2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3" name="Elipse 8682">
          <a:extLst>
            <a:ext uri="{FF2B5EF4-FFF2-40B4-BE49-F238E27FC236}">
              <a16:creationId xmlns:a16="http://schemas.microsoft.com/office/drawing/2014/main" id="{D3C37327-6BE5-45D7-8551-C7614CD163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4" name="Elipse 8683">
          <a:extLst>
            <a:ext uri="{FF2B5EF4-FFF2-40B4-BE49-F238E27FC236}">
              <a16:creationId xmlns:a16="http://schemas.microsoft.com/office/drawing/2014/main" id="{6A371787-28C0-4FCB-ADB4-6C734893B5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5" name="Elipse 8684">
          <a:extLst>
            <a:ext uri="{FF2B5EF4-FFF2-40B4-BE49-F238E27FC236}">
              <a16:creationId xmlns:a16="http://schemas.microsoft.com/office/drawing/2014/main" id="{527B5698-883E-4533-84C2-1AD95AC032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6" name="Elipse 8685">
          <a:extLst>
            <a:ext uri="{FF2B5EF4-FFF2-40B4-BE49-F238E27FC236}">
              <a16:creationId xmlns:a16="http://schemas.microsoft.com/office/drawing/2014/main" id="{A426C142-A733-4C26-BE9F-D849EB8BC7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7" name="Elipse 8686">
          <a:extLst>
            <a:ext uri="{FF2B5EF4-FFF2-40B4-BE49-F238E27FC236}">
              <a16:creationId xmlns:a16="http://schemas.microsoft.com/office/drawing/2014/main" id="{6EC0B475-5FD6-40F6-BF2C-85B09117DA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8" name="Elipse 8687">
          <a:extLst>
            <a:ext uri="{FF2B5EF4-FFF2-40B4-BE49-F238E27FC236}">
              <a16:creationId xmlns:a16="http://schemas.microsoft.com/office/drawing/2014/main" id="{D8838788-536D-4D84-969D-31D7E518A1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89" name="Elipse 8688">
          <a:extLst>
            <a:ext uri="{FF2B5EF4-FFF2-40B4-BE49-F238E27FC236}">
              <a16:creationId xmlns:a16="http://schemas.microsoft.com/office/drawing/2014/main" id="{25623B45-7232-45E9-8968-123F1C5763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0" name="Elipse 8689">
          <a:extLst>
            <a:ext uri="{FF2B5EF4-FFF2-40B4-BE49-F238E27FC236}">
              <a16:creationId xmlns:a16="http://schemas.microsoft.com/office/drawing/2014/main" id="{447BC7DC-767B-4699-B4FA-3F37A0135C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1" name="Elipse 8690">
          <a:extLst>
            <a:ext uri="{FF2B5EF4-FFF2-40B4-BE49-F238E27FC236}">
              <a16:creationId xmlns:a16="http://schemas.microsoft.com/office/drawing/2014/main" id="{DD984ADE-E533-49AE-B2A2-AC5D79BC6C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2" name="Elipse 8691">
          <a:extLst>
            <a:ext uri="{FF2B5EF4-FFF2-40B4-BE49-F238E27FC236}">
              <a16:creationId xmlns:a16="http://schemas.microsoft.com/office/drawing/2014/main" id="{D85EACB5-60F3-4E08-9BB8-FD77C4F22C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3" name="Elipse 8692">
          <a:extLst>
            <a:ext uri="{FF2B5EF4-FFF2-40B4-BE49-F238E27FC236}">
              <a16:creationId xmlns:a16="http://schemas.microsoft.com/office/drawing/2014/main" id="{A72033B9-4DB7-4AFA-8E3A-CBB623E13B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4" name="Elipse 8693">
          <a:extLst>
            <a:ext uri="{FF2B5EF4-FFF2-40B4-BE49-F238E27FC236}">
              <a16:creationId xmlns:a16="http://schemas.microsoft.com/office/drawing/2014/main" id="{C2ECF328-FDE7-41BD-AEFC-61239B2F1D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5" name="Elipse 8694">
          <a:extLst>
            <a:ext uri="{FF2B5EF4-FFF2-40B4-BE49-F238E27FC236}">
              <a16:creationId xmlns:a16="http://schemas.microsoft.com/office/drawing/2014/main" id="{190F6715-6D92-4F97-B240-F6D86697F8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6" name="Elipse 8695">
          <a:extLst>
            <a:ext uri="{FF2B5EF4-FFF2-40B4-BE49-F238E27FC236}">
              <a16:creationId xmlns:a16="http://schemas.microsoft.com/office/drawing/2014/main" id="{4EE9F4A8-3A42-4272-BC7B-8DA724199D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7" name="Elipse 8696">
          <a:extLst>
            <a:ext uri="{FF2B5EF4-FFF2-40B4-BE49-F238E27FC236}">
              <a16:creationId xmlns:a16="http://schemas.microsoft.com/office/drawing/2014/main" id="{504E1EE7-2141-475D-AE1C-DDA5F8B12A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8" name="Elipse 8697">
          <a:extLst>
            <a:ext uri="{FF2B5EF4-FFF2-40B4-BE49-F238E27FC236}">
              <a16:creationId xmlns:a16="http://schemas.microsoft.com/office/drawing/2014/main" id="{5D804BEB-1253-41E5-A083-708A39B04A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699" name="Elipse 8698">
          <a:extLst>
            <a:ext uri="{FF2B5EF4-FFF2-40B4-BE49-F238E27FC236}">
              <a16:creationId xmlns:a16="http://schemas.microsoft.com/office/drawing/2014/main" id="{0AE7001E-8DC8-461C-B432-A523042532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0" name="Elipse 8699">
          <a:extLst>
            <a:ext uri="{FF2B5EF4-FFF2-40B4-BE49-F238E27FC236}">
              <a16:creationId xmlns:a16="http://schemas.microsoft.com/office/drawing/2014/main" id="{5014B807-AA27-4866-9657-7BE09E0F87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1" name="Elipse 8700">
          <a:extLst>
            <a:ext uri="{FF2B5EF4-FFF2-40B4-BE49-F238E27FC236}">
              <a16:creationId xmlns:a16="http://schemas.microsoft.com/office/drawing/2014/main" id="{C46CCDC6-179E-4DBA-B769-81B685AA63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2" name="Elipse 8701">
          <a:extLst>
            <a:ext uri="{FF2B5EF4-FFF2-40B4-BE49-F238E27FC236}">
              <a16:creationId xmlns:a16="http://schemas.microsoft.com/office/drawing/2014/main" id="{809386F8-2F72-4F94-98F6-4F0F61E085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3" name="Elipse 8702">
          <a:extLst>
            <a:ext uri="{FF2B5EF4-FFF2-40B4-BE49-F238E27FC236}">
              <a16:creationId xmlns:a16="http://schemas.microsoft.com/office/drawing/2014/main" id="{E245E345-821C-4123-A67B-5AAD2DEE75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4" name="Elipse 8703">
          <a:extLst>
            <a:ext uri="{FF2B5EF4-FFF2-40B4-BE49-F238E27FC236}">
              <a16:creationId xmlns:a16="http://schemas.microsoft.com/office/drawing/2014/main" id="{69777DE4-EF80-417C-99DF-87E0E3AADF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5" name="Elipse 8704">
          <a:extLst>
            <a:ext uri="{FF2B5EF4-FFF2-40B4-BE49-F238E27FC236}">
              <a16:creationId xmlns:a16="http://schemas.microsoft.com/office/drawing/2014/main" id="{0EF483FB-FCEE-4A44-8B49-96D9C9FE9E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6" name="Elipse 8705">
          <a:extLst>
            <a:ext uri="{FF2B5EF4-FFF2-40B4-BE49-F238E27FC236}">
              <a16:creationId xmlns:a16="http://schemas.microsoft.com/office/drawing/2014/main" id="{D856464F-A55D-4E09-A521-555887D5D4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7" name="Elipse 8706">
          <a:extLst>
            <a:ext uri="{FF2B5EF4-FFF2-40B4-BE49-F238E27FC236}">
              <a16:creationId xmlns:a16="http://schemas.microsoft.com/office/drawing/2014/main" id="{279D9413-BB29-4810-BD33-98ABC5105D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8" name="Elipse 8707">
          <a:extLst>
            <a:ext uri="{FF2B5EF4-FFF2-40B4-BE49-F238E27FC236}">
              <a16:creationId xmlns:a16="http://schemas.microsoft.com/office/drawing/2014/main" id="{095E4927-3A75-4DC6-BAFE-15E214DFEA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09" name="Elipse 8708">
          <a:extLst>
            <a:ext uri="{FF2B5EF4-FFF2-40B4-BE49-F238E27FC236}">
              <a16:creationId xmlns:a16="http://schemas.microsoft.com/office/drawing/2014/main" id="{EAAF326B-5C19-4CE2-8B98-FEA3B38550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0" name="Elipse 8709">
          <a:extLst>
            <a:ext uri="{FF2B5EF4-FFF2-40B4-BE49-F238E27FC236}">
              <a16:creationId xmlns:a16="http://schemas.microsoft.com/office/drawing/2014/main" id="{AE1B13ED-3883-4A2C-A9B4-D042B02B2E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1" name="Elipse 8710">
          <a:extLst>
            <a:ext uri="{FF2B5EF4-FFF2-40B4-BE49-F238E27FC236}">
              <a16:creationId xmlns:a16="http://schemas.microsoft.com/office/drawing/2014/main" id="{321BDAAB-261B-4257-80B1-98AF206B52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2" name="Elipse 8711">
          <a:extLst>
            <a:ext uri="{FF2B5EF4-FFF2-40B4-BE49-F238E27FC236}">
              <a16:creationId xmlns:a16="http://schemas.microsoft.com/office/drawing/2014/main" id="{9410C281-F0AF-45C1-923F-31876DA36A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3" name="Elipse 8712">
          <a:extLst>
            <a:ext uri="{FF2B5EF4-FFF2-40B4-BE49-F238E27FC236}">
              <a16:creationId xmlns:a16="http://schemas.microsoft.com/office/drawing/2014/main" id="{05A437D8-3282-497E-AE21-20DD31596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4" name="Elipse 8713">
          <a:extLst>
            <a:ext uri="{FF2B5EF4-FFF2-40B4-BE49-F238E27FC236}">
              <a16:creationId xmlns:a16="http://schemas.microsoft.com/office/drawing/2014/main" id="{33CA5002-6B2C-4EB9-91F6-534C70DE0F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5" name="Elipse 8714">
          <a:extLst>
            <a:ext uri="{FF2B5EF4-FFF2-40B4-BE49-F238E27FC236}">
              <a16:creationId xmlns:a16="http://schemas.microsoft.com/office/drawing/2014/main" id="{EA1D1317-9BD6-4AE0-B124-056AE338F9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6" name="Elipse 8715">
          <a:extLst>
            <a:ext uri="{FF2B5EF4-FFF2-40B4-BE49-F238E27FC236}">
              <a16:creationId xmlns:a16="http://schemas.microsoft.com/office/drawing/2014/main" id="{0214CB3C-84EE-4982-B693-A59FC66C51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7" name="Elipse 8716">
          <a:extLst>
            <a:ext uri="{FF2B5EF4-FFF2-40B4-BE49-F238E27FC236}">
              <a16:creationId xmlns:a16="http://schemas.microsoft.com/office/drawing/2014/main" id="{DFC6AADD-F3FB-444F-932D-322E0CC2E5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8" name="Elipse 8717">
          <a:extLst>
            <a:ext uri="{FF2B5EF4-FFF2-40B4-BE49-F238E27FC236}">
              <a16:creationId xmlns:a16="http://schemas.microsoft.com/office/drawing/2014/main" id="{CDC35E8F-7ED6-4ED9-AB5C-825703224B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19" name="Elipse 8718">
          <a:extLst>
            <a:ext uri="{FF2B5EF4-FFF2-40B4-BE49-F238E27FC236}">
              <a16:creationId xmlns:a16="http://schemas.microsoft.com/office/drawing/2014/main" id="{5DB14EC9-539A-43D2-91FF-C24333EFF0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0" name="Elipse 8719">
          <a:extLst>
            <a:ext uri="{FF2B5EF4-FFF2-40B4-BE49-F238E27FC236}">
              <a16:creationId xmlns:a16="http://schemas.microsoft.com/office/drawing/2014/main" id="{014E6E45-5283-46F2-8A87-24F0CB58C7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1" name="Elipse 8720">
          <a:extLst>
            <a:ext uri="{FF2B5EF4-FFF2-40B4-BE49-F238E27FC236}">
              <a16:creationId xmlns:a16="http://schemas.microsoft.com/office/drawing/2014/main" id="{B6D813BF-20EB-4FAF-919C-3E17F92F79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2" name="Elipse 8721">
          <a:extLst>
            <a:ext uri="{FF2B5EF4-FFF2-40B4-BE49-F238E27FC236}">
              <a16:creationId xmlns:a16="http://schemas.microsoft.com/office/drawing/2014/main" id="{3426FE4B-D69D-4B1A-AD3B-539214815B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3" name="Elipse 8722">
          <a:extLst>
            <a:ext uri="{FF2B5EF4-FFF2-40B4-BE49-F238E27FC236}">
              <a16:creationId xmlns:a16="http://schemas.microsoft.com/office/drawing/2014/main" id="{4E8E7FAB-F1FB-4E01-9969-1E5C7493AE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4" name="Elipse 8723">
          <a:extLst>
            <a:ext uri="{FF2B5EF4-FFF2-40B4-BE49-F238E27FC236}">
              <a16:creationId xmlns:a16="http://schemas.microsoft.com/office/drawing/2014/main" id="{DD094F05-DC2E-4988-AC35-A2A7D2F9BA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5" name="Elipse 8724">
          <a:extLst>
            <a:ext uri="{FF2B5EF4-FFF2-40B4-BE49-F238E27FC236}">
              <a16:creationId xmlns:a16="http://schemas.microsoft.com/office/drawing/2014/main" id="{35128DD5-2E6A-4539-B410-2BA38E5C7F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6" name="Elipse 8725">
          <a:extLst>
            <a:ext uri="{FF2B5EF4-FFF2-40B4-BE49-F238E27FC236}">
              <a16:creationId xmlns:a16="http://schemas.microsoft.com/office/drawing/2014/main" id="{09522622-8B48-4596-8D69-8F8B01590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7" name="Elipse 8726">
          <a:extLst>
            <a:ext uri="{FF2B5EF4-FFF2-40B4-BE49-F238E27FC236}">
              <a16:creationId xmlns:a16="http://schemas.microsoft.com/office/drawing/2014/main" id="{7C36D444-07B6-4F81-A5B4-D13C3C0BF0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8" name="Elipse 8727">
          <a:extLst>
            <a:ext uri="{FF2B5EF4-FFF2-40B4-BE49-F238E27FC236}">
              <a16:creationId xmlns:a16="http://schemas.microsoft.com/office/drawing/2014/main" id="{C34D2216-D9CE-40ED-9CDF-916D8DD58E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29" name="Elipse 8728">
          <a:extLst>
            <a:ext uri="{FF2B5EF4-FFF2-40B4-BE49-F238E27FC236}">
              <a16:creationId xmlns:a16="http://schemas.microsoft.com/office/drawing/2014/main" id="{1970EF44-65B1-45C0-BA7D-A55F60B70F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0" name="Elipse 8729">
          <a:extLst>
            <a:ext uri="{FF2B5EF4-FFF2-40B4-BE49-F238E27FC236}">
              <a16:creationId xmlns:a16="http://schemas.microsoft.com/office/drawing/2014/main" id="{19B07E36-7C86-41F9-879C-6283960336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1" name="Elipse 8730">
          <a:extLst>
            <a:ext uri="{FF2B5EF4-FFF2-40B4-BE49-F238E27FC236}">
              <a16:creationId xmlns:a16="http://schemas.microsoft.com/office/drawing/2014/main" id="{248AD157-8769-49EA-9C9A-5876E67FA9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2" name="Elipse 8731">
          <a:extLst>
            <a:ext uri="{FF2B5EF4-FFF2-40B4-BE49-F238E27FC236}">
              <a16:creationId xmlns:a16="http://schemas.microsoft.com/office/drawing/2014/main" id="{D91DB9C7-DE2C-4621-9DCD-2660F7C534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3" name="Elipse 8732">
          <a:extLst>
            <a:ext uri="{FF2B5EF4-FFF2-40B4-BE49-F238E27FC236}">
              <a16:creationId xmlns:a16="http://schemas.microsoft.com/office/drawing/2014/main" id="{94296ED3-F6AA-4104-A8D3-48B55CE0EB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4" name="Elipse 8733">
          <a:extLst>
            <a:ext uri="{FF2B5EF4-FFF2-40B4-BE49-F238E27FC236}">
              <a16:creationId xmlns:a16="http://schemas.microsoft.com/office/drawing/2014/main" id="{698672F5-BB5B-4FDD-8A07-EC9645D3B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5" name="Elipse 8734">
          <a:extLst>
            <a:ext uri="{FF2B5EF4-FFF2-40B4-BE49-F238E27FC236}">
              <a16:creationId xmlns:a16="http://schemas.microsoft.com/office/drawing/2014/main" id="{704D6F06-6BEA-4F25-991C-6C9CCBE3A3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6" name="Elipse 8735">
          <a:extLst>
            <a:ext uri="{FF2B5EF4-FFF2-40B4-BE49-F238E27FC236}">
              <a16:creationId xmlns:a16="http://schemas.microsoft.com/office/drawing/2014/main" id="{56580F0C-F2BC-4689-A72E-68F4E1C06E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7" name="Elipse 8736">
          <a:extLst>
            <a:ext uri="{FF2B5EF4-FFF2-40B4-BE49-F238E27FC236}">
              <a16:creationId xmlns:a16="http://schemas.microsoft.com/office/drawing/2014/main" id="{A8DD51A2-1153-4776-81E7-4B9F9624CC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8" name="Elipse 8737">
          <a:extLst>
            <a:ext uri="{FF2B5EF4-FFF2-40B4-BE49-F238E27FC236}">
              <a16:creationId xmlns:a16="http://schemas.microsoft.com/office/drawing/2014/main" id="{48E2E3C2-29F9-43AE-B444-3566A981E6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39" name="Elipse 8738">
          <a:extLst>
            <a:ext uri="{FF2B5EF4-FFF2-40B4-BE49-F238E27FC236}">
              <a16:creationId xmlns:a16="http://schemas.microsoft.com/office/drawing/2014/main" id="{60EF7670-6428-48FC-A000-57B4C275F1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0" name="Elipse 8739">
          <a:extLst>
            <a:ext uri="{FF2B5EF4-FFF2-40B4-BE49-F238E27FC236}">
              <a16:creationId xmlns:a16="http://schemas.microsoft.com/office/drawing/2014/main" id="{8463BE31-8597-4FB7-AF05-B14259B383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1" name="Elipse 8740">
          <a:extLst>
            <a:ext uri="{FF2B5EF4-FFF2-40B4-BE49-F238E27FC236}">
              <a16:creationId xmlns:a16="http://schemas.microsoft.com/office/drawing/2014/main" id="{9AA336C8-DE95-4121-BFC8-5C6BB6B471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2" name="Elipse 8741">
          <a:extLst>
            <a:ext uri="{FF2B5EF4-FFF2-40B4-BE49-F238E27FC236}">
              <a16:creationId xmlns:a16="http://schemas.microsoft.com/office/drawing/2014/main" id="{0681370E-756B-4AF0-92C0-7F7AA1EBD4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3" name="Elipse 8742">
          <a:extLst>
            <a:ext uri="{FF2B5EF4-FFF2-40B4-BE49-F238E27FC236}">
              <a16:creationId xmlns:a16="http://schemas.microsoft.com/office/drawing/2014/main" id="{B310827A-E457-44FC-9875-4805926C00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4" name="Elipse 8743">
          <a:extLst>
            <a:ext uri="{FF2B5EF4-FFF2-40B4-BE49-F238E27FC236}">
              <a16:creationId xmlns:a16="http://schemas.microsoft.com/office/drawing/2014/main" id="{8D50CE25-1A75-48E4-8566-17FB1D57B5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5" name="Elipse 8744">
          <a:extLst>
            <a:ext uri="{FF2B5EF4-FFF2-40B4-BE49-F238E27FC236}">
              <a16:creationId xmlns:a16="http://schemas.microsoft.com/office/drawing/2014/main" id="{907836BE-2782-4D42-B331-14CF168FEA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6" name="Elipse 8745">
          <a:extLst>
            <a:ext uri="{FF2B5EF4-FFF2-40B4-BE49-F238E27FC236}">
              <a16:creationId xmlns:a16="http://schemas.microsoft.com/office/drawing/2014/main" id="{BC55D438-5B59-4EF3-81F0-EB7E55B50F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7" name="Elipse 8746">
          <a:extLst>
            <a:ext uri="{FF2B5EF4-FFF2-40B4-BE49-F238E27FC236}">
              <a16:creationId xmlns:a16="http://schemas.microsoft.com/office/drawing/2014/main" id="{8E9D74CC-6318-4511-A578-D0431B7E76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8" name="Elipse 8747">
          <a:extLst>
            <a:ext uri="{FF2B5EF4-FFF2-40B4-BE49-F238E27FC236}">
              <a16:creationId xmlns:a16="http://schemas.microsoft.com/office/drawing/2014/main" id="{0ACB6844-C606-49DF-9224-4118A57DA4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49" name="Elipse 8748">
          <a:extLst>
            <a:ext uri="{FF2B5EF4-FFF2-40B4-BE49-F238E27FC236}">
              <a16:creationId xmlns:a16="http://schemas.microsoft.com/office/drawing/2014/main" id="{1D43070B-74C4-4F34-8BA5-CCADEFAE44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0" name="Elipse 8749">
          <a:extLst>
            <a:ext uri="{FF2B5EF4-FFF2-40B4-BE49-F238E27FC236}">
              <a16:creationId xmlns:a16="http://schemas.microsoft.com/office/drawing/2014/main" id="{B41CCE16-DAAE-4CE9-A96B-63879CAB1A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1" name="Elipse 8750">
          <a:extLst>
            <a:ext uri="{FF2B5EF4-FFF2-40B4-BE49-F238E27FC236}">
              <a16:creationId xmlns:a16="http://schemas.microsoft.com/office/drawing/2014/main" id="{C1B06168-D2DA-4245-A88C-98D99604D8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2" name="Elipse 8751">
          <a:extLst>
            <a:ext uri="{FF2B5EF4-FFF2-40B4-BE49-F238E27FC236}">
              <a16:creationId xmlns:a16="http://schemas.microsoft.com/office/drawing/2014/main" id="{8FF629CF-9402-4192-AE3F-D70297AA4D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3" name="Elipse 8752">
          <a:extLst>
            <a:ext uri="{FF2B5EF4-FFF2-40B4-BE49-F238E27FC236}">
              <a16:creationId xmlns:a16="http://schemas.microsoft.com/office/drawing/2014/main" id="{59AF3703-A884-4E39-8253-0BFB787B1A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4" name="Elipse 8753">
          <a:extLst>
            <a:ext uri="{FF2B5EF4-FFF2-40B4-BE49-F238E27FC236}">
              <a16:creationId xmlns:a16="http://schemas.microsoft.com/office/drawing/2014/main" id="{8D0DA287-1EE2-4B06-A74F-8BB6F66E9B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5" name="Elipse 8754">
          <a:extLst>
            <a:ext uri="{FF2B5EF4-FFF2-40B4-BE49-F238E27FC236}">
              <a16:creationId xmlns:a16="http://schemas.microsoft.com/office/drawing/2014/main" id="{41100290-EABB-4A3F-AA4F-A905384701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6" name="Elipse 8755">
          <a:extLst>
            <a:ext uri="{FF2B5EF4-FFF2-40B4-BE49-F238E27FC236}">
              <a16:creationId xmlns:a16="http://schemas.microsoft.com/office/drawing/2014/main" id="{C8FCBB09-EAA1-48AF-A053-4D7F816740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7" name="Elipse 8756">
          <a:extLst>
            <a:ext uri="{FF2B5EF4-FFF2-40B4-BE49-F238E27FC236}">
              <a16:creationId xmlns:a16="http://schemas.microsoft.com/office/drawing/2014/main" id="{5807317B-2A9D-4CB9-B28B-45CE6D1B59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8" name="Elipse 8757">
          <a:extLst>
            <a:ext uri="{FF2B5EF4-FFF2-40B4-BE49-F238E27FC236}">
              <a16:creationId xmlns:a16="http://schemas.microsoft.com/office/drawing/2014/main" id="{A6A87859-C30B-4BBB-8E4E-1A563B0FA5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59" name="Elipse 8758">
          <a:extLst>
            <a:ext uri="{FF2B5EF4-FFF2-40B4-BE49-F238E27FC236}">
              <a16:creationId xmlns:a16="http://schemas.microsoft.com/office/drawing/2014/main" id="{ACDF013F-0992-489D-A3EA-16C5084836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0" name="Elipse 8759">
          <a:extLst>
            <a:ext uri="{FF2B5EF4-FFF2-40B4-BE49-F238E27FC236}">
              <a16:creationId xmlns:a16="http://schemas.microsoft.com/office/drawing/2014/main" id="{75C2F07C-9897-450A-8F0B-987FDA5125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1" name="Elipse 8760">
          <a:extLst>
            <a:ext uri="{FF2B5EF4-FFF2-40B4-BE49-F238E27FC236}">
              <a16:creationId xmlns:a16="http://schemas.microsoft.com/office/drawing/2014/main" id="{0F5F6E0F-8C7D-4B46-B23A-1883274628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2" name="Elipse 8761">
          <a:extLst>
            <a:ext uri="{FF2B5EF4-FFF2-40B4-BE49-F238E27FC236}">
              <a16:creationId xmlns:a16="http://schemas.microsoft.com/office/drawing/2014/main" id="{10611CC1-C720-4766-B021-FF4EDC2756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3" name="Elipse 8762">
          <a:extLst>
            <a:ext uri="{FF2B5EF4-FFF2-40B4-BE49-F238E27FC236}">
              <a16:creationId xmlns:a16="http://schemas.microsoft.com/office/drawing/2014/main" id="{20935C7A-6762-4097-B2F9-F9F8FA9D5F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4" name="Elipse 8763">
          <a:extLst>
            <a:ext uri="{FF2B5EF4-FFF2-40B4-BE49-F238E27FC236}">
              <a16:creationId xmlns:a16="http://schemas.microsoft.com/office/drawing/2014/main" id="{71D59C50-8ECF-48D8-BD08-A4904FF61C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5" name="Elipse 8764">
          <a:extLst>
            <a:ext uri="{FF2B5EF4-FFF2-40B4-BE49-F238E27FC236}">
              <a16:creationId xmlns:a16="http://schemas.microsoft.com/office/drawing/2014/main" id="{0475C3AB-8467-4061-A811-FA34EF5045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6" name="Elipse 8765">
          <a:extLst>
            <a:ext uri="{FF2B5EF4-FFF2-40B4-BE49-F238E27FC236}">
              <a16:creationId xmlns:a16="http://schemas.microsoft.com/office/drawing/2014/main" id="{0823F808-2EB4-4CFA-9FF7-0212620ADA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7" name="Elipse 8766">
          <a:extLst>
            <a:ext uri="{FF2B5EF4-FFF2-40B4-BE49-F238E27FC236}">
              <a16:creationId xmlns:a16="http://schemas.microsoft.com/office/drawing/2014/main" id="{E1DD5072-6E03-4B51-B151-20D685F528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8" name="Elipse 8767">
          <a:extLst>
            <a:ext uri="{FF2B5EF4-FFF2-40B4-BE49-F238E27FC236}">
              <a16:creationId xmlns:a16="http://schemas.microsoft.com/office/drawing/2014/main" id="{29118B5C-9A99-42B0-881C-D425D99E85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69" name="Elipse 8768">
          <a:extLst>
            <a:ext uri="{FF2B5EF4-FFF2-40B4-BE49-F238E27FC236}">
              <a16:creationId xmlns:a16="http://schemas.microsoft.com/office/drawing/2014/main" id="{2A9A9EB4-C833-41EF-AF7C-9929EFFD3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0" name="Elipse 8769">
          <a:extLst>
            <a:ext uri="{FF2B5EF4-FFF2-40B4-BE49-F238E27FC236}">
              <a16:creationId xmlns:a16="http://schemas.microsoft.com/office/drawing/2014/main" id="{A2CFD347-2596-4DB4-BF40-2850637BAC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1" name="Elipse 8770">
          <a:extLst>
            <a:ext uri="{FF2B5EF4-FFF2-40B4-BE49-F238E27FC236}">
              <a16:creationId xmlns:a16="http://schemas.microsoft.com/office/drawing/2014/main" id="{8C7ED3F4-D15E-48AD-B321-B9EAEC24B2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2" name="Elipse 8771">
          <a:extLst>
            <a:ext uri="{FF2B5EF4-FFF2-40B4-BE49-F238E27FC236}">
              <a16:creationId xmlns:a16="http://schemas.microsoft.com/office/drawing/2014/main" id="{D4307731-CE67-4FB2-A919-C8ADA8001B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3" name="Elipse 8772">
          <a:extLst>
            <a:ext uri="{FF2B5EF4-FFF2-40B4-BE49-F238E27FC236}">
              <a16:creationId xmlns:a16="http://schemas.microsoft.com/office/drawing/2014/main" id="{CB273821-AE90-4839-9BBC-25E1F15257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4" name="Elipse 8773">
          <a:extLst>
            <a:ext uri="{FF2B5EF4-FFF2-40B4-BE49-F238E27FC236}">
              <a16:creationId xmlns:a16="http://schemas.microsoft.com/office/drawing/2014/main" id="{7886AE74-6F4F-462F-AD12-3F91CB2472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5" name="Elipse 8774">
          <a:extLst>
            <a:ext uri="{FF2B5EF4-FFF2-40B4-BE49-F238E27FC236}">
              <a16:creationId xmlns:a16="http://schemas.microsoft.com/office/drawing/2014/main" id="{75EDE8FB-42C0-4CAA-9D12-B43359F962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6" name="Elipse 8775">
          <a:extLst>
            <a:ext uri="{FF2B5EF4-FFF2-40B4-BE49-F238E27FC236}">
              <a16:creationId xmlns:a16="http://schemas.microsoft.com/office/drawing/2014/main" id="{936BD221-1E86-47FA-B617-F7EA31629F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7" name="Elipse 8776">
          <a:extLst>
            <a:ext uri="{FF2B5EF4-FFF2-40B4-BE49-F238E27FC236}">
              <a16:creationId xmlns:a16="http://schemas.microsoft.com/office/drawing/2014/main" id="{9F6991F2-EF0E-4808-A7F5-02DAA4BE58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8" name="Elipse 8777">
          <a:extLst>
            <a:ext uri="{FF2B5EF4-FFF2-40B4-BE49-F238E27FC236}">
              <a16:creationId xmlns:a16="http://schemas.microsoft.com/office/drawing/2014/main" id="{5AC08F34-BAA4-488D-BD3F-2B413DC0AF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79" name="Elipse 8778">
          <a:extLst>
            <a:ext uri="{FF2B5EF4-FFF2-40B4-BE49-F238E27FC236}">
              <a16:creationId xmlns:a16="http://schemas.microsoft.com/office/drawing/2014/main" id="{49AC365A-3E9F-412E-8FEC-CF9CD2E62F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0" name="Elipse 8779">
          <a:extLst>
            <a:ext uri="{FF2B5EF4-FFF2-40B4-BE49-F238E27FC236}">
              <a16:creationId xmlns:a16="http://schemas.microsoft.com/office/drawing/2014/main" id="{2F8C43EB-FA72-4651-AA4F-5266AEC019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1" name="Elipse 8780">
          <a:extLst>
            <a:ext uri="{FF2B5EF4-FFF2-40B4-BE49-F238E27FC236}">
              <a16:creationId xmlns:a16="http://schemas.microsoft.com/office/drawing/2014/main" id="{E1657E2C-B207-41B2-86CC-D70856924C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2" name="Elipse 8781">
          <a:extLst>
            <a:ext uri="{FF2B5EF4-FFF2-40B4-BE49-F238E27FC236}">
              <a16:creationId xmlns:a16="http://schemas.microsoft.com/office/drawing/2014/main" id="{F48A36D9-BDC5-47A6-A381-5000280747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3" name="Elipse 8782">
          <a:extLst>
            <a:ext uri="{FF2B5EF4-FFF2-40B4-BE49-F238E27FC236}">
              <a16:creationId xmlns:a16="http://schemas.microsoft.com/office/drawing/2014/main" id="{3E76437C-4D6C-4A31-A375-281C4AFE8A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4" name="Elipse 8783">
          <a:extLst>
            <a:ext uri="{FF2B5EF4-FFF2-40B4-BE49-F238E27FC236}">
              <a16:creationId xmlns:a16="http://schemas.microsoft.com/office/drawing/2014/main" id="{9402D9E6-6861-4D28-9F01-E607F4FEAD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5" name="Elipse 8784">
          <a:extLst>
            <a:ext uri="{FF2B5EF4-FFF2-40B4-BE49-F238E27FC236}">
              <a16:creationId xmlns:a16="http://schemas.microsoft.com/office/drawing/2014/main" id="{03309814-C8EB-44B7-8C52-507B48EF73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6" name="Elipse 8785">
          <a:extLst>
            <a:ext uri="{FF2B5EF4-FFF2-40B4-BE49-F238E27FC236}">
              <a16:creationId xmlns:a16="http://schemas.microsoft.com/office/drawing/2014/main" id="{BCD4445C-3503-474D-A490-D2BCDB1E5A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7" name="Elipse 8786">
          <a:extLst>
            <a:ext uri="{FF2B5EF4-FFF2-40B4-BE49-F238E27FC236}">
              <a16:creationId xmlns:a16="http://schemas.microsoft.com/office/drawing/2014/main" id="{61EEB2E4-AAE4-4F6D-927F-6E1806347B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8" name="Elipse 8787">
          <a:extLst>
            <a:ext uri="{FF2B5EF4-FFF2-40B4-BE49-F238E27FC236}">
              <a16:creationId xmlns:a16="http://schemas.microsoft.com/office/drawing/2014/main" id="{F1FADCB6-E264-430D-9AD4-61E1E3DCB7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89" name="Elipse 8788">
          <a:extLst>
            <a:ext uri="{FF2B5EF4-FFF2-40B4-BE49-F238E27FC236}">
              <a16:creationId xmlns:a16="http://schemas.microsoft.com/office/drawing/2014/main" id="{F7B2049F-0FF7-4E3F-9027-F0F4B06AC2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0" name="Elipse 8789">
          <a:extLst>
            <a:ext uri="{FF2B5EF4-FFF2-40B4-BE49-F238E27FC236}">
              <a16:creationId xmlns:a16="http://schemas.microsoft.com/office/drawing/2014/main" id="{4D9AB389-3A8E-4168-8162-93092C636D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1" name="Elipse 8790">
          <a:extLst>
            <a:ext uri="{FF2B5EF4-FFF2-40B4-BE49-F238E27FC236}">
              <a16:creationId xmlns:a16="http://schemas.microsoft.com/office/drawing/2014/main" id="{1DAF0B6C-6F9F-4214-8FD0-24C09DFE19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2" name="Elipse 8791">
          <a:extLst>
            <a:ext uri="{FF2B5EF4-FFF2-40B4-BE49-F238E27FC236}">
              <a16:creationId xmlns:a16="http://schemas.microsoft.com/office/drawing/2014/main" id="{C81D9F53-C516-49B4-88B2-78C264A9F5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3" name="Elipse 8792">
          <a:extLst>
            <a:ext uri="{FF2B5EF4-FFF2-40B4-BE49-F238E27FC236}">
              <a16:creationId xmlns:a16="http://schemas.microsoft.com/office/drawing/2014/main" id="{D2071D39-9BEE-4C57-BB03-B6B3D60F3F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4" name="Elipse 8793">
          <a:extLst>
            <a:ext uri="{FF2B5EF4-FFF2-40B4-BE49-F238E27FC236}">
              <a16:creationId xmlns:a16="http://schemas.microsoft.com/office/drawing/2014/main" id="{0D32B5D0-E100-45DB-8D11-5067D2E150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5" name="Elipse 8794">
          <a:extLst>
            <a:ext uri="{FF2B5EF4-FFF2-40B4-BE49-F238E27FC236}">
              <a16:creationId xmlns:a16="http://schemas.microsoft.com/office/drawing/2014/main" id="{470E686E-8292-4AE3-A2C0-D93FA87109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6" name="Elipse 8795">
          <a:extLst>
            <a:ext uri="{FF2B5EF4-FFF2-40B4-BE49-F238E27FC236}">
              <a16:creationId xmlns:a16="http://schemas.microsoft.com/office/drawing/2014/main" id="{569A3E12-43FE-43D4-9639-68F02C6814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7" name="Elipse 8796">
          <a:extLst>
            <a:ext uri="{FF2B5EF4-FFF2-40B4-BE49-F238E27FC236}">
              <a16:creationId xmlns:a16="http://schemas.microsoft.com/office/drawing/2014/main" id="{CC8B3513-0094-4CB2-946A-E7AC6A897A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8" name="Elipse 8797">
          <a:extLst>
            <a:ext uri="{FF2B5EF4-FFF2-40B4-BE49-F238E27FC236}">
              <a16:creationId xmlns:a16="http://schemas.microsoft.com/office/drawing/2014/main" id="{569E9E74-A2AE-45DD-909E-C6225364F1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799" name="Elipse 8798">
          <a:extLst>
            <a:ext uri="{FF2B5EF4-FFF2-40B4-BE49-F238E27FC236}">
              <a16:creationId xmlns:a16="http://schemas.microsoft.com/office/drawing/2014/main" id="{41C93A0C-13ED-4D7D-907F-25F353B801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0" name="Elipse 8799">
          <a:extLst>
            <a:ext uri="{FF2B5EF4-FFF2-40B4-BE49-F238E27FC236}">
              <a16:creationId xmlns:a16="http://schemas.microsoft.com/office/drawing/2014/main" id="{8E21BA59-F6EE-4C68-8351-C090A38319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1" name="Elipse 8800">
          <a:extLst>
            <a:ext uri="{FF2B5EF4-FFF2-40B4-BE49-F238E27FC236}">
              <a16:creationId xmlns:a16="http://schemas.microsoft.com/office/drawing/2014/main" id="{AB3B109E-34CB-4386-84D5-ED2B13DB11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2" name="Elipse 8801">
          <a:extLst>
            <a:ext uri="{FF2B5EF4-FFF2-40B4-BE49-F238E27FC236}">
              <a16:creationId xmlns:a16="http://schemas.microsoft.com/office/drawing/2014/main" id="{6B2B89C5-E574-4BFA-8757-7F2248C14C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3" name="Elipse 8802">
          <a:extLst>
            <a:ext uri="{FF2B5EF4-FFF2-40B4-BE49-F238E27FC236}">
              <a16:creationId xmlns:a16="http://schemas.microsoft.com/office/drawing/2014/main" id="{96251D8D-9C49-48B5-BB96-BA4E40EC4F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4" name="Elipse 8803">
          <a:extLst>
            <a:ext uri="{FF2B5EF4-FFF2-40B4-BE49-F238E27FC236}">
              <a16:creationId xmlns:a16="http://schemas.microsoft.com/office/drawing/2014/main" id="{84581C50-15D4-48DB-8B38-0642977781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5" name="Elipse 8804">
          <a:extLst>
            <a:ext uri="{FF2B5EF4-FFF2-40B4-BE49-F238E27FC236}">
              <a16:creationId xmlns:a16="http://schemas.microsoft.com/office/drawing/2014/main" id="{076DECE0-AAAC-4A50-984E-68C97476F0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6" name="Elipse 8805">
          <a:extLst>
            <a:ext uri="{FF2B5EF4-FFF2-40B4-BE49-F238E27FC236}">
              <a16:creationId xmlns:a16="http://schemas.microsoft.com/office/drawing/2014/main" id="{63B99BCF-6CD2-4512-B40A-33F36B2A44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7" name="Elipse 8806">
          <a:extLst>
            <a:ext uri="{FF2B5EF4-FFF2-40B4-BE49-F238E27FC236}">
              <a16:creationId xmlns:a16="http://schemas.microsoft.com/office/drawing/2014/main" id="{8DE71901-8E3A-4449-82DE-5EADEE6F80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8" name="Elipse 8807">
          <a:extLst>
            <a:ext uri="{FF2B5EF4-FFF2-40B4-BE49-F238E27FC236}">
              <a16:creationId xmlns:a16="http://schemas.microsoft.com/office/drawing/2014/main" id="{3C5D898B-0602-4548-AE25-3823BAD4A0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09" name="Elipse 8808">
          <a:extLst>
            <a:ext uri="{FF2B5EF4-FFF2-40B4-BE49-F238E27FC236}">
              <a16:creationId xmlns:a16="http://schemas.microsoft.com/office/drawing/2014/main" id="{CA5113BE-3632-45A5-AFEB-4DE6CF9C6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0" name="Elipse 8809">
          <a:extLst>
            <a:ext uri="{FF2B5EF4-FFF2-40B4-BE49-F238E27FC236}">
              <a16:creationId xmlns:a16="http://schemas.microsoft.com/office/drawing/2014/main" id="{F3BDC459-6C81-4723-8D6A-7BEA769199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1" name="Elipse 8810">
          <a:extLst>
            <a:ext uri="{FF2B5EF4-FFF2-40B4-BE49-F238E27FC236}">
              <a16:creationId xmlns:a16="http://schemas.microsoft.com/office/drawing/2014/main" id="{406C2B2E-C4D7-4974-988C-34FF845938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2" name="Elipse 8811">
          <a:extLst>
            <a:ext uri="{FF2B5EF4-FFF2-40B4-BE49-F238E27FC236}">
              <a16:creationId xmlns:a16="http://schemas.microsoft.com/office/drawing/2014/main" id="{933E074A-52D2-4756-9BA8-934A493532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3" name="Elipse 8812">
          <a:extLst>
            <a:ext uri="{FF2B5EF4-FFF2-40B4-BE49-F238E27FC236}">
              <a16:creationId xmlns:a16="http://schemas.microsoft.com/office/drawing/2014/main" id="{ED9B3BB3-C9CF-47DF-AB50-07858288A3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4" name="Elipse 8813">
          <a:extLst>
            <a:ext uri="{FF2B5EF4-FFF2-40B4-BE49-F238E27FC236}">
              <a16:creationId xmlns:a16="http://schemas.microsoft.com/office/drawing/2014/main" id="{58C08B8E-5A5D-4A4C-92DD-FD868A19A9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5" name="Elipse 8814">
          <a:extLst>
            <a:ext uri="{FF2B5EF4-FFF2-40B4-BE49-F238E27FC236}">
              <a16:creationId xmlns:a16="http://schemas.microsoft.com/office/drawing/2014/main" id="{F428EC28-B87E-46E1-A75C-B3E8EB49B6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6" name="Elipse 8815">
          <a:extLst>
            <a:ext uri="{FF2B5EF4-FFF2-40B4-BE49-F238E27FC236}">
              <a16:creationId xmlns:a16="http://schemas.microsoft.com/office/drawing/2014/main" id="{EB373BDD-A71E-4AF8-A2E8-ABEFB1BC1E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7" name="Elipse 8816">
          <a:extLst>
            <a:ext uri="{FF2B5EF4-FFF2-40B4-BE49-F238E27FC236}">
              <a16:creationId xmlns:a16="http://schemas.microsoft.com/office/drawing/2014/main" id="{D5D41D29-A07A-44CC-8DE6-B58F32CC7A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8" name="Elipse 8817">
          <a:extLst>
            <a:ext uri="{FF2B5EF4-FFF2-40B4-BE49-F238E27FC236}">
              <a16:creationId xmlns:a16="http://schemas.microsoft.com/office/drawing/2014/main" id="{272E4414-B825-4838-B284-584F1D7D6A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19" name="Elipse 8818">
          <a:extLst>
            <a:ext uri="{FF2B5EF4-FFF2-40B4-BE49-F238E27FC236}">
              <a16:creationId xmlns:a16="http://schemas.microsoft.com/office/drawing/2014/main" id="{62215765-42F2-4D29-B18B-B2351230A0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0" name="Elipse 8819">
          <a:extLst>
            <a:ext uri="{FF2B5EF4-FFF2-40B4-BE49-F238E27FC236}">
              <a16:creationId xmlns:a16="http://schemas.microsoft.com/office/drawing/2014/main" id="{D188A9ED-BDE7-48C8-B1BA-90F85D0742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1" name="Elipse 8820">
          <a:extLst>
            <a:ext uri="{FF2B5EF4-FFF2-40B4-BE49-F238E27FC236}">
              <a16:creationId xmlns:a16="http://schemas.microsoft.com/office/drawing/2014/main" id="{D561E82C-6F56-4EE5-9E5A-A1E1815C0D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2" name="Elipse 8821">
          <a:extLst>
            <a:ext uri="{FF2B5EF4-FFF2-40B4-BE49-F238E27FC236}">
              <a16:creationId xmlns:a16="http://schemas.microsoft.com/office/drawing/2014/main" id="{3CED1FA0-29B5-428B-8E35-486FD7122A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3" name="Elipse 8822">
          <a:extLst>
            <a:ext uri="{FF2B5EF4-FFF2-40B4-BE49-F238E27FC236}">
              <a16:creationId xmlns:a16="http://schemas.microsoft.com/office/drawing/2014/main" id="{190393FD-73DA-4BFD-AB46-1CCCA6249C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4" name="Elipse 8823">
          <a:extLst>
            <a:ext uri="{FF2B5EF4-FFF2-40B4-BE49-F238E27FC236}">
              <a16:creationId xmlns:a16="http://schemas.microsoft.com/office/drawing/2014/main" id="{4239F268-3FC2-4121-947A-D58A56E2DA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5" name="Elipse 8824">
          <a:extLst>
            <a:ext uri="{FF2B5EF4-FFF2-40B4-BE49-F238E27FC236}">
              <a16:creationId xmlns:a16="http://schemas.microsoft.com/office/drawing/2014/main" id="{DA54AF37-14E9-44B6-BBA0-E7A4F905AF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6" name="Elipse 8825">
          <a:extLst>
            <a:ext uri="{FF2B5EF4-FFF2-40B4-BE49-F238E27FC236}">
              <a16:creationId xmlns:a16="http://schemas.microsoft.com/office/drawing/2014/main" id="{E79A273A-514B-4490-96D7-6F67611378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7" name="Elipse 8826">
          <a:extLst>
            <a:ext uri="{FF2B5EF4-FFF2-40B4-BE49-F238E27FC236}">
              <a16:creationId xmlns:a16="http://schemas.microsoft.com/office/drawing/2014/main" id="{94C7554E-DF61-449D-A384-6FFF12B1F1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8" name="Elipse 8827">
          <a:extLst>
            <a:ext uri="{FF2B5EF4-FFF2-40B4-BE49-F238E27FC236}">
              <a16:creationId xmlns:a16="http://schemas.microsoft.com/office/drawing/2014/main" id="{AB090BEE-0A72-4100-8F14-EA65E47155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29" name="Elipse 8828">
          <a:extLst>
            <a:ext uri="{FF2B5EF4-FFF2-40B4-BE49-F238E27FC236}">
              <a16:creationId xmlns:a16="http://schemas.microsoft.com/office/drawing/2014/main" id="{CE78C009-53D2-44EE-A66A-32A08C74C2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0" name="Elipse 8829">
          <a:extLst>
            <a:ext uri="{FF2B5EF4-FFF2-40B4-BE49-F238E27FC236}">
              <a16:creationId xmlns:a16="http://schemas.microsoft.com/office/drawing/2014/main" id="{211700CA-5051-47DE-8AB5-C21234CE66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1" name="Elipse 8830">
          <a:extLst>
            <a:ext uri="{FF2B5EF4-FFF2-40B4-BE49-F238E27FC236}">
              <a16:creationId xmlns:a16="http://schemas.microsoft.com/office/drawing/2014/main" id="{8E1C7F51-482F-4D3E-898E-D98A919792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2" name="Elipse 8831">
          <a:extLst>
            <a:ext uri="{FF2B5EF4-FFF2-40B4-BE49-F238E27FC236}">
              <a16:creationId xmlns:a16="http://schemas.microsoft.com/office/drawing/2014/main" id="{97ADE918-8F85-4BE3-973B-2CF28607F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3" name="Elipse 8832">
          <a:extLst>
            <a:ext uri="{FF2B5EF4-FFF2-40B4-BE49-F238E27FC236}">
              <a16:creationId xmlns:a16="http://schemas.microsoft.com/office/drawing/2014/main" id="{FC13A9F2-DF33-432A-A6FD-71976C16BE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4" name="Elipse 8833">
          <a:extLst>
            <a:ext uri="{FF2B5EF4-FFF2-40B4-BE49-F238E27FC236}">
              <a16:creationId xmlns:a16="http://schemas.microsoft.com/office/drawing/2014/main" id="{67B75643-D66D-4769-BA7C-962D5EB266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5" name="Elipse 8834">
          <a:extLst>
            <a:ext uri="{FF2B5EF4-FFF2-40B4-BE49-F238E27FC236}">
              <a16:creationId xmlns:a16="http://schemas.microsoft.com/office/drawing/2014/main" id="{D3342FD3-A823-4F8F-90E1-62BBCA4154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6" name="Elipse 8835">
          <a:extLst>
            <a:ext uri="{FF2B5EF4-FFF2-40B4-BE49-F238E27FC236}">
              <a16:creationId xmlns:a16="http://schemas.microsoft.com/office/drawing/2014/main" id="{5F3E101F-51C9-4654-BB8D-2772D1A216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7" name="Elipse 8836">
          <a:extLst>
            <a:ext uri="{FF2B5EF4-FFF2-40B4-BE49-F238E27FC236}">
              <a16:creationId xmlns:a16="http://schemas.microsoft.com/office/drawing/2014/main" id="{4E1EA06D-DDF6-42BF-B67B-BC37F4EA25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8" name="Elipse 8837">
          <a:extLst>
            <a:ext uri="{FF2B5EF4-FFF2-40B4-BE49-F238E27FC236}">
              <a16:creationId xmlns:a16="http://schemas.microsoft.com/office/drawing/2014/main" id="{B567CA7C-E768-41C6-BBE6-563CC42051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39" name="Elipse 8838">
          <a:extLst>
            <a:ext uri="{FF2B5EF4-FFF2-40B4-BE49-F238E27FC236}">
              <a16:creationId xmlns:a16="http://schemas.microsoft.com/office/drawing/2014/main" id="{E99FFED3-A995-411F-BDFA-AC3A3B54C9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0" name="Elipse 8839">
          <a:extLst>
            <a:ext uri="{FF2B5EF4-FFF2-40B4-BE49-F238E27FC236}">
              <a16:creationId xmlns:a16="http://schemas.microsoft.com/office/drawing/2014/main" id="{A4A18027-F58E-4288-9C25-2397BE0048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1" name="Elipse 8840">
          <a:extLst>
            <a:ext uri="{FF2B5EF4-FFF2-40B4-BE49-F238E27FC236}">
              <a16:creationId xmlns:a16="http://schemas.microsoft.com/office/drawing/2014/main" id="{C305FC9E-6F20-414E-83B1-EBEADE69C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2" name="Elipse 8841">
          <a:extLst>
            <a:ext uri="{FF2B5EF4-FFF2-40B4-BE49-F238E27FC236}">
              <a16:creationId xmlns:a16="http://schemas.microsoft.com/office/drawing/2014/main" id="{4A41FC65-0925-4AFD-8C69-6D88616A98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3" name="Elipse 8842">
          <a:extLst>
            <a:ext uri="{FF2B5EF4-FFF2-40B4-BE49-F238E27FC236}">
              <a16:creationId xmlns:a16="http://schemas.microsoft.com/office/drawing/2014/main" id="{B0FF5FE1-BFF0-48C3-8939-456E29944A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4" name="Elipse 8843">
          <a:extLst>
            <a:ext uri="{FF2B5EF4-FFF2-40B4-BE49-F238E27FC236}">
              <a16:creationId xmlns:a16="http://schemas.microsoft.com/office/drawing/2014/main" id="{1E493E5C-136B-4BC7-BFC2-FAD0608443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5" name="Elipse 8844">
          <a:extLst>
            <a:ext uri="{FF2B5EF4-FFF2-40B4-BE49-F238E27FC236}">
              <a16:creationId xmlns:a16="http://schemas.microsoft.com/office/drawing/2014/main" id="{F2ABAA3B-C705-4FE0-BA79-516AFC5967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6" name="Elipse 8845">
          <a:extLst>
            <a:ext uri="{FF2B5EF4-FFF2-40B4-BE49-F238E27FC236}">
              <a16:creationId xmlns:a16="http://schemas.microsoft.com/office/drawing/2014/main" id="{1DCE30B3-B22B-41C4-800A-7F6896DFC3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7" name="Elipse 8846">
          <a:extLst>
            <a:ext uri="{FF2B5EF4-FFF2-40B4-BE49-F238E27FC236}">
              <a16:creationId xmlns:a16="http://schemas.microsoft.com/office/drawing/2014/main" id="{A2FBF100-9134-4B8E-96D6-707CA0D9B2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8" name="Elipse 8847">
          <a:extLst>
            <a:ext uri="{FF2B5EF4-FFF2-40B4-BE49-F238E27FC236}">
              <a16:creationId xmlns:a16="http://schemas.microsoft.com/office/drawing/2014/main" id="{5B89A145-B94D-4F2D-A37F-8419743A42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49" name="Elipse 8848">
          <a:extLst>
            <a:ext uri="{FF2B5EF4-FFF2-40B4-BE49-F238E27FC236}">
              <a16:creationId xmlns:a16="http://schemas.microsoft.com/office/drawing/2014/main" id="{3D1824F9-E027-43E4-AC40-AA7BBCE8BC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0" name="Elipse 8849">
          <a:extLst>
            <a:ext uri="{FF2B5EF4-FFF2-40B4-BE49-F238E27FC236}">
              <a16:creationId xmlns:a16="http://schemas.microsoft.com/office/drawing/2014/main" id="{E163FAB3-154E-4630-A8DC-F4659EA5D6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1" name="Elipse 8850">
          <a:extLst>
            <a:ext uri="{FF2B5EF4-FFF2-40B4-BE49-F238E27FC236}">
              <a16:creationId xmlns:a16="http://schemas.microsoft.com/office/drawing/2014/main" id="{90885F4F-B0A1-49DC-9940-642CB58EEC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2" name="Elipse 8851">
          <a:extLst>
            <a:ext uri="{FF2B5EF4-FFF2-40B4-BE49-F238E27FC236}">
              <a16:creationId xmlns:a16="http://schemas.microsoft.com/office/drawing/2014/main" id="{FDD5C3C5-9F3B-4F05-9870-4EAB8AA3CE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3" name="Elipse 8852">
          <a:extLst>
            <a:ext uri="{FF2B5EF4-FFF2-40B4-BE49-F238E27FC236}">
              <a16:creationId xmlns:a16="http://schemas.microsoft.com/office/drawing/2014/main" id="{929811F2-040A-4140-BF27-AA5E6E4BDA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4" name="Elipse 8853">
          <a:extLst>
            <a:ext uri="{FF2B5EF4-FFF2-40B4-BE49-F238E27FC236}">
              <a16:creationId xmlns:a16="http://schemas.microsoft.com/office/drawing/2014/main" id="{F5E1875E-B2FD-412F-8B83-5256BA4F8B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5" name="Elipse 8854">
          <a:extLst>
            <a:ext uri="{FF2B5EF4-FFF2-40B4-BE49-F238E27FC236}">
              <a16:creationId xmlns:a16="http://schemas.microsoft.com/office/drawing/2014/main" id="{34FCF4C2-C6BE-40C7-AFA3-C36EC53CE4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6" name="Elipse 8855">
          <a:extLst>
            <a:ext uri="{FF2B5EF4-FFF2-40B4-BE49-F238E27FC236}">
              <a16:creationId xmlns:a16="http://schemas.microsoft.com/office/drawing/2014/main" id="{D484DE94-1F19-4668-BD8A-ECC30E6FA7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7" name="Elipse 8856">
          <a:extLst>
            <a:ext uri="{FF2B5EF4-FFF2-40B4-BE49-F238E27FC236}">
              <a16:creationId xmlns:a16="http://schemas.microsoft.com/office/drawing/2014/main" id="{9F054C66-8C24-4779-ABF2-E6A016E618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8" name="Elipse 8857">
          <a:extLst>
            <a:ext uri="{FF2B5EF4-FFF2-40B4-BE49-F238E27FC236}">
              <a16:creationId xmlns:a16="http://schemas.microsoft.com/office/drawing/2014/main" id="{D239AD7E-2686-4DE5-8BB4-93E15A2175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59" name="Elipse 8858">
          <a:extLst>
            <a:ext uri="{FF2B5EF4-FFF2-40B4-BE49-F238E27FC236}">
              <a16:creationId xmlns:a16="http://schemas.microsoft.com/office/drawing/2014/main" id="{E06CC71F-CA8B-4871-8F00-0551EFAF1B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0" name="Elipse 8859">
          <a:extLst>
            <a:ext uri="{FF2B5EF4-FFF2-40B4-BE49-F238E27FC236}">
              <a16:creationId xmlns:a16="http://schemas.microsoft.com/office/drawing/2014/main" id="{CF7D950A-CB3E-4199-8B71-99B90DCA03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1" name="Elipse 8860">
          <a:extLst>
            <a:ext uri="{FF2B5EF4-FFF2-40B4-BE49-F238E27FC236}">
              <a16:creationId xmlns:a16="http://schemas.microsoft.com/office/drawing/2014/main" id="{060868AF-7C87-44F5-BEA0-0416DC0EC0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2" name="Elipse 8861">
          <a:extLst>
            <a:ext uri="{FF2B5EF4-FFF2-40B4-BE49-F238E27FC236}">
              <a16:creationId xmlns:a16="http://schemas.microsoft.com/office/drawing/2014/main" id="{19567A67-F3D4-419E-AD6A-D0E13D7658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3" name="Elipse 8862">
          <a:extLst>
            <a:ext uri="{FF2B5EF4-FFF2-40B4-BE49-F238E27FC236}">
              <a16:creationId xmlns:a16="http://schemas.microsoft.com/office/drawing/2014/main" id="{01027223-FB2A-4601-8484-CD0D62EC10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4" name="Elipse 8863">
          <a:extLst>
            <a:ext uri="{FF2B5EF4-FFF2-40B4-BE49-F238E27FC236}">
              <a16:creationId xmlns:a16="http://schemas.microsoft.com/office/drawing/2014/main" id="{A6E2DBBC-980C-4D7A-AD2C-F8161256B9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5" name="Elipse 8864">
          <a:extLst>
            <a:ext uri="{FF2B5EF4-FFF2-40B4-BE49-F238E27FC236}">
              <a16:creationId xmlns:a16="http://schemas.microsoft.com/office/drawing/2014/main" id="{43334FC0-2535-4C90-B1F7-871474BD98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6" name="Elipse 8865">
          <a:extLst>
            <a:ext uri="{FF2B5EF4-FFF2-40B4-BE49-F238E27FC236}">
              <a16:creationId xmlns:a16="http://schemas.microsoft.com/office/drawing/2014/main" id="{DA1833D0-49E3-4DCA-A958-D508DF6C03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7" name="Elipse 8866">
          <a:extLst>
            <a:ext uri="{FF2B5EF4-FFF2-40B4-BE49-F238E27FC236}">
              <a16:creationId xmlns:a16="http://schemas.microsoft.com/office/drawing/2014/main" id="{6C529EDB-9435-437F-9B82-4796B662C5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8" name="Elipse 8867">
          <a:extLst>
            <a:ext uri="{FF2B5EF4-FFF2-40B4-BE49-F238E27FC236}">
              <a16:creationId xmlns:a16="http://schemas.microsoft.com/office/drawing/2014/main" id="{3512F09B-FB54-4C1A-AEC1-5757126BEE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69" name="Elipse 8868">
          <a:extLst>
            <a:ext uri="{FF2B5EF4-FFF2-40B4-BE49-F238E27FC236}">
              <a16:creationId xmlns:a16="http://schemas.microsoft.com/office/drawing/2014/main" id="{C3299830-F450-498E-BCD6-F40950770B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0" name="Elipse 8869">
          <a:extLst>
            <a:ext uri="{FF2B5EF4-FFF2-40B4-BE49-F238E27FC236}">
              <a16:creationId xmlns:a16="http://schemas.microsoft.com/office/drawing/2014/main" id="{E2AE3C67-1A65-41D5-BA9D-F4D421C512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1" name="Elipse 8870">
          <a:extLst>
            <a:ext uri="{FF2B5EF4-FFF2-40B4-BE49-F238E27FC236}">
              <a16:creationId xmlns:a16="http://schemas.microsoft.com/office/drawing/2014/main" id="{B5A9C5A7-04D5-46EA-8451-39A4EB9948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2" name="Elipse 8871">
          <a:extLst>
            <a:ext uri="{FF2B5EF4-FFF2-40B4-BE49-F238E27FC236}">
              <a16:creationId xmlns:a16="http://schemas.microsoft.com/office/drawing/2014/main" id="{1AD089C7-CCE9-424A-B8DC-8303C541E0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3" name="Elipse 8872">
          <a:extLst>
            <a:ext uri="{FF2B5EF4-FFF2-40B4-BE49-F238E27FC236}">
              <a16:creationId xmlns:a16="http://schemas.microsoft.com/office/drawing/2014/main" id="{01172B10-14BA-4085-90C6-69575C7E5A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4" name="Elipse 8873">
          <a:extLst>
            <a:ext uri="{FF2B5EF4-FFF2-40B4-BE49-F238E27FC236}">
              <a16:creationId xmlns:a16="http://schemas.microsoft.com/office/drawing/2014/main" id="{55111508-FE06-44FB-B0A5-90BA2EB694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5" name="Elipse 8874">
          <a:extLst>
            <a:ext uri="{FF2B5EF4-FFF2-40B4-BE49-F238E27FC236}">
              <a16:creationId xmlns:a16="http://schemas.microsoft.com/office/drawing/2014/main" id="{CE5D8453-178A-4D25-8265-163258535A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6" name="Elipse 8875">
          <a:extLst>
            <a:ext uri="{FF2B5EF4-FFF2-40B4-BE49-F238E27FC236}">
              <a16:creationId xmlns:a16="http://schemas.microsoft.com/office/drawing/2014/main" id="{B0B0BCDC-9036-4649-8D7E-2C823E6CC5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7" name="Elipse 8876">
          <a:extLst>
            <a:ext uri="{FF2B5EF4-FFF2-40B4-BE49-F238E27FC236}">
              <a16:creationId xmlns:a16="http://schemas.microsoft.com/office/drawing/2014/main" id="{991F0857-60F1-4100-9EF4-A1D0EB0301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8" name="Elipse 8877">
          <a:extLst>
            <a:ext uri="{FF2B5EF4-FFF2-40B4-BE49-F238E27FC236}">
              <a16:creationId xmlns:a16="http://schemas.microsoft.com/office/drawing/2014/main" id="{594EB1BC-0752-4B1B-BBCD-B3D536F122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79" name="Elipse 8878">
          <a:extLst>
            <a:ext uri="{FF2B5EF4-FFF2-40B4-BE49-F238E27FC236}">
              <a16:creationId xmlns:a16="http://schemas.microsoft.com/office/drawing/2014/main" id="{BFEE64B9-D792-4BD3-BC9F-1FE2D36CB9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0" name="Elipse 8879">
          <a:extLst>
            <a:ext uri="{FF2B5EF4-FFF2-40B4-BE49-F238E27FC236}">
              <a16:creationId xmlns:a16="http://schemas.microsoft.com/office/drawing/2014/main" id="{679AEF2A-957F-4727-B29C-5A2E8EA7B1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1" name="Elipse 8880">
          <a:extLst>
            <a:ext uri="{FF2B5EF4-FFF2-40B4-BE49-F238E27FC236}">
              <a16:creationId xmlns:a16="http://schemas.microsoft.com/office/drawing/2014/main" id="{4F356313-1757-4BAD-A7C6-F6CDD5F81D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2" name="Elipse 8881">
          <a:extLst>
            <a:ext uri="{FF2B5EF4-FFF2-40B4-BE49-F238E27FC236}">
              <a16:creationId xmlns:a16="http://schemas.microsoft.com/office/drawing/2014/main" id="{73B70816-14AF-4481-89AE-D1AD3CC07D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3" name="Elipse 8882">
          <a:extLst>
            <a:ext uri="{FF2B5EF4-FFF2-40B4-BE49-F238E27FC236}">
              <a16:creationId xmlns:a16="http://schemas.microsoft.com/office/drawing/2014/main" id="{524FB904-8707-480D-8C6D-B0003E896B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4" name="Elipse 8883">
          <a:extLst>
            <a:ext uri="{FF2B5EF4-FFF2-40B4-BE49-F238E27FC236}">
              <a16:creationId xmlns:a16="http://schemas.microsoft.com/office/drawing/2014/main" id="{2EF85F3B-D224-456F-81E7-97B179CBDC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5" name="Elipse 8884">
          <a:extLst>
            <a:ext uri="{FF2B5EF4-FFF2-40B4-BE49-F238E27FC236}">
              <a16:creationId xmlns:a16="http://schemas.microsoft.com/office/drawing/2014/main" id="{EDA65E45-A492-409F-B179-97D0279C1E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6" name="Elipse 8885">
          <a:extLst>
            <a:ext uri="{FF2B5EF4-FFF2-40B4-BE49-F238E27FC236}">
              <a16:creationId xmlns:a16="http://schemas.microsoft.com/office/drawing/2014/main" id="{4972A098-2FF5-4E68-8FC3-302A24B684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7" name="Elipse 8886">
          <a:extLst>
            <a:ext uri="{FF2B5EF4-FFF2-40B4-BE49-F238E27FC236}">
              <a16:creationId xmlns:a16="http://schemas.microsoft.com/office/drawing/2014/main" id="{5C8CAAA2-2489-4053-AB7F-3566B67E5A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8" name="Elipse 8887">
          <a:extLst>
            <a:ext uri="{FF2B5EF4-FFF2-40B4-BE49-F238E27FC236}">
              <a16:creationId xmlns:a16="http://schemas.microsoft.com/office/drawing/2014/main" id="{C016ADEA-804E-43B9-AE5F-BB5C26B9F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89" name="Elipse 8888">
          <a:extLst>
            <a:ext uri="{FF2B5EF4-FFF2-40B4-BE49-F238E27FC236}">
              <a16:creationId xmlns:a16="http://schemas.microsoft.com/office/drawing/2014/main" id="{DE005B1E-20FF-44FB-A415-7D4E83EE62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0" name="Elipse 8889">
          <a:extLst>
            <a:ext uri="{FF2B5EF4-FFF2-40B4-BE49-F238E27FC236}">
              <a16:creationId xmlns:a16="http://schemas.microsoft.com/office/drawing/2014/main" id="{64E018BC-F52B-4996-8270-050E2E8ED0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1" name="Elipse 8890">
          <a:extLst>
            <a:ext uri="{FF2B5EF4-FFF2-40B4-BE49-F238E27FC236}">
              <a16:creationId xmlns:a16="http://schemas.microsoft.com/office/drawing/2014/main" id="{D28F4612-FAF9-450F-8BCA-D12D4E1A4B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2" name="Elipse 8891">
          <a:extLst>
            <a:ext uri="{FF2B5EF4-FFF2-40B4-BE49-F238E27FC236}">
              <a16:creationId xmlns:a16="http://schemas.microsoft.com/office/drawing/2014/main" id="{5D5D9822-F5C7-4025-A958-7E56487F1D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3" name="Elipse 8892">
          <a:extLst>
            <a:ext uri="{FF2B5EF4-FFF2-40B4-BE49-F238E27FC236}">
              <a16:creationId xmlns:a16="http://schemas.microsoft.com/office/drawing/2014/main" id="{7FCAC7A4-FACE-418E-ADAE-21E1EC4AAC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4" name="Elipse 8893">
          <a:extLst>
            <a:ext uri="{FF2B5EF4-FFF2-40B4-BE49-F238E27FC236}">
              <a16:creationId xmlns:a16="http://schemas.microsoft.com/office/drawing/2014/main" id="{1F380AB6-3F41-48D4-A05E-C0868B5BF1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5" name="Elipse 8894">
          <a:extLst>
            <a:ext uri="{FF2B5EF4-FFF2-40B4-BE49-F238E27FC236}">
              <a16:creationId xmlns:a16="http://schemas.microsoft.com/office/drawing/2014/main" id="{D90DBAF1-9B35-4A68-B797-D5C7E69296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6" name="Elipse 8895">
          <a:extLst>
            <a:ext uri="{FF2B5EF4-FFF2-40B4-BE49-F238E27FC236}">
              <a16:creationId xmlns:a16="http://schemas.microsoft.com/office/drawing/2014/main" id="{E66CB74B-68E5-43F1-BE9D-B86C20AA9B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7" name="Elipse 8896">
          <a:extLst>
            <a:ext uri="{FF2B5EF4-FFF2-40B4-BE49-F238E27FC236}">
              <a16:creationId xmlns:a16="http://schemas.microsoft.com/office/drawing/2014/main" id="{051E73A3-2FB4-4956-B0D5-2A6AA3483E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8" name="Elipse 8897">
          <a:extLst>
            <a:ext uri="{FF2B5EF4-FFF2-40B4-BE49-F238E27FC236}">
              <a16:creationId xmlns:a16="http://schemas.microsoft.com/office/drawing/2014/main" id="{B0F59B3C-A3BA-49BA-B8B0-5DE8E048BB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899" name="Elipse 8898">
          <a:extLst>
            <a:ext uri="{FF2B5EF4-FFF2-40B4-BE49-F238E27FC236}">
              <a16:creationId xmlns:a16="http://schemas.microsoft.com/office/drawing/2014/main" id="{34F3BE3D-9FE1-4416-8B88-24CC211ECC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0" name="Elipse 8899">
          <a:extLst>
            <a:ext uri="{FF2B5EF4-FFF2-40B4-BE49-F238E27FC236}">
              <a16:creationId xmlns:a16="http://schemas.microsoft.com/office/drawing/2014/main" id="{2B7E4FCF-C92E-4122-8F30-54209C1A70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1" name="Elipse 8900">
          <a:extLst>
            <a:ext uri="{FF2B5EF4-FFF2-40B4-BE49-F238E27FC236}">
              <a16:creationId xmlns:a16="http://schemas.microsoft.com/office/drawing/2014/main" id="{3194A58D-55C2-49EE-89BB-067F4C8096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2" name="Elipse 8901">
          <a:extLst>
            <a:ext uri="{FF2B5EF4-FFF2-40B4-BE49-F238E27FC236}">
              <a16:creationId xmlns:a16="http://schemas.microsoft.com/office/drawing/2014/main" id="{2AC6341F-B8FA-467F-9C05-9118F025A1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3" name="Elipse 8902">
          <a:extLst>
            <a:ext uri="{FF2B5EF4-FFF2-40B4-BE49-F238E27FC236}">
              <a16:creationId xmlns:a16="http://schemas.microsoft.com/office/drawing/2014/main" id="{E5419748-B80E-4CC0-AE5E-7505B44622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4" name="Elipse 8903">
          <a:extLst>
            <a:ext uri="{FF2B5EF4-FFF2-40B4-BE49-F238E27FC236}">
              <a16:creationId xmlns:a16="http://schemas.microsoft.com/office/drawing/2014/main" id="{9E633977-6CAA-4CA5-B930-7F069B8000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5" name="Elipse 8904">
          <a:extLst>
            <a:ext uri="{FF2B5EF4-FFF2-40B4-BE49-F238E27FC236}">
              <a16:creationId xmlns:a16="http://schemas.microsoft.com/office/drawing/2014/main" id="{13E064F4-543C-4216-81E5-F7015C0E82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6" name="Elipse 8905">
          <a:extLst>
            <a:ext uri="{FF2B5EF4-FFF2-40B4-BE49-F238E27FC236}">
              <a16:creationId xmlns:a16="http://schemas.microsoft.com/office/drawing/2014/main" id="{4E9DD455-4ABE-4A3A-AD62-2F33A32554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7" name="Elipse 8906">
          <a:extLst>
            <a:ext uri="{FF2B5EF4-FFF2-40B4-BE49-F238E27FC236}">
              <a16:creationId xmlns:a16="http://schemas.microsoft.com/office/drawing/2014/main" id="{80259B30-B592-4A16-B6FA-8880B8E781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8" name="Elipse 8907">
          <a:extLst>
            <a:ext uri="{FF2B5EF4-FFF2-40B4-BE49-F238E27FC236}">
              <a16:creationId xmlns:a16="http://schemas.microsoft.com/office/drawing/2014/main" id="{C4CF026E-8AB9-4AA1-8B22-1FF0C381C6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09" name="Elipse 8908">
          <a:extLst>
            <a:ext uri="{FF2B5EF4-FFF2-40B4-BE49-F238E27FC236}">
              <a16:creationId xmlns:a16="http://schemas.microsoft.com/office/drawing/2014/main" id="{8B3784DC-BCFC-4C51-8C58-A3531DC0E7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0" name="Elipse 8909">
          <a:extLst>
            <a:ext uri="{FF2B5EF4-FFF2-40B4-BE49-F238E27FC236}">
              <a16:creationId xmlns:a16="http://schemas.microsoft.com/office/drawing/2014/main" id="{10921684-93C2-412F-8216-6291F73F91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1" name="Elipse 8910">
          <a:extLst>
            <a:ext uri="{FF2B5EF4-FFF2-40B4-BE49-F238E27FC236}">
              <a16:creationId xmlns:a16="http://schemas.microsoft.com/office/drawing/2014/main" id="{CCEA2974-97D0-4B7A-8745-289FFA1761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2" name="Elipse 8911">
          <a:extLst>
            <a:ext uri="{FF2B5EF4-FFF2-40B4-BE49-F238E27FC236}">
              <a16:creationId xmlns:a16="http://schemas.microsoft.com/office/drawing/2014/main" id="{BB42FC31-CF15-4AB3-91E9-8F5B6F1202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3" name="Elipse 8912">
          <a:extLst>
            <a:ext uri="{FF2B5EF4-FFF2-40B4-BE49-F238E27FC236}">
              <a16:creationId xmlns:a16="http://schemas.microsoft.com/office/drawing/2014/main" id="{5A640EF0-0434-4BA6-9C1A-1AF3B91646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4" name="Elipse 8913">
          <a:extLst>
            <a:ext uri="{FF2B5EF4-FFF2-40B4-BE49-F238E27FC236}">
              <a16:creationId xmlns:a16="http://schemas.microsoft.com/office/drawing/2014/main" id="{ED821176-67C7-44B3-A36D-79E904C240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5" name="Elipse 8914">
          <a:extLst>
            <a:ext uri="{FF2B5EF4-FFF2-40B4-BE49-F238E27FC236}">
              <a16:creationId xmlns:a16="http://schemas.microsoft.com/office/drawing/2014/main" id="{E98972D9-2419-4B9B-B6FD-A2D4A4D27F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6" name="Elipse 8915">
          <a:extLst>
            <a:ext uri="{FF2B5EF4-FFF2-40B4-BE49-F238E27FC236}">
              <a16:creationId xmlns:a16="http://schemas.microsoft.com/office/drawing/2014/main" id="{55AFDB64-0539-41F8-825C-55A9AB54C4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7" name="Elipse 8916">
          <a:extLst>
            <a:ext uri="{FF2B5EF4-FFF2-40B4-BE49-F238E27FC236}">
              <a16:creationId xmlns:a16="http://schemas.microsoft.com/office/drawing/2014/main" id="{0C6374B5-E963-4AB9-9717-34CA7C410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8" name="Elipse 8917">
          <a:extLst>
            <a:ext uri="{FF2B5EF4-FFF2-40B4-BE49-F238E27FC236}">
              <a16:creationId xmlns:a16="http://schemas.microsoft.com/office/drawing/2014/main" id="{4AE86257-E920-4B67-A70E-9956B5698D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19" name="Elipse 8918">
          <a:extLst>
            <a:ext uri="{FF2B5EF4-FFF2-40B4-BE49-F238E27FC236}">
              <a16:creationId xmlns:a16="http://schemas.microsoft.com/office/drawing/2014/main" id="{D21F38AB-C9DF-4213-9DDD-72E07732B1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0" name="Elipse 8919">
          <a:extLst>
            <a:ext uri="{FF2B5EF4-FFF2-40B4-BE49-F238E27FC236}">
              <a16:creationId xmlns:a16="http://schemas.microsoft.com/office/drawing/2014/main" id="{E908B89C-7826-485A-9AFE-F5BC3D05DA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1" name="Elipse 8920">
          <a:extLst>
            <a:ext uri="{FF2B5EF4-FFF2-40B4-BE49-F238E27FC236}">
              <a16:creationId xmlns:a16="http://schemas.microsoft.com/office/drawing/2014/main" id="{E72060DF-31D9-410B-9F10-947FAC847A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2" name="Elipse 8921">
          <a:extLst>
            <a:ext uri="{FF2B5EF4-FFF2-40B4-BE49-F238E27FC236}">
              <a16:creationId xmlns:a16="http://schemas.microsoft.com/office/drawing/2014/main" id="{AAEB9F0B-2EFC-4B89-B5A3-C0B9783626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3" name="Elipse 8922">
          <a:extLst>
            <a:ext uri="{FF2B5EF4-FFF2-40B4-BE49-F238E27FC236}">
              <a16:creationId xmlns:a16="http://schemas.microsoft.com/office/drawing/2014/main" id="{3C04174F-B287-459C-B201-D20E654A50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4" name="Elipse 8923">
          <a:extLst>
            <a:ext uri="{FF2B5EF4-FFF2-40B4-BE49-F238E27FC236}">
              <a16:creationId xmlns:a16="http://schemas.microsoft.com/office/drawing/2014/main" id="{C1959BCD-30EF-475E-B826-A800536B8D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5" name="Elipse 8924">
          <a:extLst>
            <a:ext uri="{FF2B5EF4-FFF2-40B4-BE49-F238E27FC236}">
              <a16:creationId xmlns:a16="http://schemas.microsoft.com/office/drawing/2014/main" id="{C46C0765-21BB-4063-8E9A-1823F791C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6" name="Elipse 8925">
          <a:extLst>
            <a:ext uri="{FF2B5EF4-FFF2-40B4-BE49-F238E27FC236}">
              <a16:creationId xmlns:a16="http://schemas.microsoft.com/office/drawing/2014/main" id="{CBEF6736-DB9C-4213-A8D3-5CB8713660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7" name="Elipse 8926">
          <a:extLst>
            <a:ext uri="{FF2B5EF4-FFF2-40B4-BE49-F238E27FC236}">
              <a16:creationId xmlns:a16="http://schemas.microsoft.com/office/drawing/2014/main" id="{1603F1A2-F765-4D11-8366-AC01D23141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8" name="Elipse 8927">
          <a:extLst>
            <a:ext uri="{FF2B5EF4-FFF2-40B4-BE49-F238E27FC236}">
              <a16:creationId xmlns:a16="http://schemas.microsoft.com/office/drawing/2014/main" id="{E4F0FB5B-751E-45FD-953D-83C238DD27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29" name="Elipse 8928">
          <a:extLst>
            <a:ext uri="{FF2B5EF4-FFF2-40B4-BE49-F238E27FC236}">
              <a16:creationId xmlns:a16="http://schemas.microsoft.com/office/drawing/2014/main" id="{1162DB37-4C89-4B0A-A026-675527BA0C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0" name="Elipse 8929">
          <a:extLst>
            <a:ext uri="{FF2B5EF4-FFF2-40B4-BE49-F238E27FC236}">
              <a16:creationId xmlns:a16="http://schemas.microsoft.com/office/drawing/2014/main" id="{5FF001FB-0C9E-4E79-B9F0-3BAFFE689A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1" name="Elipse 8930">
          <a:extLst>
            <a:ext uri="{FF2B5EF4-FFF2-40B4-BE49-F238E27FC236}">
              <a16:creationId xmlns:a16="http://schemas.microsoft.com/office/drawing/2014/main" id="{BDD29435-2C63-47AB-904D-6646021915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2" name="Elipse 8931">
          <a:extLst>
            <a:ext uri="{FF2B5EF4-FFF2-40B4-BE49-F238E27FC236}">
              <a16:creationId xmlns:a16="http://schemas.microsoft.com/office/drawing/2014/main" id="{7E487260-0219-4AF8-A42D-68079E39A5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3" name="Elipse 8932">
          <a:extLst>
            <a:ext uri="{FF2B5EF4-FFF2-40B4-BE49-F238E27FC236}">
              <a16:creationId xmlns:a16="http://schemas.microsoft.com/office/drawing/2014/main" id="{101FBF08-F4D3-4179-A49D-7BF46C3300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4" name="Elipse 8933">
          <a:extLst>
            <a:ext uri="{FF2B5EF4-FFF2-40B4-BE49-F238E27FC236}">
              <a16:creationId xmlns:a16="http://schemas.microsoft.com/office/drawing/2014/main" id="{4E2A6DE3-1E0A-4A93-A36F-DBB59F3E99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5" name="Elipse 8934">
          <a:extLst>
            <a:ext uri="{FF2B5EF4-FFF2-40B4-BE49-F238E27FC236}">
              <a16:creationId xmlns:a16="http://schemas.microsoft.com/office/drawing/2014/main" id="{8D04E03B-DC36-4D30-BE95-81EBCEAD15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6" name="Elipse 8935">
          <a:extLst>
            <a:ext uri="{FF2B5EF4-FFF2-40B4-BE49-F238E27FC236}">
              <a16:creationId xmlns:a16="http://schemas.microsoft.com/office/drawing/2014/main" id="{0B0A84E8-AE02-4700-B851-69434F412B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7" name="Elipse 8936">
          <a:extLst>
            <a:ext uri="{FF2B5EF4-FFF2-40B4-BE49-F238E27FC236}">
              <a16:creationId xmlns:a16="http://schemas.microsoft.com/office/drawing/2014/main" id="{ECD01944-387D-44EB-B862-CCFF70CC69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8" name="Elipse 8937">
          <a:extLst>
            <a:ext uri="{FF2B5EF4-FFF2-40B4-BE49-F238E27FC236}">
              <a16:creationId xmlns:a16="http://schemas.microsoft.com/office/drawing/2014/main" id="{8DD72867-4C44-41A0-AC07-74B8C28F97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39" name="Elipse 8938">
          <a:extLst>
            <a:ext uri="{FF2B5EF4-FFF2-40B4-BE49-F238E27FC236}">
              <a16:creationId xmlns:a16="http://schemas.microsoft.com/office/drawing/2014/main" id="{F72B9A8C-2C5D-4A3D-9CF3-093F764BB4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0" name="Elipse 8939">
          <a:extLst>
            <a:ext uri="{FF2B5EF4-FFF2-40B4-BE49-F238E27FC236}">
              <a16:creationId xmlns:a16="http://schemas.microsoft.com/office/drawing/2014/main" id="{CDF77CE1-7DE9-402C-B92D-D4E5E76E40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1" name="Elipse 8940">
          <a:extLst>
            <a:ext uri="{FF2B5EF4-FFF2-40B4-BE49-F238E27FC236}">
              <a16:creationId xmlns:a16="http://schemas.microsoft.com/office/drawing/2014/main" id="{946AE797-651F-4B8D-9D0F-8D1E68AEE4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2" name="Elipse 8941">
          <a:extLst>
            <a:ext uri="{FF2B5EF4-FFF2-40B4-BE49-F238E27FC236}">
              <a16:creationId xmlns:a16="http://schemas.microsoft.com/office/drawing/2014/main" id="{4BF08C4F-F825-4AB9-95BD-48AE63A36B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3" name="Elipse 8942">
          <a:extLst>
            <a:ext uri="{FF2B5EF4-FFF2-40B4-BE49-F238E27FC236}">
              <a16:creationId xmlns:a16="http://schemas.microsoft.com/office/drawing/2014/main" id="{CB078CE6-FD8A-4BC3-A135-CB3AE8DCCE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4" name="Elipse 8943">
          <a:extLst>
            <a:ext uri="{FF2B5EF4-FFF2-40B4-BE49-F238E27FC236}">
              <a16:creationId xmlns:a16="http://schemas.microsoft.com/office/drawing/2014/main" id="{06D04449-0463-4668-8357-3385FCAA97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5" name="Elipse 8944">
          <a:extLst>
            <a:ext uri="{FF2B5EF4-FFF2-40B4-BE49-F238E27FC236}">
              <a16:creationId xmlns:a16="http://schemas.microsoft.com/office/drawing/2014/main" id="{1F408CC2-5E18-47AD-92C9-61CD8E861F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6" name="Elipse 8945">
          <a:extLst>
            <a:ext uri="{FF2B5EF4-FFF2-40B4-BE49-F238E27FC236}">
              <a16:creationId xmlns:a16="http://schemas.microsoft.com/office/drawing/2014/main" id="{DF7E2DF5-042B-479F-8DCE-19F5E2E279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7" name="Elipse 8946">
          <a:extLst>
            <a:ext uri="{FF2B5EF4-FFF2-40B4-BE49-F238E27FC236}">
              <a16:creationId xmlns:a16="http://schemas.microsoft.com/office/drawing/2014/main" id="{581B0434-6872-4C64-A2E0-FD83196493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8" name="Elipse 8947">
          <a:extLst>
            <a:ext uri="{FF2B5EF4-FFF2-40B4-BE49-F238E27FC236}">
              <a16:creationId xmlns:a16="http://schemas.microsoft.com/office/drawing/2014/main" id="{D13C2972-084B-4CD3-A9E0-BEF2934BB7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49" name="Elipse 8948">
          <a:extLst>
            <a:ext uri="{FF2B5EF4-FFF2-40B4-BE49-F238E27FC236}">
              <a16:creationId xmlns:a16="http://schemas.microsoft.com/office/drawing/2014/main" id="{1BEC1E89-39F4-4296-B37D-C249571EB0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0" name="Elipse 8949">
          <a:extLst>
            <a:ext uri="{FF2B5EF4-FFF2-40B4-BE49-F238E27FC236}">
              <a16:creationId xmlns:a16="http://schemas.microsoft.com/office/drawing/2014/main" id="{9DDA2335-EE90-4E68-92DC-4F70EFA457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1" name="Elipse 8950">
          <a:extLst>
            <a:ext uri="{FF2B5EF4-FFF2-40B4-BE49-F238E27FC236}">
              <a16:creationId xmlns:a16="http://schemas.microsoft.com/office/drawing/2014/main" id="{C4FED324-C764-417A-A693-1997DEFB23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2" name="Elipse 8951">
          <a:extLst>
            <a:ext uri="{FF2B5EF4-FFF2-40B4-BE49-F238E27FC236}">
              <a16:creationId xmlns:a16="http://schemas.microsoft.com/office/drawing/2014/main" id="{2EA78D55-D78E-4F5E-8B27-D4CED62E5D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3" name="Elipse 8952">
          <a:extLst>
            <a:ext uri="{FF2B5EF4-FFF2-40B4-BE49-F238E27FC236}">
              <a16:creationId xmlns:a16="http://schemas.microsoft.com/office/drawing/2014/main" id="{CE87B826-87D3-4288-82EE-7AD7E7191F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4" name="Elipse 8953">
          <a:extLst>
            <a:ext uri="{FF2B5EF4-FFF2-40B4-BE49-F238E27FC236}">
              <a16:creationId xmlns:a16="http://schemas.microsoft.com/office/drawing/2014/main" id="{B369A9A6-3997-42FE-B7E8-4B0FDEFBA9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5" name="Elipse 8954">
          <a:extLst>
            <a:ext uri="{FF2B5EF4-FFF2-40B4-BE49-F238E27FC236}">
              <a16:creationId xmlns:a16="http://schemas.microsoft.com/office/drawing/2014/main" id="{4BF27FA5-EDD8-4A28-8493-778B0147A3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6" name="Elipse 8955">
          <a:extLst>
            <a:ext uri="{FF2B5EF4-FFF2-40B4-BE49-F238E27FC236}">
              <a16:creationId xmlns:a16="http://schemas.microsoft.com/office/drawing/2014/main" id="{F6286E60-9C83-429E-A7C1-65C4BC946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7" name="Elipse 8956">
          <a:extLst>
            <a:ext uri="{FF2B5EF4-FFF2-40B4-BE49-F238E27FC236}">
              <a16:creationId xmlns:a16="http://schemas.microsoft.com/office/drawing/2014/main" id="{74BB1A39-2B05-42FB-AD40-2C9C641940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8" name="Elipse 8957">
          <a:extLst>
            <a:ext uri="{FF2B5EF4-FFF2-40B4-BE49-F238E27FC236}">
              <a16:creationId xmlns:a16="http://schemas.microsoft.com/office/drawing/2014/main" id="{E852EC34-E56C-4108-9EB3-1996B4C94A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59" name="Elipse 8958">
          <a:extLst>
            <a:ext uri="{FF2B5EF4-FFF2-40B4-BE49-F238E27FC236}">
              <a16:creationId xmlns:a16="http://schemas.microsoft.com/office/drawing/2014/main" id="{EBCCE4BF-B667-48DC-9667-CF14839A03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0" name="Elipse 8959">
          <a:extLst>
            <a:ext uri="{FF2B5EF4-FFF2-40B4-BE49-F238E27FC236}">
              <a16:creationId xmlns:a16="http://schemas.microsoft.com/office/drawing/2014/main" id="{70F2270C-5B95-455D-A011-056BA78A5E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1" name="Elipse 8960">
          <a:extLst>
            <a:ext uri="{FF2B5EF4-FFF2-40B4-BE49-F238E27FC236}">
              <a16:creationId xmlns:a16="http://schemas.microsoft.com/office/drawing/2014/main" id="{6C890C80-6035-410B-A987-1CF4ADD47A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2" name="Elipse 8961">
          <a:extLst>
            <a:ext uri="{FF2B5EF4-FFF2-40B4-BE49-F238E27FC236}">
              <a16:creationId xmlns:a16="http://schemas.microsoft.com/office/drawing/2014/main" id="{FABEC176-6235-4717-A94E-834AAAA556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3" name="Elipse 8962">
          <a:extLst>
            <a:ext uri="{FF2B5EF4-FFF2-40B4-BE49-F238E27FC236}">
              <a16:creationId xmlns:a16="http://schemas.microsoft.com/office/drawing/2014/main" id="{FE9EC1A2-F730-427A-81E3-244564457F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4" name="Elipse 8963">
          <a:extLst>
            <a:ext uri="{FF2B5EF4-FFF2-40B4-BE49-F238E27FC236}">
              <a16:creationId xmlns:a16="http://schemas.microsoft.com/office/drawing/2014/main" id="{7020A65D-DF95-4029-8ADD-CE7C7C003D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5" name="Elipse 8964">
          <a:extLst>
            <a:ext uri="{FF2B5EF4-FFF2-40B4-BE49-F238E27FC236}">
              <a16:creationId xmlns:a16="http://schemas.microsoft.com/office/drawing/2014/main" id="{B6C0FFDA-1865-4EA9-8EEB-387C211C39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6" name="Elipse 8965">
          <a:extLst>
            <a:ext uri="{FF2B5EF4-FFF2-40B4-BE49-F238E27FC236}">
              <a16:creationId xmlns:a16="http://schemas.microsoft.com/office/drawing/2014/main" id="{F230E2E3-9477-4F0B-9F53-45F7CF7D7E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7" name="Elipse 8966">
          <a:extLst>
            <a:ext uri="{FF2B5EF4-FFF2-40B4-BE49-F238E27FC236}">
              <a16:creationId xmlns:a16="http://schemas.microsoft.com/office/drawing/2014/main" id="{88E2B20E-AECF-4D8F-B45E-125D0E3F0D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8" name="Elipse 8967">
          <a:extLst>
            <a:ext uri="{FF2B5EF4-FFF2-40B4-BE49-F238E27FC236}">
              <a16:creationId xmlns:a16="http://schemas.microsoft.com/office/drawing/2014/main" id="{F8182EE3-3DB6-4AED-BF84-5360AFBE7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69" name="Elipse 8968">
          <a:extLst>
            <a:ext uri="{FF2B5EF4-FFF2-40B4-BE49-F238E27FC236}">
              <a16:creationId xmlns:a16="http://schemas.microsoft.com/office/drawing/2014/main" id="{3B8D8572-4B5C-454E-AD70-ED97D1F055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0" name="Elipse 8969">
          <a:extLst>
            <a:ext uri="{FF2B5EF4-FFF2-40B4-BE49-F238E27FC236}">
              <a16:creationId xmlns:a16="http://schemas.microsoft.com/office/drawing/2014/main" id="{ABB939CF-1F39-412E-BD86-17E4CC5CD7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1" name="Elipse 8970">
          <a:extLst>
            <a:ext uri="{FF2B5EF4-FFF2-40B4-BE49-F238E27FC236}">
              <a16:creationId xmlns:a16="http://schemas.microsoft.com/office/drawing/2014/main" id="{FD65E23B-1E0D-4BF0-B787-6A7D74A4D4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2" name="Elipse 8971">
          <a:extLst>
            <a:ext uri="{FF2B5EF4-FFF2-40B4-BE49-F238E27FC236}">
              <a16:creationId xmlns:a16="http://schemas.microsoft.com/office/drawing/2014/main" id="{BBFF5846-7BC6-43A8-80D1-7265BBF20D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3" name="Elipse 8972">
          <a:extLst>
            <a:ext uri="{FF2B5EF4-FFF2-40B4-BE49-F238E27FC236}">
              <a16:creationId xmlns:a16="http://schemas.microsoft.com/office/drawing/2014/main" id="{02E01DB3-860E-48BB-8BA0-3745B96ED3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4" name="Elipse 8973">
          <a:extLst>
            <a:ext uri="{FF2B5EF4-FFF2-40B4-BE49-F238E27FC236}">
              <a16:creationId xmlns:a16="http://schemas.microsoft.com/office/drawing/2014/main" id="{43389BA2-075C-4814-ACA6-DDD6089633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5" name="Elipse 8974">
          <a:extLst>
            <a:ext uri="{FF2B5EF4-FFF2-40B4-BE49-F238E27FC236}">
              <a16:creationId xmlns:a16="http://schemas.microsoft.com/office/drawing/2014/main" id="{39C8BB3B-E37A-4378-9CE3-CAA5567A88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6" name="Elipse 8975">
          <a:extLst>
            <a:ext uri="{FF2B5EF4-FFF2-40B4-BE49-F238E27FC236}">
              <a16:creationId xmlns:a16="http://schemas.microsoft.com/office/drawing/2014/main" id="{20B7A70C-4262-4DE7-B663-BEA306DD14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7" name="Elipse 8976">
          <a:extLst>
            <a:ext uri="{FF2B5EF4-FFF2-40B4-BE49-F238E27FC236}">
              <a16:creationId xmlns:a16="http://schemas.microsoft.com/office/drawing/2014/main" id="{240E831D-F10A-415C-96B0-535E4B62FD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8" name="Elipse 8977">
          <a:extLst>
            <a:ext uri="{FF2B5EF4-FFF2-40B4-BE49-F238E27FC236}">
              <a16:creationId xmlns:a16="http://schemas.microsoft.com/office/drawing/2014/main" id="{5B4D7CE0-D464-435C-9D05-7AF1C381D3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79" name="Elipse 8978">
          <a:extLst>
            <a:ext uri="{FF2B5EF4-FFF2-40B4-BE49-F238E27FC236}">
              <a16:creationId xmlns:a16="http://schemas.microsoft.com/office/drawing/2014/main" id="{2BD1860D-8A16-47DA-B382-62544D516B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0" name="Elipse 8979">
          <a:extLst>
            <a:ext uri="{FF2B5EF4-FFF2-40B4-BE49-F238E27FC236}">
              <a16:creationId xmlns:a16="http://schemas.microsoft.com/office/drawing/2014/main" id="{814EA901-E803-4AC1-9DAB-A03348E495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1" name="Elipse 8980">
          <a:extLst>
            <a:ext uri="{FF2B5EF4-FFF2-40B4-BE49-F238E27FC236}">
              <a16:creationId xmlns:a16="http://schemas.microsoft.com/office/drawing/2014/main" id="{8CFE5451-8852-46C8-A9B4-75975F106A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2" name="Elipse 8981">
          <a:extLst>
            <a:ext uri="{FF2B5EF4-FFF2-40B4-BE49-F238E27FC236}">
              <a16:creationId xmlns:a16="http://schemas.microsoft.com/office/drawing/2014/main" id="{84081610-B636-4BB9-8449-F89FB24A7D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3" name="Elipse 8982">
          <a:extLst>
            <a:ext uri="{FF2B5EF4-FFF2-40B4-BE49-F238E27FC236}">
              <a16:creationId xmlns:a16="http://schemas.microsoft.com/office/drawing/2014/main" id="{196E529C-ADE2-4839-983C-5E7952163A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4" name="Elipse 8983">
          <a:extLst>
            <a:ext uri="{FF2B5EF4-FFF2-40B4-BE49-F238E27FC236}">
              <a16:creationId xmlns:a16="http://schemas.microsoft.com/office/drawing/2014/main" id="{9B74FF2C-FB7A-49B8-A3CD-2368A3081E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5" name="Elipse 8984">
          <a:extLst>
            <a:ext uri="{FF2B5EF4-FFF2-40B4-BE49-F238E27FC236}">
              <a16:creationId xmlns:a16="http://schemas.microsoft.com/office/drawing/2014/main" id="{96D205B5-0B75-417D-8A67-6205063CA9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6" name="Elipse 8985">
          <a:extLst>
            <a:ext uri="{FF2B5EF4-FFF2-40B4-BE49-F238E27FC236}">
              <a16:creationId xmlns:a16="http://schemas.microsoft.com/office/drawing/2014/main" id="{AD7CB656-A7CB-404F-923C-6E72F0B6B4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7" name="Elipse 8986">
          <a:extLst>
            <a:ext uri="{FF2B5EF4-FFF2-40B4-BE49-F238E27FC236}">
              <a16:creationId xmlns:a16="http://schemas.microsoft.com/office/drawing/2014/main" id="{DEB15B55-8006-41A8-918E-A990102647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8" name="Elipse 8987">
          <a:extLst>
            <a:ext uri="{FF2B5EF4-FFF2-40B4-BE49-F238E27FC236}">
              <a16:creationId xmlns:a16="http://schemas.microsoft.com/office/drawing/2014/main" id="{75A3E001-C5E1-487E-B324-ED82B1D30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89" name="Elipse 8988">
          <a:extLst>
            <a:ext uri="{FF2B5EF4-FFF2-40B4-BE49-F238E27FC236}">
              <a16:creationId xmlns:a16="http://schemas.microsoft.com/office/drawing/2014/main" id="{89B17ED0-59F1-4C69-956B-5065B37FF9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0" name="Elipse 8989">
          <a:extLst>
            <a:ext uri="{FF2B5EF4-FFF2-40B4-BE49-F238E27FC236}">
              <a16:creationId xmlns:a16="http://schemas.microsoft.com/office/drawing/2014/main" id="{667BC4AB-724C-423B-8527-63D22B14DB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1" name="Elipse 8990">
          <a:extLst>
            <a:ext uri="{FF2B5EF4-FFF2-40B4-BE49-F238E27FC236}">
              <a16:creationId xmlns:a16="http://schemas.microsoft.com/office/drawing/2014/main" id="{8347CFB3-F9B0-4672-837F-FB62128B1D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2" name="Elipse 8991">
          <a:extLst>
            <a:ext uri="{FF2B5EF4-FFF2-40B4-BE49-F238E27FC236}">
              <a16:creationId xmlns:a16="http://schemas.microsoft.com/office/drawing/2014/main" id="{20FFCDFE-91C4-49E5-B548-D18295F0B8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3" name="Elipse 8992">
          <a:extLst>
            <a:ext uri="{FF2B5EF4-FFF2-40B4-BE49-F238E27FC236}">
              <a16:creationId xmlns:a16="http://schemas.microsoft.com/office/drawing/2014/main" id="{FE94FA7E-745F-4364-869D-8BE7A4F4C5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4" name="Elipse 8993">
          <a:extLst>
            <a:ext uri="{FF2B5EF4-FFF2-40B4-BE49-F238E27FC236}">
              <a16:creationId xmlns:a16="http://schemas.microsoft.com/office/drawing/2014/main" id="{3F48DB7C-9C8F-47C0-B30E-B310BAA695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5" name="Elipse 8994">
          <a:extLst>
            <a:ext uri="{FF2B5EF4-FFF2-40B4-BE49-F238E27FC236}">
              <a16:creationId xmlns:a16="http://schemas.microsoft.com/office/drawing/2014/main" id="{A815B4C8-FBFE-446B-A9EA-878DDBD937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6" name="Elipse 8995">
          <a:extLst>
            <a:ext uri="{FF2B5EF4-FFF2-40B4-BE49-F238E27FC236}">
              <a16:creationId xmlns:a16="http://schemas.microsoft.com/office/drawing/2014/main" id="{A64C875E-50C3-4173-813A-0C313FAA94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7" name="Elipse 8996">
          <a:extLst>
            <a:ext uri="{FF2B5EF4-FFF2-40B4-BE49-F238E27FC236}">
              <a16:creationId xmlns:a16="http://schemas.microsoft.com/office/drawing/2014/main" id="{2E46B903-66D0-43EF-8F4F-C56089F082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8" name="Elipse 8997">
          <a:extLst>
            <a:ext uri="{FF2B5EF4-FFF2-40B4-BE49-F238E27FC236}">
              <a16:creationId xmlns:a16="http://schemas.microsoft.com/office/drawing/2014/main" id="{B2D6F44A-465E-4EF7-8FA3-3983A3128C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999" name="Elipse 8998">
          <a:extLst>
            <a:ext uri="{FF2B5EF4-FFF2-40B4-BE49-F238E27FC236}">
              <a16:creationId xmlns:a16="http://schemas.microsoft.com/office/drawing/2014/main" id="{84BC0AC1-E26D-49AE-BB7D-8A364C69A1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0" name="Elipse 8999">
          <a:extLst>
            <a:ext uri="{FF2B5EF4-FFF2-40B4-BE49-F238E27FC236}">
              <a16:creationId xmlns:a16="http://schemas.microsoft.com/office/drawing/2014/main" id="{0BB6A2B9-8D17-417D-9FF6-27A5F6386C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1" name="Elipse 9000">
          <a:extLst>
            <a:ext uri="{FF2B5EF4-FFF2-40B4-BE49-F238E27FC236}">
              <a16:creationId xmlns:a16="http://schemas.microsoft.com/office/drawing/2014/main" id="{3BDD53A7-DB2A-42E0-8611-182A374C0A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2" name="Elipse 9001">
          <a:extLst>
            <a:ext uri="{FF2B5EF4-FFF2-40B4-BE49-F238E27FC236}">
              <a16:creationId xmlns:a16="http://schemas.microsoft.com/office/drawing/2014/main" id="{474490A6-008C-446D-AB9F-3E9C24E0D8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3" name="Elipse 9002">
          <a:extLst>
            <a:ext uri="{FF2B5EF4-FFF2-40B4-BE49-F238E27FC236}">
              <a16:creationId xmlns:a16="http://schemas.microsoft.com/office/drawing/2014/main" id="{CE879A44-6CC4-403A-ACA0-118B74DCAF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4" name="Elipse 9003">
          <a:extLst>
            <a:ext uri="{FF2B5EF4-FFF2-40B4-BE49-F238E27FC236}">
              <a16:creationId xmlns:a16="http://schemas.microsoft.com/office/drawing/2014/main" id="{85057316-5B46-4A1D-834E-B9F5DE386E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5" name="Elipse 9004">
          <a:extLst>
            <a:ext uri="{FF2B5EF4-FFF2-40B4-BE49-F238E27FC236}">
              <a16:creationId xmlns:a16="http://schemas.microsoft.com/office/drawing/2014/main" id="{C5964CAC-5C8E-487A-8841-0C81157165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6" name="Elipse 9005">
          <a:extLst>
            <a:ext uri="{FF2B5EF4-FFF2-40B4-BE49-F238E27FC236}">
              <a16:creationId xmlns:a16="http://schemas.microsoft.com/office/drawing/2014/main" id="{730AD8FE-F050-4F1A-AAFF-638B580C33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7" name="Elipse 9006">
          <a:extLst>
            <a:ext uri="{FF2B5EF4-FFF2-40B4-BE49-F238E27FC236}">
              <a16:creationId xmlns:a16="http://schemas.microsoft.com/office/drawing/2014/main" id="{E38734F5-1572-49CE-8454-FBA18D04C2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8" name="Elipse 9007">
          <a:extLst>
            <a:ext uri="{FF2B5EF4-FFF2-40B4-BE49-F238E27FC236}">
              <a16:creationId xmlns:a16="http://schemas.microsoft.com/office/drawing/2014/main" id="{F4E89300-889F-46E9-B09D-5785648C13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09" name="Elipse 9008">
          <a:extLst>
            <a:ext uri="{FF2B5EF4-FFF2-40B4-BE49-F238E27FC236}">
              <a16:creationId xmlns:a16="http://schemas.microsoft.com/office/drawing/2014/main" id="{0CF1051A-4C17-4C65-B529-392C005053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0" name="Elipse 9009">
          <a:extLst>
            <a:ext uri="{FF2B5EF4-FFF2-40B4-BE49-F238E27FC236}">
              <a16:creationId xmlns:a16="http://schemas.microsoft.com/office/drawing/2014/main" id="{0DED150B-12F8-4E4D-8E10-451B3038FC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1" name="Elipse 9010">
          <a:extLst>
            <a:ext uri="{FF2B5EF4-FFF2-40B4-BE49-F238E27FC236}">
              <a16:creationId xmlns:a16="http://schemas.microsoft.com/office/drawing/2014/main" id="{ED06566E-0BDD-4344-A90D-3D37F0C105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2" name="Elipse 9011">
          <a:extLst>
            <a:ext uri="{FF2B5EF4-FFF2-40B4-BE49-F238E27FC236}">
              <a16:creationId xmlns:a16="http://schemas.microsoft.com/office/drawing/2014/main" id="{F5E72F95-D7E9-4AD6-910D-756BD09131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3" name="Elipse 9012">
          <a:extLst>
            <a:ext uri="{FF2B5EF4-FFF2-40B4-BE49-F238E27FC236}">
              <a16:creationId xmlns:a16="http://schemas.microsoft.com/office/drawing/2014/main" id="{FCD4DAEC-C9F8-4306-9376-95F938F782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4" name="Elipse 9013">
          <a:extLst>
            <a:ext uri="{FF2B5EF4-FFF2-40B4-BE49-F238E27FC236}">
              <a16:creationId xmlns:a16="http://schemas.microsoft.com/office/drawing/2014/main" id="{BC22AA26-334C-42D1-9779-FC69E720AE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5" name="Elipse 9014">
          <a:extLst>
            <a:ext uri="{FF2B5EF4-FFF2-40B4-BE49-F238E27FC236}">
              <a16:creationId xmlns:a16="http://schemas.microsoft.com/office/drawing/2014/main" id="{390F2C80-F5AF-4765-9B96-7FE96833AF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6" name="Elipse 9015">
          <a:extLst>
            <a:ext uri="{FF2B5EF4-FFF2-40B4-BE49-F238E27FC236}">
              <a16:creationId xmlns:a16="http://schemas.microsoft.com/office/drawing/2014/main" id="{AE1EEF03-681E-44F9-854A-B1007A02C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7" name="Elipse 9016">
          <a:extLst>
            <a:ext uri="{FF2B5EF4-FFF2-40B4-BE49-F238E27FC236}">
              <a16:creationId xmlns:a16="http://schemas.microsoft.com/office/drawing/2014/main" id="{D5797C3D-D557-4165-8854-020B956F89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8" name="Elipse 9017">
          <a:extLst>
            <a:ext uri="{FF2B5EF4-FFF2-40B4-BE49-F238E27FC236}">
              <a16:creationId xmlns:a16="http://schemas.microsoft.com/office/drawing/2014/main" id="{E91E6595-53CB-4F65-BBC9-76DDA6633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19" name="Elipse 9018">
          <a:extLst>
            <a:ext uri="{FF2B5EF4-FFF2-40B4-BE49-F238E27FC236}">
              <a16:creationId xmlns:a16="http://schemas.microsoft.com/office/drawing/2014/main" id="{9FC98090-1EE9-491A-AFEA-9589233B36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0" name="Elipse 9019">
          <a:extLst>
            <a:ext uri="{FF2B5EF4-FFF2-40B4-BE49-F238E27FC236}">
              <a16:creationId xmlns:a16="http://schemas.microsoft.com/office/drawing/2014/main" id="{6CE5908F-5E06-4876-BD4A-A50BDFE705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1" name="Elipse 9020">
          <a:extLst>
            <a:ext uri="{FF2B5EF4-FFF2-40B4-BE49-F238E27FC236}">
              <a16:creationId xmlns:a16="http://schemas.microsoft.com/office/drawing/2014/main" id="{2C0840BD-94B0-4B29-BD64-65ED76A9F4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2" name="Elipse 9021">
          <a:extLst>
            <a:ext uri="{FF2B5EF4-FFF2-40B4-BE49-F238E27FC236}">
              <a16:creationId xmlns:a16="http://schemas.microsoft.com/office/drawing/2014/main" id="{CB7F74D6-C6B3-4620-B546-2CBE9ABDE6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3" name="Elipse 9022">
          <a:extLst>
            <a:ext uri="{FF2B5EF4-FFF2-40B4-BE49-F238E27FC236}">
              <a16:creationId xmlns:a16="http://schemas.microsoft.com/office/drawing/2014/main" id="{8127F29B-D4BE-4B0A-BE76-966F02F26A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4" name="Elipse 9023">
          <a:extLst>
            <a:ext uri="{FF2B5EF4-FFF2-40B4-BE49-F238E27FC236}">
              <a16:creationId xmlns:a16="http://schemas.microsoft.com/office/drawing/2014/main" id="{D464B213-B91F-4986-AADE-0A8C35F9E6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5" name="Elipse 9024">
          <a:extLst>
            <a:ext uri="{FF2B5EF4-FFF2-40B4-BE49-F238E27FC236}">
              <a16:creationId xmlns:a16="http://schemas.microsoft.com/office/drawing/2014/main" id="{C232AA18-BBFD-4DD9-B1B6-7FC795DFB3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6" name="Elipse 9025">
          <a:extLst>
            <a:ext uri="{FF2B5EF4-FFF2-40B4-BE49-F238E27FC236}">
              <a16:creationId xmlns:a16="http://schemas.microsoft.com/office/drawing/2014/main" id="{41CD5603-B37A-4FC8-9227-B15426A9FF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7" name="Elipse 9026">
          <a:extLst>
            <a:ext uri="{FF2B5EF4-FFF2-40B4-BE49-F238E27FC236}">
              <a16:creationId xmlns:a16="http://schemas.microsoft.com/office/drawing/2014/main" id="{4A2A139E-F32A-4EB8-AF2C-E54D72E6D0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8" name="Elipse 9027">
          <a:extLst>
            <a:ext uri="{FF2B5EF4-FFF2-40B4-BE49-F238E27FC236}">
              <a16:creationId xmlns:a16="http://schemas.microsoft.com/office/drawing/2014/main" id="{D0559B4E-F2CB-4DBF-8602-0501A23F20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29" name="Elipse 9028">
          <a:extLst>
            <a:ext uri="{FF2B5EF4-FFF2-40B4-BE49-F238E27FC236}">
              <a16:creationId xmlns:a16="http://schemas.microsoft.com/office/drawing/2014/main" id="{4CE71103-2721-443A-9A2B-3C0E7D841C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0" name="Elipse 9029">
          <a:extLst>
            <a:ext uri="{FF2B5EF4-FFF2-40B4-BE49-F238E27FC236}">
              <a16:creationId xmlns:a16="http://schemas.microsoft.com/office/drawing/2014/main" id="{8FBAFD61-D2CA-4C1A-9030-E118FAB97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1" name="Elipse 9030">
          <a:extLst>
            <a:ext uri="{FF2B5EF4-FFF2-40B4-BE49-F238E27FC236}">
              <a16:creationId xmlns:a16="http://schemas.microsoft.com/office/drawing/2014/main" id="{BEE138B5-E774-487B-B5FF-F7EC0EA80D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2" name="Elipse 9031">
          <a:extLst>
            <a:ext uri="{FF2B5EF4-FFF2-40B4-BE49-F238E27FC236}">
              <a16:creationId xmlns:a16="http://schemas.microsoft.com/office/drawing/2014/main" id="{87DC656A-0F4A-4D3C-9F3B-AB74CC0C34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3" name="Elipse 9032">
          <a:extLst>
            <a:ext uri="{FF2B5EF4-FFF2-40B4-BE49-F238E27FC236}">
              <a16:creationId xmlns:a16="http://schemas.microsoft.com/office/drawing/2014/main" id="{986A2AA2-FE65-4797-AE53-FFA5D70D77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4" name="Elipse 9033">
          <a:extLst>
            <a:ext uri="{FF2B5EF4-FFF2-40B4-BE49-F238E27FC236}">
              <a16:creationId xmlns:a16="http://schemas.microsoft.com/office/drawing/2014/main" id="{572C183A-F287-4C4B-BEDB-834CE35139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5" name="Elipse 9034">
          <a:extLst>
            <a:ext uri="{FF2B5EF4-FFF2-40B4-BE49-F238E27FC236}">
              <a16:creationId xmlns:a16="http://schemas.microsoft.com/office/drawing/2014/main" id="{20F93DBF-8F21-47E6-8C46-42CB4BF2AD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6" name="Elipse 9035">
          <a:extLst>
            <a:ext uri="{FF2B5EF4-FFF2-40B4-BE49-F238E27FC236}">
              <a16:creationId xmlns:a16="http://schemas.microsoft.com/office/drawing/2014/main" id="{A8B67093-3D5D-4F22-9B7C-99590BB82B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7" name="Elipse 9036">
          <a:extLst>
            <a:ext uri="{FF2B5EF4-FFF2-40B4-BE49-F238E27FC236}">
              <a16:creationId xmlns:a16="http://schemas.microsoft.com/office/drawing/2014/main" id="{A6EDF6BB-BE85-4A71-9170-55B733CA0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8" name="Elipse 9037">
          <a:extLst>
            <a:ext uri="{FF2B5EF4-FFF2-40B4-BE49-F238E27FC236}">
              <a16:creationId xmlns:a16="http://schemas.microsoft.com/office/drawing/2014/main" id="{1C78FB16-CC4E-4A96-9ADA-B8DEA016C9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39" name="Elipse 9038">
          <a:extLst>
            <a:ext uri="{FF2B5EF4-FFF2-40B4-BE49-F238E27FC236}">
              <a16:creationId xmlns:a16="http://schemas.microsoft.com/office/drawing/2014/main" id="{F61AD4E5-8E8B-47E0-8794-163EE48E84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0" name="Elipse 9039">
          <a:extLst>
            <a:ext uri="{FF2B5EF4-FFF2-40B4-BE49-F238E27FC236}">
              <a16:creationId xmlns:a16="http://schemas.microsoft.com/office/drawing/2014/main" id="{331EF086-1AF6-4C80-ADA7-B7C5154A4F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1" name="Elipse 9040">
          <a:extLst>
            <a:ext uri="{FF2B5EF4-FFF2-40B4-BE49-F238E27FC236}">
              <a16:creationId xmlns:a16="http://schemas.microsoft.com/office/drawing/2014/main" id="{4CE2DDE7-C693-4C8C-8B03-850943D9A3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2" name="Elipse 9041">
          <a:extLst>
            <a:ext uri="{FF2B5EF4-FFF2-40B4-BE49-F238E27FC236}">
              <a16:creationId xmlns:a16="http://schemas.microsoft.com/office/drawing/2014/main" id="{EB482F9B-4A80-4825-868A-A7572780C4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3" name="Elipse 9042">
          <a:extLst>
            <a:ext uri="{FF2B5EF4-FFF2-40B4-BE49-F238E27FC236}">
              <a16:creationId xmlns:a16="http://schemas.microsoft.com/office/drawing/2014/main" id="{17CF75E8-3943-4A5D-A665-37D71681E0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4" name="Elipse 9043">
          <a:extLst>
            <a:ext uri="{FF2B5EF4-FFF2-40B4-BE49-F238E27FC236}">
              <a16:creationId xmlns:a16="http://schemas.microsoft.com/office/drawing/2014/main" id="{7A8CA9A8-D1C1-4F17-9255-9565DB081F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5" name="Elipse 9044">
          <a:extLst>
            <a:ext uri="{FF2B5EF4-FFF2-40B4-BE49-F238E27FC236}">
              <a16:creationId xmlns:a16="http://schemas.microsoft.com/office/drawing/2014/main" id="{2C9E05FF-691A-4BC6-A9F0-8D365C5017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6" name="Elipse 9045">
          <a:extLst>
            <a:ext uri="{FF2B5EF4-FFF2-40B4-BE49-F238E27FC236}">
              <a16:creationId xmlns:a16="http://schemas.microsoft.com/office/drawing/2014/main" id="{09F403C2-BD2F-4380-A507-485607F1DB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7" name="Elipse 9046">
          <a:extLst>
            <a:ext uri="{FF2B5EF4-FFF2-40B4-BE49-F238E27FC236}">
              <a16:creationId xmlns:a16="http://schemas.microsoft.com/office/drawing/2014/main" id="{04AE866E-88FF-48D3-8752-8B96FA6A33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8" name="Elipse 9047">
          <a:extLst>
            <a:ext uri="{FF2B5EF4-FFF2-40B4-BE49-F238E27FC236}">
              <a16:creationId xmlns:a16="http://schemas.microsoft.com/office/drawing/2014/main" id="{94BA84B7-D836-42B1-94BA-FC0CB95E08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49" name="Elipse 9048">
          <a:extLst>
            <a:ext uri="{FF2B5EF4-FFF2-40B4-BE49-F238E27FC236}">
              <a16:creationId xmlns:a16="http://schemas.microsoft.com/office/drawing/2014/main" id="{7958DF75-0B6F-4BD9-97D5-EE64884BB0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0" name="Elipse 9049">
          <a:extLst>
            <a:ext uri="{FF2B5EF4-FFF2-40B4-BE49-F238E27FC236}">
              <a16:creationId xmlns:a16="http://schemas.microsoft.com/office/drawing/2014/main" id="{27275E53-83E1-4DA2-BEB5-211657BAB0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1" name="Elipse 9050">
          <a:extLst>
            <a:ext uri="{FF2B5EF4-FFF2-40B4-BE49-F238E27FC236}">
              <a16:creationId xmlns:a16="http://schemas.microsoft.com/office/drawing/2014/main" id="{5F67E397-FFD8-4875-85DE-95DDD303EB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2" name="Elipse 9051">
          <a:extLst>
            <a:ext uri="{FF2B5EF4-FFF2-40B4-BE49-F238E27FC236}">
              <a16:creationId xmlns:a16="http://schemas.microsoft.com/office/drawing/2014/main" id="{B6A97F96-F159-48C1-B0C2-F88AE29135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3" name="Elipse 9052">
          <a:extLst>
            <a:ext uri="{FF2B5EF4-FFF2-40B4-BE49-F238E27FC236}">
              <a16:creationId xmlns:a16="http://schemas.microsoft.com/office/drawing/2014/main" id="{FBD0A9A0-F346-4911-9FAA-8723D258B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4" name="Elipse 9053">
          <a:extLst>
            <a:ext uri="{FF2B5EF4-FFF2-40B4-BE49-F238E27FC236}">
              <a16:creationId xmlns:a16="http://schemas.microsoft.com/office/drawing/2014/main" id="{D529CA61-D862-4AE3-B17E-262BDED2CF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5" name="Elipse 9054">
          <a:extLst>
            <a:ext uri="{FF2B5EF4-FFF2-40B4-BE49-F238E27FC236}">
              <a16:creationId xmlns:a16="http://schemas.microsoft.com/office/drawing/2014/main" id="{418999FA-1CC3-49BE-884D-9C21ADE608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6" name="Elipse 9055">
          <a:extLst>
            <a:ext uri="{FF2B5EF4-FFF2-40B4-BE49-F238E27FC236}">
              <a16:creationId xmlns:a16="http://schemas.microsoft.com/office/drawing/2014/main" id="{FAE6A392-A77E-4304-A6A5-9F496CD27A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7" name="Elipse 9056">
          <a:extLst>
            <a:ext uri="{FF2B5EF4-FFF2-40B4-BE49-F238E27FC236}">
              <a16:creationId xmlns:a16="http://schemas.microsoft.com/office/drawing/2014/main" id="{1CE70663-09E6-4004-BB8E-488DE4BE96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8" name="Elipse 9057">
          <a:extLst>
            <a:ext uri="{FF2B5EF4-FFF2-40B4-BE49-F238E27FC236}">
              <a16:creationId xmlns:a16="http://schemas.microsoft.com/office/drawing/2014/main" id="{B58926DE-9F3D-4BAB-B4AA-A57315938F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59" name="Elipse 9058">
          <a:extLst>
            <a:ext uri="{FF2B5EF4-FFF2-40B4-BE49-F238E27FC236}">
              <a16:creationId xmlns:a16="http://schemas.microsoft.com/office/drawing/2014/main" id="{CC17DC8D-98AF-42E1-8DB6-17B6FCD57F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0" name="Elipse 9059">
          <a:extLst>
            <a:ext uri="{FF2B5EF4-FFF2-40B4-BE49-F238E27FC236}">
              <a16:creationId xmlns:a16="http://schemas.microsoft.com/office/drawing/2014/main" id="{8A243722-2D9E-44CA-AA3D-6A0F02D947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1" name="Elipse 9060">
          <a:extLst>
            <a:ext uri="{FF2B5EF4-FFF2-40B4-BE49-F238E27FC236}">
              <a16:creationId xmlns:a16="http://schemas.microsoft.com/office/drawing/2014/main" id="{9A024D30-7361-49FA-92FC-47659491C4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2" name="Elipse 9061">
          <a:extLst>
            <a:ext uri="{FF2B5EF4-FFF2-40B4-BE49-F238E27FC236}">
              <a16:creationId xmlns:a16="http://schemas.microsoft.com/office/drawing/2014/main" id="{BFD9E3CB-721B-47A1-9385-DE7D35B12D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3" name="Elipse 9062">
          <a:extLst>
            <a:ext uri="{FF2B5EF4-FFF2-40B4-BE49-F238E27FC236}">
              <a16:creationId xmlns:a16="http://schemas.microsoft.com/office/drawing/2014/main" id="{FA3608EF-285F-4DF9-9B7D-58C1E7D633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4" name="Elipse 9063">
          <a:extLst>
            <a:ext uri="{FF2B5EF4-FFF2-40B4-BE49-F238E27FC236}">
              <a16:creationId xmlns:a16="http://schemas.microsoft.com/office/drawing/2014/main" id="{20D47F74-14BA-4E8B-A424-534BA5123A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5" name="Elipse 9064">
          <a:extLst>
            <a:ext uri="{FF2B5EF4-FFF2-40B4-BE49-F238E27FC236}">
              <a16:creationId xmlns:a16="http://schemas.microsoft.com/office/drawing/2014/main" id="{9F97D4B9-4023-400E-8616-A992EFBF2F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6" name="Elipse 9065">
          <a:extLst>
            <a:ext uri="{FF2B5EF4-FFF2-40B4-BE49-F238E27FC236}">
              <a16:creationId xmlns:a16="http://schemas.microsoft.com/office/drawing/2014/main" id="{DBA9B930-FF13-4E56-B1EE-871E964B3A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7" name="Elipse 9066">
          <a:extLst>
            <a:ext uri="{FF2B5EF4-FFF2-40B4-BE49-F238E27FC236}">
              <a16:creationId xmlns:a16="http://schemas.microsoft.com/office/drawing/2014/main" id="{B5004ECE-CA6D-4AEC-9508-69935CCE01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8" name="Elipse 9067">
          <a:extLst>
            <a:ext uri="{FF2B5EF4-FFF2-40B4-BE49-F238E27FC236}">
              <a16:creationId xmlns:a16="http://schemas.microsoft.com/office/drawing/2014/main" id="{06FF80DB-F8B8-4251-958D-6AFED795A3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69" name="Elipse 9068">
          <a:extLst>
            <a:ext uri="{FF2B5EF4-FFF2-40B4-BE49-F238E27FC236}">
              <a16:creationId xmlns:a16="http://schemas.microsoft.com/office/drawing/2014/main" id="{9FECA87D-1F23-46B2-991B-8157763207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0" name="Elipse 9069">
          <a:extLst>
            <a:ext uri="{FF2B5EF4-FFF2-40B4-BE49-F238E27FC236}">
              <a16:creationId xmlns:a16="http://schemas.microsoft.com/office/drawing/2014/main" id="{6DDBFAE1-E0CB-4EE9-A0A6-55887C0CBF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1" name="Elipse 9070">
          <a:extLst>
            <a:ext uri="{FF2B5EF4-FFF2-40B4-BE49-F238E27FC236}">
              <a16:creationId xmlns:a16="http://schemas.microsoft.com/office/drawing/2014/main" id="{69EEC862-1CB8-415B-8815-4122117F76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2" name="Elipse 9071">
          <a:extLst>
            <a:ext uri="{FF2B5EF4-FFF2-40B4-BE49-F238E27FC236}">
              <a16:creationId xmlns:a16="http://schemas.microsoft.com/office/drawing/2014/main" id="{6F2A413E-12C5-4B5A-84D2-CEED443605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3" name="Elipse 9072">
          <a:extLst>
            <a:ext uri="{FF2B5EF4-FFF2-40B4-BE49-F238E27FC236}">
              <a16:creationId xmlns:a16="http://schemas.microsoft.com/office/drawing/2014/main" id="{BCC7AF20-9379-4128-92EA-3F9C4BF393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4" name="Elipse 9073">
          <a:extLst>
            <a:ext uri="{FF2B5EF4-FFF2-40B4-BE49-F238E27FC236}">
              <a16:creationId xmlns:a16="http://schemas.microsoft.com/office/drawing/2014/main" id="{F741576B-0F13-4559-BBCF-6F17286BA1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5" name="Elipse 9074">
          <a:extLst>
            <a:ext uri="{FF2B5EF4-FFF2-40B4-BE49-F238E27FC236}">
              <a16:creationId xmlns:a16="http://schemas.microsoft.com/office/drawing/2014/main" id="{A6960A18-5E24-455D-A6B0-F1B5347271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6" name="Elipse 9075">
          <a:extLst>
            <a:ext uri="{FF2B5EF4-FFF2-40B4-BE49-F238E27FC236}">
              <a16:creationId xmlns:a16="http://schemas.microsoft.com/office/drawing/2014/main" id="{CEA48FF2-487A-431F-AFAE-CB99C02274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7" name="Elipse 9076">
          <a:extLst>
            <a:ext uri="{FF2B5EF4-FFF2-40B4-BE49-F238E27FC236}">
              <a16:creationId xmlns:a16="http://schemas.microsoft.com/office/drawing/2014/main" id="{9FA523D6-ECD7-437D-9F98-420642D87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8" name="Elipse 9077">
          <a:extLst>
            <a:ext uri="{FF2B5EF4-FFF2-40B4-BE49-F238E27FC236}">
              <a16:creationId xmlns:a16="http://schemas.microsoft.com/office/drawing/2014/main" id="{0B68DF30-EF9E-48BE-85E5-C2DE2470ED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79" name="Elipse 9078">
          <a:extLst>
            <a:ext uri="{FF2B5EF4-FFF2-40B4-BE49-F238E27FC236}">
              <a16:creationId xmlns:a16="http://schemas.microsoft.com/office/drawing/2014/main" id="{8AA7ADA7-51F9-424E-A589-5DC4D8D62F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0" name="Elipse 9079">
          <a:extLst>
            <a:ext uri="{FF2B5EF4-FFF2-40B4-BE49-F238E27FC236}">
              <a16:creationId xmlns:a16="http://schemas.microsoft.com/office/drawing/2014/main" id="{DA070D47-70FE-4B5E-A665-1E3AC23771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1" name="Elipse 9080">
          <a:extLst>
            <a:ext uri="{FF2B5EF4-FFF2-40B4-BE49-F238E27FC236}">
              <a16:creationId xmlns:a16="http://schemas.microsoft.com/office/drawing/2014/main" id="{BE470156-7B55-4F64-B938-F36AE8AC88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2" name="Elipse 9081">
          <a:extLst>
            <a:ext uri="{FF2B5EF4-FFF2-40B4-BE49-F238E27FC236}">
              <a16:creationId xmlns:a16="http://schemas.microsoft.com/office/drawing/2014/main" id="{29100DC1-63E0-4503-95B3-5FB34848CB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3" name="Elipse 9082">
          <a:extLst>
            <a:ext uri="{FF2B5EF4-FFF2-40B4-BE49-F238E27FC236}">
              <a16:creationId xmlns:a16="http://schemas.microsoft.com/office/drawing/2014/main" id="{92176061-AE11-4AB9-B1E7-179E1F2B53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4" name="Elipse 9083">
          <a:extLst>
            <a:ext uri="{FF2B5EF4-FFF2-40B4-BE49-F238E27FC236}">
              <a16:creationId xmlns:a16="http://schemas.microsoft.com/office/drawing/2014/main" id="{49EE494C-EAB3-451C-9F44-CC0571813E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5" name="Elipse 9084">
          <a:extLst>
            <a:ext uri="{FF2B5EF4-FFF2-40B4-BE49-F238E27FC236}">
              <a16:creationId xmlns:a16="http://schemas.microsoft.com/office/drawing/2014/main" id="{B02D3470-D5F7-4E61-9BD9-4831698B07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6" name="Elipse 9085">
          <a:extLst>
            <a:ext uri="{FF2B5EF4-FFF2-40B4-BE49-F238E27FC236}">
              <a16:creationId xmlns:a16="http://schemas.microsoft.com/office/drawing/2014/main" id="{861B788C-97CA-449A-9073-2AC534235E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7" name="Elipse 9086">
          <a:extLst>
            <a:ext uri="{FF2B5EF4-FFF2-40B4-BE49-F238E27FC236}">
              <a16:creationId xmlns:a16="http://schemas.microsoft.com/office/drawing/2014/main" id="{B5EE68F0-4268-411D-8919-30EABE56E6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8" name="Elipse 9087">
          <a:extLst>
            <a:ext uri="{FF2B5EF4-FFF2-40B4-BE49-F238E27FC236}">
              <a16:creationId xmlns:a16="http://schemas.microsoft.com/office/drawing/2014/main" id="{32AE3A2A-006C-4957-A04C-828504D717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89" name="Elipse 9088">
          <a:extLst>
            <a:ext uri="{FF2B5EF4-FFF2-40B4-BE49-F238E27FC236}">
              <a16:creationId xmlns:a16="http://schemas.microsoft.com/office/drawing/2014/main" id="{2D978C3D-954F-43D5-86E5-7EA3F5244A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0" name="Elipse 9089">
          <a:extLst>
            <a:ext uri="{FF2B5EF4-FFF2-40B4-BE49-F238E27FC236}">
              <a16:creationId xmlns:a16="http://schemas.microsoft.com/office/drawing/2014/main" id="{DB6742BF-35B4-48B6-8617-8FDA21B2AD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1" name="Elipse 9090">
          <a:extLst>
            <a:ext uri="{FF2B5EF4-FFF2-40B4-BE49-F238E27FC236}">
              <a16:creationId xmlns:a16="http://schemas.microsoft.com/office/drawing/2014/main" id="{B4676071-DA44-41BB-9C8E-7CA18791FA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2" name="Elipse 9091">
          <a:extLst>
            <a:ext uri="{FF2B5EF4-FFF2-40B4-BE49-F238E27FC236}">
              <a16:creationId xmlns:a16="http://schemas.microsoft.com/office/drawing/2014/main" id="{F483FA0F-63E5-4BA1-94DC-60627AD9DC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3" name="Elipse 9092">
          <a:extLst>
            <a:ext uri="{FF2B5EF4-FFF2-40B4-BE49-F238E27FC236}">
              <a16:creationId xmlns:a16="http://schemas.microsoft.com/office/drawing/2014/main" id="{215FC415-E26A-4E53-BCCE-FED865FCE9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4" name="Elipse 9093">
          <a:extLst>
            <a:ext uri="{FF2B5EF4-FFF2-40B4-BE49-F238E27FC236}">
              <a16:creationId xmlns:a16="http://schemas.microsoft.com/office/drawing/2014/main" id="{9AE58960-D292-4CDF-9CC8-40F9C4E1BF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5" name="Elipse 9094">
          <a:extLst>
            <a:ext uri="{FF2B5EF4-FFF2-40B4-BE49-F238E27FC236}">
              <a16:creationId xmlns:a16="http://schemas.microsoft.com/office/drawing/2014/main" id="{5A7A0089-2A7E-4948-B5DC-14F85C0444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6" name="Elipse 9095">
          <a:extLst>
            <a:ext uri="{FF2B5EF4-FFF2-40B4-BE49-F238E27FC236}">
              <a16:creationId xmlns:a16="http://schemas.microsoft.com/office/drawing/2014/main" id="{1619D59E-A393-48C2-A2B4-2349D13B36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7" name="Elipse 9096">
          <a:extLst>
            <a:ext uri="{FF2B5EF4-FFF2-40B4-BE49-F238E27FC236}">
              <a16:creationId xmlns:a16="http://schemas.microsoft.com/office/drawing/2014/main" id="{040DCC2C-AADB-4EF2-BA70-BD6BC0D5A3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8" name="Elipse 9097">
          <a:extLst>
            <a:ext uri="{FF2B5EF4-FFF2-40B4-BE49-F238E27FC236}">
              <a16:creationId xmlns:a16="http://schemas.microsoft.com/office/drawing/2014/main" id="{27C11161-276A-40E1-B40E-685907A599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099" name="Elipse 9098">
          <a:extLst>
            <a:ext uri="{FF2B5EF4-FFF2-40B4-BE49-F238E27FC236}">
              <a16:creationId xmlns:a16="http://schemas.microsoft.com/office/drawing/2014/main" id="{B5036888-35BC-4E2D-AB34-F56F67554F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0" name="Elipse 9099">
          <a:extLst>
            <a:ext uri="{FF2B5EF4-FFF2-40B4-BE49-F238E27FC236}">
              <a16:creationId xmlns:a16="http://schemas.microsoft.com/office/drawing/2014/main" id="{34EFA14C-15D7-4760-A739-E60372D733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1" name="Elipse 9100">
          <a:extLst>
            <a:ext uri="{FF2B5EF4-FFF2-40B4-BE49-F238E27FC236}">
              <a16:creationId xmlns:a16="http://schemas.microsoft.com/office/drawing/2014/main" id="{25D266FC-68A9-4D64-9089-F2B0DDD2FC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2" name="Elipse 9101">
          <a:extLst>
            <a:ext uri="{FF2B5EF4-FFF2-40B4-BE49-F238E27FC236}">
              <a16:creationId xmlns:a16="http://schemas.microsoft.com/office/drawing/2014/main" id="{5BA94043-9D0B-45C5-8762-5949DBE63E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3" name="Elipse 9102">
          <a:extLst>
            <a:ext uri="{FF2B5EF4-FFF2-40B4-BE49-F238E27FC236}">
              <a16:creationId xmlns:a16="http://schemas.microsoft.com/office/drawing/2014/main" id="{C3C1FE5E-1221-4730-AA05-770B386807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4" name="Elipse 9103">
          <a:extLst>
            <a:ext uri="{FF2B5EF4-FFF2-40B4-BE49-F238E27FC236}">
              <a16:creationId xmlns:a16="http://schemas.microsoft.com/office/drawing/2014/main" id="{1E7B1D4B-7B06-4C2C-BBB5-E8136BDA57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5" name="Elipse 9104">
          <a:extLst>
            <a:ext uri="{FF2B5EF4-FFF2-40B4-BE49-F238E27FC236}">
              <a16:creationId xmlns:a16="http://schemas.microsoft.com/office/drawing/2014/main" id="{7119A0AC-724F-4B80-959E-AE3B4EBAEE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6" name="Elipse 9105">
          <a:extLst>
            <a:ext uri="{FF2B5EF4-FFF2-40B4-BE49-F238E27FC236}">
              <a16:creationId xmlns:a16="http://schemas.microsoft.com/office/drawing/2014/main" id="{D8132650-E64A-44A9-9F5B-FFCEA529C6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7" name="Elipse 9106">
          <a:extLst>
            <a:ext uri="{FF2B5EF4-FFF2-40B4-BE49-F238E27FC236}">
              <a16:creationId xmlns:a16="http://schemas.microsoft.com/office/drawing/2014/main" id="{1C2CD760-AAE0-484E-BB39-E40B1FC402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8" name="Elipse 9107">
          <a:extLst>
            <a:ext uri="{FF2B5EF4-FFF2-40B4-BE49-F238E27FC236}">
              <a16:creationId xmlns:a16="http://schemas.microsoft.com/office/drawing/2014/main" id="{C779E44B-B5DC-4A07-9C0D-A780AF4A6D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09" name="Elipse 9108">
          <a:extLst>
            <a:ext uri="{FF2B5EF4-FFF2-40B4-BE49-F238E27FC236}">
              <a16:creationId xmlns:a16="http://schemas.microsoft.com/office/drawing/2014/main" id="{861373F6-FD55-4EB9-B1B9-36AF66767D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0" name="Elipse 9109">
          <a:extLst>
            <a:ext uri="{FF2B5EF4-FFF2-40B4-BE49-F238E27FC236}">
              <a16:creationId xmlns:a16="http://schemas.microsoft.com/office/drawing/2014/main" id="{4F0865B3-6540-4F43-AACE-B69E63D01C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1" name="Elipse 9110">
          <a:extLst>
            <a:ext uri="{FF2B5EF4-FFF2-40B4-BE49-F238E27FC236}">
              <a16:creationId xmlns:a16="http://schemas.microsoft.com/office/drawing/2014/main" id="{E3033AE0-DB07-45A7-93B0-EFEDFF9055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2" name="Elipse 9111">
          <a:extLst>
            <a:ext uri="{FF2B5EF4-FFF2-40B4-BE49-F238E27FC236}">
              <a16:creationId xmlns:a16="http://schemas.microsoft.com/office/drawing/2014/main" id="{3B5BEC41-46D5-4892-A03C-1E20609F4F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3" name="Elipse 9112">
          <a:extLst>
            <a:ext uri="{FF2B5EF4-FFF2-40B4-BE49-F238E27FC236}">
              <a16:creationId xmlns:a16="http://schemas.microsoft.com/office/drawing/2014/main" id="{173C22BE-186A-43FA-A3D4-B1D793A75C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4" name="Elipse 9113">
          <a:extLst>
            <a:ext uri="{FF2B5EF4-FFF2-40B4-BE49-F238E27FC236}">
              <a16:creationId xmlns:a16="http://schemas.microsoft.com/office/drawing/2014/main" id="{A9FEAB39-5EB5-4F91-93F5-EDB2B592A5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5" name="Elipse 9114">
          <a:extLst>
            <a:ext uri="{FF2B5EF4-FFF2-40B4-BE49-F238E27FC236}">
              <a16:creationId xmlns:a16="http://schemas.microsoft.com/office/drawing/2014/main" id="{77551B58-2EA2-4F6B-85C3-14BDB666D2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6" name="Elipse 9115">
          <a:extLst>
            <a:ext uri="{FF2B5EF4-FFF2-40B4-BE49-F238E27FC236}">
              <a16:creationId xmlns:a16="http://schemas.microsoft.com/office/drawing/2014/main" id="{8EF6EBB0-A21F-4F2B-87A1-8D958F8C9C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7" name="Elipse 9116">
          <a:extLst>
            <a:ext uri="{FF2B5EF4-FFF2-40B4-BE49-F238E27FC236}">
              <a16:creationId xmlns:a16="http://schemas.microsoft.com/office/drawing/2014/main" id="{9B879154-C285-4107-8D3E-DAF2A4B47B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8" name="Elipse 9117">
          <a:extLst>
            <a:ext uri="{FF2B5EF4-FFF2-40B4-BE49-F238E27FC236}">
              <a16:creationId xmlns:a16="http://schemas.microsoft.com/office/drawing/2014/main" id="{0CD2F92D-0D4B-4F8B-9909-282F671274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19" name="Elipse 9118">
          <a:extLst>
            <a:ext uri="{FF2B5EF4-FFF2-40B4-BE49-F238E27FC236}">
              <a16:creationId xmlns:a16="http://schemas.microsoft.com/office/drawing/2014/main" id="{A64D149B-A0D2-4D2B-B900-7EDE5FC0CA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0" name="Elipse 9119">
          <a:extLst>
            <a:ext uri="{FF2B5EF4-FFF2-40B4-BE49-F238E27FC236}">
              <a16:creationId xmlns:a16="http://schemas.microsoft.com/office/drawing/2014/main" id="{C3AC9DCE-BD9A-4421-881F-87304D51E6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1" name="Elipse 9120">
          <a:extLst>
            <a:ext uri="{FF2B5EF4-FFF2-40B4-BE49-F238E27FC236}">
              <a16:creationId xmlns:a16="http://schemas.microsoft.com/office/drawing/2014/main" id="{F9C19776-7E97-450B-A3B3-9155A2F877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2" name="Elipse 9121">
          <a:extLst>
            <a:ext uri="{FF2B5EF4-FFF2-40B4-BE49-F238E27FC236}">
              <a16:creationId xmlns:a16="http://schemas.microsoft.com/office/drawing/2014/main" id="{7E1190B2-D78E-4048-A6F6-593E1A2994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3" name="Elipse 9122">
          <a:extLst>
            <a:ext uri="{FF2B5EF4-FFF2-40B4-BE49-F238E27FC236}">
              <a16:creationId xmlns:a16="http://schemas.microsoft.com/office/drawing/2014/main" id="{9B5C8515-B875-4814-B75B-23FF2C8E68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4" name="Elipse 9123">
          <a:extLst>
            <a:ext uri="{FF2B5EF4-FFF2-40B4-BE49-F238E27FC236}">
              <a16:creationId xmlns:a16="http://schemas.microsoft.com/office/drawing/2014/main" id="{E3701043-DEE1-4BC6-9B84-5FC7EA568F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5" name="Elipse 9124">
          <a:extLst>
            <a:ext uri="{FF2B5EF4-FFF2-40B4-BE49-F238E27FC236}">
              <a16:creationId xmlns:a16="http://schemas.microsoft.com/office/drawing/2014/main" id="{2F25C911-51DC-400B-ACDA-01D1116E20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6" name="Elipse 9125">
          <a:extLst>
            <a:ext uri="{FF2B5EF4-FFF2-40B4-BE49-F238E27FC236}">
              <a16:creationId xmlns:a16="http://schemas.microsoft.com/office/drawing/2014/main" id="{AE0CA711-4BAE-436E-9BCE-E68F9B8B96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7" name="Elipse 9126">
          <a:extLst>
            <a:ext uri="{FF2B5EF4-FFF2-40B4-BE49-F238E27FC236}">
              <a16:creationId xmlns:a16="http://schemas.microsoft.com/office/drawing/2014/main" id="{4DA7E84A-9CD4-4C56-AB35-D881DC5AEA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8" name="Elipse 9127">
          <a:extLst>
            <a:ext uri="{FF2B5EF4-FFF2-40B4-BE49-F238E27FC236}">
              <a16:creationId xmlns:a16="http://schemas.microsoft.com/office/drawing/2014/main" id="{8C6D309B-E6E9-4854-A8CE-AA1B8316BF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29" name="Elipse 9128">
          <a:extLst>
            <a:ext uri="{FF2B5EF4-FFF2-40B4-BE49-F238E27FC236}">
              <a16:creationId xmlns:a16="http://schemas.microsoft.com/office/drawing/2014/main" id="{0CAB43D6-18B6-41EE-A69F-551577444B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0" name="Elipse 9129">
          <a:extLst>
            <a:ext uri="{FF2B5EF4-FFF2-40B4-BE49-F238E27FC236}">
              <a16:creationId xmlns:a16="http://schemas.microsoft.com/office/drawing/2014/main" id="{649D7CFF-E6D0-4B22-8F16-B3F6899638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1" name="Elipse 9130">
          <a:extLst>
            <a:ext uri="{FF2B5EF4-FFF2-40B4-BE49-F238E27FC236}">
              <a16:creationId xmlns:a16="http://schemas.microsoft.com/office/drawing/2014/main" id="{BF413EF3-B026-429F-A7A4-6A2524C3B7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2" name="Elipse 9131">
          <a:extLst>
            <a:ext uri="{FF2B5EF4-FFF2-40B4-BE49-F238E27FC236}">
              <a16:creationId xmlns:a16="http://schemas.microsoft.com/office/drawing/2014/main" id="{393034D5-A811-4FC9-B881-71219C4828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3" name="Elipse 9132">
          <a:extLst>
            <a:ext uri="{FF2B5EF4-FFF2-40B4-BE49-F238E27FC236}">
              <a16:creationId xmlns:a16="http://schemas.microsoft.com/office/drawing/2014/main" id="{95067906-097F-4EEB-A515-7C113BA051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4" name="Elipse 9133">
          <a:extLst>
            <a:ext uri="{FF2B5EF4-FFF2-40B4-BE49-F238E27FC236}">
              <a16:creationId xmlns:a16="http://schemas.microsoft.com/office/drawing/2014/main" id="{41D48762-E1F2-424C-A885-9BE4128D8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5" name="Elipse 9134">
          <a:extLst>
            <a:ext uri="{FF2B5EF4-FFF2-40B4-BE49-F238E27FC236}">
              <a16:creationId xmlns:a16="http://schemas.microsoft.com/office/drawing/2014/main" id="{BA3A04C7-8710-446D-B56C-D7C4CC8B9E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6" name="Elipse 9135">
          <a:extLst>
            <a:ext uri="{FF2B5EF4-FFF2-40B4-BE49-F238E27FC236}">
              <a16:creationId xmlns:a16="http://schemas.microsoft.com/office/drawing/2014/main" id="{8B6F0BA3-357C-4999-9E0F-EAACDF11B9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7" name="Elipse 9136">
          <a:extLst>
            <a:ext uri="{FF2B5EF4-FFF2-40B4-BE49-F238E27FC236}">
              <a16:creationId xmlns:a16="http://schemas.microsoft.com/office/drawing/2014/main" id="{6EDE08D8-13EF-4C54-9EFC-43A7A13F85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8" name="Elipse 9137">
          <a:extLst>
            <a:ext uri="{FF2B5EF4-FFF2-40B4-BE49-F238E27FC236}">
              <a16:creationId xmlns:a16="http://schemas.microsoft.com/office/drawing/2014/main" id="{19180CF8-22B3-423A-A883-A21FC592B8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39" name="Elipse 9138">
          <a:extLst>
            <a:ext uri="{FF2B5EF4-FFF2-40B4-BE49-F238E27FC236}">
              <a16:creationId xmlns:a16="http://schemas.microsoft.com/office/drawing/2014/main" id="{D4EAB848-0002-48AD-ACFA-6504CE14CD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0" name="Elipse 9139">
          <a:extLst>
            <a:ext uri="{FF2B5EF4-FFF2-40B4-BE49-F238E27FC236}">
              <a16:creationId xmlns:a16="http://schemas.microsoft.com/office/drawing/2014/main" id="{B2AF93EA-B93E-4F62-B36C-0BD3967C86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1" name="Elipse 9140">
          <a:extLst>
            <a:ext uri="{FF2B5EF4-FFF2-40B4-BE49-F238E27FC236}">
              <a16:creationId xmlns:a16="http://schemas.microsoft.com/office/drawing/2014/main" id="{90DD6125-CF9D-4E76-843B-8B7F5E3EF1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2" name="Elipse 9141">
          <a:extLst>
            <a:ext uri="{FF2B5EF4-FFF2-40B4-BE49-F238E27FC236}">
              <a16:creationId xmlns:a16="http://schemas.microsoft.com/office/drawing/2014/main" id="{44BC76DE-6548-4DAB-AFFB-DFDBAE37E7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3" name="Elipse 9142">
          <a:extLst>
            <a:ext uri="{FF2B5EF4-FFF2-40B4-BE49-F238E27FC236}">
              <a16:creationId xmlns:a16="http://schemas.microsoft.com/office/drawing/2014/main" id="{1EF93079-833B-40EF-9B05-2378BBD91D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4" name="Elipse 9143">
          <a:extLst>
            <a:ext uri="{FF2B5EF4-FFF2-40B4-BE49-F238E27FC236}">
              <a16:creationId xmlns:a16="http://schemas.microsoft.com/office/drawing/2014/main" id="{DEDBC342-0F67-4E73-BDA9-E9CC6C160B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5" name="Elipse 9144">
          <a:extLst>
            <a:ext uri="{FF2B5EF4-FFF2-40B4-BE49-F238E27FC236}">
              <a16:creationId xmlns:a16="http://schemas.microsoft.com/office/drawing/2014/main" id="{C309EC56-658D-4775-9C54-E7BC4C3DC9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6" name="Elipse 9145">
          <a:extLst>
            <a:ext uri="{FF2B5EF4-FFF2-40B4-BE49-F238E27FC236}">
              <a16:creationId xmlns:a16="http://schemas.microsoft.com/office/drawing/2014/main" id="{B5BFEC4F-F323-4741-89CF-73006122CB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7" name="Elipse 9146">
          <a:extLst>
            <a:ext uri="{FF2B5EF4-FFF2-40B4-BE49-F238E27FC236}">
              <a16:creationId xmlns:a16="http://schemas.microsoft.com/office/drawing/2014/main" id="{9B6D9044-EDF2-45AA-80AC-D744A65621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8" name="Elipse 9147">
          <a:extLst>
            <a:ext uri="{FF2B5EF4-FFF2-40B4-BE49-F238E27FC236}">
              <a16:creationId xmlns:a16="http://schemas.microsoft.com/office/drawing/2014/main" id="{AD057D5A-B931-48E9-A155-FD4A2FE0F5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49" name="Elipse 9148">
          <a:extLst>
            <a:ext uri="{FF2B5EF4-FFF2-40B4-BE49-F238E27FC236}">
              <a16:creationId xmlns:a16="http://schemas.microsoft.com/office/drawing/2014/main" id="{34C350CF-CA39-4BC3-9E3E-114D4CBFC4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0" name="Elipse 9149">
          <a:extLst>
            <a:ext uri="{FF2B5EF4-FFF2-40B4-BE49-F238E27FC236}">
              <a16:creationId xmlns:a16="http://schemas.microsoft.com/office/drawing/2014/main" id="{4F36C901-918E-41B4-821C-615E1C7F1A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1" name="Elipse 9150">
          <a:extLst>
            <a:ext uri="{FF2B5EF4-FFF2-40B4-BE49-F238E27FC236}">
              <a16:creationId xmlns:a16="http://schemas.microsoft.com/office/drawing/2014/main" id="{DC258C0D-BAE0-4D8D-BAB9-0C9D6F6904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2" name="Elipse 9151">
          <a:extLst>
            <a:ext uri="{FF2B5EF4-FFF2-40B4-BE49-F238E27FC236}">
              <a16:creationId xmlns:a16="http://schemas.microsoft.com/office/drawing/2014/main" id="{CF37F36C-33E7-4BF3-B87E-6A92D3FCF9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3" name="Elipse 9152">
          <a:extLst>
            <a:ext uri="{FF2B5EF4-FFF2-40B4-BE49-F238E27FC236}">
              <a16:creationId xmlns:a16="http://schemas.microsoft.com/office/drawing/2014/main" id="{9E655EF4-6CBF-4CF0-B2C3-527A66D34F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4" name="Elipse 9153">
          <a:extLst>
            <a:ext uri="{FF2B5EF4-FFF2-40B4-BE49-F238E27FC236}">
              <a16:creationId xmlns:a16="http://schemas.microsoft.com/office/drawing/2014/main" id="{06AC338B-1597-45ED-9943-D4EC784CB3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5" name="Elipse 9154">
          <a:extLst>
            <a:ext uri="{FF2B5EF4-FFF2-40B4-BE49-F238E27FC236}">
              <a16:creationId xmlns:a16="http://schemas.microsoft.com/office/drawing/2014/main" id="{424FDF6D-8593-45AE-B2B4-36FF6465BF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6" name="Elipse 9155">
          <a:extLst>
            <a:ext uri="{FF2B5EF4-FFF2-40B4-BE49-F238E27FC236}">
              <a16:creationId xmlns:a16="http://schemas.microsoft.com/office/drawing/2014/main" id="{F476E5B1-0AAD-4701-8881-A3AC776980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7" name="Elipse 9156">
          <a:extLst>
            <a:ext uri="{FF2B5EF4-FFF2-40B4-BE49-F238E27FC236}">
              <a16:creationId xmlns:a16="http://schemas.microsoft.com/office/drawing/2014/main" id="{5D4D3061-6A61-455E-9567-8C4314250F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8" name="Elipse 9157">
          <a:extLst>
            <a:ext uri="{FF2B5EF4-FFF2-40B4-BE49-F238E27FC236}">
              <a16:creationId xmlns:a16="http://schemas.microsoft.com/office/drawing/2014/main" id="{8A9A003A-1A5D-44BB-80DB-3AD8F7302A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59" name="Elipse 9158">
          <a:extLst>
            <a:ext uri="{FF2B5EF4-FFF2-40B4-BE49-F238E27FC236}">
              <a16:creationId xmlns:a16="http://schemas.microsoft.com/office/drawing/2014/main" id="{9155250C-BCC6-457F-BAAB-8508F77003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0" name="Elipse 9159">
          <a:extLst>
            <a:ext uri="{FF2B5EF4-FFF2-40B4-BE49-F238E27FC236}">
              <a16:creationId xmlns:a16="http://schemas.microsoft.com/office/drawing/2014/main" id="{0DB21B50-2F71-49EB-8AD4-47EDC60C17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1" name="Elipse 9160">
          <a:extLst>
            <a:ext uri="{FF2B5EF4-FFF2-40B4-BE49-F238E27FC236}">
              <a16:creationId xmlns:a16="http://schemas.microsoft.com/office/drawing/2014/main" id="{6E73C32B-80D9-4630-A590-E5CEDDDAB0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2" name="Elipse 9161">
          <a:extLst>
            <a:ext uri="{FF2B5EF4-FFF2-40B4-BE49-F238E27FC236}">
              <a16:creationId xmlns:a16="http://schemas.microsoft.com/office/drawing/2014/main" id="{0F2C6D3E-3D96-4F72-82F6-5112F91BE2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3" name="Elipse 9162">
          <a:extLst>
            <a:ext uri="{FF2B5EF4-FFF2-40B4-BE49-F238E27FC236}">
              <a16:creationId xmlns:a16="http://schemas.microsoft.com/office/drawing/2014/main" id="{66525B4B-38EF-4BBA-92E5-C1E2FBB829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4" name="Elipse 9163">
          <a:extLst>
            <a:ext uri="{FF2B5EF4-FFF2-40B4-BE49-F238E27FC236}">
              <a16:creationId xmlns:a16="http://schemas.microsoft.com/office/drawing/2014/main" id="{7261900F-5187-4D94-A9C1-0625C4B2E6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5" name="Elipse 9164">
          <a:extLst>
            <a:ext uri="{FF2B5EF4-FFF2-40B4-BE49-F238E27FC236}">
              <a16:creationId xmlns:a16="http://schemas.microsoft.com/office/drawing/2014/main" id="{E7EB0A21-91CB-4B18-8733-31493BB402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6" name="Elipse 9165">
          <a:extLst>
            <a:ext uri="{FF2B5EF4-FFF2-40B4-BE49-F238E27FC236}">
              <a16:creationId xmlns:a16="http://schemas.microsoft.com/office/drawing/2014/main" id="{08A7A5FC-84F1-4861-A0C9-BEA1D2EA68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7" name="Elipse 9166">
          <a:extLst>
            <a:ext uri="{FF2B5EF4-FFF2-40B4-BE49-F238E27FC236}">
              <a16:creationId xmlns:a16="http://schemas.microsoft.com/office/drawing/2014/main" id="{2B5F3991-1574-4F3E-95C0-545ED2FFB9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8" name="Elipse 9167">
          <a:extLst>
            <a:ext uri="{FF2B5EF4-FFF2-40B4-BE49-F238E27FC236}">
              <a16:creationId xmlns:a16="http://schemas.microsoft.com/office/drawing/2014/main" id="{2B843AC8-3D55-4B72-9273-33705FFC3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69" name="Elipse 9168">
          <a:extLst>
            <a:ext uri="{FF2B5EF4-FFF2-40B4-BE49-F238E27FC236}">
              <a16:creationId xmlns:a16="http://schemas.microsoft.com/office/drawing/2014/main" id="{59DFECA6-DC2D-487F-AD47-B1E6F9370E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0" name="Elipse 9169">
          <a:extLst>
            <a:ext uri="{FF2B5EF4-FFF2-40B4-BE49-F238E27FC236}">
              <a16:creationId xmlns:a16="http://schemas.microsoft.com/office/drawing/2014/main" id="{AE4D5CE4-F56E-43C0-98D7-C3E5735FE7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1" name="Elipse 9170">
          <a:extLst>
            <a:ext uri="{FF2B5EF4-FFF2-40B4-BE49-F238E27FC236}">
              <a16:creationId xmlns:a16="http://schemas.microsoft.com/office/drawing/2014/main" id="{CD1152E0-8877-4F8C-BEFC-FC25C385BD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2" name="Elipse 9171">
          <a:extLst>
            <a:ext uri="{FF2B5EF4-FFF2-40B4-BE49-F238E27FC236}">
              <a16:creationId xmlns:a16="http://schemas.microsoft.com/office/drawing/2014/main" id="{C273AE83-1896-499C-8149-4E083E71C4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3" name="Elipse 9172">
          <a:extLst>
            <a:ext uri="{FF2B5EF4-FFF2-40B4-BE49-F238E27FC236}">
              <a16:creationId xmlns:a16="http://schemas.microsoft.com/office/drawing/2014/main" id="{AA3D7B2A-5E1E-46EC-80D4-CCEE52A1BC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4" name="Elipse 9173">
          <a:extLst>
            <a:ext uri="{FF2B5EF4-FFF2-40B4-BE49-F238E27FC236}">
              <a16:creationId xmlns:a16="http://schemas.microsoft.com/office/drawing/2014/main" id="{4897AF38-0294-4F36-8AD9-06E124413E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5" name="Elipse 9174">
          <a:extLst>
            <a:ext uri="{FF2B5EF4-FFF2-40B4-BE49-F238E27FC236}">
              <a16:creationId xmlns:a16="http://schemas.microsoft.com/office/drawing/2014/main" id="{06621EA8-8CD7-418D-891C-69200F0066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6" name="Elipse 9175">
          <a:extLst>
            <a:ext uri="{FF2B5EF4-FFF2-40B4-BE49-F238E27FC236}">
              <a16:creationId xmlns:a16="http://schemas.microsoft.com/office/drawing/2014/main" id="{2AC5B0FF-CFF5-4065-BEE4-C4FF34D016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7" name="Elipse 9176">
          <a:extLst>
            <a:ext uri="{FF2B5EF4-FFF2-40B4-BE49-F238E27FC236}">
              <a16:creationId xmlns:a16="http://schemas.microsoft.com/office/drawing/2014/main" id="{91435092-BEC0-44F5-894F-3D2B6A1BC3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8" name="Elipse 9177">
          <a:extLst>
            <a:ext uri="{FF2B5EF4-FFF2-40B4-BE49-F238E27FC236}">
              <a16:creationId xmlns:a16="http://schemas.microsoft.com/office/drawing/2014/main" id="{3A587871-F88D-44BC-838D-086A69EC9C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79" name="Elipse 9178">
          <a:extLst>
            <a:ext uri="{FF2B5EF4-FFF2-40B4-BE49-F238E27FC236}">
              <a16:creationId xmlns:a16="http://schemas.microsoft.com/office/drawing/2014/main" id="{27E1657B-4A37-4E13-A454-E9E563D81C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0" name="Elipse 9179">
          <a:extLst>
            <a:ext uri="{FF2B5EF4-FFF2-40B4-BE49-F238E27FC236}">
              <a16:creationId xmlns:a16="http://schemas.microsoft.com/office/drawing/2014/main" id="{C2863BCE-C46C-46B7-972E-975109A958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1" name="Elipse 9180">
          <a:extLst>
            <a:ext uri="{FF2B5EF4-FFF2-40B4-BE49-F238E27FC236}">
              <a16:creationId xmlns:a16="http://schemas.microsoft.com/office/drawing/2014/main" id="{A1B9FD8B-6550-4A96-8205-1ECA953482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2" name="Elipse 9181">
          <a:extLst>
            <a:ext uri="{FF2B5EF4-FFF2-40B4-BE49-F238E27FC236}">
              <a16:creationId xmlns:a16="http://schemas.microsoft.com/office/drawing/2014/main" id="{B3D10BE2-63AC-4A83-B68B-53EB9CFA25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3" name="Elipse 9182">
          <a:extLst>
            <a:ext uri="{FF2B5EF4-FFF2-40B4-BE49-F238E27FC236}">
              <a16:creationId xmlns:a16="http://schemas.microsoft.com/office/drawing/2014/main" id="{3393192C-E3AA-4BB8-983D-667AAC9179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4" name="Elipse 9183">
          <a:extLst>
            <a:ext uri="{FF2B5EF4-FFF2-40B4-BE49-F238E27FC236}">
              <a16:creationId xmlns:a16="http://schemas.microsoft.com/office/drawing/2014/main" id="{ECCA4128-2876-4001-AF71-B939CA9089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5" name="Elipse 9184">
          <a:extLst>
            <a:ext uri="{FF2B5EF4-FFF2-40B4-BE49-F238E27FC236}">
              <a16:creationId xmlns:a16="http://schemas.microsoft.com/office/drawing/2014/main" id="{13D1EF99-7AEE-492A-BAB7-9C4B3282EB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6" name="Elipse 9185">
          <a:extLst>
            <a:ext uri="{FF2B5EF4-FFF2-40B4-BE49-F238E27FC236}">
              <a16:creationId xmlns:a16="http://schemas.microsoft.com/office/drawing/2014/main" id="{C074EC45-7C25-4640-92CA-E70071C40A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7" name="Elipse 9186">
          <a:extLst>
            <a:ext uri="{FF2B5EF4-FFF2-40B4-BE49-F238E27FC236}">
              <a16:creationId xmlns:a16="http://schemas.microsoft.com/office/drawing/2014/main" id="{0B502C84-4780-4408-A4FF-84C5EAA1C2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8" name="Elipse 9187">
          <a:extLst>
            <a:ext uri="{FF2B5EF4-FFF2-40B4-BE49-F238E27FC236}">
              <a16:creationId xmlns:a16="http://schemas.microsoft.com/office/drawing/2014/main" id="{E40B0E35-18D1-49E0-A38F-C99E208492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89" name="Elipse 9188">
          <a:extLst>
            <a:ext uri="{FF2B5EF4-FFF2-40B4-BE49-F238E27FC236}">
              <a16:creationId xmlns:a16="http://schemas.microsoft.com/office/drawing/2014/main" id="{149937E4-CDAA-40DB-8770-CC78A7AFFA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0" name="Elipse 9189">
          <a:extLst>
            <a:ext uri="{FF2B5EF4-FFF2-40B4-BE49-F238E27FC236}">
              <a16:creationId xmlns:a16="http://schemas.microsoft.com/office/drawing/2014/main" id="{8FB3974D-5E04-442A-890D-79C5A11D98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1" name="Elipse 9190">
          <a:extLst>
            <a:ext uri="{FF2B5EF4-FFF2-40B4-BE49-F238E27FC236}">
              <a16:creationId xmlns:a16="http://schemas.microsoft.com/office/drawing/2014/main" id="{65B145E9-8389-4670-A4CD-F86829C638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2" name="Elipse 9191">
          <a:extLst>
            <a:ext uri="{FF2B5EF4-FFF2-40B4-BE49-F238E27FC236}">
              <a16:creationId xmlns:a16="http://schemas.microsoft.com/office/drawing/2014/main" id="{C6EB4F23-309E-494F-AB78-AAEA3D998F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3" name="Elipse 9192">
          <a:extLst>
            <a:ext uri="{FF2B5EF4-FFF2-40B4-BE49-F238E27FC236}">
              <a16:creationId xmlns:a16="http://schemas.microsoft.com/office/drawing/2014/main" id="{C8E01F81-D1D1-4590-8E8B-7365F05EF3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4" name="Elipse 9193">
          <a:extLst>
            <a:ext uri="{FF2B5EF4-FFF2-40B4-BE49-F238E27FC236}">
              <a16:creationId xmlns:a16="http://schemas.microsoft.com/office/drawing/2014/main" id="{C423B766-EFFE-4ED9-9318-20AD8BC118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5" name="Elipse 9194">
          <a:extLst>
            <a:ext uri="{FF2B5EF4-FFF2-40B4-BE49-F238E27FC236}">
              <a16:creationId xmlns:a16="http://schemas.microsoft.com/office/drawing/2014/main" id="{E6C5D241-36CC-492F-BEFD-4A0CD4FCCD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6" name="Elipse 9195">
          <a:extLst>
            <a:ext uri="{FF2B5EF4-FFF2-40B4-BE49-F238E27FC236}">
              <a16:creationId xmlns:a16="http://schemas.microsoft.com/office/drawing/2014/main" id="{99BA285C-9CA3-4595-A296-17FFC04A7F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7" name="Elipse 9196">
          <a:extLst>
            <a:ext uri="{FF2B5EF4-FFF2-40B4-BE49-F238E27FC236}">
              <a16:creationId xmlns:a16="http://schemas.microsoft.com/office/drawing/2014/main" id="{EB3A36B7-424A-4505-ABA8-B765431C1C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8" name="Elipse 9197">
          <a:extLst>
            <a:ext uri="{FF2B5EF4-FFF2-40B4-BE49-F238E27FC236}">
              <a16:creationId xmlns:a16="http://schemas.microsoft.com/office/drawing/2014/main" id="{D9AA774C-7AC4-43B4-84DC-2E03CD8D9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199" name="Elipse 9198">
          <a:extLst>
            <a:ext uri="{FF2B5EF4-FFF2-40B4-BE49-F238E27FC236}">
              <a16:creationId xmlns:a16="http://schemas.microsoft.com/office/drawing/2014/main" id="{505E1665-DDD1-4EFA-B9F5-055B095519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0" name="Elipse 9199">
          <a:extLst>
            <a:ext uri="{FF2B5EF4-FFF2-40B4-BE49-F238E27FC236}">
              <a16:creationId xmlns:a16="http://schemas.microsoft.com/office/drawing/2014/main" id="{017C74DB-D789-4DF7-A13C-5FDBDB921C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1" name="Elipse 9200">
          <a:extLst>
            <a:ext uri="{FF2B5EF4-FFF2-40B4-BE49-F238E27FC236}">
              <a16:creationId xmlns:a16="http://schemas.microsoft.com/office/drawing/2014/main" id="{367048EF-62F2-4A75-B7DA-091EF935FD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2" name="Elipse 9201">
          <a:extLst>
            <a:ext uri="{FF2B5EF4-FFF2-40B4-BE49-F238E27FC236}">
              <a16:creationId xmlns:a16="http://schemas.microsoft.com/office/drawing/2014/main" id="{FF6CB4D0-4661-49EE-80B7-7B0BB329B4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3" name="Elipse 9202">
          <a:extLst>
            <a:ext uri="{FF2B5EF4-FFF2-40B4-BE49-F238E27FC236}">
              <a16:creationId xmlns:a16="http://schemas.microsoft.com/office/drawing/2014/main" id="{B281E800-B152-4FC2-A70A-6A87DE3265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4" name="Elipse 9203">
          <a:extLst>
            <a:ext uri="{FF2B5EF4-FFF2-40B4-BE49-F238E27FC236}">
              <a16:creationId xmlns:a16="http://schemas.microsoft.com/office/drawing/2014/main" id="{45206D7A-D71C-4E33-858C-DE84BC056D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5" name="Elipse 9204">
          <a:extLst>
            <a:ext uri="{FF2B5EF4-FFF2-40B4-BE49-F238E27FC236}">
              <a16:creationId xmlns:a16="http://schemas.microsoft.com/office/drawing/2014/main" id="{409293F1-FD64-40EF-8322-3D12B98409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6" name="Elipse 9205">
          <a:extLst>
            <a:ext uri="{FF2B5EF4-FFF2-40B4-BE49-F238E27FC236}">
              <a16:creationId xmlns:a16="http://schemas.microsoft.com/office/drawing/2014/main" id="{9A9A2C36-7079-4D96-B682-5335348538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7" name="Elipse 9206">
          <a:extLst>
            <a:ext uri="{FF2B5EF4-FFF2-40B4-BE49-F238E27FC236}">
              <a16:creationId xmlns:a16="http://schemas.microsoft.com/office/drawing/2014/main" id="{DA461A36-7E89-4FB2-AD6C-A6ABB8C8B6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8" name="Elipse 9207">
          <a:extLst>
            <a:ext uri="{FF2B5EF4-FFF2-40B4-BE49-F238E27FC236}">
              <a16:creationId xmlns:a16="http://schemas.microsoft.com/office/drawing/2014/main" id="{B73239B7-AE67-4D5F-92F9-5DEBCECB62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09" name="Elipse 9208">
          <a:extLst>
            <a:ext uri="{FF2B5EF4-FFF2-40B4-BE49-F238E27FC236}">
              <a16:creationId xmlns:a16="http://schemas.microsoft.com/office/drawing/2014/main" id="{735FFDAC-630C-4C69-BF1A-E93BCB5AA4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0" name="Elipse 9209">
          <a:extLst>
            <a:ext uri="{FF2B5EF4-FFF2-40B4-BE49-F238E27FC236}">
              <a16:creationId xmlns:a16="http://schemas.microsoft.com/office/drawing/2014/main" id="{A39B8B17-4AE9-489C-81CA-56DFADC2E4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1" name="Elipse 9210">
          <a:extLst>
            <a:ext uri="{FF2B5EF4-FFF2-40B4-BE49-F238E27FC236}">
              <a16:creationId xmlns:a16="http://schemas.microsoft.com/office/drawing/2014/main" id="{6DD1A146-AF17-44AE-AFA2-84CBA46B0B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2" name="Elipse 9211">
          <a:extLst>
            <a:ext uri="{FF2B5EF4-FFF2-40B4-BE49-F238E27FC236}">
              <a16:creationId xmlns:a16="http://schemas.microsoft.com/office/drawing/2014/main" id="{72998419-A3C0-487D-86C4-19BDABB5D8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3" name="Elipse 9212">
          <a:extLst>
            <a:ext uri="{FF2B5EF4-FFF2-40B4-BE49-F238E27FC236}">
              <a16:creationId xmlns:a16="http://schemas.microsoft.com/office/drawing/2014/main" id="{14EA4CDC-DF91-486A-BA59-8F1DC8275B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4" name="Elipse 9213">
          <a:extLst>
            <a:ext uri="{FF2B5EF4-FFF2-40B4-BE49-F238E27FC236}">
              <a16:creationId xmlns:a16="http://schemas.microsoft.com/office/drawing/2014/main" id="{0210B157-B8DE-461C-9A9E-24AC69E476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5" name="Elipse 9214">
          <a:extLst>
            <a:ext uri="{FF2B5EF4-FFF2-40B4-BE49-F238E27FC236}">
              <a16:creationId xmlns:a16="http://schemas.microsoft.com/office/drawing/2014/main" id="{1491E9B3-D29F-4846-9C7E-5AEB537181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6" name="Elipse 9215">
          <a:extLst>
            <a:ext uri="{FF2B5EF4-FFF2-40B4-BE49-F238E27FC236}">
              <a16:creationId xmlns:a16="http://schemas.microsoft.com/office/drawing/2014/main" id="{599D6C8B-DD18-4275-832D-91EE1505AB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7" name="Elipse 9216">
          <a:extLst>
            <a:ext uri="{FF2B5EF4-FFF2-40B4-BE49-F238E27FC236}">
              <a16:creationId xmlns:a16="http://schemas.microsoft.com/office/drawing/2014/main" id="{2B9FC4B6-9633-4EED-84CC-AAEAD6B46C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8" name="Elipse 9217">
          <a:extLst>
            <a:ext uri="{FF2B5EF4-FFF2-40B4-BE49-F238E27FC236}">
              <a16:creationId xmlns:a16="http://schemas.microsoft.com/office/drawing/2014/main" id="{706239B5-69A1-47DA-B413-B0D59FAF14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19" name="Elipse 9218">
          <a:extLst>
            <a:ext uri="{FF2B5EF4-FFF2-40B4-BE49-F238E27FC236}">
              <a16:creationId xmlns:a16="http://schemas.microsoft.com/office/drawing/2014/main" id="{8223F8D1-1249-4D1F-9CDD-CA12A03CE6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0" name="Elipse 9219">
          <a:extLst>
            <a:ext uri="{FF2B5EF4-FFF2-40B4-BE49-F238E27FC236}">
              <a16:creationId xmlns:a16="http://schemas.microsoft.com/office/drawing/2014/main" id="{C72EF7D9-5C22-4411-BBC2-5279121A39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1" name="Elipse 9220">
          <a:extLst>
            <a:ext uri="{FF2B5EF4-FFF2-40B4-BE49-F238E27FC236}">
              <a16:creationId xmlns:a16="http://schemas.microsoft.com/office/drawing/2014/main" id="{AFEF24E5-3850-4F7D-92A4-867612C38C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2" name="Elipse 9221">
          <a:extLst>
            <a:ext uri="{FF2B5EF4-FFF2-40B4-BE49-F238E27FC236}">
              <a16:creationId xmlns:a16="http://schemas.microsoft.com/office/drawing/2014/main" id="{FC724FDF-3B44-4BBB-A82E-2AA59A9106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3" name="Elipse 9222">
          <a:extLst>
            <a:ext uri="{FF2B5EF4-FFF2-40B4-BE49-F238E27FC236}">
              <a16:creationId xmlns:a16="http://schemas.microsoft.com/office/drawing/2014/main" id="{BEBA44BF-B9E8-4A30-9556-2F058A90CD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4" name="Elipse 9223">
          <a:extLst>
            <a:ext uri="{FF2B5EF4-FFF2-40B4-BE49-F238E27FC236}">
              <a16:creationId xmlns:a16="http://schemas.microsoft.com/office/drawing/2014/main" id="{4034A8F8-9578-4FEA-B1BF-6E50875FAC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5" name="Elipse 9224">
          <a:extLst>
            <a:ext uri="{FF2B5EF4-FFF2-40B4-BE49-F238E27FC236}">
              <a16:creationId xmlns:a16="http://schemas.microsoft.com/office/drawing/2014/main" id="{CE2BCD08-183D-4797-88D9-61227C7336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6" name="Elipse 9225">
          <a:extLst>
            <a:ext uri="{FF2B5EF4-FFF2-40B4-BE49-F238E27FC236}">
              <a16:creationId xmlns:a16="http://schemas.microsoft.com/office/drawing/2014/main" id="{87589B79-DAEF-4759-8F39-5C7A11A523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7" name="Elipse 9226">
          <a:extLst>
            <a:ext uri="{FF2B5EF4-FFF2-40B4-BE49-F238E27FC236}">
              <a16:creationId xmlns:a16="http://schemas.microsoft.com/office/drawing/2014/main" id="{D7563739-3975-471F-9071-FF86E63F18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8" name="Elipse 9227">
          <a:extLst>
            <a:ext uri="{FF2B5EF4-FFF2-40B4-BE49-F238E27FC236}">
              <a16:creationId xmlns:a16="http://schemas.microsoft.com/office/drawing/2014/main" id="{A0C835FE-F18D-4F3B-9BA7-766C21B945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29" name="Elipse 9228">
          <a:extLst>
            <a:ext uri="{FF2B5EF4-FFF2-40B4-BE49-F238E27FC236}">
              <a16:creationId xmlns:a16="http://schemas.microsoft.com/office/drawing/2014/main" id="{5D8F397D-9AA0-4F35-B6BF-853392B6A8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0" name="Elipse 9229">
          <a:extLst>
            <a:ext uri="{FF2B5EF4-FFF2-40B4-BE49-F238E27FC236}">
              <a16:creationId xmlns:a16="http://schemas.microsoft.com/office/drawing/2014/main" id="{E7BAEBF6-2DC2-41EC-958E-F52AA480F7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1" name="Elipse 9230">
          <a:extLst>
            <a:ext uri="{FF2B5EF4-FFF2-40B4-BE49-F238E27FC236}">
              <a16:creationId xmlns:a16="http://schemas.microsoft.com/office/drawing/2014/main" id="{5CBF3907-1C66-417B-8C06-229B101E38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2" name="Elipse 9231">
          <a:extLst>
            <a:ext uri="{FF2B5EF4-FFF2-40B4-BE49-F238E27FC236}">
              <a16:creationId xmlns:a16="http://schemas.microsoft.com/office/drawing/2014/main" id="{A3CF879D-23B8-44C7-84F8-FEE84AE25C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3" name="Elipse 9232">
          <a:extLst>
            <a:ext uri="{FF2B5EF4-FFF2-40B4-BE49-F238E27FC236}">
              <a16:creationId xmlns:a16="http://schemas.microsoft.com/office/drawing/2014/main" id="{390960ED-4782-4686-BD93-F5EFAEB99A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4" name="Elipse 9233">
          <a:extLst>
            <a:ext uri="{FF2B5EF4-FFF2-40B4-BE49-F238E27FC236}">
              <a16:creationId xmlns:a16="http://schemas.microsoft.com/office/drawing/2014/main" id="{1B09E853-112C-43BE-9BED-465D87960A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5" name="Elipse 9234">
          <a:extLst>
            <a:ext uri="{FF2B5EF4-FFF2-40B4-BE49-F238E27FC236}">
              <a16:creationId xmlns:a16="http://schemas.microsoft.com/office/drawing/2014/main" id="{36427052-E0DA-49A6-B462-027B5FC3CA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6" name="Elipse 9235">
          <a:extLst>
            <a:ext uri="{FF2B5EF4-FFF2-40B4-BE49-F238E27FC236}">
              <a16:creationId xmlns:a16="http://schemas.microsoft.com/office/drawing/2014/main" id="{5F9D4A0C-80D1-45C8-A4F4-DCF9462713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7" name="Elipse 9236">
          <a:extLst>
            <a:ext uri="{FF2B5EF4-FFF2-40B4-BE49-F238E27FC236}">
              <a16:creationId xmlns:a16="http://schemas.microsoft.com/office/drawing/2014/main" id="{6CFDBB5C-798C-47D8-83B0-2A2A4BDE5A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8" name="Elipse 9237">
          <a:extLst>
            <a:ext uri="{FF2B5EF4-FFF2-40B4-BE49-F238E27FC236}">
              <a16:creationId xmlns:a16="http://schemas.microsoft.com/office/drawing/2014/main" id="{966AB50D-CEF5-43B6-A5A0-181E2551BD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39" name="Elipse 9238">
          <a:extLst>
            <a:ext uri="{FF2B5EF4-FFF2-40B4-BE49-F238E27FC236}">
              <a16:creationId xmlns:a16="http://schemas.microsoft.com/office/drawing/2014/main" id="{2AB6CB13-2231-4082-8B82-CD583D1122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0" name="Elipse 9239">
          <a:extLst>
            <a:ext uri="{FF2B5EF4-FFF2-40B4-BE49-F238E27FC236}">
              <a16:creationId xmlns:a16="http://schemas.microsoft.com/office/drawing/2014/main" id="{63EDB1BF-E03C-4D64-9A1F-D918856498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1" name="Elipse 9240">
          <a:extLst>
            <a:ext uri="{FF2B5EF4-FFF2-40B4-BE49-F238E27FC236}">
              <a16:creationId xmlns:a16="http://schemas.microsoft.com/office/drawing/2014/main" id="{C7457A9E-4412-4D66-840C-C5EAB9A0EF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2" name="Elipse 9241">
          <a:extLst>
            <a:ext uri="{FF2B5EF4-FFF2-40B4-BE49-F238E27FC236}">
              <a16:creationId xmlns:a16="http://schemas.microsoft.com/office/drawing/2014/main" id="{A9261130-DD0C-45AF-9024-44CD213E7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3" name="Elipse 9242">
          <a:extLst>
            <a:ext uri="{FF2B5EF4-FFF2-40B4-BE49-F238E27FC236}">
              <a16:creationId xmlns:a16="http://schemas.microsoft.com/office/drawing/2014/main" id="{3F556C59-06AC-4DF5-9B3D-BD1A26F528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4" name="Elipse 9243">
          <a:extLst>
            <a:ext uri="{FF2B5EF4-FFF2-40B4-BE49-F238E27FC236}">
              <a16:creationId xmlns:a16="http://schemas.microsoft.com/office/drawing/2014/main" id="{E287BEA7-82B9-42BD-B83C-58D4867CD2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5" name="Elipse 9244">
          <a:extLst>
            <a:ext uri="{FF2B5EF4-FFF2-40B4-BE49-F238E27FC236}">
              <a16:creationId xmlns:a16="http://schemas.microsoft.com/office/drawing/2014/main" id="{E5AC3E6A-7A6D-48DF-81E8-D1FAFC14E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6" name="Elipse 9245">
          <a:extLst>
            <a:ext uri="{FF2B5EF4-FFF2-40B4-BE49-F238E27FC236}">
              <a16:creationId xmlns:a16="http://schemas.microsoft.com/office/drawing/2014/main" id="{10C06C9F-579F-4F30-843C-08695F102A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7" name="Elipse 9246">
          <a:extLst>
            <a:ext uri="{FF2B5EF4-FFF2-40B4-BE49-F238E27FC236}">
              <a16:creationId xmlns:a16="http://schemas.microsoft.com/office/drawing/2014/main" id="{E23D23DF-E08F-4F58-AF2A-B469FDE20C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8" name="Elipse 9247">
          <a:extLst>
            <a:ext uri="{FF2B5EF4-FFF2-40B4-BE49-F238E27FC236}">
              <a16:creationId xmlns:a16="http://schemas.microsoft.com/office/drawing/2014/main" id="{EFC89CCA-9405-42BA-87D6-365FC660AE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49" name="Elipse 9248">
          <a:extLst>
            <a:ext uri="{FF2B5EF4-FFF2-40B4-BE49-F238E27FC236}">
              <a16:creationId xmlns:a16="http://schemas.microsoft.com/office/drawing/2014/main" id="{D3CA7B0F-FD09-4892-A058-E1B7C268AB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0" name="Elipse 9249">
          <a:extLst>
            <a:ext uri="{FF2B5EF4-FFF2-40B4-BE49-F238E27FC236}">
              <a16:creationId xmlns:a16="http://schemas.microsoft.com/office/drawing/2014/main" id="{F54E9AC4-C226-41B4-89A6-E360AD9E39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1" name="Elipse 9250">
          <a:extLst>
            <a:ext uri="{FF2B5EF4-FFF2-40B4-BE49-F238E27FC236}">
              <a16:creationId xmlns:a16="http://schemas.microsoft.com/office/drawing/2014/main" id="{7631890C-8E33-49EF-89E9-8D9CFDF902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2" name="Elipse 9251">
          <a:extLst>
            <a:ext uri="{FF2B5EF4-FFF2-40B4-BE49-F238E27FC236}">
              <a16:creationId xmlns:a16="http://schemas.microsoft.com/office/drawing/2014/main" id="{64E16D0D-54B4-4B6B-AA05-0014CD02EB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3" name="Elipse 9252">
          <a:extLst>
            <a:ext uri="{FF2B5EF4-FFF2-40B4-BE49-F238E27FC236}">
              <a16:creationId xmlns:a16="http://schemas.microsoft.com/office/drawing/2014/main" id="{8997A75D-C2D3-47C3-B5B4-0F014ED9D1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4" name="Elipse 9253">
          <a:extLst>
            <a:ext uri="{FF2B5EF4-FFF2-40B4-BE49-F238E27FC236}">
              <a16:creationId xmlns:a16="http://schemas.microsoft.com/office/drawing/2014/main" id="{8CB7B1F6-5BD1-459C-9021-B8590381BD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5" name="Elipse 9254">
          <a:extLst>
            <a:ext uri="{FF2B5EF4-FFF2-40B4-BE49-F238E27FC236}">
              <a16:creationId xmlns:a16="http://schemas.microsoft.com/office/drawing/2014/main" id="{437F6D08-E210-4CC5-8B0C-58AFBA4348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6" name="Elipse 9255">
          <a:extLst>
            <a:ext uri="{FF2B5EF4-FFF2-40B4-BE49-F238E27FC236}">
              <a16:creationId xmlns:a16="http://schemas.microsoft.com/office/drawing/2014/main" id="{E30F9BA7-C321-4912-B00F-E786791144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7" name="Elipse 9256">
          <a:extLst>
            <a:ext uri="{FF2B5EF4-FFF2-40B4-BE49-F238E27FC236}">
              <a16:creationId xmlns:a16="http://schemas.microsoft.com/office/drawing/2014/main" id="{5D178CEE-8B68-4DC1-A524-3B62E71834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8" name="Elipse 9257">
          <a:extLst>
            <a:ext uri="{FF2B5EF4-FFF2-40B4-BE49-F238E27FC236}">
              <a16:creationId xmlns:a16="http://schemas.microsoft.com/office/drawing/2014/main" id="{D9D87141-50E5-4D09-B205-2E9AAE4DC9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59" name="Elipse 9258">
          <a:extLst>
            <a:ext uri="{FF2B5EF4-FFF2-40B4-BE49-F238E27FC236}">
              <a16:creationId xmlns:a16="http://schemas.microsoft.com/office/drawing/2014/main" id="{525B96CD-1F3A-41A4-B70B-164C9F2C41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0" name="Elipse 9259">
          <a:extLst>
            <a:ext uri="{FF2B5EF4-FFF2-40B4-BE49-F238E27FC236}">
              <a16:creationId xmlns:a16="http://schemas.microsoft.com/office/drawing/2014/main" id="{1963403A-B73F-4CDD-AE61-F614047058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1" name="Elipse 9260">
          <a:extLst>
            <a:ext uri="{FF2B5EF4-FFF2-40B4-BE49-F238E27FC236}">
              <a16:creationId xmlns:a16="http://schemas.microsoft.com/office/drawing/2014/main" id="{EEE56B99-5991-4A83-8B3D-A430F89CB0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2" name="Elipse 9261">
          <a:extLst>
            <a:ext uri="{FF2B5EF4-FFF2-40B4-BE49-F238E27FC236}">
              <a16:creationId xmlns:a16="http://schemas.microsoft.com/office/drawing/2014/main" id="{C3CCF92A-ACA2-45BB-A5DB-9E80E9FEFF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3" name="Elipse 9262">
          <a:extLst>
            <a:ext uri="{FF2B5EF4-FFF2-40B4-BE49-F238E27FC236}">
              <a16:creationId xmlns:a16="http://schemas.microsoft.com/office/drawing/2014/main" id="{7D8E2CA1-3AEC-4B63-A8DD-CC374A1AE1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4" name="Elipse 9263">
          <a:extLst>
            <a:ext uri="{FF2B5EF4-FFF2-40B4-BE49-F238E27FC236}">
              <a16:creationId xmlns:a16="http://schemas.microsoft.com/office/drawing/2014/main" id="{D0A9AEE6-D33F-4858-B4D8-706E25C07E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5" name="Elipse 9264">
          <a:extLst>
            <a:ext uri="{FF2B5EF4-FFF2-40B4-BE49-F238E27FC236}">
              <a16:creationId xmlns:a16="http://schemas.microsoft.com/office/drawing/2014/main" id="{6B040567-16BF-4A0D-854B-A49394E534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6" name="Elipse 9265">
          <a:extLst>
            <a:ext uri="{FF2B5EF4-FFF2-40B4-BE49-F238E27FC236}">
              <a16:creationId xmlns:a16="http://schemas.microsoft.com/office/drawing/2014/main" id="{8D2B5870-69BC-4DC0-B05F-7A94F862ED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7" name="Elipse 9266">
          <a:extLst>
            <a:ext uri="{FF2B5EF4-FFF2-40B4-BE49-F238E27FC236}">
              <a16:creationId xmlns:a16="http://schemas.microsoft.com/office/drawing/2014/main" id="{6A2E168C-89D3-4E8D-B733-D401B06D62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8" name="Elipse 9267">
          <a:extLst>
            <a:ext uri="{FF2B5EF4-FFF2-40B4-BE49-F238E27FC236}">
              <a16:creationId xmlns:a16="http://schemas.microsoft.com/office/drawing/2014/main" id="{5DB4BA2C-5708-4AE7-BF25-8BDC540B9F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69" name="Elipse 9268">
          <a:extLst>
            <a:ext uri="{FF2B5EF4-FFF2-40B4-BE49-F238E27FC236}">
              <a16:creationId xmlns:a16="http://schemas.microsoft.com/office/drawing/2014/main" id="{0027EE69-541B-415A-966F-C48048C9EC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0" name="Elipse 9269">
          <a:extLst>
            <a:ext uri="{FF2B5EF4-FFF2-40B4-BE49-F238E27FC236}">
              <a16:creationId xmlns:a16="http://schemas.microsoft.com/office/drawing/2014/main" id="{7A044082-0738-4EA3-80CD-0042ED2926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1" name="Elipse 9270">
          <a:extLst>
            <a:ext uri="{FF2B5EF4-FFF2-40B4-BE49-F238E27FC236}">
              <a16:creationId xmlns:a16="http://schemas.microsoft.com/office/drawing/2014/main" id="{B75FBC27-E0F9-4A61-813C-5712159310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2" name="Elipse 9271">
          <a:extLst>
            <a:ext uri="{FF2B5EF4-FFF2-40B4-BE49-F238E27FC236}">
              <a16:creationId xmlns:a16="http://schemas.microsoft.com/office/drawing/2014/main" id="{D858A221-C506-4B67-888B-14D440452A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3" name="Elipse 9272">
          <a:extLst>
            <a:ext uri="{FF2B5EF4-FFF2-40B4-BE49-F238E27FC236}">
              <a16:creationId xmlns:a16="http://schemas.microsoft.com/office/drawing/2014/main" id="{393DD0F2-869B-4B79-B006-380C03A05F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4" name="Elipse 9273">
          <a:extLst>
            <a:ext uri="{FF2B5EF4-FFF2-40B4-BE49-F238E27FC236}">
              <a16:creationId xmlns:a16="http://schemas.microsoft.com/office/drawing/2014/main" id="{FA0CBD29-A7EE-4DAA-947B-D1CD0148F3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5" name="Elipse 9274">
          <a:extLst>
            <a:ext uri="{FF2B5EF4-FFF2-40B4-BE49-F238E27FC236}">
              <a16:creationId xmlns:a16="http://schemas.microsoft.com/office/drawing/2014/main" id="{8210A2E8-9C18-4DAB-BC4A-3062300B9C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6" name="Elipse 9275">
          <a:extLst>
            <a:ext uri="{FF2B5EF4-FFF2-40B4-BE49-F238E27FC236}">
              <a16:creationId xmlns:a16="http://schemas.microsoft.com/office/drawing/2014/main" id="{4582A341-FB33-4898-A294-6AB4AF4A97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7" name="Elipse 9276">
          <a:extLst>
            <a:ext uri="{FF2B5EF4-FFF2-40B4-BE49-F238E27FC236}">
              <a16:creationId xmlns:a16="http://schemas.microsoft.com/office/drawing/2014/main" id="{0B87ED87-C3A8-464B-ABA5-AAEE94F613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8" name="Elipse 9277">
          <a:extLst>
            <a:ext uri="{FF2B5EF4-FFF2-40B4-BE49-F238E27FC236}">
              <a16:creationId xmlns:a16="http://schemas.microsoft.com/office/drawing/2014/main" id="{377842FB-C649-4B59-A3CB-1A9B271F8E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79" name="Elipse 9278">
          <a:extLst>
            <a:ext uri="{FF2B5EF4-FFF2-40B4-BE49-F238E27FC236}">
              <a16:creationId xmlns:a16="http://schemas.microsoft.com/office/drawing/2014/main" id="{1A2E0D31-DDC6-4A8D-B0C2-9BEF9E52EC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0" name="Elipse 9279">
          <a:extLst>
            <a:ext uri="{FF2B5EF4-FFF2-40B4-BE49-F238E27FC236}">
              <a16:creationId xmlns:a16="http://schemas.microsoft.com/office/drawing/2014/main" id="{317578CD-595A-4B59-9D09-9FF8809D63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1" name="Elipse 9280">
          <a:extLst>
            <a:ext uri="{FF2B5EF4-FFF2-40B4-BE49-F238E27FC236}">
              <a16:creationId xmlns:a16="http://schemas.microsoft.com/office/drawing/2014/main" id="{F11F148E-20F4-487B-B472-0865043D92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2" name="Elipse 9281">
          <a:extLst>
            <a:ext uri="{FF2B5EF4-FFF2-40B4-BE49-F238E27FC236}">
              <a16:creationId xmlns:a16="http://schemas.microsoft.com/office/drawing/2014/main" id="{B9464185-66AB-4E3D-93A3-FFB3B5C4C2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3" name="Elipse 9282">
          <a:extLst>
            <a:ext uri="{FF2B5EF4-FFF2-40B4-BE49-F238E27FC236}">
              <a16:creationId xmlns:a16="http://schemas.microsoft.com/office/drawing/2014/main" id="{6AD83938-3BDC-4C87-84A5-A4FE89F598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4" name="Elipse 9283">
          <a:extLst>
            <a:ext uri="{FF2B5EF4-FFF2-40B4-BE49-F238E27FC236}">
              <a16:creationId xmlns:a16="http://schemas.microsoft.com/office/drawing/2014/main" id="{05276B83-D045-401B-A8BB-90A1AC7283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5" name="Elipse 9284">
          <a:extLst>
            <a:ext uri="{FF2B5EF4-FFF2-40B4-BE49-F238E27FC236}">
              <a16:creationId xmlns:a16="http://schemas.microsoft.com/office/drawing/2014/main" id="{CE578556-BD22-4989-828B-054834181D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6" name="Elipse 9285">
          <a:extLst>
            <a:ext uri="{FF2B5EF4-FFF2-40B4-BE49-F238E27FC236}">
              <a16:creationId xmlns:a16="http://schemas.microsoft.com/office/drawing/2014/main" id="{48A58326-B2E1-4156-8F78-156028D7B2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7" name="Elipse 9286">
          <a:extLst>
            <a:ext uri="{FF2B5EF4-FFF2-40B4-BE49-F238E27FC236}">
              <a16:creationId xmlns:a16="http://schemas.microsoft.com/office/drawing/2014/main" id="{89A4FE1D-F8F5-4249-AB14-1536C3B8F0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8" name="Elipse 9287">
          <a:extLst>
            <a:ext uri="{FF2B5EF4-FFF2-40B4-BE49-F238E27FC236}">
              <a16:creationId xmlns:a16="http://schemas.microsoft.com/office/drawing/2014/main" id="{1F2CC836-CDE1-4AC2-A166-A977C09BD6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89" name="Elipse 9288">
          <a:extLst>
            <a:ext uri="{FF2B5EF4-FFF2-40B4-BE49-F238E27FC236}">
              <a16:creationId xmlns:a16="http://schemas.microsoft.com/office/drawing/2014/main" id="{60B4F577-DA4D-4215-9323-27860D0A24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0" name="Elipse 9289">
          <a:extLst>
            <a:ext uri="{FF2B5EF4-FFF2-40B4-BE49-F238E27FC236}">
              <a16:creationId xmlns:a16="http://schemas.microsoft.com/office/drawing/2014/main" id="{B4CBC7E9-4201-4706-8AC2-0C79DBA40A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1" name="Elipse 9290">
          <a:extLst>
            <a:ext uri="{FF2B5EF4-FFF2-40B4-BE49-F238E27FC236}">
              <a16:creationId xmlns:a16="http://schemas.microsoft.com/office/drawing/2014/main" id="{FF02E31E-0D99-4AB4-ABC6-578C394518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2" name="Elipse 9291">
          <a:extLst>
            <a:ext uri="{FF2B5EF4-FFF2-40B4-BE49-F238E27FC236}">
              <a16:creationId xmlns:a16="http://schemas.microsoft.com/office/drawing/2014/main" id="{7AB45555-9AF6-42A3-B993-537EDC78D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3" name="Elipse 9292">
          <a:extLst>
            <a:ext uri="{FF2B5EF4-FFF2-40B4-BE49-F238E27FC236}">
              <a16:creationId xmlns:a16="http://schemas.microsoft.com/office/drawing/2014/main" id="{8E8DC61E-7EB6-4BB2-A96C-BEF8AD089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4" name="Elipse 9293">
          <a:extLst>
            <a:ext uri="{FF2B5EF4-FFF2-40B4-BE49-F238E27FC236}">
              <a16:creationId xmlns:a16="http://schemas.microsoft.com/office/drawing/2014/main" id="{E0FABDBF-8854-4CD0-95F6-813AD217BC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5" name="Elipse 9294">
          <a:extLst>
            <a:ext uri="{FF2B5EF4-FFF2-40B4-BE49-F238E27FC236}">
              <a16:creationId xmlns:a16="http://schemas.microsoft.com/office/drawing/2014/main" id="{A1357560-72B6-421B-87F3-E57CE75FD8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6" name="Elipse 9295">
          <a:extLst>
            <a:ext uri="{FF2B5EF4-FFF2-40B4-BE49-F238E27FC236}">
              <a16:creationId xmlns:a16="http://schemas.microsoft.com/office/drawing/2014/main" id="{C6EF2D27-658D-4247-9B13-6701DAF29C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7" name="Elipse 9296">
          <a:extLst>
            <a:ext uri="{FF2B5EF4-FFF2-40B4-BE49-F238E27FC236}">
              <a16:creationId xmlns:a16="http://schemas.microsoft.com/office/drawing/2014/main" id="{324F4F7B-9FE8-4AEC-92CF-269BB581D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8" name="Elipse 9297">
          <a:extLst>
            <a:ext uri="{FF2B5EF4-FFF2-40B4-BE49-F238E27FC236}">
              <a16:creationId xmlns:a16="http://schemas.microsoft.com/office/drawing/2014/main" id="{F64EEF2B-16CF-4E11-9BE6-34FCEA05C6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299" name="Elipse 9298">
          <a:extLst>
            <a:ext uri="{FF2B5EF4-FFF2-40B4-BE49-F238E27FC236}">
              <a16:creationId xmlns:a16="http://schemas.microsoft.com/office/drawing/2014/main" id="{ECC1E5A1-395E-405C-B341-A198E811BB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0" name="Elipse 9299">
          <a:extLst>
            <a:ext uri="{FF2B5EF4-FFF2-40B4-BE49-F238E27FC236}">
              <a16:creationId xmlns:a16="http://schemas.microsoft.com/office/drawing/2014/main" id="{F0C3736C-E1BF-475F-8817-00CDD002A4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1" name="Elipse 9300">
          <a:extLst>
            <a:ext uri="{FF2B5EF4-FFF2-40B4-BE49-F238E27FC236}">
              <a16:creationId xmlns:a16="http://schemas.microsoft.com/office/drawing/2014/main" id="{929DEB99-19D9-410E-B5BE-B1ADD84174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2" name="Elipse 9301">
          <a:extLst>
            <a:ext uri="{FF2B5EF4-FFF2-40B4-BE49-F238E27FC236}">
              <a16:creationId xmlns:a16="http://schemas.microsoft.com/office/drawing/2014/main" id="{3259A7C8-FC07-4E28-8803-847914EBB7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3" name="Elipse 9302">
          <a:extLst>
            <a:ext uri="{FF2B5EF4-FFF2-40B4-BE49-F238E27FC236}">
              <a16:creationId xmlns:a16="http://schemas.microsoft.com/office/drawing/2014/main" id="{E3976AB6-5068-41D1-8D45-E8FBF11CB0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4" name="Elipse 9303">
          <a:extLst>
            <a:ext uri="{FF2B5EF4-FFF2-40B4-BE49-F238E27FC236}">
              <a16:creationId xmlns:a16="http://schemas.microsoft.com/office/drawing/2014/main" id="{6AFB19AF-BEDA-417A-89FC-17046075C5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5" name="Elipse 9304">
          <a:extLst>
            <a:ext uri="{FF2B5EF4-FFF2-40B4-BE49-F238E27FC236}">
              <a16:creationId xmlns:a16="http://schemas.microsoft.com/office/drawing/2014/main" id="{85A7F089-CCC9-47B9-93B7-AFE7D95190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6" name="Elipse 9305">
          <a:extLst>
            <a:ext uri="{FF2B5EF4-FFF2-40B4-BE49-F238E27FC236}">
              <a16:creationId xmlns:a16="http://schemas.microsoft.com/office/drawing/2014/main" id="{D80D09CC-81D6-4CDA-9CEB-5F3A086679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7" name="Elipse 9306">
          <a:extLst>
            <a:ext uri="{FF2B5EF4-FFF2-40B4-BE49-F238E27FC236}">
              <a16:creationId xmlns:a16="http://schemas.microsoft.com/office/drawing/2014/main" id="{5EADAEFB-EFAA-467F-866A-AB363662A7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8" name="Elipse 9307">
          <a:extLst>
            <a:ext uri="{FF2B5EF4-FFF2-40B4-BE49-F238E27FC236}">
              <a16:creationId xmlns:a16="http://schemas.microsoft.com/office/drawing/2014/main" id="{A8156484-22D9-42FF-AEF2-D71C76C9F0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09" name="Elipse 9308">
          <a:extLst>
            <a:ext uri="{FF2B5EF4-FFF2-40B4-BE49-F238E27FC236}">
              <a16:creationId xmlns:a16="http://schemas.microsoft.com/office/drawing/2014/main" id="{DE2A5885-5E72-4376-B73F-2F290A62DD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0" name="Elipse 9309">
          <a:extLst>
            <a:ext uri="{FF2B5EF4-FFF2-40B4-BE49-F238E27FC236}">
              <a16:creationId xmlns:a16="http://schemas.microsoft.com/office/drawing/2014/main" id="{EFD7D131-F031-4BCA-B326-742032EAE4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1" name="Elipse 9310">
          <a:extLst>
            <a:ext uri="{FF2B5EF4-FFF2-40B4-BE49-F238E27FC236}">
              <a16:creationId xmlns:a16="http://schemas.microsoft.com/office/drawing/2014/main" id="{20E9006C-98AF-4FB0-BCE8-A707563FAB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2" name="Elipse 9311">
          <a:extLst>
            <a:ext uri="{FF2B5EF4-FFF2-40B4-BE49-F238E27FC236}">
              <a16:creationId xmlns:a16="http://schemas.microsoft.com/office/drawing/2014/main" id="{10BDD744-D1EF-4700-ABA2-F91E7F0CCF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3" name="Elipse 9312">
          <a:extLst>
            <a:ext uri="{FF2B5EF4-FFF2-40B4-BE49-F238E27FC236}">
              <a16:creationId xmlns:a16="http://schemas.microsoft.com/office/drawing/2014/main" id="{4E78A32E-6ECD-4607-9A39-6AFCAA940D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4" name="Elipse 9313">
          <a:extLst>
            <a:ext uri="{FF2B5EF4-FFF2-40B4-BE49-F238E27FC236}">
              <a16:creationId xmlns:a16="http://schemas.microsoft.com/office/drawing/2014/main" id="{A7C4E0D4-AD6E-4429-A563-F1FD2CFCB0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5" name="Elipse 9314">
          <a:extLst>
            <a:ext uri="{FF2B5EF4-FFF2-40B4-BE49-F238E27FC236}">
              <a16:creationId xmlns:a16="http://schemas.microsoft.com/office/drawing/2014/main" id="{91A33A5F-8C3D-42A3-9AF7-94531CB803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6" name="Elipse 9315">
          <a:extLst>
            <a:ext uri="{FF2B5EF4-FFF2-40B4-BE49-F238E27FC236}">
              <a16:creationId xmlns:a16="http://schemas.microsoft.com/office/drawing/2014/main" id="{2269E51B-75BA-4CBB-A76D-6DA4192A02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7" name="Elipse 9316">
          <a:extLst>
            <a:ext uri="{FF2B5EF4-FFF2-40B4-BE49-F238E27FC236}">
              <a16:creationId xmlns:a16="http://schemas.microsoft.com/office/drawing/2014/main" id="{B23C4CBF-789C-4E5B-B4AC-018B4B15E5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8" name="Elipse 9317">
          <a:extLst>
            <a:ext uri="{FF2B5EF4-FFF2-40B4-BE49-F238E27FC236}">
              <a16:creationId xmlns:a16="http://schemas.microsoft.com/office/drawing/2014/main" id="{3B5DB558-41C0-44B1-A882-3F26A8497B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19" name="Elipse 9318">
          <a:extLst>
            <a:ext uri="{FF2B5EF4-FFF2-40B4-BE49-F238E27FC236}">
              <a16:creationId xmlns:a16="http://schemas.microsoft.com/office/drawing/2014/main" id="{65B3D3F1-8F5B-4FDE-9C54-D6B320CA24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0" name="Elipse 9319">
          <a:extLst>
            <a:ext uri="{FF2B5EF4-FFF2-40B4-BE49-F238E27FC236}">
              <a16:creationId xmlns:a16="http://schemas.microsoft.com/office/drawing/2014/main" id="{107161DC-08DB-4D56-9921-F543889E41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1" name="Elipse 9320">
          <a:extLst>
            <a:ext uri="{FF2B5EF4-FFF2-40B4-BE49-F238E27FC236}">
              <a16:creationId xmlns:a16="http://schemas.microsoft.com/office/drawing/2014/main" id="{DDB9FFE3-AFB7-4010-9473-6A8F040B6D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2" name="Elipse 9321">
          <a:extLst>
            <a:ext uri="{FF2B5EF4-FFF2-40B4-BE49-F238E27FC236}">
              <a16:creationId xmlns:a16="http://schemas.microsoft.com/office/drawing/2014/main" id="{FF5FFA2D-78C0-4818-AAA1-FB0CA4D03C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3" name="Elipse 9322">
          <a:extLst>
            <a:ext uri="{FF2B5EF4-FFF2-40B4-BE49-F238E27FC236}">
              <a16:creationId xmlns:a16="http://schemas.microsoft.com/office/drawing/2014/main" id="{91E9DD7A-B334-4DC7-B8E0-3373A3E93E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4" name="Elipse 9323">
          <a:extLst>
            <a:ext uri="{FF2B5EF4-FFF2-40B4-BE49-F238E27FC236}">
              <a16:creationId xmlns:a16="http://schemas.microsoft.com/office/drawing/2014/main" id="{81C80B66-741F-4A82-A681-BD34BB186D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5" name="Elipse 9324">
          <a:extLst>
            <a:ext uri="{FF2B5EF4-FFF2-40B4-BE49-F238E27FC236}">
              <a16:creationId xmlns:a16="http://schemas.microsoft.com/office/drawing/2014/main" id="{5B724A9E-B327-4619-9133-048282BA97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6" name="Elipse 9325">
          <a:extLst>
            <a:ext uri="{FF2B5EF4-FFF2-40B4-BE49-F238E27FC236}">
              <a16:creationId xmlns:a16="http://schemas.microsoft.com/office/drawing/2014/main" id="{81D38C28-5782-4BB3-A6DA-E71791537C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7" name="Elipse 9326">
          <a:extLst>
            <a:ext uri="{FF2B5EF4-FFF2-40B4-BE49-F238E27FC236}">
              <a16:creationId xmlns:a16="http://schemas.microsoft.com/office/drawing/2014/main" id="{3AF35785-7E9C-4910-BF84-3FEDB47616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8" name="Elipse 9327">
          <a:extLst>
            <a:ext uri="{FF2B5EF4-FFF2-40B4-BE49-F238E27FC236}">
              <a16:creationId xmlns:a16="http://schemas.microsoft.com/office/drawing/2014/main" id="{A60294F2-252F-4E0F-883D-A55436D5A1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29" name="Elipse 9328">
          <a:extLst>
            <a:ext uri="{FF2B5EF4-FFF2-40B4-BE49-F238E27FC236}">
              <a16:creationId xmlns:a16="http://schemas.microsoft.com/office/drawing/2014/main" id="{432FEE7A-58F0-45DE-AF72-BB35B9ABB8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0" name="Elipse 9329">
          <a:extLst>
            <a:ext uri="{FF2B5EF4-FFF2-40B4-BE49-F238E27FC236}">
              <a16:creationId xmlns:a16="http://schemas.microsoft.com/office/drawing/2014/main" id="{56CB9458-2921-4AA5-ABDC-FBF5B259A8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1" name="Elipse 9330">
          <a:extLst>
            <a:ext uri="{FF2B5EF4-FFF2-40B4-BE49-F238E27FC236}">
              <a16:creationId xmlns:a16="http://schemas.microsoft.com/office/drawing/2014/main" id="{23593EB4-7320-4939-86FF-DA20B8CB01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2" name="Elipse 9331">
          <a:extLst>
            <a:ext uri="{FF2B5EF4-FFF2-40B4-BE49-F238E27FC236}">
              <a16:creationId xmlns:a16="http://schemas.microsoft.com/office/drawing/2014/main" id="{CD5855E0-E455-4907-A309-065693B0A2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3" name="Elipse 9332">
          <a:extLst>
            <a:ext uri="{FF2B5EF4-FFF2-40B4-BE49-F238E27FC236}">
              <a16:creationId xmlns:a16="http://schemas.microsoft.com/office/drawing/2014/main" id="{F30B21CC-30C4-4EA0-8148-0C0B7B15B5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4" name="Elipse 9333">
          <a:extLst>
            <a:ext uri="{FF2B5EF4-FFF2-40B4-BE49-F238E27FC236}">
              <a16:creationId xmlns:a16="http://schemas.microsoft.com/office/drawing/2014/main" id="{248ABF76-DC45-41F5-9198-B710E748A5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5" name="Elipse 9334">
          <a:extLst>
            <a:ext uri="{FF2B5EF4-FFF2-40B4-BE49-F238E27FC236}">
              <a16:creationId xmlns:a16="http://schemas.microsoft.com/office/drawing/2014/main" id="{46F0DF61-A508-4987-A848-2145606ABC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6" name="Elipse 9335">
          <a:extLst>
            <a:ext uri="{FF2B5EF4-FFF2-40B4-BE49-F238E27FC236}">
              <a16:creationId xmlns:a16="http://schemas.microsoft.com/office/drawing/2014/main" id="{94BB8087-12AF-4628-8B7C-0E4E44E44D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7" name="Elipse 9336">
          <a:extLst>
            <a:ext uri="{FF2B5EF4-FFF2-40B4-BE49-F238E27FC236}">
              <a16:creationId xmlns:a16="http://schemas.microsoft.com/office/drawing/2014/main" id="{7153727C-1E92-4828-A5B3-B2629252FE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8" name="Elipse 9337">
          <a:extLst>
            <a:ext uri="{FF2B5EF4-FFF2-40B4-BE49-F238E27FC236}">
              <a16:creationId xmlns:a16="http://schemas.microsoft.com/office/drawing/2014/main" id="{3FE235F9-9C89-44EE-A8B7-E16E45B602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39" name="Elipse 9338">
          <a:extLst>
            <a:ext uri="{FF2B5EF4-FFF2-40B4-BE49-F238E27FC236}">
              <a16:creationId xmlns:a16="http://schemas.microsoft.com/office/drawing/2014/main" id="{29A1BC3B-92A9-4671-894F-CC89BC41D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0" name="Elipse 9339">
          <a:extLst>
            <a:ext uri="{FF2B5EF4-FFF2-40B4-BE49-F238E27FC236}">
              <a16:creationId xmlns:a16="http://schemas.microsoft.com/office/drawing/2014/main" id="{509F89F3-73CC-4FE7-A5F3-D6AAEDB6DB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1" name="Elipse 9340">
          <a:extLst>
            <a:ext uri="{FF2B5EF4-FFF2-40B4-BE49-F238E27FC236}">
              <a16:creationId xmlns:a16="http://schemas.microsoft.com/office/drawing/2014/main" id="{46B49945-9A44-45FD-B1FE-74E9C464E4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2" name="Elipse 9341">
          <a:extLst>
            <a:ext uri="{FF2B5EF4-FFF2-40B4-BE49-F238E27FC236}">
              <a16:creationId xmlns:a16="http://schemas.microsoft.com/office/drawing/2014/main" id="{40807746-8DF3-402C-A4BD-EC62D9E776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3" name="Elipse 9342">
          <a:extLst>
            <a:ext uri="{FF2B5EF4-FFF2-40B4-BE49-F238E27FC236}">
              <a16:creationId xmlns:a16="http://schemas.microsoft.com/office/drawing/2014/main" id="{F8B7BBEE-F7A4-4AFD-8AE8-5DE85AF97E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4" name="Elipse 9343">
          <a:extLst>
            <a:ext uri="{FF2B5EF4-FFF2-40B4-BE49-F238E27FC236}">
              <a16:creationId xmlns:a16="http://schemas.microsoft.com/office/drawing/2014/main" id="{48BDAC4A-A602-4D8F-8550-7FCAC89212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5" name="Elipse 9344">
          <a:extLst>
            <a:ext uri="{FF2B5EF4-FFF2-40B4-BE49-F238E27FC236}">
              <a16:creationId xmlns:a16="http://schemas.microsoft.com/office/drawing/2014/main" id="{9F00DBEA-AEB8-4447-A9C6-BE6BE67EA4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6" name="Elipse 9345">
          <a:extLst>
            <a:ext uri="{FF2B5EF4-FFF2-40B4-BE49-F238E27FC236}">
              <a16:creationId xmlns:a16="http://schemas.microsoft.com/office/drawing/2014/main" id="{CA619821-D3AB-455E-87B0-B7A0021179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7" name="Elipse 9346">
          <a:extLst>
            <a:ext uri="{FF2B5EF4-FFF2-40B4-BE49-F238E27FC236}">
              <a16:creationId xmlns:a16="http://schemas.microsoft.com/office/drawing/2014/main" id="{46DEA9E1-F85D-4889-BFA2-FE5B6EF310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8" name="Elipse 9347">
          <a:extLst>
            <a:ext uri="{FF2B5EF4-FFF2-40B4-BE49-F238E27FC236}">
              <a16:creationId xmlns:a16="http://schemas.microsoft.com/office/drawing/2014/main" id="{085C90D5-2533-4850-8247-086B633FFA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49" name="Elipse 9348">
          <a:extLst>
            <a:ext uri="{FF2B5EF4-FFF2-40B4-BE49-F238E27FC236}">
              <a16:creationId xmlns:a16="http://schemas.microsoft.com/office/drawing/2014/main" id="{7C4AC8AD-CB7C-4990-A712-10B18A2E9D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0" name="Elipse 9349">
          <a:extLst>
            <a:ext uri="{FF2B5EF4-FFF2-40B4-BE49-F238E27FC236}">
              <a16:creationId xmlns:a16="http://schemas.microsoft.com/office/drawing/2014/main" id="{B4E29D16-F158-4EA7-BE7C-963FBBF8CF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1" name="Elipse 9350">
          <a:extLst>
            <a:ext uri="{FF2B5EF4-FFF2-40B4-BE49-F238E27FC236}">
              <a16:creationId xmlns:a16="http://schemas.microsoft.com/office/drawing/2014/main" id="{C6C28D38-68C5-4D59-B7A9-392A47BE81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2" name="Elipse 9351">
          <a:extLst>
            <a:ext uri="{FF2B5EF4-FFF2-40B4-BE49-F238E27FC236}">
              <a16:creationId xmlns:a16="http://schemas.microsoft.com/office/drawing/2014/main" id="{3418B558-75A1-4FBF-A4A0-556EBEF957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3" name="Elipse 9352">
          <a:extLst>
            <a:ext uri="{FF2B5EF4-FFF2-40B4-BE49-F238E27FC236}">
              <a16:creationId xmlns:a16="http://schemas.microsoft.com/office/drawing/2014/main" id="{75655F1E-D897-4137-AF8E-71E5F31A7B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4" name="Elipse 9353">
          <a:extLst>
            <a:ext uri="{FF2B5EF4-FFF2-40B4-BE49-F238E27FC236}">
              <a16:creationId xmlns:a16="http://schemas.microsoft.com/office/drawing/2014/main" id="{D7AEB473-79B5-4C1E-B0FF-BB36B8A2F9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5" name="Elipse 9354">
          <a:extLst>
            <a:ext uri="{FF2B5EF4-FFF2-40B4-BE49-F238E27FC236}">
              <a16:creationId xmlns:a16="http://schemas.microsoft.com/office/drawing/2014/main" id="{84314E13-DEF0-49DA-B138-B2036278DF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6" name="Elipse 9355">
          <a:extLst>
            <a:ext uri="{FF2B5EF4-FFF2-40B4-BE49-F238E27FC236}">
              <a16:creationId xmlns:a16="http://schemas.microsoft.com/office/drawing/2014/main" id="{0A75D2BB-5734-42E8-8ABE-E3AF1C957A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7" name="Elipse 9356">
          <a:extLst>
            <a:ext uri="{FF2B5EF4-FFF2-40B4-BE49-F238E27FC236}">
              <a16:creationId xmlns:a16="http://schemas.microsoft.com/office/drawing/2014/main" id="{5FDEBF9C-F367-41F1-8854-597D9B6860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8" name="Elipse 9357">
          <a:extLst>
            <a:ext uri="{FF2B5EF4-FFF2-40B4-BE49-F238E27FC236}">
              <a16:creationId xmlns:a16="http://schemas.microsoft.com/office/drawing/2014/main" id="{DE814464-80BD-43EB-97B6-F74B0D787F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59" name="Elipse 9358">
          <a:extLst>
            <a:ext uri="{FF2B5EF4-FFF2-40B4-BE49-F238E27FC236}">
              <a16:creationId xmlns:a16="http://schemas.microsoft.com/office/drawing/2014/main" id="{957775F3-736C-4ECF-80C0-BC65F1355E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0" name="Elipse 9359">
          <a:extLst>
            <a:ext uri="{FF2B5EF4-FFF2-40B4-BE49-F238E27FC236}">
              <a16:creationId xmlns:a16="http://schemas.microsoft.com/office/drawing/2014/main" id="{D65FF2D8-3815-47BE-AA2A-4BC6E3D68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1" name="Elipse 9360">
          <a:extLst>
            <a:ext uri="{FF2B5EF4-FFF2-40B4-BE49-F238E27FC236}">
              <a16:creationId xmlns:a16="http://schemas.microsoft.com/office/drawing/2014/main" id="{320E4D7F-31DE-45DE-B0C9-0A2B035DE9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2" name="Elipse 9361">
          <a:extLst>
            <a:ext uri="{FF2B5EF4-FFF2-40B4-BE49-F238E27FC236}">
              <a16:creationId xmlns:a16="http://schemas.microsoft.com/office/drawing/2014/main" id="{AEA26356-21E7-42F4-AFDE-C5FA4A2CA7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3" name="Elipse 9362">
          <a:extLst>
            <a:ext uri="{FF2B5EF4-FFF2-40B4-BE49-F238E27FC236}">
              <a16:creationId xmlns:a16="http://schemas.microsoft.com/office/drawing/2014/main" id="{92969600-9984-4E4D-B655-5325D6D4A2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4" name="Elipse 9363">
          <a:extLst>
            <a:ext uri="{FF2B5EF4-FFF2-40B4-BE49-F238E27FC236}">
              <a16:creationId xmlns:a16="http://schemas.microsoft.com/office/drawing/2014/main" id="{94671EBE-E1DB-4461-B1C0-F95F91B264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5" name="Elipse 9364">
          <a:extLst>
            <a:ext uri="{FF2B5EF4-FFF2-40B4-BE49-F238E27FC236}">
              <a16:creationId xmlns:a16="http://schemas.microsoft.com/office/drawing/2014/main" id="{1C731B3D-3748-44D9-A59E-F9605D12AC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6" name="Elipse 9365">
          <a:extLst>
            <a:ext uri="{FF2B5EF4-FFF2-40B4-BE49-F238E27FC236}">
              <a16:creationId xmlns:a16="http://schemas.microsoft.com/office/drawing/2014/main" id="{9AA0923F-1B49-49F0-B37F-713D2523A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7" name="Elipse 9366">
          <a:extLst>
            <a:ext uri="{FF2B5EF4-FFF2-40B4-BE49-F238E27FC236}">
              <a16:creationId xmlns:a16="http://schemas.microsoft.com/office/drawing/2014/main" id="{01A00943-0A6C-460D-AB54-DA7AE8B813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8" name="Elipse 9367">
          <a:extLst>
            <a:ext uri="{FF2B5EF4-FFF2-40B4-BE49-F238E27FC236}">
              <a16:creationId xmlns:a16="http://schemas.microsoft.com/office/drawing/2014/main" id="{5DEFD242-65D3-44F7-95F1-7618629FFF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69" name="Elipse 9368">
          <a:extLst>
            <a:ext uri="{FF2B5EF4-FFF2-40B4-BE49-F238E27FC236}">
              <a16:creationId xmlns:a16="http://schemas.microsoft.com/office/drawing/2014/main" id="{FB7327FD-3946-4234-A629-276A203317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0" name="Elipse 9369">
          <a:extLst>
            <a:ext uri="{FF2B5EF4-FFF2-40B4-BE49-F238E27FC236}">
              <a16:creationId xmlns:a16="http://schemas.microsoft.com/office/drawing/2014/main" id="{90CC9194-3D89-4BA5-BE79-5795DBEE1F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1" name="Elipse 9370">
          <a:extLst>
            <a:ext uri="{FF2B5EF4-FFF2-40B4-BE49-F238E27FC236}">
              <a16:creationId xmlns:a16="http://schemas.microsoft.com/office/drawing/2014/main" id="{916D401B-1165-4425-B6B8-E340549C57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2" name="Elipse 9371">
          <a:extLst>
            <a:ext uri="{FF2B5EF4-FFF2-40B4-BE49-F238E27FC236}">
              <a16:creationId xmlns:a16="http://schemas.microsoft.com/office/drawing/2014/main" id="{2D48F3CF-7871-4595-9C56-D80DCC3356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3" name="Elipse 9372">
          <a:extLst>
            <a:ext uri="{FF2B5EF4-FFF2-40B4-BE49-F238E27FC236}">
              <a16:creationId xmlns:a16="http://schemas.microsoft.com/office/drawing/2014/main" id="{B95CD976-F875-4A38-A0D6-8D085621ED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4" name="Elipse 9373">
          <a:extLst>
            <a:ext uri="{FF2B5EF4-FFF2-40B4-BE49-F238E27FC236}">
              <a16:creationId xmlns:a16="http://schemas.microsoft.com/office/drawing/2014/main" id="{B51A36AD-D812-4E1E-B1D2-C344E300AF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5" name="Elipse 9374">
          <a:extLst>
            <a:ext uri="{FF2B5EF4-FFF2-40B4-BE49-F238E27FC236}">
              <a16:creationId xmlns:a16="http://schemas.microsoft.com/office/drawing/2014/main" id="{B4148489-55AE-488F-9B35-27D01B244C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6" name="Elipse 9375">
          <a:extLst>
            <a:ext uri="{FF2B5EF4-FFF2-40B4-BE49-F238E27FC236}">
              <a16:creationId xmlns:a16="http://schemas.microsoft.com/office/drawing/2014/main" id="{7674A51F-4948-4F91-A585-1A2613A22A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7" name="Elipse 9376">
          <a:extLst>
            <a:ext uri="{FF2B5EF4-FFF2-40B4-BE49-F238E27FC236}">
              <a16:creationId xmlns:a16="http://schemas.microsoft.com/office/drawing/2014/main" id="{48169DF7-BD88-496F-93F8-72354A28B9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8" name="Elipse 9377">
          <a:extLst>
            <a:ext uri="{FF2B5EF4-FFF2-40B4-BE49-F238E27FC236}">
              <a16:creationId xmlns:a16="http://schemas.microsoft.com/office/drawing/2014/main" id="{AF3DB8F7-CBF9-4294-9361-AE5CB71AB5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79" name="Elipse 9378">
          <a:extLst>
            <a:ext uri="{FF2B5EF4-FFF2-40B4-BE49-F238E27FC236}">
              <a16:creationId xmlns:a16="http://schemas.microsoft.com/office/drawing/2014/main" id="{E88D51CD-1441-4106-93F3-EC455436F4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0" name="Elipse 9379">
          <a:extLst>
            <a:ext uri="{FF2B5EF4-FFF2-40B4-BE49-F238E27FC236}">
              <a16:creationId xmlns:a16="http://schemas.microsoft.com/office/drawing/2014/main" id="{B9BB50E2-19C6-4336-952B-D739A0B025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1" name="Elipse 9380">
          <a:extLst>
            <a:ext uri="{FF2B5EF4-FFF2-40B4-BE49-F238E27FC236}">
              <a16:creationId xmlns:a16="http://schemas.microsoft.com/office/drawing/2014/main" id="{8EFC5CCE-02F0-46B1-AF79-660E4EFBDF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2" name="Elipse 9381">
          <a:extLst>
            <a:ext uri="{FF2B5EF4-FFF2-40B4-BE49-F238E27FC236}">
              <a16:creationId xmlns:a16="http://schemas.microsoft.com/office/drawing/2014/main" id="{77388486-D42F-45DA-B7E6-8FCC129054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3" name="Elipse 9382">
          <a:extLst>
            <a:ext uri="{FF2B5EF4-FFF2-40B4-BE49-F238E27FC236}">
              <a16:creationId xmlns:a16="http://schemas.microsoft.com/office/drawing/2014/main" id="{A1D03396-66A3-4B78-A7B2-3EB52CC7E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4" name="Elipse 9383">
          <a:extLst>
            <a:ext uri="{FF2B5EF4-FFF2-40B4-BE49-F238E27FC236}">
              <a16:creationId xmlns:a16="http://schemas.microsoft.com/office/drawing/2014/main" id="{A7904F0A-B4EB-475F-A910-A010378623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5" name="Elipse 9384">
          <a:extLst>
            <a:ext uri="{FF2B5EF4-FFF2-40B4-BE49-F238E27FC236}">
              <a16:creationId xmlns:a16="http://schemas.microsoft.com/office/drawing/2014/main" id="{ADF201A9-D723-4042-BF07-8E5A0FB1C2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6" name="Elipse 9385">
          <a:extLst>
            <a:ext uri="{FF2B5EF4-FFF2-40B4-BE49-F238E27FC236}">
              <a16:creationId xmlns:a16="http://schemas.microsoft.com/office/drawing/2014/main" id="{B1D01B68-21E8-4040-915A-2359C5C07F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7" name="Elipse 9386">
          <a:extLst>
            <a:ext uri="{FF2B5EF4-FFF2-40B4-BE49-F238E27FC236}">
              <a16:creationId xmlns:a16="http://schemas.microsoft.com/office/drawing/2014/main" id="{D119CF1A-B185-4F55-B32F-F212DD10FF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8" name="Elipse 9387">
          <a:extLst>
            <a:ext uri="{FF2B5EF4-FFF2-40B4-BE49-F238E27FC236}">
              <a16:creationId xmlns:a16="http://schemas.microsoft.com/office/drawing/2014/main" id="{9CC343D5-51D1-447A-9026-CDDC15573A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89" name="Elipse 9388">
          <a:extLst>
            <a:ext uri="{FF2B5EF4-FFF2-40B4-BE49-F238E27FC236}">
              <a16:creationId xmlns:a16="http://schemas.microsoft.com/office/drawing/2014/main" id="{DC691694-7D9C-4673-B177-A67E6C497E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0" name="Elipse 9389">
          <a:extLst>
            <a:ext uri="{FF2B5EF4-FFF2-40B4-BE49-F238E27FC236}">
              <a16:creationId xmlns:a16="http://schemas.microsoft.com/office/drawing/2014/main" id="{D0AF6090-3EFE-4EAB-B0B9-D2686F1D2F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1" name="Elipse 9390">
          <a:extLst>
            <a:ext uri="{FF2B5EF4-FFF2-40B4-BE49-F238E27FC236}">
              <a16:creationId xmlns:a16="http://schemas.microsoft.com/office/drawing/2014/main" id="{92DD6F05-9DCB-41A6-92E8-F126D28CF0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2" name="Elipse 9391">
          <a:extLst>
            <a:ext uri="{FF2B5EF4-FFF2-40B4-BE49-F238E27FC236}">
              <a16:creationId xmlns:a16="http://schemas.microsoft.com/office/drawing/2014/main" id="{BF6EF6D4-73B6-4DD5-9732-863E2F4288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3" name="Elipse 9392">
          <a:extLst>
            <a:ext uri="{FF2B5EF4-FFF2-40B4-BE49-F238E27FC236}">
              <a16:creationId xmlns:a16="http://schemas.microsoft.com/office/drawing/2014/main" id="{A417316F-0502-47CD-BE08-2BBA17C1FB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4" name="Elipse 9393">
          <a:extLst>
            <a:ext uri="{FF2B5EF4-FFF2-40B4-BE49-F238E27FC236}">
              <a16:creationId xmlns:a16="http://schemas.microsoft.com/office/drawing/2014/main" id="{48E0154B-480B-4428-B67B-5D37D9E08E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5" name="Elipse 9394">
          <a:extLst>
            <a:ext uri="{FF2B5EF4-FFF2-40B4-BE49-F238E27FC236}">
              <a16:creationId xmlns:a16="http://schemas.microsoft.com/office/drawing/2014/main" id="{2373B43B-0AF7-48EF-B03F-D033DAEC91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6" name="Elipse 9395">
          <a:extLst>
            <a:ext uri="{FF2B5EF4-FFF2-40B4-BE49-F238E27FC236}">
              <a16:creationId xmlns:a16="http://schemas.microsoft.com/office/drawing/2014/main" id="{B681651F-CE54-44D5-85DD-F527A2A737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7" name="Elipse 9396">
          <a:extLst>
            <a:ext uri="{FF2B5EF4-FFF2-40B4-BE49-F238E27FC236}">
              <a16:creationId xmlns:a16="http://schemas.microsoft.com/office/drawing/2014/main" id="{DC9CA384-D36D-44F4-9D83-437C25802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8" name="Elipse 9397">
          <a:extLst>
            <a:ext uri="{FF2B5EF4-FFF2-40B4-BE49-F238E27FC236}">
              <a16:creationId xmlns:a16="http://schemas.microsoft.com/office/drawing/2014/main" id="{A80ADB49-1421-4BF9-96F8-7DC300051C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399" name="Elipse 9398">
          <a:extLst>
            <a:ext uri="{FF2B5EF4-FFF2-40B4-BE49-F238E27FC236}">
              <a16:creationId xmlns:a16="http://schemas.microsoft.com/office/drawing/2014/main" id="{87CAB405-0F7B-49E2-A0A8-88BF123B5E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0" name="Elipse 9399">
          <a:extLst>
            <a:ext uri="{FF2B5EF4-FFF2-40B4-BE49-F238E27FC236}">
              <a16:creationId xmlns:a16="http://schemas.microsoft.com/office/drawing/2014/main" id="{219416E4-0C39-4A6A-913C-C07793204A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1" name="Elipse 9400">
          <a:extLst>
            <a:ext uri="{FF2B5EF4-FFF2-40B4-BE49-F238E27FC236}">
              <a16:creationId xmlns:a16="http://schemas.microsoft.com/office/drawing/2014/main" id="{F4B060B1-089C-430C-B3CA-FC3E1FFA7C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2" name="Elipse 9401">
          <a:extLst>
            <a:ext uri="{FF2B5EF4-FFF2-40B4-BE49-F238E27FC236}">
              <a16:creationId xmlns:a16="http://schemas.microsoft.com/office/drawing/2014/main" id="{DA6A0316-6927-4333-86FA-E681FCD5D3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3" name="Elipse 9402">
          <a:extLst>
            <a:ext uri="{FF2B5EF4-FFF2-40B4-BE49-F238E27FC236}">
              <a16:creationId xmlns:a16="http://schemas.microsoft.com/office/drawing/2014/main" id="{1C37F7CF-5D22-447D-984B-C385CF5834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4" name="Elipse 9403">
          <a:extLst>
            <a:ext uri="{FF2B5EF4-FFF2-40B4-BE49-F238E27FC236}">
              <a16:creationId xmlns:a16="http://schemas.microsoft.com/office/drawing/2014/main" id="{2EA2AA09-69AD-4E53-9AB7-406E024423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5" name="Elipse 9404">
          <a:extLst>
            <a:ext uri="{FF2B5EF4-FFF2-40B4-BE49-F238E27FC236}">
              <a16:creationId xmlns:a16="http://schemas.microsoft.com/office/drawing/2014/main" id="{48643B4E-D1DA-43E2-A75E-05BC3FEA8A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6" name="Elipse 9405">
          <a:extLst>
            <a:ext uri="{FF2B5EF4-FFF2-40B4-BE49-F238E27FC236}">
              <a16:creationId xmlns:a16="http://schemas.microsoft.com/office/drawing/2014/main" id="{88464BB8-F55A-4872-8B30-38FAC216C6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7" name="Elipse 9406">
          <a:extLst>
            <a:ext uri="{FF2B5EF4-FFF2-40B4-BE49-F238E27FC236}">
              <a16:creationId xmlns:a16="http://schemas.microsoft.com/office/drawing/2014/main" id="{4B836F3A-C154-4C45-9F42-5693BF697A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8" name="Elipse 9407">
          <a:extLst>
            <a:ext uri="{FF2B5EF4-FFF2-40B4-BE49-F238E27FC236}">
              <a16:creationId xmlns:a16="http://schemas.microsoft.com/office/drawing/2014/main" id="{15102EDA-2913-4839-AD9A-DDBC433417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09" name="Elipse 9408">
          <a:extLst>
            <a:ext uri="{FF2B5EF4-FFF2-40B4-BE49-F238E27FC236}">
              <a16:creationId xmlns:a16="http://schemas.microsoft.com/office/drawing/2014/main" id="{34FDE6B6-144B-4C2F-B853-53950F0F78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0" name="Elipse 9409">
          <a:extLst>
            <a:ext uri="{FF2B5EF4-FFF2-40B4-BE49-F238E27FC236}">
              <a16:creationId xmlns:a16="http://schemas.microsoft.com/office/drawing/2014/main" id="{C469C6CB-8A86-4D21-8ECB-7A07895BDD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1" name="Elipse 9410">
          <a:extLst>
            <a:ext uri="{FF2B5EF4-FFF2-40B4-BE49-F238E27FC236}">
              <a16:creationId xmlns:a16="http://schemas.microsoft.com/office/drawing/2014/main" id="{6E283477-10E8-49D4-B7EF-B1C7CDA049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2" name="Elipse 9411">
          <a:extLst>
            <a:ext uri="{FF2B5EF4-FFF2-40B4-BE49-F238E27FC236}">
              <a16:creationId xmlns:a16="http://schemas.microsoft.com/office/drawing/2014/main" id="{C0B23118-93BF-4C4F-A0A8-6E2D7C1862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3" name="Elipse 9412">
          <a:extLst>
            <a:ext uri="{FF2B5EF4-FFF2-40B4-BE49-F238E27FC236}">
              <a16:creationId xmlns:a16="http://schemas.microsoft.com/office/drawing/2014/main" id="{0866296A-029E-4A90-9B6E-A33A58E6A5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4" name="Elipse 9413">
          <a:extLst>
            <a:ext uri="{FF2B5EF4-FFF2-40B4-BE49-F238E27FC236}">
              <a16:creationId xmlns:a16="http://schemas.microsoft.com/office/drawing/2014/main" id="{C53F252E-53B1-4F2D-99DC-8CC167FAAE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5" name="Elipse 9414">
          <a:extLst>
            <a:ext uri="{FF2B5EF4-FFF2-40B4-BE49-F238E27FC236}">
              <a16:creationId xmlns:a16="http://schemas.microsoft.com/office/drawing/2014/main" id="{4E61CA86-8499-464F-8313-565FCE18FB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6" name="Elipse 9415">
          <a:extLst>
            <a:ext uri="{FF2B5EF4-FFF2-40B4-BE49-F238E27FC236}">
              <a16:creationId xmlns:a16="http://schemas.microsoft.com/office/drawing/2014/main" id="{52AB2B97-F330-4292-AFD1-EC18F00510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7" name="Elipse 9416">
          <a:extLst>
            <a:ext uri="{FF2B5EF4-FFF2-40B4-BE49-F238E27FC236}">
              <a16:creationId xmlns:a16="http://schemas.microsoft.com/office/drawing/2014/main" id="{2C9DC7C3-4A12-448E-A44D-067A0990C0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8" name="Elipse 9417">
          <a:extLst>
            <a:ext uri="{FF2B5EF4-FFF2-40B4-BE49-F238E27FC236}">
              <a16:creationId xmlns:a16="http://schemas.microsoft.com/office/drawing/2014/main" id="{1AC67BE9-62D9-4391-907A-33C8934F2E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19" name="Elipse 9418">
          <a:extLst>
            <a:ext uri="{FF2B5EF4-FFF2-40B4-BE49-F238E27FC236}">
              <a16:creationId xmlns:a16="http://schemas.microsoft.com/office/drawing/2014/main" id="{CE0CA071-3022-4315-BAA8-FE43DB706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0" name="Elipse 9419">
          <a:extLst>
            <a:ext uri="{FF2B5EF4-FFF2-40B4-BE49-F238E27FC236}">
              <a16:creationId xmlns:a16="http://schemas.microsoft.com/office/drawing/2014/main" id="{8552C003-D3DA-4EBC-899D-74ACD3D284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1" name="Elipse 9420">
          <a:extLst>
            <a:ext uri="{FF2B5EF4-FFF2-40B4-BE49-F238E27FC236}">
              <a16:creationId xmlns:a16="http://schemas.microsoft.com/office/drawing/2014/main" id="{51A4B3C9-FD70-4C9A-B22F-14F72464AC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2" name="Elipse 9421">
          <a:extLst>
            <a:ext uri="{FF2B5EF4-FFF2-40B4-BE49-F238E27FC236}">
              <a16:creationId xmlns:a16="http://schemas.microsoft.com/office/drawing/2014/main" id="{CFBF1675-7371-4164-A827-6658B3B9D4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3" name="Elipse 9422">
          <a:extLst>
            <a:ext uri="{FF2B5EF4-FFF2-40B4-BE49-F238E27FC236}">
              <a16:creationId xmlns:a16="http://schemas.microsoft.com/office/drawing/2014/main" id="{F0351C57-B124-48DF-833A-133DD26B4B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4" name="Elipse 9423">
          <a:extLst>
            <a:ext uri="{FF2B5EF4-FFF2-40B4-BE49-F238E27FC236}">
              <a16:creationId xmlns:a16="http://schemas.microsoft.com/office/drawing/2014/main" id="{FAE200F2-CA82-4330-B3E1-5AB23843E8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5" name="Elipse 9424">
          <a:extLst>
            <a:ext uri="{FF2B5EF4-FFF2-40B4-BE49-F238E27FC236}">
              <a16:creationId xmlns:a16="http://schemas.microsoft.com/office/drawing/2014/main" id="{2EC7B34B-0EA7-40E6-A6CF-FD5F663398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6" name="Elipse 9425">
          <a:extLst>
            <a:ext uri="{FF2B5EF4-FFF2-40B4-BE49-F238E27FC236}">
              <a16:creationId xmlns:a16="http://schemas.microsoft.com/office/drawing/2014/main" id="{B1CA63B4-45EE-45FC-B502-CA0FF4FAF3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7" name="Elipse 9426">
          <a:extLst>
            <a:ext uri="{FF2B5EF4-FFF2-40B4-BE49-F238E27FC236}">
              <a16:creationId xmlns:a16="http://schemas.microsoft.com/office/drawing/2014/main" id="{E692BF4D-7042-4272-ABCB-87C249DDE2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8" name="Elipse 9427">
          <a:extLst>
            <a:ext uri="{FF2B5EF4-FFF2-40B4-BE49-F238E27FC236}">
              <a16:creationId xmlns:a16="http://schemas.microsoft.com/office/drawing/2014/main" id="{853715D9-8161-44B1-BCEE-9E142F75DD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29" name="Elipse 9428">
          <a:extLst>
            <a:ext uri="{FF2B5EF4-FFF2-40B4-BE49-F238E27FC236}">
              <a16:creationId xmlns:a16="http://schemas.microsoft.com/office/drawing/2014/main" id="{46716CDD-6E05-41B1-9AF3-5F8C27E493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0" name="Elipse 9429">
          <a:extLst>
            <a:ext uri="{FF2B5EF4-FFF2-40B4-BE49-F238E27FC236}">
              <a16:creationId xmlns:a16="http://schemas.microsoft.com/office/drawing/2014/main" id="{3E05A364-5380-4E81-AB57-B511B5EBF7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1" name="Elipse 9430">
          <a:extLst>
            <a:ext uri="{FF2B5EF4-FFF2-40B4-BE49-F238E27FC236}">
              <a16:creationId xmlns:a16="http://schemas.microsoft.com/office/drawing/2014/main" id="{2D0D9774-DA08-49A8-BB97-EF1A4B665B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2" name="Elipse 9431">
          <a:extLst>
            <a:ext uri="{FF2B5EF4-FFF2-40B4-BE49-F238E27FC236}">
              <a16:creationId xmlns:a16="http://schemas.microsoft.com/office/drawing/2014/main" id="{5E1696EE-4BFE-4BBC-8230-F320D3D38B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3" name="Elipse 9432">
          <a:extLst>
            <a:ext uri="{FF2B5EF4-FFF2-40B4-BE49-F238E27FC236}">
              <a16:creationId xmlns:a16="http://schemas.microsoft.com/office/drawing/2014/main" id="{3FBC1537-D7ED-4910-806F-2A513A74FC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4" name="Elipse 9433">
          <a:extLst>
            <a:ext uri="{FF2B5EF4-FFF2-40B4-BE49-F238E27FC236}">
              <a16:creationId xmlns:a16="http://schemas.microsoft.com/office/drawing/2014/main" id="{C9FD1610-248C-4E3B-85D6-7D9D859EA8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5" name="Elipse 9434">
          <a:extLst>
            <a:ext uri="{FF2B5EF4-FFF2-40B4-BE49-F238E27FC236}">
              <a16:creationId xmlns:a16="http://schemas.microsoft.com/office/drawing/2014/main" id="{1B8F860A-F12A-43E3-B716-35B24C563C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6" name="Elipse 9435">
          <a:extLst>
            <a:ext uri="{FF2B5EF4-FFF2-40B4-BE49-F238E27FC236}">
              <a16:creationId xmlns:a16="http://schemas.microsoft.com/office/drawing/2014/main" id="{A986746E-FEAB-4194-B5B0-184E91A9E3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7" name="Elipse 9436">
          <a:extLst>
            <a:ext uri="{FF2B5EF4-FFF2-40B4-BE49-F238E27FC236}">
              <a16:creationId xmlns:a16="http://schemas.microsoft.com/office/drawing/2014/main" id="{2F1A8951-343D-485A-806D-A01D4F6AF8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8" name="Elipse 9437">
          <a:extLst>
            <a:ext uri="{FF2B5EF4-FFF2-40B4-BE49-F238E27FC236}">
              <a16:creationId xmlns:a16="http://schemas.microsoft.com/office/drawing/2014/main" id="{4FDB8E3F-9B45-4DF9-BC17-41460EFB5E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39" name="Elipse 9438">
          <a:extLst>
            <a:ext uri="{FF2B5EF4-FFF2-40B4-BE49-F238E27FC236}">
              <a16:creationId xmlns:a16="http://schemas.microsoft.com/office/drawing/2014/main" id="{EC8DB166-4533-4C3E-8561-F3D2A5ADA5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0" name="Elipse 9439">
          <a:extLst>
            <a:ext uri="{FF2B5EF4-FFF2-40B4-BE49-F238E27FC236}">
              <a16:creationId xmlns:a16="http://schemas.microsoft.com/office/drawing/2014/main" id="{0DFED28A-CBE0-4198-BC42-12F259916C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1" name="Elipse 9440">
          <a:extLst>
            <a:ext uri="{FF2B5EF4-FFF2-40B4-BE49-F238E27FC236}">
              <a16:creationId xmlns:a16="http://schemas.microsoft.com/office/drawing/2014/main" id="{3A472E19-AB1A-4283-844F-288D48E039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2" name="Elipse 9441">
          <a:extLst>
            <a:ext uri="{FF2B5EF4-FFF2-40B4-BE49-F238E27FC236}">
              <a16:creationId xmlns:a16="http://schemas.microsoft.com/office/drawing/2014/main" id="{1D1ABBBA-276F-424A-9803-D856FE7919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3" name="Elipse 9442">
          <a:extLst>
            <a:ext uri="{FF2B5EF4-FFF2-40B4-BE49-F238E27FC236}">
              <a16:creationId xmlns:a16="http://schemas.microsoft.com/office/drawing/2014/main" id="{E0F933EA-0E25-4B6C-93DA-474AEE30B8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4" name="Elipse 9443">
          <a:extLst>
            <a:ext uri="{FF2B5EF4-FFF2-40B4-BE49-F238E27FC236}">
              <a16:creationId xmlns:a16="http://schemas.microsoft.com/office/drawing/2014/main" id="{FC241BFC-C442-4D91-A961-8B7684E91E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5" name="Elipse 9444">
          <a:extLst>
            <a:ext uri="{FF2B5EF4-FFF2-40B4-BE49-F238E27FC236}">
              <a16:creationId xmlns:a16="http://schemas.microsoft.com/office/drawing/2014/main" id="{93BBF6C6-299F-4C9F-B4BA-3673BD14E2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6" name="Elipse 9445">
          <a:extLst>
            <a:ext uri="{FF2B5EF4-FFF2-40B4-BE49-F238E27FC236}">
              <a16:creationId xmlns:a16="http://schemas.microsoft.com/office/drawing/2014/main" id="{17B845CD-888B-453C-9321-0FCA14A099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7" name="Elipse 9446">
          <a:extLst>
            <a:ext uri="{FF2B5EF4-FFF2-40B4-BE49-F238E27FC236}">
              <a16:creationId xmlns:a16="http://schemas.microsoft.com/office/drawing/2014/main" id="{E672DE54-293B-4235-83C9-4DFEABE36C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8" name="Elipse 9447">
          <a:extLst>
            <a:ext uri="{FF2B5EF4-FFF2-40B4-BE49-F238E27FC236}">
              <a16:creationId xmlns:a16="http://schemas.microsoft.com/office/drawing/2014/main" id="{843A2EDD-3C62-46CB-B8D6-EE55D81F24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49" name="Elipse 9448">
          <a:extLst>
            <a:ext uri="{FF2B5EF4-FFF2-40B4-BE49-F238E27FC236}">
              <a16:creationId xmlns:a16="http://schemas.microsoft.com/office/drawing/2014/main" id="{E07F6235-7A60-468C-AF13-4B9ED81282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0" name="Elipse 9449">
          <a:extLst>
            <a:ext uri="{FF2B5EF4-FFF2-40B4-BE49-F238E27FC236}">
              <a16:creationId xmlns:a16="http://schemas.microsoft.com/office/drawing/2014/main" id="{BF238AEF-2EF4-4FDD-9A27-86E373894E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1" name="Elipse 9450">
          <a:extLst>
            <a:ext uri="{FF2B5EF4-FFF2-40B4-BE49-F238E27FC236}">
              <a16:creationId xmlns:a16="http://schemas.microsoft.com/office/drawing/2014/main" id="{6B3F673A-A1D7-491D-808A-498A2F3859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2" name="Elipse 9451">
          <a:extLst>
            <a:ext uri="{FF2B5EF4-FFF2-40B4-BE49-F238E27FC236}">
              <a16:creationId xmlns:a16="http://schemas.microsoft.com/office/drawing/2014/main" id="{1F28E235-EF92-48E2-966D-ED761B1873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3" name="Elipse 9452">
          <a:extLst>
            <a:ext uri="{FF2B5EF4-FFF2-40B4-BE49-F238E27FC236}">
              <a16:creationId xmlns:a16="http://schemas.microsoft.com/office/drawing/2014/main" id="{BF470131-C32C-48B1-9507-80B1141306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4" name="Elipse 9453">
          <a:extLst>
            <a:ext uri="{FF2B5EF4-FFF2-40B4-BE49-F238E27FC236}">
              <a16:creationId xmlns:a16="http://schemas.microsoft.com/office/drawing/2014/main" id="{63476736-4D8F-4AD9-BBE9-F0D8E1B33D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5" name="Elipse 9454">
          <a:extLst>
            <a:ext uri="{FF2B5EF4-FFF2-40B4-BE49-F238E27FC236}">
              <a16:creationId xmlns:a16="http://schemas.microsoft.com/office/drawing/2014/main" id="{A8022DA9-DF8D-4FE9-B3C5-637731B03A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6" name="Elipse 9455">
          <a:extLst>
            <a:ext uri="{FF2B5EF4-FFF2-40B4-BE49-F238E27FC236}">
              <a16:creationId xmlns:a16="http://schemas.microsoft.com/office/drawing/2014/main" id="{8CA00448-BF94-40DA-B71E-CB42152F77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7" name="Elipse 9456">
          <a:extLst>
            <a:ext uri="{FF2B5EF4-FFF2-40B4-BE49-F238E27FC236}">
              <a16:creationId xmlns:a16="http://schemas.microsoft.com/office/drawing/2014/main" id="{D54F3C8F-6F8C-4603-BE8B-D8F6908A44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8" name="Elipse 9457">
          <a:extLst>
            <a:ext uri="{FF2B5EF4-FFF2-40B4-BE49-F238E27FC236}">
              <a16:creationId xmlns:a16="http://schemas.microsoft.com/office/drawing/2014/main" id="{06008227-6AAD-43DC-9F61-D28F55ECA0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59" name="Elipse 9458">
          <a:extLst>
            <a:ext uri="{FF2B5EF4-FFF2-40B4-BE49-F238E27FC236}">
              <a16:creationId xmlns:a16="http://schemas.microsoft.com/office/drawing/2014/main" id="{CD44DC73-B453-46E3-9C6F-A3846E2555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0" name="Elipse 9459">
          <a:extLst>
            <a:ext uri="{FF2B5EF4-FFF2-40B4-BE49-F238E27FC236}">
              <a16:creationId xmlns:a16="http://schemas.microsoft.com/office/drawing/2014/main" id="{FE3BDEA2-46E8-4920-B8B4-51FDC2C619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1" name="Elipse 9460">
          <a:extLst>
            <a:ext uri="{FF2B5EF4-FFF2-40B4-BE49-F238E27FC236}">
              <a16:creationId xmlns:a16="http://schemas.microsoft.com/office/drawing/2014/main" id="{82ED5072-6E63-4802-BDF2-CC0D60D598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2" name="Elipse 9461">
          <a:extLst>
            <a:ext uri="{FF2B5EF4-FFF2-40B4-BE49-F238E27FC236}">
              <a16:creationId xmlns:a16="http://schemas.microsoft.com/office/drawing/2014/main" id="{51F9B98F-03AF-4F25-A3D0-ED6F3386D8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3" name="Elipse 9462">
          <a:extLst>
            <a:ext uri="{FF2B5EF4-FFF2-40B4-BE49-F238E27FC236}">
              <a16:creationId xmlns:a16="http://schemas.microsoft.com/office/drawing/2014/main" id="{114D203F-87C7-4521-80ED-C31778B777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4" name="Elipse 9463">
          <a:extLst>
            <a:ext uri="{FF2B5EF4-FFF2-40B4-BE49-F238E27FC236}">
              <a16:creationId xmlns:a16="http://schemas.microsoft.com/office/drawing/2014/main" id="{6F76DEE3-BE9B-4D69-9828-05B36F32D5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5" name="Elipse 9464">
          <a:extLst>
            <a:ext uri="{FF2B5EF4-FFF2-40B4-BE49-F238E27FC236}">
              <a16:creationId xmlns:a16="http://schemas.microsoft.com/office/drawing/2014/main" id="{EB36E4CC-2515-4476-8A7F-A811BDD2E9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6" name="Elipse 9465">
          <a:extLst>
            <a:ext uri="{FF2B5EF4-FFF2-40B4-BE49-F238E27FC236}">
              <a16:creationId xmlns:a16="http://schemas.microsoft.com/office/drawing/2014/main" id="{29971E40-92B4-49DA-A6D4-D00D45FE19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7" name="Elipse 9466">
          <a:extLst>
            <a:ext uri="{FF2B5EF4-FFF2-40B4-BE49-F238E27FC236}">
              <a16:creationId xmlns:a16="http://schemas.microsoft.com/office/drawing/2014/main" id="{D1D15831-6E04-4279-BED6-D667105A19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8" name="Elipse 9467">
          <a:extLst>
            <a:ext uri="{FF2B5EF4-FFF2-40B4-BE49-F238E27FC236}">
              <a16:creationId xmlns:a16="http://schemas.microsoft.com/office/drawing/2014/main" id="{54182030-F3DD-4722-A18D-4179400C77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69" name="Elipse 9468">
          <a:extLst>
            <a:ext uri="{FF2B5EF4-FFF2-40B4-BE49-F238E27FC236}">
              <a16:creationId xmlns:a16="http://schemas.microsoft.com/office/drawing/2014/main" id="{8AFD30C8-F80B-41EF-AF70-D094E73623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0" name="Elipse 9469">
          <a:extLst>
            <a:ext uri="{FF2B5EF4-FFF2-40B4-BE49-F238E27FC236}">
              <a16:creationId xmlns:a16="http://schemas.microsoft.com/office/drawing/2014/main" id="{56EA712C-239E-43A4-9245-30A309516D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1" name="Elipse 9470">
          <a:extLst>
            <a:ext uri="{FF2B5EF4-FFF2-40B4-BE49-F238E27FC236}">
              <a16:creationId xmlns:a16="http://schemas.microsoft.com/office/drawing/2014/main" id="{CB6719D3-67B3-4957-B9DF-1AAFFF543E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2" name="Elipse 9471">
          <a:extLst>
            <a:ext uri="{FF2B5EF4-FFF2-40B4-BE49-F238E27FC236}">
              <a16:creationId xmlns:a16="http://schemas.microsoft.com/office/drawing/2014/main" id="{B4170840-5202-48CF-9544-4D46957AD0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3" name="Elipse 9472">
          <a:extLst>
            <a:ext uri="{FF2B5EF4-FFF2-40B4-BE49-F238E27FC236}">
              <a16:creationId xmlns:a16="http://schemas.microsoft.com/office/drawing/2014/main" id="{B117C3CA-912E-4367-9667-EA1160DE87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4" name="Elipse 9473">
          <a:extLst>
            <a:ext uri="{FF2B5EF4-FFF2-40B4-BE49-F238E27FC236}">
              <a16:creationId xmlns:a16="http://schemas.microsoft.com/office/drawing/2014/main" id="{A7171B1C-0136-409C-9EA4-8B1456B62D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5" name="Elipse 9474">
          <a:extLst>
            <a:ext uri="{FF2B5EF4-FFF2-40B4-BE49-F238E27FC236}">
              <a16:creationId xmlns:a16="http://schemas.microsoft.com/office/drawing/2014/main" id="{917C52AD-FEF1-49FC-90E7-21C2C7CF2D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6" name="Elipse 9475">
          <a:extLst>
            <a:ext uri="{FF2B5EF4-FFF2-40B4-BE49-F238E27FC236}">
              <a16:creationId xmlns:a16="http://schemas.microsoft.com/office/drawing/2014/main" id="{94FD4BEC-553E-4F7A-A900-D17F4EDD6B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7" name="Elipse 9476">
          <a:extLst>
            <a:ext uri="{FF2B5EF4-FFF2-40B4-BE49-F238E27FC236}">
              <a16:creationId xmlns:a16="http://schemas.microsoft.com/office/drawing/2014/main" id="{79F6CB7D-05E2-4864-87E6-3C31A51D0E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8" name="Elipse 9477">
          <a:extLst>
            <a:ext uri="{FF2B5EF4-FFF2-40B4-BE49-F238E27FC236}">
              <a16:creationId xmlns:a16="http://schemas.microsoft.com/office/drawing/2014/main" id="{1595369E-7F7F-4C0A-8D4F-15DC3F33EE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79" name="Elipse 9478">
          <a:extLst>
            <a:ext uri="{FF2B5EF4-FFF2-40B4-BE49-F238E27FC236}">
              <a16:creationId xmlns:a16="http://schemas.microsoft.com/office/drawing/2014/main" id="{DAFD8292-22A6-4E98-A53F-7CEDE8F2C6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0" name="Elipse 9479">
          <a:extLst>
            <a:ext uri="{FF2B5EF4-FFF2-40B4-BE49-F238E27FC236}">
              <a16:creationId xmlns:a16="http://schemas.microsoft.com/office/drawing/2014/main" id="{6CA6256F-FB64-400D-A04A-1C74490F0C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1" name="Elipse 9480">
          <a:extLst>
            <a:ext uri="{FF2B5EF4-FFF2-40B4-BE49-F238E27FC236}">
              <a16:creationId xmlns:a16="http://schemas.microsoft.com/office/drawing/2014/main" id="{DE1B6A5C-BEA4-493B-8099-10AE399519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2" name="Elipse 9481">
          <a:extLst>
            <a:ext uri="{FF2B5EF4-FFF2-40B4-BE49-F238E27FC236}">
              <a16:creationId xmlns:a16="http://schemas.microsoft.com/office/drawing/2014/main" id="{21AB3C4A-1C5D-4E2E-A0BD-8E9E2D6FBF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3" name="Elipse 9482">
          <a:extLst>
            <a:ext uri="{FF2B5EF4-FFF2-40B4-BE49-F238E27FC236}">
              <a16:creationId xmlns:a16="http://schemas.microsoft.com/office/drawing/2014/main" id="{7540C599-DD6B-4871-B1BF-A4537BEEEF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4" name="Elipse 9483">
          <a:extLst>
            <a:ext uri="{FF2B5EF4-FFF2-40B4-BE49-F238E27FC236}">
              <a16:creationId xmlns:a16="http://schemas.microsoft.com/office/drawing/2014/main" id="{BF0460CF-B6E9-4C10-9B4D-9A3BAFACA5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5" name="Elipse 9484">
          <a:extLst>
            <a:ext uri="{FF2B5EF4-FFF2-40B4-BE49-F238E27FC236}">
              <a16:creationId xmlns:a16="http://schemas.microsoft.com/office/drawing/2014/main" id="{A8557072-A49B-4787-A320-3A6E255734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6" name="Elipse 9485">
          <a:extLst>
            <a:ext uri="{FF2B5EF4-FFF2-40B4-BE49-F238E27FC236}">
              <a16:creationId xmlns:a16="http://schemas.microsoft.com/office/drawing/2014/main" id="{4A2C3B23-A738-4717-9687-61B1D765C8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7" name="Elipse 9486">
          <a:extLst>
            <a:ext uri="{FF2B5EF4-FFF2-40B4-BE49-F238E27FC236}">
              <a16:creationId xmlns:a16="http://schemas.microsoft.com/office/drawing/2014/main" id="{25D24939-DCB5-4EE9-A0FC-A088A2A2B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8" name="Elipse 9487">
          <a:extLst>
            <a:ext uri="{FF2B5EF4-FFF2-40B4-BE49-F238E27FC236}">
              <a16:creationId xmlns:a16="http://schemas.microsoft.com/office/drawing/2014/main" id="{AD5D2307-13BB-4C90-850A-AB1E767FCE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89" name="Elipse 9488">
          <a:extLst>
            <a:ext uri="{FF2B5EF4-FFF2-40B4-BE49-F238E27FC236}">
              <a16:creationId xmlns:a16="http://schemas.microsoft.com/office/drawing/2014/main" id="{748998D7-2D8C-4D94-B06E-4CA525EDD3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0" name="Elipse 9489">
          <a:extLst>
            <a:ext uri="{FF2B5EF4-FFF2-40B4-BE49-F238E27FC236}">
              <a16:creationId xmlns:a16="http://schemas.microsoft.com/office/drawing/2014/main" id="{E207F20D-CDE9-4F30-AF2B-5A9B50FA7C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1" name="Elipse 9490">
          <a:extLst>
            <a:ext uri="{FF2B5EF4-FFF2-40B4-BE49-F238E27FC236}">
              <a16:creationId xmlns:a16="http://schemas.microsoft.com/office/drawing/2014/main" id="{4006E98D-066B-4B25-B1E0-DEE9CF905D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2" name="Elipse 9491">
          <a:extLst>
            <a:ext uri="{FF2B5EF4-FFF2-40B4-BE49-F238E27FC236}">
              <a16:creationId xmlns:a16="http://schemas.microsoft.com/office/drawing/2014/main" id="{1C60C113-3DB3-44A4-BD15-11C2E26324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3" name="Elipse 9492">
          <a:extLst>
            <a:ext uri="{FF2B5EF4-FFF2-40B4-BE49-F238E27FC236}">
              <a16:creationId xmlns:a16="http://schemas.microsoft.com/office/drawing/2014/main" id="{3AA661C9-6A8A-4223-9D02-2AE2877A9B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4" name="Elipse 9493">
          <a:extLst>
            <a:ext uri="{FF2B5EF4-FFF2-40B4-BE49-F238E27FC236}">
              <a16:creationId xmlns:a16="http://schemas.microsoft.com/office/drawing/2014/main" id="{CC2DBE69-D48C-442A-AF44-A7B4A9B1F3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5" name="Elipse 9494">
          <a:extLst>
            <a:ext uri="{FF2B5EF4-FFF2-40B4-BE49-F238E27FC236}">
              <a16:creationId xmlns:a16="http://schemas.microsoft.com/office/drawing/2014/main" id="{D2CBAB6E-39F5-41E7-B6C6-7C125FF727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6" name="Elipse 9495">
          <a:extLst>
            <a:ext uri="{FF2B5EF4-FFF2-40B4-BE49-F238E27FC236}">
              <a16:creationId xmlns:a16="http://schemas.microsoft.com/office/drawing/2014/main" id="{5112A2E7-E08A-452A-9E93-E5AE8111D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7" name="Elipse 9496">
          <a:extLst>
            <a:ext uri="{FF2B5EF4-FFF2-40B4-BE49-F238E27FC236}">
              <a16:creationId xmlns:a16="http://schemas.microsoft.com/office/drawing/2014/main" id="{7F59C644-0DB7-4618-B906-1759AB6CEC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8" name="Elipse 9497">
          <a:extLst>
            <a:ext uri="{FF2B5EF4-FFF2-40B4-BE49-F238E27FC236}">
              <a16:creationId xmlns:a16="http://schemas.microsoft.com/office/drawing/2014/main" id="{D549495E-70D5-4EDB-8D5D-B5EBCDD12C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499" name="Elipse 9498">
          <a:extLst>
            <a:ext uri="{FF2B5EF4-FFF2-40B4-BE49-F238E27FC236}">
              <a16:creationId xmlns:a16="http://schemas.microsoft.com/office/drawing/2014/main" id="{E0E3CF11-CDF4-440A-89E6-7AE7FB5481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0" name="Elipse 9499">
          <a:extLst>
            <a:ext uri="{FF2B5EF4-FFF2-40B4-BE49-F238E27FC236}">
              <a16:creationId xmlns:a16="http://schemas.microsoft.com/office/drawing/2014/main" id="{D591220B-5BDC-41E5-A569-63D0CB0F86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1" name="Elipse 9500">
          <a:extLst>
            <a:ext uri="{FF2B5EF4-FFF2-40B4-BE49-F238E27FC236}">
              <a16:creationId xmlns:a16="http://schemas.microsoft.com/office/drawing/2014/main" id="{74D504CD-EDF3-4636-AEB0-1D190795FB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2" name="Elipse 9501">
          <a:extLst>
            <a:ext uri="{FF2B5EF4-FFF2-40B4-BE49-F238E27FC236}">
              <a16:creationId xmlns:a16="http://schemas.microsoft.com/office/drawing/2014/main" id="{A3556051-BC4F-4B09-B46C-4B19DE6FFE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3" name="Elipse 9502">
          <a:extLst>
            <a:ext uri="{FF2B5EF4-FFF2-40B4-BE49-F238E27FC236}">
              <a16:creationId xmlns:a16="http://schemas.microsoft.com/office/drawing/2014/main" id="{CB2580CC-A6A2-49B4-BE9D-131F6D093A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4" name="Elipse 9503">
          <a:extLst>
            <a:ext uri="{FF2B5EF4-FFF2-40B4-BE49-F238E27FC236}">
              <a16:creationId xmlns:a16="http://schemas.microsoft.com/office/drawing/2014/main" id="{1E7B1AF3-0046-4916-919B-8EF7AA5B06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5" name="Elipse 9504">
          <a:extLst>
            <a:ext uri="{FF2B5EF4-FFF2-40B4-BE49-F238E27FC236}">
              <a16:creationId xmlns:a16="http://schemas.microsoft.com/office/drawing/2014/main" id="{469127A6-663B-430C-8579-870C2EF87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6" name="Elipse 9505">
          <a:extLst>
            <a:ext uri="{FF2B5EF4-FFF2-40B4-BE49-F238E27FC236}">
              <a16:creationId xmlns:a16="http://schemas.microsoft.com/office/drawing/2014/main" id="{4612C380-2003-4E24-9499-AF091B40F7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7" name="Elipse 9506">
          <a:extLst>
            <a:ext uri="{FF2B5EF4-FFF2-40B4-BE49-F238E27FC236}">
              <a16:creationId xmlns:a16="http://schemas.microsoft.com/office/drawing/2014/main" id="{C5571FFD-EE11-4BCF-A357-CB72D4737F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8" name="Elipse 9507">
          <a:extLst>
            <a:ext uri="{FF2B5EF4-FFF2-40B4-BE49-F238E27FC236}">
              <a16:creationId xmlns:a16="http://schemas.microsoft.com/office/drawing/2014/main" id="{99E31BE4-9714-49E5-8F12-AB7F9A2EFB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09" name="Elipse 9508">
          <a:extLst>
            <a:ext uri="{FF2B5EF4-FFF2-40B4-BE49-F238E27FC236}">
              <a16:creationId xmlns:a16="http://schemas.microsoft.com/office/drawing/2014/main" id="{6FE64024-C6DE-4896-9BF3-5FD58FEBCB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0" name="Elipse 9509">
          <a:extLst>
            <a:ext uri="{FF2B5EF4-FFF2-40B4-BE49-F238E27FC236}">
              <a16:creationId xmlns:a16="http://schemas.microsoft.com/office/drawing/2014/main" id="{7ACC3C2E-B5CA-4636-BEE2-FD61CF8260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1" name="Elipse 9510">
          <a:extLst>
            <a:ext uri="{FF2B5EF4-FFF2-40B4-BE49-F238E27FC236}">
              <a16:creationId xmlns:a16="http://schemas.microsoft.com/office/drawing/2014/main" id="{D60B190B-A46D-4585-B595-95B52BB079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2" name="Elipse 9511">
          <a:extLst>
            <a:ext uri="{FF2B5EF4-FFF2-40B4-BE49-F238E27FC236}">
              <a16:creationId xmlns:a16="http://schemas.microsoft.com/office/drawing/2014/main" id="{98FDC809-3092-4546-B5B4-ED56A32CCB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3" name="Elipse 9512">
          <a:extLst>
            <a:ext uri="{FF2B5EF4-FFF2-40B4-BE49-F238E27FC236}">
              <a16:creationId xmlns:a16="http://schemas.microsoft.com/office/drawing/2014/main" id="{E2F89403-45A7-4C84-AF15-23179EA7BD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4" name="Elipse 9513">
          <a:extLst>
            <a:ext uri="{FF2B5EF4-FFF2-40B4-BE49-F238E27FC236}">
              <a16:creationId xmlns:a16="http://schemas.microsoft.com/office/drawing/2014/main" id="{E2FCC9E4-DAE0-42B7-9F8D-3204D70F2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5" name="Elipse 9514">
          <a:extLst>
            <a:ext uri="{FF2B5EF4-FFF2-40B4-BE49-F238E27FC236}">
              <a16:creationId xmlns:a16="http://schemas.microsoft.com/office/drawing/2014/main" id="{5FAA23B5-FB21-42CE-B275-51121FC65A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6" name="Elipse 9515">
          <a:extLst>
            <a:ext uri="{FF2B5EF4-FFF2-40B4-BE49-F238E27FC236}">
              <a16:creationId xmlns:a16="http://schemas.microsoft.com/office/drawing/2014/main" id="{F56F7715-4048-40EA-815F-03BCD27DCA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7" name="Elipse 9516">
          <a:extLst>
            <a:ext uri="{FF2B5EF4-FFF2-40B4-BE49-F238E27FC236}">
              <a16:creationId xmlns:a16="http://schemas.microsoft.com/office/drawing/2014/main" id="{8285ACCF-E4DB-4B13-AC88-B518205164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8" name="Elipse 9517">
          <a:extLst>
            <a:ext uri="{FF2B5EF4-FFF2-40B4-BE49-F238E27FC236}">
              <a16:creationId xmlns:a16="http://schemas.microsoft.com/office/drawing/2014/main" id="{00B2CCB4-641D-46CE-B7E3-193D05D550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19" name="Elipse 9518">
          <a:extLst>
            <a:ext uri="{FF2B5EF4-FFF2-40B4-BE49-F238E27FC236}">
              <a16:creationId xmlns:a16="http://schemas.microsoft.com/office/drawing/2014/main" id="{2D5B4163-EE99-431D-82EB-1EB39B0B79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0" name="Elipse 9519">
          <a:extLst>
            <a:ext uri="{FF2B5EF4-FFF2-40B4-BE49-F238E27FC236}">
              <a16:creationId xmlns:a16="http://schemas.microsoft.com/office/drawing/2014/main" id="{92F95BC4-4D94-45E0-81F9-DBFB80B51C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1" name="Elipse 9520">
          <a:extLst>
            <a:ext uri="{FF2B5EF4-FFF2-40B4-BE49-F238E27FC236}">
              <a16:creationId xmlns:a16="http://schemas.microsoft.com/office/drawing/2014/main" id="{20F5D43E-68B0-43CE-9279-26E49EF9FF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2" name="Elipse 9521">
          <a:extLst>
            <a:ext uri="{FF2B5EF4-FFF2-40B4-BE49-F238E27FC236}">
              <a16:creationId xmlns:a16="http://schemas.microsoft.com/office/drawing/2014/main" id="{DF0BBDEB-1B28-4C38-87A3-B4C5EC3F17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3" name="Elipse 9522">
          <a:extLst>
            <a:ext uri="{FF2B5EF4-FFF2-40B4-BE49-F238E27FC236}">
              <a16:creationId xmlns:a16="http://schemas.microsoft.com/office/drawing/2014/main" id="{8EC4368E-BC39-4BF6-8614-A4EC49E4BB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4" name="Elipse 9523">
          <a:extLst>
            <a:ext uri="{FF2B5EF4-FFF2-40B4-BE49-F238E27FC236}">
              <a16:creationId xmlns:a16="http://schemas.microsoft.com/office/drawing/2014/main" id="{EE24FEA5-EAED-4652-A9E1-AF1ED057C4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5" name="Elipse 9524">
          <a:extLst>
            <a:ext uri="{FF2B5EF4-FFF2-40B4-BE49-F238E27FC236}">
              <a16:creationId xmlns:a16="http://schemas.microsoft.com/office/drawing/2014/main" id="{31D33FFB-0164-4BE3-A74F-3F5F9D181D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6" name="Elipse 9525">
          <a:extLst>
            <a:ext uri="{FF2B5EF4-FFF2-40B4-BE49-F238E27FC236}">
              <a16:creationId xmlns:a16="http://schemas.microsoft.com/office/drawing/2014/main" id="{4845D1FE-CCB7-485A-8E40-D709DEE005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7" name="Elipse 9526">
          <a:extLst>
            <a:ext uri="{FF2B5EF4-FFF2-40B4-BE49-F238E27FC236}">
              <a16:creationId xmlns:a16="http://schemas.microsoft.com/office/drawing/2014/main" id="{843C61B1-C15A-4AF6-92D1-AADC081667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8" name="Elipse 9527">
          <a:extLst>
            <a:ext uri="{FF2B5EF4-FFF2-40B4-BE49-F238E27FC236}">
              <a16:creationId xmlns:a16="http://schemas.microsoft.com/office/drawing/2014/main" id="{54CFFEF1-5FE3-415F-ABA2-99F97E8817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29" name="Elipse 9528">
          <a:extLst>
            <a:ext uri="{FF2B5EF4-FFF2-40B4-BE49-F238E27FC236}">
              <a16:creationId xmlns:a16="http://schemas.microsoft.com/office/drawing/2014/main" id="{928BFDDE-A328-45E9-8D07-E3ADB181A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0" name="Elipse 9529">
          <a:extLst>
            <a:ext uri="{FF2B5EF4-FFF2-40B4-BE49-F238E27FC236}">
              <a16:creationId xmlns:a16="http://schemas.microsoft.com/office/drawing/2014/main" id="{ED80ADF9-B1E0-4509-99CA-6D3C1AA3F6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1" name="Elipse 9530">
          <a:extLst>
            <a:ext uri="{FF2B5EF4-FFF2-40B4-BE49-F238E27FC236}">
              <a16:creationId xmlns:a16="http://schemas.microsoft.com/office/drawing/2014/main" id="{C3B3151C-75C5-4E18-88E4-49B861A6F1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2" name="Elipse 9531">
          <a:extLst>
            <a:ext uri="{FF2B5EF4-FFF2-40B4-BE49-F238E27FC236}">
              <a16:creationId xmlns:a16="http://schemas.microsoft.com/office/drawing/2014/main" id="{92C24855-5871-4404-8A6A-141481D33C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3" name="Elipse 9532">
          <a:extLst>
            <a:ext uri="{FF2B5EF4-FFF2-40B4-BE49-F238E27FC236}">
              <a16:creationId xmlns:a16="http://schemas.microsoft.com/office/drawing/2014/main" id="{A6473339-000C-4F96-BD2C-87976790A0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4" name="Elipse 9533">
          <a:extLst>
            <a:ext uri="{FF2B5EF4-FFF2-40B4-BE49-F238E27FC236}">
              <a16:creationId xmlns:a16="http://schemas.microsoft.com/office/drawing/2014/main" id="{44D998B8-643F-4E27-AC4B-6D53122C47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5" name="Elipse 9534">
          <a:extLst>
            <a:ext uri="{FF2B5EF4-FFF2-40B4-BE49-F238E27FC236}">
              <a16:creationId xmlns:a16="http://schemas.microsoft.com/office/drawing/2014/main" id="{724BE40B-6683-4666-A014-4B9750764D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6" name="Elipse 9535">
          <a:extLst>
            <a:ext uri="{FF2B5EF4-FFF2-40B4-BE49-F238E27FC236}">
              <a16:creationId xmlns:a16="http://schemas.microsoft.com/office/drawing/2014/main" id="{F9B5CA34-0A47-42E7-9EAF-AF38590948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7" name="Elipse 9536">
          <a:extLst>
            <a:ext uri="{FF2B5EF4-FFF2-40B4-BE49-F238E27FC236}">
              <a16:creationId xmlns:a16="http://schemas.microsoft.com/office/drawing/2014/main" id="{076E9F11-8749-4159-85AA-7E20E7556D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8" name="Elipse 9537">
          <a:extLst>
            <a:ext uri="{FF2B5EF4-FFF2-40B4-BE49-F238E27FC236}">
              <a16:creationId xmlns:a16="http://schemas.microsoft.com/office/drawing/2014/main" id="{8971571E-DA95-4155-AFAE-9EDFA648EB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39" name="Elipse 9538">
          <a:extLst>
            <a:ext uri="{FF2B5EF4-FFF2-40B4-BE49-F238E27FC236}">
              <a16:creationId xmlns:a16="http://schemas.microsoft.com/office/drawing/2014/main" id="{EB4C29A7-6475-41F5-9B7E-87B896F287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0" name="Elipse 9539">
          <a:extLst>
            <a:ext uri="{FF2B5EF4-FFF2-40B4-BE49-F238E27FC236}">
              <a16:creationId xmlns:a16="http://schemas.microsoft.com/office/drawing/2014/main" id="{E42AD2AE-1F2D-4619-811A-1C61BFCE11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1" name="Elipse 9540">
          <a:extLst>
            <a:ext uri="{FF2B5EF4-FFF2-40B4-BE49-F238E27FC236}">
              <a16:creationId xmlns:a16="http://schemas.microsoft.com/office/drawing/2014/main" id="{9FFD11DE-31C9-49DF-8406-067A35893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2" name="Elipse 9541">
          <a:extLst>
            <a:ext uri="{FF2B5EF4-FFF2-40B4-BE49-F238E27FC236}">
              <a16:creationId xmlns:a16="http://schemas.microsoft.com/office/drawing/2014/main" id="{6C6F96B8-D013-481D-B4D2-E20695CF49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3" name="Elipse 9542">
          <a:extLst>
            <a:ext uri="{FF2B5EF4-FFF2-40B4-BE49-F238E27FC236}">
              <a16:creationId xmlns:a16="http://schemas.microsoft.com/office/drawing/2014/main" id="{97521FEF-FEA8-4123-942D-93317D44AB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4" name="Elipse 9543">
          <a:extLst>
            <a:ext uri="{FF2B5EF4-FFF2-40B4-BE49-F238E27FC236}">
              <a16:creationId xmlns:a16="http://schemas.microsoft.com/office/drawing/2014/main" id="{2FDF397D-CA84-41D5-BCEA-89788CC7A2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5" name="Elipse 9544">
          <a:extLst>
            <a:ext uri="{FF2B5EF4-FFF2-40B4-BE49-F238E27FC236}">
              <a16:creationId xmlns:a16="http://schemas.microsoft.com/office/drawing/2014/main" id="{9F68D7E5-B82F-4444-A9BC-EE2412FAB5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6" name="Elipse 9545">
          <a:extLst>
            <a:ext uri="{FF2B5EF4-FFF2-40B4-BE49-F238E27FC236}">
              <a16:creationId xmlns:a16="http://schemas.microsoft.com/office/drawing/2014/main" id="{AA28D7FC-3C26-435D-AFA5-BE783F8CAD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7" name="Elipse 9546">
          <a:extLst>
            <a:ext uri="{FF2B5EF4-FFF2-40B4-BE49-F238E27FC236}">
              <a16:creationId xmlns:a16="http://schemas.microsoft.com/office/drawing/2014/main" id="{4B07CE78-F758-4AD6-900C-31B30A117E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8" name="Elipse 9547">
          <a:extLst>
            <a:ext uri="{FF2B5EF4-FFF2-40B4-BE49-F238E27FC236}">
              <a16:creationId xmlns:a16="http://schemas.microsoft.com/office/drawing/2014/main" id="{78572019-7D31-4968-825A-75D43249A0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49" name="Elipse 9548">
          <a:extLst>
            <a:ext uri="{FF2B5EF4-FFF2-40B4-BE49-F238E27FC236}">
              <a16:creationId xmlns:a16="http://schemas.microsoft.com/office/drawing/2014/main" id="{6A9C2B65-C3F3-4054-8440-51B9F1C157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0" name="Elipse 9549">
          <a:extLst>
            <a:ext uri="{FF2B5EF4-FFF2-40B4-BE49-F238E27FC236}">
              <a16:creationId xmlns:a16="http://schemas.microsoft.com/office/drawing/2014/main" id="{6DD01234-EFC3-44D7-A777-84E9BFAF8C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1" name="Elipse 9550">
          <a:extLst>
            <a:ext uri="{FF2B5EF4-FFF2-40B4-BE49-F238E27FC236}">
              <a16:creationId xmlns:a16="http://schemas.microsoft.com/office/drawing/2014/main" id="{86DB79D5-DEF9-401C-8D6D-B46E8320BA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2" name="Elipse 9551">
          <a:extLst>
            <a:ext uri="{FF2B5EF4-FFF2-40B4-BE49-F238E27FC236}">
              <a16:creationId xmlns:a16="http://schemas.microsoft.com/office/drawing/2014/main" id="{1C987789-E706-4FD3-87F8-DD57927FF6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3" name="Elipse 9552">
          <a:extLst>
            <a:ext uri="{FF2B5EF4-FFF2-40B4-BE49-F238E27FC236}">
              <a16:creationId xmlns:a16="http://schemas.microsoft.com/office/drawing/2014/main" id="{7EE7F794-8BC8-4461-B94B-27A8BCEF56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4" name="Elipse 9553">
          <a:extLst>
            <a:ext uri="{FF2B5EF4-FFF2-40B4-BE49-F238E27FC236}">
              <a16:creationId xmlns:a16="http://schemas.microsoft.com/office/drawing/2014/main" id="{8B1C374B-D08B-47FD-8538-F818BF4108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5" name="Elipse 9554">
          <a:extLst>
            <a:ext uri="{FF2B5EF4-FFF2-40B4-BE49-F238E27FC236}">
              <a16:creationId xmlns:a16="http://schemas.microsoft.com/office/drawing/2014/main" id="{9CE0C905-654B-4F53-9584-A40B970751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6" name="Elipse 9555">
          <a:extLst>
            <a:ext uri="{FF2B5EF4-FFF2-40B4-BE49-F238E27FC236}">
              <a16:creationId xmlns:a16="http://schemas.microsoft.com/office/drawing/2014/main" id="{223123EC-7476-435D-BC23-CC88519EF9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7" name="Elipse 9556">
          <a:extLst>
            <a:ext uri="{FF2B5EF4-FFF2-40B4-BE49-F238E27FC236}">
              <a16:creationId xmlns:a16="http://schemas.microsoft.com/office/drawing/2014/main" id="{2B9E0526-C760-4EFD-BCD7-AFD2E7031E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8" name="Elipse 9557">
          <a:extLst>
            <a:ext uri="{FF2B5EF4-FFF2-40B4-BE49-F238E27FC236}">
              <a16:creationId xmlns:a16="http://schemas.microsoft.com/office/drawing/2014/main" id="{362328CC-F80E-4C16-BC31-103682A873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59" name="Elipse 9558">
          <a:extLst>
            <a:ext uri="{FF2B5EF4-FFF2-40B4-BE49-F238E27FC236}">
              <a16:creationId xmlns:a16="http://schemas.microsoft.com/office/drawing/2014/main" id="{668DEA95-70D4-483E-9BE4-8D0D65483D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0" name="Elipse 9559">
          <a:extLst>
            <a:ext uri="{FF2B5EF4-FFF2-40B4-BE49-F238E27FC236}">
              <a16:creationId xmlns:a16="http://schemas.microsoft.com/office/drawing/2014/main" id="{D22C549F-4089-4108-8AFD-2AEDA8FD8F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1" name="Elipse 9560">
          <a:extLst>
            <a:ext uri="{FF2B5EF4-FFF2-40B4-BE49-F238E27FC236}">
              <a16:creationId xmlns:a16="http://schemas.microsoft.com/office/drawing/2014/main" id="{0EB15311-9163-4B0C-A743-D22D28C092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2" name="Elipse 9561">
          <a:extLst>
            <a:ext uri="{FF2B5EF4-FFF2-40B4-BE49-F238E27FC236}">
              <a16:creationId xmlns:a16="http://schemas.microsoft.com/office/drawing/2014/main" id="{CFBD98EA-8BAD-4BE5-9A15-7FEE2E5888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3" name="Elipse 9562">
          <a:extLst>
            <a:ext uri="{FF2B5EF4-FFF2-40B4-BE49-F238E27FC236}">
              <a16:creationId xmlns:a16="http://schemas.microsoft.com/office/drawing/2014/main" id="{211BD4F7-BBEC-4028-ACEF-4FBF76A5CA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4" name="Elipse 9563">
          <a:extLst>
            <a:ext uri="{FF2B5EF4-FFF2-40B4-BE49-F238E27FC236}">
              <a16:creationId xmlns:a16="http://schemas.microsoft.com/office/drawing/2014/main" id="{3209D657-C347-4776-9029-E0F17B3B03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5" name="Elipse 9564">
          <a:extLst>
            <a:ext uri="{FF2B5EF4-FFF2-40B4-BE49-F238E27FC236}">
              <a16:creationId xmlns:a16="http://schemas.microsoft.com/office/drawing/2014/main" id="{D6C63F33-A0EB-4077-9A7F-C5B62EBE84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6" name="Elipse 9565">
          <a:extLst>
            <a:ext uri="{FF2B5EF4-FFF2-40B4-BE49-F238E27FC236}">
              <a16:creationId xmlns:a16="http://schemas.microsoft.com/office/drawing/2014/main" id="{540B9296-ADAC-4102-835C-55515F46C4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7" name="Elipse 9566">
          <a:extLst>
            <a:ext uri="{FF2B5EF4-FFF2-40B4-BE49-F238E27FC236}">
              <a16:creationId xmlns:a16="http://schemas.microsoft.com/office/drawing/2014/main" id="{8F01F47A-9CA0-4C34-A888-C076FA4475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8" name="Elipse 9567">
          <a:extLst>
            <a:ext uri="{FF2B5EF4-FFF2-40B4-BE49-F238E27FC236}">
              <a16:creationId xmlns:a16="http://schemas.microsoft.com/office/drawing/2014/main" id="{2CEE9B44-9584-47C4-B10B-B74E57BF6C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69" name="Elipse 9568">
          <a:extLst>
            <a:ext uri="{FF2B5EF4-FFF2-40B4-BE49-F238E27FC236}">
              <a16:creationId xmlns:a16="http://schemas.microsoft.com/office/drawing/2014/main" id="{F7C70FB5-D1D3-4633-800A-86841F8D51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0" name="Elipse 9569">
          <a:extLst>
            <a:ext uri="{FF2B5EF4-FFF2-40B4-BE49-F238E27FC236}">
              <a16:creationId xmlns:a16="http://schemas.microsoft.com/office/drawing/2014/main" id="{52CF6BA5-01A2-4EF7-B4B1-B5D38FB546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1" name="Elipse 9570">
          <a:extLst>
            <a:ext uri="{FF2B5EF4-FFF2-40B4-BE49-F238E27FC236}">
              <a16:creationId xmlns:a16="http://schemas.microsoft.com/office/drawing/2014/main" id="{DF13F46D-17C1-45AE-B87F-08E9AF9C81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2" name="Elipse 9571">
          <a:extLst>
            <a:ext uri="{FF2B5EF4-FFF2-40B4-BE49-F238E27FC236}">
              <a16:creationId xmlns:a16="http://schemas.microsoft.com/office/drawing/2014/main" id="{857014C8-2D4C-4349-856D-8D61DFEE44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3" name="Elipse 9572">
          <a:extLst>
            <a:ext uri="{FF2B5EF4-FFF2-40B4-BE49-F238E27FC236}">
              <a16:creationId xmlns:a16="http://schemas.microsoft.com/office/drawing/2014/main" id="{376334D9-CAC2-4F51-A1AE-A838574CDC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4" name="Elipse 9573">
          <a:extLst>
            <a:ext uri="{FF2B5EF4-FFF2-40B4-BE49-F238E27FC236}">
              <a16:creationId xmlns:a16="http://schemas.microsoft.com/office/drawing/2014/main" id="{19ECB9F4-3E36-4A2C-AC0D-8EA2021F87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5" name="Elipse 9574">
          <a:extLst>
            <a:ext uri="{FF2B5EF4-FFF2-40B4-BE49-F238E27FC236}">
              <a16:creationId xmlns:a16="http://schemas.microsoft.com/office/drawing/2014/main" id="{625C1B9B-59F8-46CD-B826-86F25B6E9F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6" name="Elipse 9575">
          <a:extLst>
            <a:ext uri="{FF2B5EF4-FFF2-40B4-BE49-F238E27FC236}">
              <a16:creationId xmlns:a16="http://schemas.microsoft.com/office/drawing/2014/main" id="{EDA55F12-5700-4552-A599-7824B87B59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7" name="Elipse 9576">
          <a:extLst>
            <a:ext uri="{FF2B5EF4-FFF2-40B4-BE49-F238E27FC236}">
              <a16:creationId xmlns:a16="http://schemas.microsoft.com/office/drawing/2014/main" id="{BD0B69A9-F16B-4255-B139-4CE233BA44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8" name="Elipse 9577">
          <a:extLst>
            <a:ext uri="{FF2B5EF4-FFF2-40B4-BE49-F238E27FC236}">
              <a16:creationId xmlns:a16="http://schemas.microsoft.com/office/drawing/2014/main" id="{853AE7EC-B987-4EB8-8A4A-68A070026D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79" name="Elipse 9578">
          <a:extLst>
            <a:ext uri="{FF2B5EF4-FFF2-40B4-BE49-F238E27FC236}">
              <a16:creationId xmlns:a16="http://schemas.microsoft.com/office/drawing/2014/main" id="{0705FC11-20F2-4AE1-AD6A-15D1D298BF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0" name="Elipse 9579">
          <a:extLst>
            <a:ext uri="{FF2B5EF4-FFF2-40B4-BE49-F238E27FC236}">
              <a16:creationId xmlns:a16="http://schemas.microsoft.com/office/drawing/2014/main" id="{4118CFAE-B111-4DE7-9546-4704B06EAA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1" name="Elipse 9580">
          <a:extLst>
            <a:ext uri="{FF2B5EF4-FFF2-40B4-BE49-F238E27FC236}">
              <a16:creationId xmlns:a16="http://schemas.microsoft.com/office/drawing/2014/main" id="{375CB875-F8FD-457C-906E-7BFAFF9CB9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2" name="Elipse 9581">
          <a:extLst>
            <a:ext uri="{FF2B5EF4-FFF2-40B4-BE49-F238E27FC236}">
              <a16:creationId xmlns:a16="http://schemas.microsoft.com/office/drawing/2014/main" id="{0CCC76D1-E6A9-4B3D-9F25-0F005E2A0A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3" name="Elipse 9582">
          <a:extLst>
            <a:ext uri="{FF2B5EF4-FFF2-40B4-BE49-F238E27FC236}">
              <a16:creationId xmlns:a16="http://schemas.microsoft.com/office/drawing/2014/main" id="{DE916B97-448A-4036-BBE9-90C6B05F4B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4" name="Elipse 9583">
          <a:extLst>
            <a:ext uri="{FF2B5EF4-FFF2-40B4-BE49-F238E27FC236}">
              <a16:creationId xmlns:a16="http://schemas.microsoft.com/office/drawing/2014/main" id="{FA812B90-84A3-4C71-A75D-18B5C4086E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5" name="Elipse 9584">
          <a:extLst>
            <a:ext uri="{FF2B5EF4-FFF2-40B4-BE49-F238E27FC236}">
              <a16:creationId xmlns:a16="http://schemas.microsoft.com/office/drawing/2014/main" id="{9071A01A-2DFD-4E7C-8FFA-FA684796D5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6" name="Elipse 9585">
          <a:extLst>
            <a:ext uri="{FF2B5EF4-FFF2-40B4-BE49-F238E27FC236}">
              <a16:creationId xmlns:a16="http://schemas.microsoft.com/office/drawing/2014/main" id="{6A337E06-448D-4EFF-865D-7093B89186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7" name="Elipse 9586">
          <a:extLst>
            <a:ext uri="{FF2B5EF4-FFF2-40B4-BE49-F238E27FC236}">
              <a16:creationId xmlns:a16="http://schemas.microsoft.com/office/drawing/2014/main" id="{089BE051-4244-43A3-A7CE-8BAABDABA8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8" name="Elipse 9587">
          <a:extLst>
            <a:ext uri="{FF2B5EF4-FFF2-40B4-BE49-F238E27FC236}">
              <a16:creationId xmlns:a16="http://schemas.microsoft.com/office/drawing/2014/main" id="{C284AF00-4019-4B1C-8E88-C22B01D35B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89" name="Elipse 9588">
          <a:extLst>
            <a:ext uri="{FF2B5EF4-FFF2-40B4-BE49-F238E27FC236}">
              <a16:creationId xmlns:a16="http://schemas.microsoft.com/office/drawing/2014/main" id="{8571A0AB-DBEA-40F4-84FC-72A1DCFBA0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0" name="Elipse 9589">
          <a:extLst>
            <a:ext uri="{FF2B5EF4-FFF2-40B4-BE49-F238E27FC236}">
              <a16:creationId xmlns:a16="http://schemas.microsoft.com/office/drawing/2014/main" id="{8387FFA6-E5EC-4796-9A3D-8003B98EBD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1" name="Elipse 9590">
          <a:extLst>
            <a:ext uri="{FF2B5EF4-FFF2-40B4-BE49-F238E27FC236}">
              <a16:creationId xmlns:a16="http://schemas.microsoft.com/office/drawing/2014/main" id="{872A328F-B9D0-445A-8000-24F539E310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2" name="Elipse 9591">
          <a:extLst>
            <a:ext uri="{FF2B5EF4-FFF2-40B4-BE49-F238E27FC236}">
              <a16:creationId xmlns:a16="http://schemas.microsoft.com/office/drawing/2014/main" id="{8572F942-852F-4449-B02D-F5C9B5C881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3" name="Elipse 9592">
          <a:extLst>
            <a:ext uri="{FF2B5EF4-FFF2-40B4-BE49-F238E27FC236}">
              <a16:creationId xmlns:a16="http://schemas.microsoft.com/office/drawing/2014/main" id="{08E7C986-5606-4774-925B-C80A3E6F9D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4" name="Elipse 9593">
          <a:extLst>
            <a:ext uri="{FF2B5EF4-FFF2-40B4-BE49-F238E27FC236}">
              <a16:creationId xmlns:a16="http://schemas.microsoft.com/office/drawing/2014/main" id="{BFAF0B1E-BD07-44C9-94DA-0D2D20AFF8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5" name="Elipse 9594">
          <a:extLst>
            <a:ext uri="{FF2B5EF4-FFF2-40B4-BE49-F238E27FC236}">
              <a16:creationId xmlns:a16="http://schemas.microsoft.com/office/drawing/2014/main" id="{58100A1B-79E4-40F9-9065-6615658084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6" name="Elipse 9595">
          <a:extLst>
            <a:ext uri="{FF2B5EF4-FFF2-40B4-BE49-F238E27FC236}">
              <a16:creationId xmlns:a16="http://schemas.microsoft.com/office/drawing/2014/main" id="{620F800F-22DF-4403-9F36-BE362B4BB2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7" name="Elipse 9596">
          <a:extLst>
            <a:ext uri="{FF2B5EF4-FFF2-40B4-BE49-F238E27FC236}">
              <a16:creationId xmlns:a16="http://schemas.microsoft.com/office/drawing/2014/main" id="{3254FDEA-C5AA-41BF-A621-864786899B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8" name="Elipse 9597">
          <a:extLst>
            <a:ext uri="{FF2B5EF4-FFF2-40B4-BE49-F238E27FC236}">
              <a16:creationId xmlns:a16="http://schemas.microsoft.com/office/drawing/2014/main" id="{9DA3006F-C6E5-4C41-B480-C372F30B0D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599" name="Elipse 9598">
          <a:extLst>
            <a:ext uri="{FF2B5EF4-FFF2-40B4-BE49-F238E27FC236}">
              <a16:creationId xmlns:a16="http://schemas.microsoft.com/office/drawing/2014/main" id="{A90BB1FF-FA68-461D-B09C-5CE7AC677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0" name="Elipse 9599">
          <a:extLst>
            <a:ext uri="{FF2B5EF4-FFF2-40B4-BE49-F238E27FC236}">
              <a16:creationId xmlns:a16="http://schemas.microsoft.com/office/drawing/2014/main" id="{FC07D6C2-7C18-4BF1-9D66-9C8E7221C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1" name="Elipse 9600">
          <a:extLst>
            <a:ext uri="{FF2B5EF4-FFF2-40B4-BE49-F238E27FC236}">
              <a16:creationId xmlns:a16="http://schemas.microsoft.com/office/drawing/2014/main" id="{C504FAF0-90DF-4F2A-9EE5-7CD76E50E3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2" name="Elipse 9601">
          <a:extLst>
            <a:ext uri="{FF2B5EF4-FFF2-40B4-BE49-F238E27FC236}">
              <a16:creationId xmlns:a16="http://schemas.microsoft.com/office/drawing/2014/main" id="{6DEE0418-2130-41E1-AC31-B44F84807A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3" name="Elipse 9602">
          <a:extLst>
            <a:ext uri="{FF2B5EF4-FFF2-40B4-BE49-F238E27FC236}">
              <a16:creationId xmlns:a16="http://schemas.microsoft.com/office/drawing/2014/main" id="{2B3B66B2-FB19-4561-B830-4CD7888D9F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4" name="Elipse 9603">
          <a:extLst>
            <a:ext uri="{FF2B5EF4-FFF2-40B4-BE49-F238E27FC236}">
              <a16:creationId xmlns:a16="http://schemas.microsoft.com/office/drawing/2014/main" id="{ACFB3E7D-C296-450B-A6A3-4702E8DF0D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5" name="Elipse 9604">
          <a:extLst>
            <a:ext uri="{FF2B5EF4-FFF2-40B4-BE49-F238E27FC236}">
              <a16:creationId xmlns:a16="http://schemas.microsoft.com/office/drawing/2014/main" id="{207DBF9A-869C-4FA3-A947-BBD97D8EB5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6" name="Elipse 9605">
          <a:extLst>
            <a:ext uri="{FF2B5EF4-FFF2-40B4-BE49-F238E27FC236}">
              <a16:creationId xmlns:a16="http://schemas.microsoft.com/office/drawing/2014/main" id="{552DFDD0-F0FE-4EAE-B46B-53892551DB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7" name="Elipse 9606">
          <a:extLst>
            <a:ext uri="{FF2B5EF4-FFF2-40B4-BE49-F238E27FC236}">
              <a16:creationId xmlns:a16="http://schemas.microsoft.com/office/drawing/2014/main" id="{13EB15A0-BFC4-47A6-9817-1B324B3B16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8" name="Elipse 9607">
          <a:extLst>
            <a:ext uri="{FF2B5EF4-FFF2-40B4-BE49-F238E27FC236}">
              <a16:creationId xmlns:a16="http://schemas.microsoft.com/office/drawing/2014/main" id="{9997DDE5-93DE-4A52-8760-D6055B7199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09" name="Elipse 9608">
          <a:extLst>
            <a:ext uri="{FF2B5EF4-FFF2-40B4-BE49-F238E27FC236}">
              <a16:creationId xmlns:a16="http://schemas.microsoft.com/office/drawing/2014/main" id="{D60A8180-518F-4285-A360-E08466EB92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0" name="Elipse 9609">
          <a:extLst>
            <a:ext uri="{FF2B5EF4-FFF2-40B4-BE49-F238E27FC236}">
              <a16:creationId xmlns:a16="http://schemas.microsoft.com/office/drawing/2014/main" id="{669026FA-FE76-4E8D-9538-C774A4B142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1" name="Elipse 9610">
          <a:extLst>
            <a:ext uri="{FF2B5EF4-FFF2-40B4-BE49-F238E27FC236}">
              <a16:creationId xmlns:a16="http://schemas.microsoft.com/office/drawing/2014/main" id="{17FB8A4C-3CEE-4236-9E5E-915AB585A2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2" name="Elipse 9611">
          <a:extLst>
            <a:ext uri="{FF2B5EF4-FFF2-40B4-BE49-F238E27FC236}">
              <a16:creationId xmlns:a16="http://schemas.microsoft.com/office/drawing/2014/main" id="{0C8224D8-6606-43C8-9302-73CEA638FD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3" name="Elipse 9612">
          <a:extLst>
            <a:ext uri="{FF2B5EF4-FFF2-40B4-BE49-F238E27FC236}">
              <a16:creationId xmlns:a16="http://schemas.microsoft.com/office/drawing/2014/main" id="{6B968B2D-D760-46C7-92DE-2C31B9406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4" name="Elipse 9613">
          <a:extLst>
            <a:ext uri="{FF2B5EF4-FFF2-40B4-BE49-F238E27FC236}">
              <a16:creationId xmlns:a16="http://schemas.microsoft.com/office/drawing/2014/main" id="{ABE47B7E-C193-4FB6-A095-DCE4570C3C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5" name="Elipse 9614">
          <a:extLst>
            <a:ext uri="{FF2B5EF4-FFF2-40B4-BE49-F238E27FC236}">
              <a16:creationId xmlns:a16="http://schemas.microsoft.com/office/drawing/2014/main" id="{588544DD-529B-4FA3-9A90-93D6951012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6" name="Elipse 9615">
          <a:extLst>
            <a:ext uri="{FF2B5EF4-FFF2-40B4-BE49-F238E27FC236}">
              <a16:creationId xmlns:a16="http://schemas.microsoft.com/office/drawing/2014/main" id="{75ABB83A-87BA-4E19-AC66-4FCAD0F5CC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7" name="Elipse 9616">
          <a:extLst>
            <a:ext uri="{FF2B5EF4-FFF2-40B4-BE49-F238E27FC236}">
              <a16:creationId xmlns:a16="http://schemas.microsoft.com/office/drawing/2014/main" id="{C2BF33A2-A9A1-4D41-823A-3040D8B48A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8" name="Elipse 9617">
          <a:extLst>
            <a:ext uri="{FF2B5EF4-FFF2-40B4-BE49-F238E27FC236}">
              <a16:creationId xmlns:a16="http://schemas.microsoft.com/office/drawing/2014/main" id="{02017B61-DFA9-4ECB-801F-FC8F88ADFD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19" name="Elipse 9618">
          <a:extLst>
            <a:ext uri="{FF2B5EF4-FFF2-40B4-BE49-F238E27FC236}">
              <a16:creationId xmlns:a16="http://schemas.microsoft.com/office/drawing/2014/main" id="{7F154647-269D-4A51-908D-E3735FF352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0" name="Elipse 9619">
          <a:extLst>
            <a:ext uri="{FF2B5EF4-FFF2-40B4-BE49-F238E27FC236}">
              <a16:creationId xmlns:a16="http://schemas.microsoft.com/office/drawing/2014/main" id="{9AEC00ED-06AE-4344-B5B6-67ADFB8196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1" name="Elipse 9620">
          <a:extLst>
            <a:ext uri="{FF2B5EF4-FFF2-40B4-BE49-F238E27FC236}">
              <a16:creationId xmlns:a16="http://schemas.microsoft.com/office/drawing/2014/main" id="{DADA7383-6280-4257-8BB8-C1ACECCAC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2" name="Elipse 9621">
          <a:extLst>
            <a:ext uri="{FF2B5EF4-FFF2-40B4-BE49-F238E27FC236}">
              <a16:creationId xmlns:a16="http://schemas.microsoft.com/office/drawing/2014/main" id="{37CB8AC5-930F-4930-84FB-DC21B2EDED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3" name="Elipse 9622">
          <a:extLst>
            <a:ext uri="{FF2B5EF4-FFF2-40B4-BE49-F238E27FC236}">
              <a16:creationId xmlns:a16="http://schemas.microsoft.com/office/drawing/2014/main" id="{883CB4AB-814F-408F-A5F4-68735390E2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4" name="Elipse 9623">
          <a:extLst>
            <a:ext uri="{FF2B5EF4-FFF2-40B4-BE49-F238E27FC236}">
              <a16:creationId xmlns:a16="http://schemas.microsoft.com/office/drawing/2014/main" id="{254B49F3-7A0B-4B91-B8AA-FC796E26C1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5" name="Elipse 9624">
          <a:extLst>
            <a:ext uri="{FF2B5EF4-FFF2-40B4-BE49-F238E27FC236}">
              <a16:creationId xmlns:a16="http://schemas.microsoft.com/office/drawing/2014/main" id="{0FECBD53-3024-43E4-A953-068D43150C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6" name="Elipse 9625">
          <a:extLst>
            <a:ext uri="{FF2B5EF4-FFF2-40B4-BE49-F238E27FC236}">
              <a16:creationId xmlns:a16="http://schemas.microsoft.com/office/drawing/2014/main" id="{ECC75F3B-EA03-4220-8555-D1519BDB2C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7" name="Elipse 9626">
          <a:extLst>
            <a:ext uri="{FF2B5EF4-FFF2-40B4-BE49-F238E27FC236}">
              <a16:creationId xmlns:a16="http://schemas.microsoft.com/office/drawing/2014/main" id="{1567142F-9285-4B9B-82FC-3909519856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8" name="Elipse 9627">
          <a:extLst>
            <a:ext uri="{FF2B5EF4-FFF2-40B4-BE49-F238E27FC236}">
              <a16:creationId xmlns:a16="http://schemas.microsoft.com/office/drawing/2014/main" id="{01E268FF-F3F4-4665-8A3F-2EE6D80938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29" name="Elipse 9628">
          <a:extLst>
            <a:ext uri="{FF2B5EF4-FFF2-40B4-BE49-F238E27FC236}">
              <a16:creationId xmlns:a16="http://schemas.microsoft.com/office/drawing/2014/main" id="{84DD5766-AC4D-42D7-A048-2AA178052B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0" name="Elipse 9629">
          <a:extLst>
            <a:ext uri="{FF2B5EF4-FFF2-40B4-BE49-F238E27FC236}">
              <a16:creationId xmlns:a16="http://schemas.microsoft.com/office/drawing/2014/main" id="{0FDEB3A6-EC29-454F-A293-65DDC06F3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1" name="Elipse 9630">
          <a:extLst>
            <a:ext uri="{FF2B5EF4-FFF2-40B4-BE49-F238E27FC236}">
              <a16:creationId xmlns:a16="http://schemas.microsoft.com/office/drawing/2014/main" id="{E2AC4C9D-7FA9-4C61-B02D-3AA83B3B2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2" name="Elipse 9631">
          <a:extLst>
            <a:ext uri="{FF2B5EF4-FFF2-40B4-BE49-F238E27FC236}">
              <a16:creationId xmlns:a16="http://schemas.microsoft.com/office/drawing/2014/main" id="{D2DC2E13-A1F9-4B7A-BA6C-5B5831195F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3" name="Elipse 9632">
          <a:extLst>
            <a:ext uri="{FF2B5EF4-FFF2-40B4-BE49-F238E27FC236}">
              <a16:creationId xmlns:a16="http://schemas.microsoft.com/office/drawing/2014/main" id="{707D0DF1-3356-4521-AE6B-B7CDB5A104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4" name="Elipse 9633">
          <a:extLst>
            <a:ext uri="{FF2B5EF4-FFF2-40B4-BE49-F238E27FC236}">
              <a16:creationId xmlns:a16="http://schemas.microsoft.com/office/drawing/2014/main" id="{7A5AA9C5-B8CF-46E9-A0AC-F8A1783829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5" name="Elipse 9634">
          <a:extLst>
            <a:ext uri="{FF2B5EF4-FFF2-40B4-BE49-F238E27FC236}">
              <a16:creationId xmlns:a16="http://schemas.microsoft.com/office/drawing/2014/main" id="{45B4E4C3-1272-4214-85B3-2BF9BB051F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6" name="Elipse 9635">
          <a:extLst>
            <a:ext uri="{FF2B5EF4-FFF2-40B4-BE49-F238E27FC236}">
              <a16:creationId xmlns:a16="http://schemas.microsoft.com/office/drawing/2014/main" id="{12F43AFF-7EF6-4B30-A5E2-22DF1432C4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7" name="Elipse 9636">
          <a:extLst>
            <a:ext uri="{FF2B5EF4-FFF2-40B4-BE49-F238E27FC236}">
              <a16:creationId xmlns:a16="http://schemas.microsoft.com/office/drawing/2014/main" id="{CA78DE12-D8E2-4C3D-9498-F45E50453C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8" name="Elipse 9637">
          <a:extLst>
            <a:ext uri="{FF2B5EF4-FFF2-40B4-BE49-F238E27FC236}">
              <a16:creationId xmlns:a16="http://schemas.microsoft.com/office/drawing/2014/main" id="{27F34CB5-8530-430D-BCCD-71BF9F77E1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39" name="Elipse 9638">
          <a:extLst>
            <a:ext uri="{FF2B5EF4-FFF2-40B4-BE49-F238E27FC236}">
              <a16:creationId xmlns:a16="http://schemas.microsoft.com/office/drawing/2014/main" id="{3B36A56D-2EB1-44FF-B0EC-49AEAB9013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0" name="Elipse 9639">
          <a:extLst>
            <a:ext uri="{FF2B5EF4-FFF2-40B4-BE49-F238E27FC236}">
              <a16:creationId xmlns:a16="http://schemas.microsoft.com/office/drawing/2014/main" id="{4DA22B08-4F8C-4C77-9155-C6A0AB761B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1" name="Elipse 9640">
          <a:extLst>
            <a:ext uri="{FF2B5EF4-FFF2-40B4-BE49-F238E27FC236}">
              <a16:creationId xmlns:a16="http://schemas.microsoft.com/office/drawing/2014/main" id="{326E815B-C3A2-40BF-93B1-83D992141C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2" name="Elipse 9641">
          <a:extLst>
            <a:ext uri="{FF2B5EF4-FFF2-40B4-BE49-F238E27FC236}">
              <a16:creationId xmlns:a16="http://schemas.microsoft.com/office/drawing/2014/main" id="{CACDB10B-DF22-450E-B64D-E1F8D44180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3" name="Elipse 9642">
          <a:extLst>
            <a:ext uri="{FF2B5EF4-FFF2-40B4-BE49-F238E27FC236}">
              <a16:creationId xmlns:a16="http://schemas.microsoft.com/office/drawing/2014/main" id="{B9D54E7B-2A91-4C89-A92C-8A7E0B0FAB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4" name="Elipse 9643">
          <a:extLst>
            <a:ext uri="{FF2B5EF4-FFF2-40B4-BE49-F238E27FC236}">
              <a16:creationId xmlns:a16="http://schemas.microsoft.com/office/drawing/2014/main" id="{1F07868B-5C04-4A93-94A7-EEBBC603BF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5" name="Elipse 9644">
          <a:extLst>
            <a:ext uri="{FF2B5EF4-FFF2-40B4-BE49-F238E27FC236}">
              <a16:creationId xmlns:a16="http://schemas.microsoft.com/office/drawing/2014/main" id="{073483EC-F741-48BA-8B28-802D3F3D21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6" name="Elipse 9645">
          <a:extLst>
            <a:ext uri="{FF2B5EF4-FFF2-40B4-BE49-F238E27FC236}">
              <a16:creationId xmlns:a16="http://schemas.microsoft.com/office/drawing/2014/main" id="{3E624E0F-B88B-4EA5-BB50-4D5B719DC0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7" name="Elipse 9646">
          <a:extLst>
            <a:ext uri="{FF2B5EF4-FFF2-40B4-BE49-F238E27FC236}">
              <a16:creationId xmlns:a16="http://schemas.microsoft.com/office/drawing/2014/main" id="{73034336-91EF-4155-9C28-E26AFE0634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8" name="Elipse 9647">
          <a:extLst>
            <a:ext uri="{FF2B5EF4-FFF2-40B4-BE49-F238E27FC236}">
              <a16:creationId xmlns:a16="http://schemas.microsoft.com/office/drawing/2014/main" id="{53A0876A-8CF8-4867-B71E-A4410A466B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49" name="Elipse 9648">
          <a:extLst>
            <a:ext uri="{FF2B5EF4-FFF2-40B4-BE49-F238E27FC236}">
              <a16:creationId xmlns:a16="http://schemas.microsoft.com/office/drawing/2014/main" id="{F55957B0-B415-4FF8-9C18-313FE662EE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0" name="Elipse 9649">
          <a:extLst>
            <a:ext uri="{FF2B5EF4-FFF2-40B4-BE49-F238E27FC236}">
              <a16:creationId xmlns:a16="http://schemas.microsoft.com/office/drawing/2014/main" id="{E775829D-0BDC-4143-A417-A0FDC6F894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1" name="Elipse 9650">
          <a:extLst>
            <a:ext uri="{FF2B5EF4-FFF2-40B4-BE49-F238E27FC236}">
              <a16:creationId xmlns:a16="http://schemas.microsoft.com/office/drawing/2014/main" id="{06745574-356C-4542-9A5C-B26CA6C648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2" name="Elipse 9651">
          <a:extLst>
            <a:ext uri="{FF2B5EF4-FFF2-40B4-BE49-F238E27FC236}">
              <a16:creationId xmlns:a16="http://schemas.microsoft.com/office/drawing/2014/main" id="{4805CAC0-D7C5-420E-984E-758F5201CD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3" name="Elipse 9652">
          <a:extLst>
            <a:ext uri="{FF2B5EF4-FFF2-40B4-BE49-F238E27FC236}">
              <a16:creationId xmlns:a16="http://schemas.microsoft.com/office/drawing/2014/main" id="{3AC3B766-94C5-44E2-9B0B-3473B76A87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4" name="Elipse 9653">
          <a:extLst>
            <a:ext uri="{FF2B5EF4-FFF2-40B4-BE49-F238E27FC236}">
              <a16:creationId xmlns:a16="http://schemas.microsoft.com/office/drawing/2014/main" id="{B94A50EF-BFEA-4111-8DB7-4BCE561103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5" name="Elipse 9654">
          <a:extLst>
            <a:ext uri="{FF2B5EF4-FFF2-40B4-BE49-F238E27FC236}">
              <a16:creationId xmlns:a16="http://schemas.microsoft.com/office/drawing/2014/main" id="{30AB5E07-7030-48FC-BADD-B7AD13034A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6" name="Elipse 9655">
          <a:extLst>
            <a:ext uri="{FF2B5EF4-FFF2-40B4-BE49-F238E27FC236}">
              <a16:creationId xmlns:a16="http://schemas.microsoft.com/office/drawing/2014/main" id="{739EAE2D-48B0-4F5E-82B0-F7E4A95DF4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7" name="Elipse 9656">
          <a:extLst>
            <a:ext uri="{FF2B5EF4-FFF2-40B4-BE49-F238E27FC236}">
              <a16:creationId xmlns:a16="http://schemas.microsoft.com/office/drawing/2014/main" id="{A2B1A7B5-F821-47CC-A47D-EC0E7D04F0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8" name="Elipse 9657">
          <a:extLst>
            <a:ext uri="{FF2B5EF4-FFF2-40B4-BE49-F238E27FC236}">
              <a16:creationId xmlns:a16="http://schemas.microsoft.com/office/drawing/2014/main" id="{8A0E6A06-C31D-4799-89EA-89D05A0300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59" name="Elipse 9658">
          <a:extLst>
            <a:ext uri="{FF2B5EF4-FFF2-40B4-BE49-F238E27FC236}">
              <a16:creationId xmlns:a16="http://schemas.microsoft.com/office/drawing/2014/main" id="{69414B61-FE77-4ABE-914F-1DE5D3783B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0" name="Elipse 9659">
          <a:extLst>
            <a:ext uri="{FF2B5EF4-FFF2-40B4-BE49-F238E27FC236}">
              <a16:creationId xmlns:a16="http://schemas.microsoft.com/office/drawing/2014/main" id="{067E0AF1-9D48-4F4B-9CEA-F198D5B698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1" name="Elipse 9660">
          <a:extLst>
            <a:ext uri="{FF2B5EF4-FFF2-40B4-BE49-F238E27FC236}">
              <a16:creationId xmlns:a16="http://schemas.microsoft.com/office/drawing/2014/main" id="{C9AAC19F-E287-41FE-BEF5-E4B7346AF3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2" name="Elipse 9661">
          <a:extLst>
            <a:ext uri="{FF2B5EF4-FFF2-40B4-BE49-F238E27FC236}">
              <a16:creationId xmlns:a16="http://schemas.microsoft.com/office/drawing/2014/main" id="{B2A18AA4-7678-4F44-A872-134C30D8AF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3" name="Elipse 9662">
          <a:extLst>
            <a:ext uri="{FF2B5EF4-FFF2-40B4-BE49-F238E27FC236}">
              <a16:creationId xmlns:a16="http://schemas.microsoft.com/office/drawing/2014/main" id="{725A7EDB-175B-4C74-A603-B1375D4A53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4" name="Elipse 9663">
          <a:extLst>
            <a:ext uri="{FF2B5EF4-FFF2-40B4-BE49-F238E27FC236}">
              <a16:creationId xmlns:a16="http://schemas.microsoft.com/office/drawing/2014/main" id="{5806C3A7-5E54-4610-BE3E-ADB3970218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5" name="Elipse 9664">
          <a:extLst>
            <a:ext uri="{FF2B5EF4-FFF2-40B4-BE49-F238E27FC236}">
              <a16:creationId xmlns:a16="http://schemas.microsoft.com/office/drawing/2014/main" id="{B17376BD-B43D-41F1-950D-597117FF03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6" name="Elipse 9665">
          <a:extLst>
            <a:ext uri="{FF2B5EF4-FFF2-40B4-BE49-F238E27FC236}">
              <a16:creationId xmlns:a16="http://schemas.microsoft.com/office/drawing/2014/main" id="{6034BD1C-436D-4AA7-B550-5B522F0EAE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7" name="Elipse 9666">
          <a:extLst>
            <a:ext uri="{FF2B5EF4-FFF2-40B4-BE49-F238E27FC236}">
              <a16:creationId xmlns:a16="http://schemas.microsoft.com/office/drawing/2014/main" id="{3B830B8A-BF3D-44AE-A1A6-4A662BB123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8" name="Elipse 9667">
          <a:extLst>
            <a:ext uri="{FF2B5EF4-FFF2-40B4-BE49-F238E27FC236}">
              <a16:creationId xmlns:a16="http://schemas.microsoft.com/office/drawing/2014/main" id="{B5B63142-9F0F-455A-8734-D02A0B4E7B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69" name="Elipse 9668">
          <a:extLst>
            <a:ext uri="{FF2B5EF4-FFF2-40B4-BE49-F238E27FC236}">
              <a16:creationId xmlns:a16="http://schemas.microsoft.com/office/drawing/2014/main" id="{D8AD1373-B791-4B06-8D7E-5287E7D22D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0" name="Elipse 9669">
          <a:extLst>
            <a:ext uri="{FF2B5EF4-FFF2-40B4-BE49-F238E27FC236}">
              <a16:creationId xmlns:a16="http://schemas.microsoft.com/office/drawing/2014/main" id="{351E30DA-9030-40C4-AE14-5C674D59DD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1" name="Elipse 9670">
          <a:extLst>
            <a:ext uri="{FF2B5EF4-FFF2-40B4-BE49-F238E27FC236}">
              <a16:creationId xmlns:a16="http://schemas.microsoft.com/office/drawing/2014/main" id="{F1B10320-930E-41F6-AC43-27609C6427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2" name="Elipse 9671">
          <a:extLst>
            <a:ext uri="{FF2B5EF4-FFF2-40B4-BE49-F238E27FC236}">
              <a16:creationId xmlns:a16="http://schemas.microsoft.com/office/drawing/2014/main" id="{72A75B5A-693B-41D3-A287-2C62C0BAF5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3" name="Elipse 9672">
          <a:extLst>
            <a:ext uri="{FF2B5EF4-FFF2-40B4-BE49-F238E27FC236}">
              <a16:creationId xmlns:a16="http://schemas.microsoft.com/office/drawing/2014/main" id="{E52841AB-E153-42F9-9CE7-FA4942B9E5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4" name="Elipse 9673">
          <a:extLst>
            <a:ext uri="{FF2B5EF4-FFF2-40B4-BE49-F238E27FC236}">
              <a16:creationId xmlns:a16="http://schemas.microsoft.com/office/drawing/2014/main" id="{17653525-0CF8-45BB-9F89-AB32D3378D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5" name="Elipse 9674">
          <a:extLst>
            <a:ext uri="{FF2B5EF4-FFF2-40B4-BE49-F238E27FC236}">
              <a16:creationId xmlns:a16="http://schemas.microsoft.com/office/drawing/2014/main" id="{9AD4FF5A-B24A-49AA-AB7E-B60F68B327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6" name="Elipse 9675">
          <a:extLst>
            <a:ext uri="{FF2B5EF4-FFF2-40B4-BE49-F238E27FC236}">
              <a16:creationId xmlns:a16="http://schemas.microsoft.com/office/drawing/2014/main" id="{8B3B953A-E8D8-40F8-A901-D554ED4B03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7" name="Elipse 9676">
          <a:extLst>
            <a:ext uri="{FF2B5EF4-FFF2-40B4-BE49-F238E27FC236}">
              <a16:creationId xmlns:a16="http://schemas.microsoft.com/office/drawing/2014/main" id="{5A3E4D45-0677-4581-9C9D-431B5DF565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8" name="Elipse 9677">
          <a:extLst>
            <a:ext uri="{FF2B5EF4-FFF2-40B4-BE49-F238E27FC236}">
              <a16:creationId xmlns:a16="http://schemas.microsoft.com/office/drawing/2014/main" id="{1D7302F9-225E-41C2-94AC-493BC9FB66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79" name="Elipse 9678">
          <a:extLst>
            <a:ext uri="{FF2B5EF4-FFF2-40B4-BE49-F238E27FC236}">
              <a16:creationId xmlns:a16="http://schemas.microsoft.com/office/drawing/2014/main" id="{974F13AC-2160-474A-A430-B1F179EE17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0" name="Elipse 9679">
          <a:extLst>
            <a:ext uri="{FF2B5EF4-FFF2-40B4-BE49-F238E27FC236}">
              <a16:creationId xmlns:a16="http://schemas.microsoft.com/office/drawing/2014/main" id="{B814D0D3-1997-40AC-A9E0-EBA7935E20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1" name="Elipse 9680">
          <a:extLst>
            <a:ext uri="{FF2B5EF4-FFF2-40B4-BE49-F238E27FC236}">
              <a16:creationId xmlns:a16="http://schemas.microsoft.com/office/drawing/2014/main" id="{02D11333-5D5A-4E41-A940-FB1458E3DC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2" name="Elipse 9681">
          <a:extLst>
            <a:ext uri="{FF2B5EF4-FFF2-40B4-BE49-F238E27FC236}">
              <a16:creationId xmlns:a16="http://schemas.microsoft.com/office/drawing/2014/main" id="{58ECFC0E-8899-46D5-ACFB-38067BEBAB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3" name="Elipse 9682">
          <a:extLst>
            <a:ext uri="{FF2B5EF4-FFF2-40B4-BE49-F238E27FC236}">
              <a16:creationId xmlns:a16="http://schemas.microsoft.com/office/drawing/2014/main" id="{1EBBAF13-F16B-4BDF-8DEB-BF60D91381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4" name="Elipse 9683">
          <a:extLst>
            <a:ext uri="{FF2B5EF4-FFF2-40B4-BE49-F238E27FC236}">
              <a16:creationId xmlns:a16="http://schemas.microsoft.com/office/drawing/2014/main" id="{1D9DF269-2EA9-4E1C-A9C5-7980D9A2C6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5" name="Elipse 9684">
          <a:extLst>
            <a:ext uri="{FF2B5EF4-FFF2-40B4-BE49-F238E27FC236}">
              <a16:creationId xmlns:a16="http://schemas.microsoft.com/office/drawing/2014/main" id="{6CF2E1A2-EB9E-4BCA-9F34-C382349A27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6" name="Elipse 9685">
          <a:extLst>
            <a:ext uri="{FF2B5EF4-FFF2-40B4-BE49-F238E27FC236}">
              <a16:creationId xmlns:a16="http://schemas.microsoft.com/office/drawing/2014/main" id="{1618A60A-B143-47E9-BA79-E7AA54F381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7" name="Elipse 9686">
          <a:extLst>
            <a:ext uri="{FF2B5EF4-FFF2-40B4-BE49-F238E27FC236}">
              <a16:creationId xmlns:a16="http://schemas.microsoft.com/office/drawing/2014/main" id="{D5181034-2AE1-4F72-A4DF-8635AA9913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8" name="Elipse 9687">
          <a:extLst>
            <a:ext uri="{FF2B5EF4-FFF2-40B4-BE49-F238E27FC236}">
              <a16:creationId xmlns:a16="http://schemas.microsoft.com/office/drawing/2014/main" id="{BBD89CDB-9D58-443D-9709-450283867B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89" name="Elipse 9688">
          <a:extLst>
            <a:ext uri="{FF2B5EF4-FFF2-40B4-BE49-F238E27FC236}">
              <a16:creationId xmlns:a16="http://schemas.microsoft.com/office/drawing/2014/main" id="{7D3DA7AE-6321-4FA2-ABBD-F8E5C2763A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0" name="Elipse 9689">
          <a:extLst>
            <a:ext uri="{FF2B5EF4-FFF2-40B4-BE49-F238E27FC236}">
              <a16:creationId xmlns:a16="http://schemas.microsoft.com/office/drawing/2014/main" id="{2D57B29D-C7AB-48B1-A697-CD1DD45283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1" name="Elipse 9690">
          <a:extLst>
            <a:ext uri="{FF2B5EF4-FFF2-40B4-BE49-F238E27FC236}">
              <a16:creationId xmlns:a16="http://schemas.microsoft.com/office/drawing/2014/main" id="{B0A2170C-8837-4FCD-A0EA-B0269A6BA1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2" name="Elipse 9691">
          <a:extLst>
            <a:ext uri="{FF2B5EF4-FFF2-40B4-BE49-F238E27FC236}">
              <a16:creationId xmlns:a16="http://schemas.microsoft.com/office/drawing/2014/main" id="{CB6EDF66-2CAA-4BB5-BA40-946CE6451F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3" name="Elipse 9692">
          <a:extLst>
            <a:ext uri="{FF2B5EF4-FFF2-40B4-BE49-F238E27FC236}">
              <a16:creationId xmlns:a16="http://schemas.microsoft.com/office/drawing/2014/main" id="{B89DCDFE-C69E-4934-A6E2-1547D57D52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4" name="Elipse 9693">
          <a:extLst>
            <a:ext uri="{FF2B5EF4-FFF2-40B4-BE49-F238E27FC236}">
              <a16:creationId xmlns:a16="http://schemas.microsoft.com/office/drawing/2014/main" id="{FF637EF1-8F6B-48D3-9DB7-CD5D827E85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5" name="Elipse 9694">
          <a:extLst>
            <a:ext uri="{FF2B5EF4-FFF2-40B4-BE49-F238E27FC236}">
              <a16:creationId xmlns:a16="http://schemas.microsoft.com/office/drawing/2014/main" id="{C86AC730-6C79-48C4-8463-F86D8B4A7D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6" name="Elipse 9695">
          <a:extLst>
            <a:ext uri="{FF2B5EF4-FFF2-40B4-BE49-F238E27FC236}">
              <a16:creationId xmlns:a16="http://schemas.microsoft.com/office/drawing/2014/main" id="{86169862-BFE4-4579-B643-703AFDAD1F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7" name="Elipse 9696">
          <a:extLst>
            <a:ext uri="{FF2B5EF4-FFF2-40B4-BE49-F238E27FC236}">
              <a16:creationId xmlns:a16="http://schemas.microsoft.com/office/drawing/2014/main" id="{A8B25A76-34D0-4FFB-A8BE-3FF54DE0CD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8" name="Elipse 9697">
          <a:extLst>
            <a:ext uri="{FF2B5EF4-FFF2-40B4-BE49-F238E27FC236}">
              <a16:creationId xmlns:a16="http://schemas.microsoft.com/office/drawing/2014/main" id="{6D8B3895-FE16-4EE6-B08A-98CBD537C8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699" name="Elipse 9698">
          <a:extLst>
            <a:ext uri="{FF2B5EF4-FFF2-40B4-BE49-F238E27FC236}">
              <a16:creationId xmlns:a16="http://schemas.microsoft.com/office/drawing/2014/main" id="{9CF110FA-19E5-4B4E-981F-2C546255B5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0" name="Elipse 9699">
          <a:extLst>
            <a:ext uri="{FF2B5EF4-FFF2-40B4-BE49-F238E27FC236}">
              <a16:creationId xmlns:a16="http://schemas.microsoft.com/office/drawing/2014/main" id="{29F705C3-A57E-4472-9A2D-B9BFAF1F20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1" name="Elipse 9700">
          <a:extLst>
            <a:ext uri="{FF2B5EF4-FFF2-40B4-BE49-F238E27FC236}">
              <a16:creationId xmlns:a16="http://schemas.microsoft.com/office/drawing/2014/main" id="{9CBEB398-C469-46A4-B499-B38F80922B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2" name="Elipse 9701">
          <a:extLst>
            <a:ext uri="{FF2B5EF4-FFF2-40B4-BE49-F238E27FC236}">
              <a16:creationId xmlns:a16="http://schemas.microsoft.com/office/drawing/2014/main" id="{D8AA1709-1A2F-4867-A0B6-F5DDD851DD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3" name="Elipse 9702">
          <a:extLst>
            <a:ext uri="{FF2B5EF4-FFF2-40B4-BE49-F238E27FC236}">
              <a16:creationId xmlns:a16="http://schemas.microsoft.com/office/drawing/2014/main" id="{A527B913-73E8-41F8-8B20-55C5E297D2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4" name="Elipse 9703">
          <a:extLst>
            <a:ext uri="{FF2B5EF4-FFF2-40B4-BE49-F238E27FC236}">
              <a16:creationId xmlns:a16="http://schemas.microsoft.com/office/drawing/2014/main" id="{01EB4C77-EA1C-4774-B9ED-17ADC57EA2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5" name="Elipse 9704">
          <a:extLst>
            <a:ext uri="{FF2B5EF4-FFF2-40B4-BE49-F238E27FC236}">
              <a16:creationId xmlns:a16="http://schemas.microsoft.com/office/drawing/2014/main" id="{C00A7B3E-54B2-416E-8C52-1BDFBF06E1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6" name="Elipse 9705">
          <a:extLst>
            <a:ext uri="{FF2B5EF4-FFF2-40B4-BE49-F238E27FC236}">
              <a16:creationId xmlns:a16="http://schemas.microsoft.com/office/drawing/2014/main" id="{5E8EC2C5-C1A7-4B73-9297-766ECC4E9D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7" name="Elipse 9706">
          <a:extLst>
            <a:ext uri="{FF2B5EF4-FFF2-40B4-BE49-F238E27FC236}">
              <a16:creationId xmlns:a16="http://schemas.microsoft.com/office/drawing/2014/main" id="{B4F400C2-5A7B-4C5E-AF20-6046BB6C1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8" name="Elipse 9707">
          <a:extLst>
            <a:ext uri="{FF2B5EF4-FFF2-40B4-BE49-F238E27FC236}">
              <a16:creationId xmlns:a16="http://schemas.microsoft.com/office/drawing/2014/main" id="{74FC5A5E-4E69-4790-8192-DDA74BA3C4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09" name="Elipse 9708">
          <a:extLst>
            <a:ext uri="{FF2B5EF4-FFF2-40B4-BE49-F238E27FC236}">
              <a16:creationId xmlns:a16="http://schemas.microsoft.com/office/drawing/2014/main" id="{0A6CDAD9-6F9D-4698-82AF-42D34931C6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0" name="Elipse 9709">
          <a:extLst>
            <a:ext uri="{FF2B5EF4-FFF2-40B4-BE49-F238E27FC236}">
              <a16:creationId xmlns:a16="http://schemas.microsoft.com/office/drawing/2014/main" id="{B62C4D0C-920F-4004-BE74-5311B7F6B5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1" name="Elipse 9710">
          <a:extLst>
            <a:ext uri="{FF2B5EF4-FFF2-40B4-BE49-F238E27FC236}">
              <a16:creationId xmlns:a16="http://schemas.microsoft.com/office/drawing/2014/main" id="{92D602DA-5FEC-4E46-874D-FAA1DE029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2" name="Elipse 9711">
          <a:extLst>
            <a:ext uri="{FF2B5EF4-FFF2-40B4-BE49-F238E27FC236}">
              <a16:creationId xmlns:a16="http://schemas.microsoft.com/office/drawing/2014/main" id="{0720AC7F-D741-434C-809D-A84749DF31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3" name="Elipse 9712">
          <a:extLst>
            <a:ext uri="{FF2B5EF4-FFF2-40B4-BE49-F238E27FC236}">
              <a16:creationId xmlns:a16="http://schemas.microsoft.com/office/drawing/2014/main" id="{167B93B6-452F-4A57-9E0C-9586D5AC83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4" name="Elipse 9713">
          <a:extLst>
            <a:ext uri="{FF2B5EF4-FFF2-40B4-BE49-F238E27FC236}">
              <a16:creationId xmlns:a16="http://schemas.microsoft.com/office/drawing/2014/main" id="{27F96066-8062-42C0-A141-7C0ED56D83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5" name="Elipse 9714">
          <a:extLst>
            <a:ext uri="{FF2B5EF4-FFF2-40B4-BE49-F238E27FC236}">
              <a16:creationId xmlns:a16="http://schemas.microsoft.com/office/drawing/2014/main" id="{4688DA78-CB16-4E03-9445-CAEDF98569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6" name="Elipse 9715">
          <a:extLst>
            <a:ext uri="{FF2B5EF4-FFF2-40B4-BE49-F238E27FC236}">
              <a16:creationId xmlns:a16="http://schemas.microsoft.com/office/drawing/2014/main" id="{DF142695-3E21-4A1C-B975-19F8C87BB1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7" name="Elipse 9716">
          <a:extLst>
            <a:ext uri="{FF2B5EF4-FFF2-40B4-BE49-F238E27FC236}">
              <a16:creationId xmlns:a16="http://schemas.microsoft.com/office/drawing/2014/main" id="{1EF8AD9A-99E9-482A-A703-44A2577F4F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8" name="Elipse 9717">
          <a:extLst>
            <a:ext uri="{FF2B5EF4-FFF2-40B4-BE49-F238E27FC236}">
              <a16:creationId xmlns:a16="http://schemas.microsoft.com/office/drawing/2014/main" id="{1CA7B4C6-8E93-40E8-9255-7721131678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19" name="Elipse 9718">
          <a:extLst>
            <a:ext uri="{FF2B5EF4-FFF2-40B4-BE49-F238E27FC236}">
              <a16:creationId xmlns:a16="http://schemas.microsoft.com/office/drawing/2014/main" id="{EB6254AE-B098-4DC7-B3DA-473972DF56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0" name="Elipse 9719">
          <a:extLst>
            <a:ext uri="{FF2B5EF4-FFF2-40B4-BE49-F238E27FC236}">
              <a16:creationId xmlns:a16="http://schemas.microsoft.com/office/drawing/2014/main" id="{A371C77D-D50B-4D79-B337-F4EA5588AA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1" name="Elipse 9720">
          <a:extLst>
            <a:ext uri="{FF2B5EF4-FFF2-40B4-BE49-F238E27FC236}">
              <a16:creationId xmlns:a16="http://schemas.microsoft.com/office/drawing/2014/main" id="{B188AF28-858C-484A-B347-2D9FD6BCF4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2" name="Elipse 9721">
          <a:extLst>
            <a:ext uri="{FF2B5EF4-FFF2-40B4-BE49-F238E27FC236}">
              <a16:creationId xmlns:a16="http://schemas.microsoft.com/office/drawing/2014/main" id="{7124385E-D263-42D1-8D98-3584BC3F63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3" name="Elipse 9722">
          <a:extLst>
            <a:ext uri="{FF2B5EF4-FFF2-40B4-BE49-F238E27FC236}">
              <a16:creationId xmlns:a16="http://schemas.microsoft.com/office/drawing/2014/main" id="{2D550772-4984-483F-82F0-16C7D3D714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4" name="Elipse 9723">
          <a:extLst>
            <a:ext uri="{FF2B5EF4-FFF2-40B4-BE49-F238E27FC236}">
              <a16:creationId xmlns:a16="http://schemas.microsoft.com/office/drawing/2014/main" id="{9A1473B3-BAA5-424E-9AEF-3147921E4E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5" name="Elipse 9724">
          <a:extLst>
            <a:ext uri="{FF2B5EF4-FFF2-40B4-BE49-F238E27FC236}">
              <a16:creationId xmlns:a16="http://schemas.microsoft.com/office/drawing/2014/main" id="{BF85234B-FA3E-42E8-B3B6-F2C8B3FC3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6" name="Elipse 9725">
          <a:extLst>
            <a:ext uri="{FF2B5EF4-FFF2-40B4-BE49-F238E27FC236}">
              <a16:creationId xmlns:a16="http://schemas.microsoft.com/office/drawing/2014/main" id="{1B7ED1E9-AD12-4B29-A1C8-8613FD77B3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7" name="Elipse 9726">
          <a:extLst>
            <a:ext uri="{FF2B5EF4-FFF2-40B4-BE49-F238E27FC236}">
              <a16:creationId xmlns:a16="http://schemas.microsoft.com/office/drawing/2014/main" id="{749F6D34-D79D-4073-AB49-78E19EE8C0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8" name="Elipse 9727">
          <a:extLst>
            <a:ext uri="{FF2B5EF4-FFF2-40B4-BE49-F238E27FC236}">
              <a16:creationId xmlns:a16="http://schemas.microsoft.com/office/drawing/2014/main" id="{5CC2B9DA-B212-4281-928B-0050100246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29" name="Elipse 9728">
          <a:extLst>
            <a:ext uri="{FF2B5EF4-FFF2-40B4-BE49-F238E27FC236}">
              <a16:creationId xmlns:a16="http://schemas.microsoft.com/office/drawing/2014/main" id="{57157046-14D4-4B31-B444-8CDEE65783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0" name="Elipse 9729">
          <a:extLst>
            <a:ext uri="{FF2B5EF4-FFF2-40B4-BE49-F238E27FC236}">
              <a16:creationId xmlns:a16="http://schemas.microsoft.com/office/drawing/2014/main" id="{3CBB4520-34F5-4595-85BC-6B9D11C03C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1" name="Elipse 9730">
          <a:extLst>
            <a:ext uri="{FF2B5EF4-FFF2-40B4-BE49-F238E27FC236}">
              <a16:creationId xmlns:a16="http://schemas.microsoft.com/office/drawing/2014/main" id="{FFCD0284-B68D-4278-AD00-B08D396DC4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2" name="Elipse 9731">
          <a:extLst>
            <a:ext uri="{FF2B5EF4-FFF2-40B4-BE49-F238E27FC236}">
              <a16:creationId xmlns:a16="http://schemas.microsoft.com/office/drawing/2014/main" id="{9DB2579A-E648-4DEE-9395-D05A13E7AE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3" name="Elipse 9732">
          <a:extLst>
            <a:ext uri="{FF2B5EF4-FFF2-40B4-BE49-F238E27FC236}">
              <a16:creationId xmlns:a16="http://schemas.microsoft.com/office/drawing/2014/main" id="{BD072A44-6535-4FED-A1AD-BEA179C397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4" name="Elipse 9733">
          <a:extLst>
            <a:ext uri="{FF2B5EF4-FFF2-40B4-BE49-F238E27FC236}">
              <a16:creationId xmlns:a16="http://schemas.microsoft.com/office/drawing/2014/main" id="{74B7481C-0B22-42FE-AC95-AA5A2DA0EC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5" name="Elipse 9734">
          <a:extLst>
            <a:ext uri="{FF2B5EF4-FFF2-40B4-BE49-F238E27FC236}">
              <a16:creationId xmlns:a16="http://schemas.microsoft.com/office/drawing/2014/main" id="{A2726BA9-CBB5-42AF-AE12-F037918194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6" name="Elipse 9735">
          <a:extLst>
            <a:ext uri="{FF2B5EF4-FFF2-40B4-BE49-F238E27FC236}">
              <a16:creationId xmlns:a16="http://schemas.microsoft.com/office/drawing/2014/main" id="{A8263D70-11F5-4207-84DA-AC06D0A7ED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7" name="Elipse 9736">
          <a:extLst>
            <a:ext uri="{FF2B5EF4-FFF2-40B4-BE49-F238E27FC236}">
              <a16:creationId xmlns:a16="http://schemas.microsoft.com/office/drawing/2014/main" id="{D6A3161D-A1E3-4A18-8248-88DC450EED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8" name="Elipse 9737">
          <a:extLst>
            <a:ext uri="{FF2B5EF4-FFF2-40B4-BE49-F238E27FC236}">
              <a16:creationId xmlns:a16="http://schemas.microsoft.com/office/drawing/2014/main" id="{664B9FBE-4B2D-49C7-B08F-7F3EBF7835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39" name="Elipse 9738">
          <a:extLst>
            <a:ext uri="{FF2B5EF4-FFF2-40B4-BE49-F238E27FC236}">
              <a16:creationId xmlns:a16="http://schemas.microsoft.com/office/drawing/2014/main" id="{28ECED2C-FC9C-402C-ACE5-BB142155A3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0" name="Elipse 9739">
          <a:extLst>
            <a:ext uri="{FF2B5EF4-FFF2-40B4-BE49-F238E27FC236}">
              <a16:creationId xmlns:a16="http://schemas.microsoft.com/office/drawing/2014/main" id="{398CDE29-F541-4673-B132-5F2BFEBFAB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1" name="Elipse 9740">
          <a:extLst>
            <a:ext uri="{FF2B5EF4-FFF2-40B4-BE49-F238E27FC236}">
              <a16:creationId xmlns:a16="http://schemas.microsoft.com/office/drawing/2014/main" id="{E4217F03-D8EE-4D8D-92FE-8713D93E50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2" name="Elipse 9741">
          <a:extLst>
            <a:ext uri="{FF2B5EF4-FFF2-40B4-BE49-F238E27FC236}">
              <a16:creationId xmlns:a16="http://schemas.microsoft.com/office/drawing/2014/main" id="{56053854-5B92-4816-864F-489EF034C7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3" name="Elipse 9742">
          <a:extLst>
            <a:ext uri="{FF2B5EF4-FFF2-40B4-BE49-F238E27FC236}">
              <a16:creationId xmlns:a16="http://schemas.microsoft.com/office/drawing/2014/main" id="{274633EB-8E08-4BA2-ACC1-4DB081F733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4" name="Elipse 9743">
          <a:extLst>
            <a:ext uri="{FF2B5EF4-FFF2-40B4-BE49-F238E27FC236}">
              <a16:creationId xmlns:a16="http://schemas.microsoft.com/office/drawing/2014/main" id="{5E2E672B-7A8F-45E2-9241-CDF125D389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5" name="Elipse 9744">
          <a:extLst>
            <a:ext uri="{FF2B5EF4-FFF2-40B4-BE49-F238E27FC236}">
              <a16:creationId xmlns:a16="http://schemas.microsoft.com/office/drawing/2014/main" id="{184BA4E9-618A-4DA9-B7BD-605CD4D1F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6" name="Elipse 9745">
          <a:extLst>
            <a:ext uri="{FF2B5EF4-FFF2-40B4-BE49-F238E27FC236}">
              <a16:creationId xmlns:a16="http://schemas.microsoft.com/office/drawing/2014/main" id="{E4E94D22-6E31-42C6-A01E-44AC774BB8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7" name="Elipse 9746">
          <a:extLst>
            <a:ext uri="{FF2B5EF4-FFF2-40B4-BE49-F238E27FC236}">
              <a16:creationId xmlns:a16="http://schemas.microsoft.com/office/drawing/2014/main" id="{95CB5715-9C3A-46B5-87D1-B9A2BA73BF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8" name="Elipse 9747">
          <a:extLst>
            <a:ext uri="{FF2B5EF4-FFF2-40B4-BE49-F238E27FC236}">
              <a16:creationId xmlns:a16="http://schemas.microsoft.com/office/drawing/2014/main" id="{9ED37B73-6AB8-46AA-AC06-84BA41482D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49" name="Elipse 9748">
          <a:extLst>
            <a:ext uri="{FF2B5EF4-FFF2-40B4-BE49-F238E27FC236}">
              <a16:creationId xmlns:a16="http://schemas.microsoft.com/office/drawing/2014/main" id="{03ABEFEB-1869-4753-AEC6-E615F3DC12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0" name="Elipse 9749">
          <a:extLst>
            <a:ext uri="{FF2B5EF4-FFF2-40B4-BE49-F238E27FC236}">
              <a16:creationId xmlns:a16="http://schemas.microsoft.com/office/drawing/2014/main" id="{D4CAF861-05D2-4D46-A268-8FB4D742DF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1" name="Elipse 9750">
          <a:extLst>
            <a:ext uri="{FF2B5EF4-FFF2-40B4-BE49-F238E27FC236}">
              <a16:creationId xmlns:a16="http://schemas.microsoft.com/office/drawing/2014/main" id="{CB9A97CA-C3FC-4022-8FE9-44A83EAA77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2" name="Elipse 9751">
          <a:extLst>
            <a:ext uri="{FF2B5EF4-FFF2-40B4-BE49-F238E27FC236}">
              <a16:creationId xmlns:a16="http://schemas.microsoft.com/office/drawing/2014/main" id="{867162CA-8523-4FA8-91AA-885A8E3C46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3" name="Elipse 9752">
          <a:extLst>
            <a:ext uri="{FF2B5EF4-FFF2-40B4-BE49-F238E27FC236}">
              <a16:creationId xmlns:a16="http://schemas.microsoft.com/office/drawing/2014/main" id="{0F234DB9-CE0E-46C1-A3E0-5A6F34BDC9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4" name="Elipse 9753">
          <a:extLst>
            <a:ext uri="{FF2B5EF4-FFF2-40B4-BE49-F238E27FC236}">
              <a16:creationId xmlns:a16="http://schemas.microsoft.com/office/drawing/2014/main" id="{AD71C242-E5AD-419D-BCCD-B65A8E98CC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5" name="Elipse 9754">
          <a:extLst>
            <a:ext uri="{FF2B5EF4-FFF2-40B4-BE49-F238E27FC236}">
              <a16:creationId xmlns:a16="http://schemas.microsoft.com/office/drawing/2014/main" id="{31467EAC-FFF6-437B-9BFD-0E77325754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6" name="Elipse 9755">
          <a:extLst>
            <a:ext uri="{FF2B5EF4-FFF2-40B4-BE49-F238E27FC236}">
              <a16:creationId xmlns:a16="http://schemas.microsoft.com/office/drawing/2014/main" id="{BABC440D-D82D-45BB-B8D8-59088FC15D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7" name="Elipse 9756">
          <a:extLst>
            <a:ext uri="{FF2B5EF4-FFF2-40B4-BE49-F238E27FC236}">
              <a16:creationId xmlns:a16="http://schemas.microsoft.com/office/drawing/2014/main" id="{D4F34EA5-18FB-40E9-A7F5-94F94A5E60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8" name="Elipse 9757">
          <a:extLst>
            <a:ext uri="{FF2B5EF4-FFF2-40B4-BE49-F238E27FC236}">
              <a16:creationId xmlns:a16="http://schemas.microsoft.com/office/drawing/2014/main" id="{0BEFE3C5-8E79-4119-AE81-8109C8CADE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59" name="Elipse 9758">
          <a:extLst>
            <a:ext uri="{FF2B5EF4-FFF2-40B4-BE49-F238E27FC236}">
              <a16:creationId xmlns:a16="http://schemas.microsoft.com/office/drawing/2014/main" id="{55030590-8E6D-49F1-84E8-EDB85165ED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0" name="Elipse 9759">
          <a:extLst>
            <a:ext uri="{FF2B5EF4-FFF2-40B4-BE49-F238E27FC236}">
              <a16:creationId xmlns:a16="http://schemas.microsoft.com/office/drawing/2014/main" id="{D5054FDB-6194-4BB0-BDED-2C95B12393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1" name="Elipse 9760">
          <a:extLst>
            <a:ext uri="{FF2B5EF4-FFF2-40B4-BE49-F238E27FC236}">
              <a16:creationId xmlns:a16="http://schemas.microsoft.com/office/drawing/2014/main" id="{D189B94D-C380-4A82-AA5E-8788597349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2" name="Elipse 9761">
          <a:extLst>
            <a:ext uri="{FF2B5EF4-FFF2-40B4-BE49-F238E27FC236}">
              <a16:creationId xmlns:a16="http://schemas.microsoft.com/office/drawing/2014/main" id="{C5BDAB78-C697-4305-A7FD-FD1E5876A6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3" name="Elipse 9762">
          <a:extLst>
            <a:ext uri="{FF2B5EF4-FFF2-40B4-BE49-F238E27FC236}">
              <a16:creationId xmlns:a16="http://schemas.microsoft.com/office/drawing/2014/main" id="{9642A26A-BBBA-4434-B96D-15C98FE6F6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4" name="Elipse 9763">
          <a:extLst>
            <a:ext uri="{FF2B5EF4-FFF2-40B4-BE49-F238E27FC236}">
              <a16:creationId xmlns:a16="http://schemas.microsoft.com/office/drawing/2014/main" id="{3C8FE0BC-5F85-4FBD-B72D-9DD847D5FD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5" name="Elipse 9764">
          <a:extLst>
            <a:ext uri="{FF2B5EF4-FFF2-40B4-BE49-F238E27FC236}">
              <a16:creationId xmlns:a16="http://schemas.microsoft.com/office/drawing/2014/main" id="{207E23C0-B89E-4535-BC35-563519431B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6" name="Elipse 9765">
          <a:extLst>
            <a:ext uri="{FF2B5EF4-FFF2-40B4-BE49-F238E27FC236}">
              <a16:creationId xmlns:a16="http://schemas.microsoft.com/office/drawing/2014/main" id="{3D68BEB8-812F-4D65-B981-44AF760AA4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7" name="Elipse 9766">
          <a:extLst>
            <a:ext uri="{FF2B5EF4-FFF2-40B4-BE49-F238E27FC236}">
              <a16:creationId xmlns:a16="http://schemas.microsoft.com/office/drawing/2014/main" id="{0BBF168E-525D-4A57-83B8-8F895C3C36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8" name="Elipse 9767">
          <a:extLst>
            <a:ext uri="{FF2B5EF4-FFF2-40B4-BE49-F238E27FC236}">
              <a16:creationId xmlns:a16="http://schemas.microsoft.com/office/drawing/2014/main" id="{674B9D0F-F8E6-4E5F-BDEF-0656EE2E8B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69" name="Elipse 9768">
          <a:extLst>
            <a:ext uri="{FF2B5EF4-FFF2-40B4-BE49-F238E27FC236}">
              <a16:creationId xmlns:a16="http://schemas.microsoft.com/office/drawing/2014/main" id="{9093E08C-C754-4215-8993-B8AD278F05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0" name="Elipse 9769">
          <a:extLst>
            <a:ext uri="{FF2B5EF4-FFF2-40B4-BE49-F238E27FC236}">
              <a16:creationId xmlns:a16="http://schemas.microsoft.com/office/drawing/2014/main" id="{CF05ED4F-AFFA-43BE-9DC9-409C9109EC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1" name="Elipse 9770">
          <a:extLst>
            <a:ext uri="{FF2B5EF4-FFF2-40B4-BE49-F238E27FC236}">
              <a16:creationId xmlns:a16="http://schemas.microsoft.com/office/drawing/2014/main" id="{9A7B3E94-8936-47A9-9BE3-B6B3D33CE9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2" name="Elipse 9771">
          <a:extLst>
            <a:ext uri="{FF2B5EF4-FFF2-40B4-BE49-F238E27FC236}">
              <a16:creationId xmlns:a16="http://schemas.microsoft.com/office/drawing/2014/main" id="{436C457A-2522-4681-96DA-B74C3B14A8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3" name="Elipse 9772">
          <a:extLst>
            <a:ext uri="{FF2B5EF4-FFF2-40B4-BE49-F238E27FC236}">
              <a16:creationId xmlns:a16="http://schemas.microsoft.com/office/drawing/2014/main" id="{C5C2D8BF-A284-43A8-957A-38613C1F0A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4" name="Elipse 9773">
          <a:extLst>
            <a:ext uri="{FF2B5EF4-FFF2-40B4-BE49-F238E27FC236}">
              <a16:creationId xmlns:a16="http://schemas.microsoft.com/office/drawing/2014/main" id="{F20D6768-5AEF-41E5-90CE-5B04710EB0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5" name="Elipse 9774">
          <a:extLst>
            <a:ext uri="{FF2B5EF4-FFF2-40B4-BE49-F238E27FC236}">
              <a16:creationId xmlns:a16="http://schemas.microsoft.com/office/drawing/2014/main" id="{EC4BE409-9AF4-4EAB-AED7-1704080F9F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6" name="Elipse 9775">
          <a:extLst>
            <a:ext uri="{FF2B5EF4-FFF2-40B4-BE49-F238E27FC236}">
              <a16:creationId xmlns:a16="http://schemas.microsoft.com/office/drawing/2014/main" id="{29CB7C7C-766C-4C58-AC92-4DBF53A2F3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7" name="Elipse 9776">
          <a:extLst>
            <a:ext uri="{FF2B5EF4-FFF2-40B4-BE49-F238E27FC236}">
              <a16:creationId xmlns:a16="http://schemas.microsoft.com/office/drawing/2014/main" id="{A7ABB20B-F7D4-4306-84AD-FB7997D17F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8" name="Elipse 9777">
          <a:extLst>
            <a:ext uri="{FF2B5EF4-FFF2-40B4-BE49-F238E27FC236}">
              <a16:creationId xmlns:a16="http://schemas.microsoft.com/office/drawing/2014/main" id="{5DD26F8A-C971-447F-8C25-258EBEE953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79" name="Elipse 9778">
          <a:extLst>
            <a:ext uri="{FF2B5EF4-FFF2-40B4-BE49-F238E27FC236}">
              <a16:creationId xmlns:a16="http://schemas.microsoft.com/office/drawing/2014/main" id="{8665CC0F-3EE9-40BF-B7D4-04E6552BF1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0" name="Elipse 9779">
          <a:extLst>
            <a:ext uri="{FF2B5EF4-FFF2-40B4-BE49-F238E27FC236}">
              <a16:creationId xmlns:a16="http://schemas.microsoft.com/office/drawing/2014/main" id="{68BDE942-BDB4-4D50-9DF5-26671317DE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1" name="Elipse 9780">
          <a:extLst>
            <a:ext uri="{FF2B5EF4-FFF2-40B4-BE49-F238E27FC236}">
              <a16:creationId xmlns:a16="http://schemas.microsoft.com/office/drawing/2014/main" id="{5B088C30-2E93-472B-8D0E-F22EAC799B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2" name="Elipse 9781">
          <a:extLst>
            <a:ext uri="{FF2B5EF4-FFF2-40B4-BE49-F238E27FC236}">
              <a16:creationId xmlns:a16="http://schemas.microsoft.com/office/drawing/2014/main" id="{099E3A96-AE75-480C-8BB0-C4C9E3530C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3" name="Elipse 9782">
          <a:extLst>
            <a:ext uri="{FF2B5EF4-FFF2-40B4-BE49-F238E27FC236}">
              <a16:creationId xmlns:a16="http://schemas.microsoft.com/office/drawing/2014/main" id="{983620CC-4A34-45C9-9B3A-9E4CC11119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4" name="Elipse 9783">
          <a:extLst>
            <a:ext uri="{FF2B5EF4-FFF2-40B4-BE49-F238E27FC236}">
              <a16:creationId xmlns:a16="http://schemas.microsoft.com/office/drawing/2014/main" id="{5D16A05C-CCA1-4A8D-B3B9-F7CE15DBDF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5" name="Elipse 9784">
          <a:extLst>
            <a:ext uri="{FF2B5EF4-FFF2-40B4-BE49-F238E27FC236}">
              <a16:creationId xmlns:a16="http://schemas.microsoft.com/office/drawing/2014/main" id="{B6AA9A65-EB4E-4F4E-A448-D72E5FCCBF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6" name="Elipse 9785">
          <a:extLst>
            <a:ext uri="{FF2B5EF4-FFF2-40B4-BE49-F238E27FC236}">
              <a16:creationId xmlns:a16="http://schemas.microsoft.com/office/drawing/2014/main" id="{3DA10EC1-EF05-4309-B20D-5A559BE8CC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7" name="Elipse 9786">
          <a:extLst>
            <a:ext uri="{FF2B5EF4-FFF2-40B4-BE49-F238E27FC236}">
              <a16:creationId xmlns:a16="http://schemas.microsoft.com/office/drawing/2014/main" id="{7B2AD3AF-69E7-472C-A088-C30AFD455D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8" name="Elipse 9787">
          <a:extLst>
            <a:ext uri="{FF2B5EF4-FFF2-40B4-BE49-F238E27FC236}">
              <a16:creationId xmlns:a16="http://schemas.microsoft.com/office/drawing/2014/main" id="{1A979538-F1F5-4D07-86B6-AC2001EA66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89" name="Elipse 9788">
          <a:extLst>
            <a:ext uri="{FF2B5EF4-FFF2-40B4-BE49-F238E27FC236}">
              <a16:creationId xmlns:a16="http://schemas.microsoft.com/office/drawing/2014/main" id="{04F8D116-EA3A-43B3-AE8F-5859C8F2D7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0" name="Elipse 9789">
          <a:extLst>
            <a:ext uri="{FF2B5EF4-FFF2-40B4-BE49-F238E27FC236}">
              <a16:creationId xmlns:a16="http://schemas.microsoft.com/office/drawing/2014/main" id="{BD14A4B3-F9A4-44AF-8C33-E881596CC3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1" name="Elipse 9790">
          <a:extLst>
            <a:ext uri="{FF2B5EF4-FFF2-40B4-BE49-F238E27FC236}">
              <a16:creationId xmlns:a16="http://schemas.microsoft.com/office/drawing/2014/main" id="{BE5D25BF-E8A0-4E0E-971B-5A5A929996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2" name="Elipse 9791">
          <a:extLst>
            <a:ext uri="{FF2B5EF4-FFF2-40B4-BE49-F238E27FC236}">
              <a16:creationId xmlns:a16="http://schemas.microsoft.com/office/drawing/2014/main" id="{98EA173C-3939-4B08-A2B9-DA6ECB63B7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3" name="Elipse 9792">
          <a:extLst>
            <a:ext uri="{FF2B5EF4-FFF2-40B4-BE49-F238E27FC236}">
              <a16:creationId xmlns:a16="http://schemas.microsoft.com/office/drawing/2014/main" id="{433E91E2-257F-44B0-8E99-835C1C2110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4" name="Elipse 9793">
          <a:extLst>
            <a:ext uri="{FF2B5EF4-FFF2-40B4-BE49-F238E27FC236}">
              <a16:creationId xmlns:a16="http://schemas.microsoft.com/office/drawing/2014/main" id="{070916A9-0F5E-4CA4-B6C5-AADE84306D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5" name="Elipse 9794">
          <a:extLst>
            <a:ext uri="{FF2B5EF4-FFF2-40B4-BE49-F238E27FC236}">
              <a16:creationId xmlns:a16="http://schemas.microsoft.com/office/drawing/2014/main" id="{24132D80-953B-4EB7-8C9C-CC115DE979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6" name="Elipse 9795">
          <a:extLst>
            <a:ext uri="{FF2B5EF4-FFF2-40B4-BE49-F238E27FC236}">
              <a16:creationId xmlns:a16="http://schemas.microsoft.com/office/drawing/2014/main" id="{4DA1E19D-211E-4F6D-800A-18E63C7803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7" name="Elipse 9796">
          <a:extLst>
            <a:ext uri="{FF2B5EF4-FFF2-40B4-BE49-F238E27FC236}">
              <a16:creationId xmlns:a16="http://schemas.microsoft.com/office/drawing/2014/main" id="{2022755F-B337-44D4-B422-BD7EF2C3DE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8" name="Elipse 9797">
          <a:extLst>
            <a:ext uri="{FF2B5EF4-FFF2-40B4-BE49-F238E27FC236}">
              <a16:creationId xmlns:a16="http://schemas.microsoft.com/office/drawing/2014/main" id="{6810110A-6468-4881-87AD-09283A3D2F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799" name="Elipse 9798">
          <a:extLst>
            <a:ext uri="{FF2B5EF4-FFF2-40B4-BE49-F238E27FC236}">
              <a16:creationId xmlns:a16="http://schemas.microsoft.com/office/drawing/2014/main" id="{78713F9F-F54E-4133-928A-464D0207B3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0" name="Elipse 9799">
          <a:extLst>
            <a:ext uri="{FF2B5EF4-FFF2-40B4-BE49-F238E27FC236}">
              <a16:creationId xmlns:a16="http://schemas.microsoft.com/office/drawing/2014/main" id="{672627D2-746E-455D-BC72-682573154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1" name="Elipse 9800">
          <a:extLst>
            <a:ext uri="{FF2B5EF4-FFF2-40B4-BE49-F238E27FC236}">
              <a16:creationId xmlns:a16="http://schemas.microsoft.com/office/drawing/2014/main" id="{8DC88E75-B0E9-4276-BB3F-21FD5D6136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2" name="Elipse 9801">
          <a:extLst>
            <a:ext uri="{FF2B5EF4-FFF2-40B4-BE49-F238E27FC236}">
              <a16:creationId xmlns:a16="http://schemas.microsoft.com/office/drawing/2014/main" id="{D36A5AD7-D835-4EBC-BD2B-D37510BE77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3" name="Elipse 9802">
          <a:extLst>
            <a:ext uri="{FF2B5EF4-FFF2-40B4-BE49-F238E27FC236}">
              <a16:creationId xmlns:a16="http://schemas.microsoft.com/office/drawing/2014/main" id="{BF1A5E85-0DC7-4604-96E2-35DC57EA1F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4" name="Elipse 9803">
          <a:extLst>
            <a:ext uri="{FF2B5EF4-FFF2-40B4-BE49-F238E27FC236}">
              <a16:creationId xmlns:a16="http://schemas.microsoft.com/office/drawing/2014/main" id="{0B54D594-2602-423A-AC68-C2282696E2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5" name="Elipse 9804">
          <a:extLst>
            <a:ext uri="{FF2B5EF4-FFF2-40B4-BE49-F238E27FC236}">
              <a16:creationId xmlns:a16="http://schemas.microsoft.com/office/drawing/2014/main" id="{511BB83B-3FF1-4DCB-897D-0EE1EC2CFD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6" name="Elipse 9805">
          <a:extLst>
            <a:ext uri="{FF2B5EF4-FFF2-40B4-BE49-F238E27FC236}">
              <a16:creationId xmlns:a16="http://schemas.microsoft.com/office/drawing/2014/main" id="{385BB484-308F-4DAC-A862-F78C1383EC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7" name="Elipse 9806">
          <a:extLst>
            <a:ext uri="{FF2B5EF4-FFF2-40B4-BE49-F238E27FC236}">
              <a16:creationId xmlns:a16="http://schemas.microsoft.com/office/drawing/2014/main" id="{6C7C5F89-FC6E-4060-8DCA-A8A7780105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8" name="Elipse 9807">
          <a:extLst>
            <a:ext uri="{FF2B5EF4-FFF2-40B4-BE49-F238E27FC236}">
              <a16:creationId xmlns:a16="http://schemas.microsoft.com/office/drawing/2014/main" id="{DEDE50E7-D209-47BD-90C6-208B7D720E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09" name="Elipse 9808">
          <a:extLst>
            <a:ext uri="{FF2B5EF4-FFF2-40B4-BE49-F238E27FC236}">
              <a16:creationId xmlns:a16="http://schemas.microsoft.com/office/drawing/2014/main" id="{700E1394-0362-40BA-87AB-E3A5B04EF7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0" name="Elipse 9809">
          <a:extLst>
            <a:ext uri="{FF2B5EF4-FFF2-40B4-BE49-F238E27FC236}">
              <a16:creationId xmlns:a16="http://schemas.microsoft.com/office/drawing/2014/main" id="{6BA67B11-F03D-4FA5-B6F9-F5F9FDCCD7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1" name="Elipse 9810">
          <a:extLst>
            <a:ext uri="{FF2B5EF4-FFF2-40B4-BE49-F238E27FC236}">
              <a16:creationId xmlns:a16="http://schemas.microsoft.com/office/drawing/2014/main" id="{058A74E6-99EE-4894-9875-5D9D6D08F8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2" name="Elipse 9811">
          <a:extLst>
            <a:ext uri="{FF2B5EF4-FFF2-40B4-BE49-F238E27FC236}">
              <a16:creationId xmlns:a16="http://schemas.microsoft.com/office/drawing/2014/main" id="{66594801-84AA-4945-8E20-A4A508F9D4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3" name="Elipse 9812">
          <a:extLst>
            <a:ext uri="{FF2B5EF4-FFF2-40B4-BE49-F238E27FC236}">
              <a16:creationId xmlns:a16="http://schemas.microsoft.com/office/drawing/2014/main" id="{0E7DC001-032C-4590-865C-E24E83FB11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4" name="Elipse 9813">
          <a:extLst>
            <a:ext uri="{FF2B5EF4-FFF2-40B4-BE49-F238E27FC236}">
              <a16:creationId xmlns:a16="http://schemas.microsoft.com/office/drawing/2014/main" id="{AB46DF03-3638-4813-800F-C86A3E74F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5" name="Elipse 9814">
          <a:extLst>
            <a:ext uri="{FF2B5EF4-FFF2-40B4-BE49-F238E27FC236}">
              <a16:creationId xmlns:a16="http://schemas.microsoft.com/office/drawing/2014/main" id="{B949EEAC-602F-4BAD-8E3D-45316A8752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6" name="Elipse 9815">
          <a:extLst>
            <a:ext uri="{FF2B5EF4-FFF2-40B4-BE49-F238E27FC236}">
              <a16:creationId xmlns:a16="http://schemas.microsoft.com/office/drawing/2014/main" id="{F8949FC2-FF47-49C0-8D3B-8922791014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7" name="Elipse 9816">
          <a:extLst>
            <a:ext uri="{FF2B5EF4-FFF2-40B4-BE49-F238E27FC236}">
              <a16:creationId xmlns:a16="http://schemas.microsoft.com/office/drawing/2014/main" id="{FA77E34F-5961-49C2-9447-14372ECD6C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8" name="Elipse 9817">
          <a:extLst>
            <a:ext uri="{FF2B5EF4-FFF2-40B4-BE49-F238E27FC236}">
              <a16:creationId xmlns:a16="http://schemas.microsoft.com/office/drawing/2014/main" id="{F931B651-B202-49EF-8C6B-020F189F3A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19" name="Elipse 9818">
          <a:extLst>
            <a:ext uri="{FF2B5EF4-FFF2-40B4-BE49-F238E27FC236}">
              <a16:creationId xmlns:a16="http://schemas.microsoft.com/office/drawing/2014/main" id="{1230ED51-9848-417D-8EF4-E9DD304993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0" name="Elipse 9819">
          <a:extLst>
            <a:ext uri="{FF2B5EF4-FFF2-40B4-BE49-F238E27FC236}">
              <a16:creationId xmlns:a16="http://schemas.microsoft.com/office/drawing/2014/main" id="{B7354B25-C211-47D4-94F8-B5C3E9E4EA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1" name="Elipse 9820">
          <a:extLst>
            <a:ext uri="{FF2B5EF4-FFF2-40B4-BE49-F238E27FC236}">
              <a16:creationId xmlns:a16="http://schemas.microsoft.com/office/drawing/2014/main" id="{7E3D48C3-9069-4AF7-AB20-AB718EB7C0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2" name="Elipse 9821">
          <a:extLst>
            <a:ext uri="{FF2B5EF4-FFF2-40B4-BE49-F238E27FC236}">
              <a16:creationId xmlns:a16="http://schemas.microsoft.com/office/drawing/2014/main" id="{850E4026-FFA5-4B4F-8FD3-1AFEDA2155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3" name="Elipse 9822">
          <a:extLst>
            <a:ext uri="{FF2B5EF4-FFF2-40B4-BE49-F238E27FC236}">
              <a16:creationId xmlns:a16="http://schemas.microsoft.com/office/drawing/2014/main" id="{D01931A3-F334-4F1E-9082-2160B16455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4" name="Elipse 9823">
          <a:extLst>
            <a:ext uri="{FF2B5EF4-FFF2-40B4-BE49-F238E27FC236}">
              <a16:creationId xmlns:a16="http://schemas.microsoft.com/office/drawing/2014/main" id="{E8987CC0-D699-4779-A6D0-49F86F1487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5" name="Elipse 9824">
          <a:extLst>
            <a:ext uri="{FF2B5EF4-FFF2-40B4-BE49-F238E27FC236}">
              <a16:creationId xmlns:a16="http://schemas.microsoft.com/office/drawing/2014/main" id="{9C413950-7845-46BF-8432-6E2BEC9D9B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6" name="Elipse 9825">
          <a:extLst>
            <a:ext uri="{FF2B5EF4-FFF2-40B4-BE49-F238E27FC236}">
              <a16:creationId xmlns:a16="http://schemas.microsoft.com/office/drawing/2014/main" id="{DCC21DF1-7EA3-4992-95DC-878EBE8CE4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7" name="Elipse 9826">
          <a:extLst>
            <a:ext uri="{FF2B5EF4-FFF2-40B4-BE49-F238E27FC236}">
              <a16:creationId xmlns:a16="http://schemas.microsoft.com/office/drawing/2014/main" id="{20D0B49A-791F-4D9F-A466-1A5263F5A6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8" name="Elipse 9827">
          <a:extLst>
            <a:ext uri="{FF2B5EF4-FFF2-40B4-BE49-F238E27FC236}">
              <a16:creationId xmlns:a16="http://schemas.microsoft.com/office/drawing/2014/main" id="{D89C9677-A47C-47BC-8978-8469EEA25B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29" name="Elipse 9828">
          <a:extLst>
            <a:ext uri="{FF2B5EF4-FFF2-40B4-BE49-F238E27FC236}">
              <a16:creationId xmlns:a16="http://schemas.microsoft.com/office/drawing/2014/main" id="{6E4565C5-7515-45F8-BDBD-FAF4918CC0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0" name="Elipse 9829">
          <a:extLst>
            <a:ext uri="{FF2B5EF4-FFF2-40B4-BE49-F238E27FC236}">
              <a16:creationId xmlns:a16="http://schemas.microsoft.com/office/drawing/2014/main" id="{EE3A9ADA-179E-456B-BA41-5A1A97929D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1" name="Elipse 9830">
          <a:extLst>
            <a:ext uri="{FF2B5EF4-FFF2-40B4-BE49-F238E27FC236}">
              <a16:creationId xmlns:a16="http://schemas.microsoft.com/office/drawing/2014/main" id="{AADB2996-672D-49FC-AD99-FDF41AC749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2" name="Elipse 9831">
          <a:extLst>
            <a:ext uri="{FF2B5EF4-FFF2-40B4-BE49-F238E27FC236}">
              <a16:creationId xmlns:a16="http://schemas.microsoft.com/office/drawing/2014/main" id="{F7D168A8-8D55-4570-9703-FCC17AEF8D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3" name="Elipse 9832">
          <a:extLst>
            <a:ext uri="{FF2B5EF4-FFF2-40B4-BE49-F238E27FC236}">
              <a16:creationId xmlns:a16="http://schemas.microsoft.com/office/drawing/2014/main" id="{8DB398B2-2288-4951-B9F3-F8D642FE65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4" name="Elipse 9833">
          <a:extLst>
            <a:ext uri="{FF2B5EF4-FFF2-40B4-BE49-F238E27FC236}">
              <a16:creationId xmlns:a16="http://schemas.microsoft.com/office/drawing/2014/main" id="{A5FD2D1D-3D26-467B-BF10-75366A25F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5" name="Elipse 9834">
          <a:extLst>
            <a:ext uri="{FF2B5EF4-FFF2-40B4-BE49-F238E27FC236}">
              <a16:creationId xmlns:a16="http://schemas.microsoft.com/office/drawing/2014/main" id="{56A09CA6-F12A-4933-BCBC-9E8ABE558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6" name="Elipse 9835">
          <a:extLst>
            <a:ext uri="{FF2B5EF4-FFF2-40B4-BE49-F238E27FC236}">
              <a16:creationId xmlns:a16="http://schemas.microsoft.com/office/drawing/2014/main" id="{B9E3DD4F-E5EC-4ACC-8C3E-92C71C395F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7" name="Elipse 9836">
          <a:extLst>
            <a:ext uri="{FF2B5EF4-FFF2-40B4-BE49-F238E27FC236}">
              <a16:creationId xmlns:a16="http://schemas.microsoft.com/office/drawing/2014/main" id="{E47BCFA5-4E41-4A11-A96E-0E93D07961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8" name="Elipse 9837">
          <a:extLst>
            <a:ext uri="{FF2B5EF4-FFF2-40B4-BE49-F238E27FC236}">
              <a16:creationId xmlns:a16="http://schemas.microsoft.com/office/drawing/2014/main" id="{0DB86DB7-4656-40E6-99B5-88B5465684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39" name="Elipse 9838">
          <a:extLst>
            <a:ext uri="{FF2B5EF4-FFF2-40B4-BE49-F238E27FC236}">
              <a16:creationId xmlns:a16="http://schemas.microsoft.com/office/drawing/2014/main" id="{0C9D5A25-DDA4-4409-A146-8459A931A1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0" name="Elipse 9839">
          <a:extLst>
            <a:ext uri="{FF2B5EF4-FFF2-40B4-BE49-F238E27FC236}">
              <a16:creationId xmlns:a16="http://schemas.microsoft.com/office/drawing/2014/main" id="{6A484A6E-769D-4CEE-843C-448BD59258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1" name="Elipse 9840">
          <a:extLst>
            <a:ext uri="{FF2B5EF4-FFF2-40B4-BE49-F238E27FC236}">
              <a16:creationId xmlns:a16="http://schemas.microsoft.com/office/drawing/2014/main" id="{91E84DA9-5988-4568-BE14-DCB00B5C56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2" name="Elipse 9841">
          <a:extLst>
            <a:ext uri="{FF2B5EF4-FFF2-40B4-BE49-F238E27FC236}">
              <a16:creationId xmlns:a16="http://schemas.microsoft.com/office/drawing/2014/main" id="{9F1A487D-55EA-4F0E-A57B-09FC0DFC75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3" name="Elipse 9842">
          <a:extLst>
            <a:ext uri="{FF2B5EF4-FFF2-40B4-BE49-F238E27FC236}">
              <a16:creationId xmlns:a16="http://schemas.microsoft.com/office/drawing/2014/main" id="{C1A71C18-54B1-47FE-9A0A-9C8AB810E8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4" name="Elipse 9843">
          <a:extLst>
            <a:ext uri="{FF2B5EF4-FFF2-40B4-BE49-F238E27FC236}">
              <a16:creationId xmlns:a16="http://schemas.microsoft.com/office/drawing/2014/main" id="{83FE6D14-0078-4588-9A63-D0E11D6FF8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5" name="Elipse 9844">
          <a:extLst>
            <a:ext uri="{FF2B5EF4-FFF2-40B4-BE49-F238E27FC236}">
              <a16:creationId xmlns:a16="http://schemas.microsoft.com/office/drawing/2014/main" id="{77AE207D-D441-4EC1-ADBC-B1053DCC8E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6" name="Elipse 9845">
          <a:extLst>
            <a:ext uri="{FF2B5EF4-FFF2-40B4-BE49-F238E27FC236}">
              <a16:creationId xmlns:a16="http://schemas.microsoft.com/office/drawing/2014/main" id="{90037EA2-0E8F-4B9F-B53C-BEBDAB6C1D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7" name="Elipse 9846">
          <a:extLst>
            <a:ext uri="{FF2B5EF4-FFF2-40B4-BE49-F238E27FC236}">
              <a16:creationId xmlns:a16="http://schemas.microsoft.com/office/drawing/2014/main" id="{B9043104-4DD2-44EF-B2A8-206C98C4FE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8" name="Elipse 9847">
          <a:extLst>
            <a:ext uri="{FF2B5EF4-FFF2-40B4-BE49-F238E27FC236}">
              <a16:creationId xmlns:a16="http://schemas.microsoft.com/office/drawing/2014/main" id="{50F5DA44-91AC-4E7A-B816-F0B3C376BE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49" name="Elipse 9848">
          <a:extLst>
            <a:ext uri="{FF2B5EF4-FFF2-40B4-BE49-F238E27FC236}">
              <a16:creationId xmlns:a16="http://schemas.microsoft.com/office/drawing/2014/main" id="{470D5A4D-8034-4630-980E-C705F6C13E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0" name="Elipse 9849">
          <a:extLst>
            <a:ext uri="{FF2B5EF4-FFF2-40B4-BE49-F238E27FC236}">
              <a16:creationId xmlns:a16="http://schemas.microsoft.com/office/drawing/2014/main" id="{3244151C-ABB9-4A2F-B9B0-AADF28C6E2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1" name="Elipse 9850">
          <a:extLst>
            <a:ext uri="{FF2B5EF4-FFF2-40B4-BE49-F238E27FC236}">
              <a16:creationId xmlns:a16="http://schemas.microsoft.com/office/drawing/2014/main" id="{556070FF-5E16-47D3-BB1E-8247EABE3A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2" name="Elipse 9851">
          <a:extLst>
            <a:ext uri="{FF2B5EF4-FFF2-40B4-BE49-F238E27FC236}">
              <a16:creationId xmlns:a16="http://schemas.microsoft.com/office/drawing/2014/main" id="{5854C0D4-7257-46AB-B1EB-6488DB203C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3" name="Elipse 9852">
          <a:extLst>
            <a:ext uri="{FF2B5EF4-FFF2-40B4-BE49-F238E27FC236}">
              <a16:creationId xmlns:a16="http://schemas.microsoft.com/office/drawing/2014/main" id="{21516BB8-BD71-4F8E-8386-45B2BEDE47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4" name="Elipse 9853">
          <a:extLst>
            <a:ext uri="{FF2B5EF4-FFF2-40B4-BE49-F238E27FC236}">
              <a16:creationId xmlns:a16="http://schemas.microsoft.com/office/drawing/2014/main" id="{E95A337E-3316-4AA3-BD00-C0BB9249FF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5" name="Elipse 9854">
          <a:extLst>
            <a:ext uri="{FF2B5EF4-FFF2-40B4-BE49-F238E27FC236}">
              <a16:creationId xmlns:a16="http://schemas.microsoft.com/office/drawing/2014/main" id="{C773E1DD-4A7A-4DA3-9453-43A7A2ABBD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6" name="Elipse 9855">
          <a:extLst>
            <a:ext uri="{FF2B5EF4-FFF2-40B4-BE49-F238E27FC236}">
              <a16:creationId xmlns:a16="http://schemas.microsoft.com/office/drawing/2014/main" id="{AF593C01-B04B-45C3-8B61-8A90901674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7" name="Elipse 9856">
          <a:extLst>
            <a:ext uri="{FF2B5EF4-FFF2-40B4-BE49-F238E27FC236}">
              <a16:creationId xmlns:a16="http://schemas.microsoft.com/office/drawing/2014/main" id="{19300BB7-A4F6-4913-85F4-B1261EC7AF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8" name="Elipse 9857">
          <a:extLst>
            <a:ext uri="{FF2B5EF4-FFF2-40B4-BE49-F238E27FC236}">
              <a16:creationId xmlns:a16="http://schemas.microsoft.com/office/drawing/2014/main" id="{02275A91-5413-49DA-9674-E4744AD10D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59" name="Elipse 9858">
          <a:extLst>
            <a:ext uri="{FF2B5EF4-FFF2-40B4-BE49-F238E27FC236}">
              <a16:creationId xmlns:a16="http://schemas.microsoft.com/office/drawing/2014/main" id="{D3143E01-ACDB-4D2D-B4EA-B4F651421A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0" name="Elipse 9859">
          <a:extLst>
            <a:ext uri="{FF2B5EF4-FFF2-40B4-BE49-F238E27FC236}">
              <a16:creationId xmlns:a16="http://schemas.microsoft.com/office/drawing/2014/main" id="{EDF29C2E-69EF-4F29-B264-1EEB405E93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1" name="Elipse 9860">
          <a:extLst>
            <a:ext uri="{FF2B5EF4-FFF2-40B4-BE49-F238E27FC236}">
              <a16:creationId xmlns:a16="http://schemas.microsoft.com/office/drawing/2014/main" id="{A836C038-EEC0-48E9-85EA-24B855E85B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2" name="Elipse 9861">
          <a:extLst>
            <a:ext uri="{FF2B5EF4-FFF2-40B4-BE49-F238E27FC236}">
              <a16:creationId xmlns:a16="http://schemas.microsoft.com/office/drawing/2014/main" id="{B672826D-7E76-4802-9765-1ABB7503AE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3" name="Elipse 9862">
          <a:extLst>
            <a:ext uri="{FF2B5EF4-FFF2-40B4-BE49-F238E27FC236}">
              <a16:creationId xmlns:a16="http://schemas.microsoft.com/office/drawing/2014/main" id="{C114EDB6-D0A3-4B63-B73D-B86BFFFFFE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4" name="Elipse 9863">
          <a:extLst>
            <a:ext uri="{FF2B5EF4-FFF2-40B4-BE49-F238E27FC236}">
              <a16:creationId xmlns:a16="http://schemas.microsoft.com/office/drawing/2014/main" id="{B50DE0E7-847A-4096-A837-96B815694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5" name="Elipse 9864">
          <a:extLst>
            <a:ext uri="{FF2B5EF4-FFF2-40B4-BE49-F238E27FC236}">
              <a16:creationId xmlns:a16="http://schemas.microsoft.com/office/drawing/2014/main" id="{805FE6C6-CA67-44C9-A0C6-2B0263E505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6" name="Elipse 9865">
          <a:extLst>
            <a:ext uri="{FF2B5EF4-FFF2-40B4-BE49-F238E27FC236}">
              <a16:creationId xmlns:a16="http://schemas.microsoft.com/office/drawing/2014/main" id="{474DAC72-6BB6-470F-AC86-B2C0CC530E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7" name="Elipse 9866">
          <a:extLst>
            <a:ext uri="{FF2B5EF4-FFF2-40B4-BE49-F238E27FC236}">
              <a16:creationId xmlns:a16="http://schemas.microsoft.com/office/drawing/2014/main" id="{485F9E62-4DD5-4673-96B7-23979331BF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8" name="Elipse 9867">
          <a:extLst>
            <a:ext uri="{FF2B5EF4-FFF2-40B4-BE49-F238E27FC236}">
              <a16:creationId xmlns:a16="http://schemas.microsoft.com/office/drawing/2014/main" id="{39BBA804-5F17-4DA7-80F3-88FFFC46F9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69" name="Elipse 9868">
          <a:extLst>
            <a:ext uri="{FF2B5EF4-FFF2-40B4-BE49-F238E27FC236}">
              <a16:creationId xmlns:a16="http://schemas.microsoft.com/office/drawing/2014/main" id="{3A785287-8DB6-4F82-A0CE-8FB1F8786F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0" name="Elipse 9869">
          <a:extLst>
            <a:ext uri="{FF2B5EF4-FFF2-40B4-BE49-F238E27FC236}">
              <a16:creationId xmlns:a16="http://schemas.microsoft.com/office/drawing/2014/main" id="{5EE0396E-4E3C-42EE-9F34-04B7E7C84E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1" name="Elipse 9870">
          <a:extLst>
            <a:ext uri="{FF2B5EF4-FFF2-40B4-BE49-F238E27FC236}">
              <a16:creationId xmlns:a16="http://schemas.microsoft.com/office/drawing/2014/main" id="{FCAAD415-B4A8-406D-BA05-81367E3B2B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2" name="Elipse 9871">
          <a:extLst>
            <a:ext uri="{FF2B5EF4-FFF2-40B4-BE49-F238E27FC236}">
              <a16:creationId xmlns:a16="http://schemas.microsoft.com/office/drawing/2014/main" id="{31B229D7-A782-4803-8F1B-7F2D11D446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3" name="Elipse 9872">
          <a:extLst>
            <a:ext uri="{FF2B5EF4-FFF2-40B4-BE49-F238E27FC236}">
              <a16:creationId xmlns:a16="http://schemas.microsoft.com/office/drawing/2014/main" id="{534463EF-2823-4C78-A1AE-ECDA25EBC9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4" name="Elipse 9873">
          <a:extLst>
            <a:ext uri="{FF2B5EF4-FFF2-40B4-BE49-F238E27FC236}">
              <a16:creationId xmlns:a16="http://schemas.microsoft.com/office/drawing/2014/main" id="{0C9DABCD-2795-4319-8047-8D3BBD502A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5" name="Elipse 9874">
          <a:extLst>
            <a:ext uri="{FF2B5EF4-FFF2-40B4-BE49-F238E27FC236}">
              <a16:creationId xmlns:a16="http://schemas.microsoft.com/office/drawing/2014/main" id="{C79102B9-E7EF-47FF-A0DB-C54A3DF800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6" name="Elipse 9875">
          <a:extLst>
            <a:ext uri="{FF2B5EF4-FFF2-40B4-BE49-F238E27FC236}">
              <a16:creationId xmlns:a16="http://schemas.microsoft.com/office/drawing/2014/main" id="{4606E35B-5964-436D-926B-1778BAB94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7" name="Elipse 9876">
          <a:extLst>
            <a:ext uri="{FF2B5EF4-FFF2-40B4-BE49-F238E27FC236}">
              <a16:creationId xmlns:a16="http://schemas.microsoft.com/office/drawing/2014/main" id="{A1E4C764-F44F-44A1-97D6-39A604E0D1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8" name="Elipse 9877">
          <a:extLst>
            <a:ext uri="{FF2B5EF4-FFF2-40B4-BE49-F238E27FC236}">
              <a16:creationId xmlns:a16="http://schemas.microsoft.com/office/drawing/2014/main" id="{3C602E0F-D74A-4A0B-952F-E734A65361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79" name="Elipse 9878">
          <a:extLst>
            <a:ext uri="{FF2B5EF4-FFF2-40B4-BE49-F238E27FC236}">
              <a16:creationId xmlns:a16="http://schemas.microsoft.com/office/drawing/2014/main" id="{08C62E56-AEA7-42E5-86EE-7B7C425C61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0" name="Elipse 9879">
          <a:extLst>
            <a:ext uri="{FF2B5EF4-FFF2-40B4-BE49-F238E27FC236}">
              <a16:creationId xmlns:a16="http://schemas.microsoft.com/office/drawing/2014/main" id="{9A5A6EAD-A4A4-4FEF-888D-10E4265D27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1" name="Elipse 9880">
          <a:extLst>
            <a:ext uri="{FF2B5EF4-FFF2-40B4-BE49-F238E27FC236}">
              <a16:creationId xmlns:a16="http://schemas.microsoft.com/office/drawing/2014/main" id="{82E6DBE1-2E76-4250-A094-37FF555F4C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2" name="Elipse 9881">
          <a:extLst>
            <a:ext uri="{FF2B5EF4-FFF2-40B4-BE49-F238E27FC236}">
              <a16:creationId xmlns:a16="http://schemas.microsoft.com/office/drawing/2014/main" id="{9C73479B-32FF-4830-A110-7E82ABC277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3" name="Elipse 9882">
          <a:extLst>
            <a:ext uri="{FF2B5EF4-FFF2-40B4-BE49-F238E27FC236}">
              <a16:creationId xmlns:a16="http://schemas.microsoft.com/office/drawing/2014/main" id="{ECB97155-D493-4D1D-B949-1D7D929E7A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4" name="Elipse 9883">
          <a:extLst>
            <a:ext uri="{FF2B5EF4-FFF2-40B4-BE49-F238E27FC236}">
              <a16:creationId xmlns:a16="http://schemas.microsoft.com/office/drawing/2014/main" id="{88CDEC15-97DC-4AC3-BA94-C1A5A8A257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5" name="Elipse 9884">
          <a:extLst>
            <a:ext uri="{FF2B5EF4-FFF2-40B4-BE49-F238E27FC236}">
              <a16:creationId xmlns:a16="http://schemas.microsoft.com/office/drawing/2014/main" id="{CA399B78-941F-46B7-AA3B-BAC2342BF0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6" name="Elipse 9885">
          <a:extLst>
            <a:ext uri="{FF2B5EF4-FFF2-40B4-BE49-F238E27FC236}">
              <a16:creationId xmlns:a16="http://schemas.microsoft.com/office/drawing/2014/main" id="{5F877970-0CAD-4F25-B950-3D36DBABC5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7" name="Elipse 9886">
          <a:extLst>
            <a:ext uri="{FF2B5EF4-FFF2-40B4-BE49-F238E27FC236}">
              <a16:creationId xmlns:a16="http://schemas.microsoft.com/office/drawing/2014/main" id="{7EDF01A0-2A3F-4CBC-828A-D8D4B9D014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8" name="Elipse 9887">
          <a:extLst>
            <a:ext uri="{FF2B5EF4-FFF2-40B4-BE49-F238E27FC236}">
              <a16:creationId xmlns:a16="http://schemas.microsoft.com/office/drawing/2014/main" id="{452F5CB2-0467-4443-8923-DEACA767B6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89" name="Elipse 9888">
          <a:extLst>
            <a:ext uri="{FF2B5EF4-FFF2-40B4-BE49-F238E27FC236}">
              <a16:creationId xmlns:a16="http://schemas.microsoft.com/office/drawing/2014/main" id="{A5A68A69-8761-49D4-8E62-B3F2B575EA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0" name="Elipse 9889">
          <a:extLst>
            <a:ext uri="{FF2B5EF4-FFF2-40B4-BE49-F238E27FC236}">
              <a16:creationId xmlns:a16="http://schemas.microsoft.com/office/drawing/2014/main" id="{CFBBD2B8-B5E7-4386-A3D9-D4AFB9D694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1" name="Elipse 9890">
          <a:extLst>
            <a:ext uri="{FF2B5EF4-FFF2-40B4-BE49-F238E27FC236}">
              <a16:creationId xmlns:a16="http://schemas.microsoft.com/office/drawing/2014/main" id="{B0659BAB-C3B7-410B-B10A-7BBBEEA0AA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2" name="Elipse 9891">
          <a:extLst>
            <a:ext uri="{FF2B5EF4-FFF2-40B4-BE49-F238E27FC236}">
              <a16:creationId xmlns:a16="http://schemas.microsoft.com/office/drawing/2014/main" id="{46171597-EBAE-455C-9070-BE1D99B271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3" name="Elipse 9892">
          <a:extLst>
            <a:ext uri="{FF2B5EF4-FFF2-40B4-BE49-F238E27FC236}">
              <a16:creationId xmlns:a16="http://schemas.microsoft.com/office/drawing/2014/main" id="{EAA55100-8E27-4BCD-A13E-853ADB3156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4" name="Elipse 9893">
          <a:extLst>
            <a:ext uri="{FF2B5EF4-FFF2-40B4-BE49-F238E27FC236}">
              <a16:creationId xmlns:a16="http://schemas.microsoft.com/office/drawing/2014/main" id="{F3559614-23B6-4135-AF85-518326C00D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5" name="Elipse 9894">
          <a:extLst>
            <a:ext uri="{FF2B5EF4-FFF2-40B4-BE49-F238E27FC236}">
              <a16:creationId xmlns:a16="http://schemas.microsoft.com/office/drawing/2014/main" id="{6497BDE2-20D8-47AB-B67B-EBA878568A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6" name="Elipse 9895">
          <a:extLst>
            <a:ext uri="{FF2B5EF4-FFF2-40B4-BE49-F238E27FC236}">
              <a16:creationId xmlns:a16="http://schemas.microsoft.com/office/drawing/2014/main" id="{6ABB0B25-E866-4723-9741-A1F469DA70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7" name="Elipse 9896">
          <a:extLst>
            <a:ext uri="{FF2B5EF4-FFF2-40B4-BE49-F238E27FC236}">
              <a16:creationId xmlns:a16="http://schemas.microsoft.com/office/drawing/2014/main" id="{48C1FD8A-5C7D-4104-BD22-1B6D8DB6A7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8" name="Elipse 9897">
          <a:extLst>
            <a:ext uri="{FF2B5EF4-FFF2-40B4-BE49-F238E27FC236}">
              <a16:creationId xmlns:a16="http://schemas.microsoft.com/office/drawing/2014/main" id="{1E112A25-4C04-4F66-8C06-E64B42FF63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899" name="Elipse 9898">
          <a:extLst>
            <a:ext uri="{FF2B5EF4-FFF2-40B4-BE49-F238E27FC236}">
              <a16:creationId xmlns:a16="http://schemas.microsoft.com/office/drawing/2014/main" id="{8AE9D57B-C3C8-4150-93EE-49B699C38C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0" name="Elipse 9899">
          <a:extLst>
            <a:ext uri="{FF2B5EF4-FFF2-40B4-BE49-F238E27FC236}">
              <a16:creationId xmlns:a16="http://schemas.microsoft.com/office/drawing/2014/main" id="{1136BA46-9A46-483C-8806-D082E16C44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1" name="Elipse 9900">
          <a:extLst>
            <a:ext uri="{FF2B5EF4-FFF2-40B4-BE49-F238E27FC236}">
              <a16:creationId xmlns:a16="http://schemas.microsoft.com/office/drawing/2014/main" id="{7ED1D8FA-8445-4FD4-9EDC-0694DF23C7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2" name="Elipse 9901">
          <a:extLst>
            <a:ext uri="{FF2B5EF4-FFF2-40B4-BE49-F238E27FC236}">
              <a16:creationId xmlns:a16="http://schemas.microsoft.com/office/drawing/2014/main" id="{10EF5AA3-360D-446E-A6AC-BB1B9C7DDF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3" name="Elipse 9902">
          <a:extLst>
            <a:ext uri="{FF2B5EF4-FFF2-40B4-BE49-F238E27FC236}">
              <a16:creationId xmlns:a16="http://schemas.microsoft.com/office/drawing/2014/main" id="{9F0A512D-E678-4825-93DB-54E64FE3A4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4" name="Elipse 9903">
          <a:extLst>
            <a:ext uri="{FF2B5EF4-FFF2-40B4-BE49-F238E27FC236}">
              <a16:creationId xmlns:a16="http://schemas.microsoft.com/office/drawing/2014/main" id="{C3C1CF00-7F8A-4E84-A220-A36F2559BD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5" name="Elipse 9904">
          <a:extLst>
            <a:ext uri="{FF2B5EF4-FFF2-40B4-BE49-F238E27FC236}">
              <a16:creationId xmlns:a16="http://schemas.microsoft.com/office/drawing/2014/main" id="{9A452ABA-1BB6-4655-B9B9-9781BBA3A6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6" name="Elipse 9905">
          <a:extLst>
            <a:ext uri="{FF2B5EF4-FFF2-40B4-BE49-F238E27FC236}">
              <a16:creationId xmlns:a16="http://schemas.microsoft.com/office/drawing/2014/main" id="{34645834-ECD1-41BE-9E2A-EB8D1D2848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7" name="Elipse 9906">
          <a:extLst>
            <a:ext uri="{FF2B5EF4-FFF2-40B4-BE49-F238E27FC236}">
              <a16:creationId xmlns:a16="http://schemas.microsoft.com/office/drawing/2014/main" id="{CCAA91D5-AC5D-40C8-9241-74D51D4D52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8" name="Elipse 9907">
          <a:extLst>
            <a:ext uri="{FF2B5EF4-FFF2-40B4-BE49-F238E27FC236}">
              <a16:creationId xmlns:a16="http://schemas.microsoft.com/office/drawing/2014/main" id="{BD7953E8-24FD-4E47-B8DD-19A4FAFDC1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09" name="Elipse 9908">
          <a:extLst>
            <a:ext uri="{FF2B5EF4-FFF2-40B4-BE49-F238E27FC236}">
              <a16:creationId xmlns:a16="http://schemas.microsoft.com/office/drawing/2014/main" id="{87C5FB9B-5A61-46FF-B952-F55515CD35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0" name="Elipse 9909">
          <a:extLst>
            <a:ext uri="{FF2B5EF4-FFF2-40B4-BE49-F238E27FC236}">
              <a16:creationId xmlns:a16="http://schemas.microsoft.com/office/drawing/2014/main" id="{7C1E40BA-2332-4E4A-A373-1A47CFFB3C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1" name="Elipse 9910">
          <a:extLst>
            <a:ext uri="{FF2B5EF4-FFF2-40B4-BE49-F238E27FC236}">
              <a16:creationId xmlns:a16="http://schemas.microsoft.com/office/drawing/2014/main" id="{539E4625-5DB2-4C3D-A9B2-3DA7DCD71B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2" name="Elipse 9911">
          <a:extLst>
            <a:ext uri="{FF2B5EF4-FFF2-40B4-BE49-F238E27FC236}">
              <a16:creationId xmlns:a16="http://schemas.microsoft.com/office/drawing/2014/main" id="{34B01921-64EC-456D-B4F2-CB5F6A43BD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3" name="Elipse 9912">
          <a:extLst>
            <a:ext uri="{FF2B5EF4-FFF2-40B4-BE49-F238E27FC236}">
              <a16:creationId xmlns:a16="http://schemas.microsoft.com/office/drawing/2014/main" id="{8232F5C1-77F0-43CC-AF47-5589346C6F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4" name="Elipse 9913">
          <a:extLst>
            <a:ext uri="{FF2B5EF4-FFF2-40B4-BE49-F238E27FC236}">
              <a16:creationId xmlns:a16="http://schemas.microsoft.com/office/drawing/2014/main" id="{2E59FA00-D02F-427C-95D8-99BB238827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5" name="Elipse 9914">
          <a:extLst>
            <a:ext uri="{FF2B5EF4-FFF2-40B4-BE49-F238E27FC236}">
              <a16:creationId xmlns:a16="http://schemas.microsoft.com/office/drawing/2014/main" id="{769030EB-DC20-439A-B2EA-8390FDF79C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6" name="Elipse 9915">
          <a:extLst>
            <a:ext uri="{FF2B5EF4-FFF2-40B4-BE49-F238E27FC236}">
              <a16:creationId xmlns:a16="http://schemas.microsoft.com/office/drawing/2014/main" id="{CFE3148E-FEBC-4363-A0AE-F76D51C330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7" name="Elipse 9916">
          <a:extLst>
            <a:ext uri="{FF2B5EF4-FFF2-40B4-BE49-F238E27FC236}">
              <a16:creationId xmlns:a16="http://schemas.microsoft.com/office/drawing/2014/main" id="{DC88E1C4-B355-4A99-92F4-F376B60458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8" name="Elipse 9917">
          <a:extLst>
            <a:ext uri="{FF2B5EF4-FFF2-40B4-BE49-F238E27FC236}">
              <a16:creationId xmlns:a16="http://schemas.microsoft.com/office/drawing/2014/main" id="{4B2A90D1-A0D8-4B1B-8244-B6F9F70884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19" name="Elipse 9918">
          <a:extLst>
            <a:ext uri="{FF2B5EF4-FFF2-40B4-BE49-F238E27FC236}">
              <a16:creationId xmlns:a16="http://schemas.microsoft.com/office/drawing/2014/main" id="{BD7DE4DA-0110-4454-93DC-FE8440EF53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0" name="Elipse 9919">
          <a:extLst>
            <a:ext uri="{FF2B5EF4-FFF2-40B4-BE49-F238E27FC236}">
              <a16:creationId xmlns:a16="http://schemas.microsoft.com/office/drawing/2014/main" id="{80B9B60C-3D92-431D-892C-2B44258CFB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1" name="Elipse 9920">
          <a:extLst>
            <a:ext uri="{FF2B5EF4-FFF2-40B4-BE49-F238E27FC236}">
              <a16:creationId xmlns:a16="http://schemas.microsoft.com/office/drawing/2014/main" id="{E904B705-1816-492F-A200-ABF4EC9DD3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2" name="Elipse 9921">
          <a:extLst>
            <a:ext uri="{FF2B5EF4-FFF2-40B4-BE49-F238E27FC236}">
              <a16:creationId xmlns:a16="http://schemas.microsoft.com/office/drawing/2014/main" id="{B72D5C19-E8EF-40A0-81C6-9F1813AF1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3" name="Elipse 9922">
          <a:extLst>
            <a:ext uri="{FF2B5EF4-FFF2-40B4-BE49-F238E27FC236}">
              <a16:creationId xmlns:a16="http://schemas.microsoft.com/office/drawing/2014/main" id="{935D9B7D-1DC9-40D7-8074-C353FC959B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4" name="Elipse 9923">
          <a:extLst>
            <a:ext uri="{FF2B5EF4-FFF2-40B4-BE49-F238E27FC236}">
              <a16:creationId xmlns:a16="http://schemas.microsoft.com/office/drawing/2014/main" id="{47536D23-DF65-41CE-A5AF-B44B8D67D6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5" name="Elipse 9924">
          <a:extLst>
            <a:ext uri="{FF2B5EF4-FFF2-40B4-BE49-F238E27FC236}">
              <a16:creationId xmlns:a16="http://schemas.microsoft.com/office/drawing/2014/main" id="{34AE6C2F-1786-4254-A5BC-DE7BEA4061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6" name="Elipse 9925">
          <a:extLst>
            <a:ext uri="{FF2B5EF4-FFF2-40B4-BE49-F238E27FC236}">
              <a16:creationId xmlns:a16="http://schemas.microsoft.com/office/drawing/2014/main" id="{1B0EE0B5-08C4-4158-A8C7-756F70AECC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7" name="Elipse 9926">
          <a:extLst>
            <a:ext uri="{FF2B5EF4-FFF2-40B4-BE49-F238E27FC236}">
              <a16:creationId xmlns:a16="http://schemas.microsoft.com/office/drawing/2014/main" id="{69604294-A8A4-4C75-A263-CE48FDB154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8" name="Elipse 9927">
          <a:extLst>
            <a:ext uri="{FF2B5EF4-FFF2-40B4-BE49-F238E27FC236}">
              <a16:creationId xmlns:a16="http://schemas.microsoft.com/office/drawing/2014/main" id="{B22D13AE-5C2B-4A53-9ED0-7C0405CE93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29" name="Elipse 9928">
          <a:extLst>
            <a:ext uri="{FF2B5EF4-FFF2-40B4-BE49-F238E27FC236}">
              <a16:creationId xmlns:a16="http://schemas.microsoft.com/office/drawing/2014/main" id="{927FB461-791E-4947-9756-77F3A6B3E8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0" name="Elipse 9929">
          <a:extLst>
            <a:ext uri="{FF2B5EF4-FFF2-40B4-BE49-F238E27FC236}">
              <a16:creationId xmlns:a16="http://schemas.microsoft.com/office/drawing/2014/main" id="{48057B5A-8D5B-40B7-9293-91E195AB0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1" name="Elipse 9930">
          <a:extLst>
            <a:ext uri="{FF2B5EF4-FFF2-40B4-BE49-F238E27FC236}">
              <a16:creationId xmlns:a16="http://schemas.microsoft.com/office/drawing/2014/main" id="{B1871776-D33F-4BD4-936A-DF82E067F4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2" name="Elipse 9931">
          <a:extLst>
            <a:ext uri="{FF2B5EF4-FFF2-40B4-BE49-F238E27FC236}">
              <a16:creationId xmlns:a16="http://schemas.microsoft.com/office/drawing/2014/main" id="{760CEDEE-25B4-4613-86BA-7B56443A24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3" name="Elipse 9932">
          <a:extLst>
            <a:ext uri="{FF2B5EF4-FFF2-40B4-BE49-F238E27FC236}">
              <a16:creationId xmlns:a16="http://schemas.microsoft.com/office/drawing/2014/main" id="{DD44891B-F59C-4264-A194-94EFCA5751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4" name="Elipse 9933">
          <a:extLst>
            <a:ext uri="{FF2B5EF4-FFF2-40B4-BE49-F238E27FC236}">
              <a16:creationId xmlns:a16="http://schemas.microsoft.com/office/drawing/2014/main" id="{1210B361-EE5C-4FFB-BFD7-978215591C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5" name="Elipse 9934">
          <a:extLst>
            <a:ext uri="{FF2B5EF4-FFF2-40B4-BE49-F238E27FC236}">
              <a16:creationId xmlns:a16="http://schemas.microsoft.com/office/drawing/2014/main" id="{467F4BCC-2BE6-423F-A5A1-BB04B4E47A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6" name="Elipse 9935">
          <a:extLst>
            <a:ext uri="{FF2B5EF4-FFF2-40B4-BE49-F238E27FC236}">
              <a16:creationId xmlns:a16="http://schemas.microsoft.com/office/drawing/2014/main" id="{7E1C8D68-2A6E-4A69-B260-65B82B14DF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7" name="Elipse 9936">
          <a:extLst>
            <a:ext uri="{FF2B5EF4-FFF2-40B4-BE49-F238E27FC236}">
              <a16:creationId xmlns:a16="http://schemas.microsoft.com/office/drawing/2014/main" id="{2CE3659F-AED2-4C7C-B40B-295C5A6D80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8" name="Elipse 9937">
          <a:extLst>
            <a:ext uri="{FF2B5EF4-FFF2-40B4-BE49-F238E27FC236}">
              <a16:creationId xmlns:a16="http://schemas.microsoft.com/office/drawing/2014/main" id="{04D10967-DEAF-4CEB-B355-04943DE878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39" name="Elipse 9938">
          <a:extLst>
            <a:ext uri="{FF2B5EF4-FFF2-40B4-BE49-F238E27FC236}">
              <a16:creationId xmlns:a16="http://schemas.microsoft.com/office/drawing/2014/main" id="{9EDC6E54-F72E-4A99-8BEF-CBBF8CF3B9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0" name="Elipse 9939">
          <a:extLst>
            <a:ext uri="{FF2B5EF4-FFF2-40B4-BE49-F238E27FC236}">
              <a16:creationId xmlns:a16="http://schemas.microsoft.com/office/drawing/2014/main" id="{81B2CB33-E09D-4B38-AF4A-AA6B6FA770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1" name="Elipse 9940">
          <a:extLst>
            <a:ext uri="{FF2B5EF4-FFF2-40B4-BE49-F238E27FC236}">
              <a16:creationId xmlns:a16="http://schemas.microsoft.com/office/drawing/2014/main" id="{305C7E5E-374D-4A2D-A950-0CC03B51A0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2" name="Elipse 9941">
          <a:extLst>
            <a:ext uri="{FF2B5EF4-FFF2-40B4-BE49-F238E27FC236}">
              <a16:creationId xmlns:a16="http://schemas.microsoft.com/office/drawing/2014/main" id="{19806FC6-236C-4744-8098-931F5F8179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3" name="Elipse 9942">
          <a:extLst>
            <a:ext uri="{FF2B5EF4-FFF2-40B4-BE49-F238E27FC236}">
              <a16:creationId xmlns:a16="http://schemas.microsoft.com/office/drawing/2014/main" id="{35F6482B-688D-4B26-90AE-37BC29D139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4" name="Elipse 9943">
          <a:extLst>
            <a:ext uri="{FF2B5EF4-FFF2-40B4-BE49-F238E27FC236}">
              <a16:creationId xmlns:a16="http://schemas.microsoft.com/office/drawing/2014/main" id="{031B2C93-6529-46B7-8391-32975C90B4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5" name="Elipse 9944">
          <a:extLst>
            <a:ext uri="{FF2B5EF4-FFF2-40B4-BE49-F238E27FC236}">
              <a16:creationId xmlns:a16="http://schemas.microsoft.com/office/drawing/2014/main" id="{6BCB9A05-B722-4266-A8B3-89960DDDF2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6" name="Elipse 9945">
          <a:extLst>
            <a:ext uri="{FF2B5EF4-FFF2-40B4-BE49-F238E27FC236}">
              <a16:creationId xmlns:a16="http://schemas.microsoft.com/office/drawing/2014/main" id="{77513E3F-187F-4E3F-8498-08F47159AF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7" name="Elipse 9946">
          <a:extLst>
            <a:ext uri="{FF2B5EF4-FFF2-40B4-BE49-F238E27FC236}">
              <a16:creationId xmlns:a16="http://schemas.microsoft.com/office/drawing/2014/main" id="{D3CB6D3D-CAF2-4B95-A28D-E88E683D6C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8" name="Elipse 9947">
          <a:extLst>
            <a:ext uri="{FF2B5EF4-FFF2-40B4-BE49-F238E27FC236}">
              <a16:creationId xmlns:a16="http://schemas.microsoft.com/office/drawing/2014/main" id="{E427ACFD-4070-4130-8701-F9F4245FA5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49" name="Elipse 9948">
          <a:extLst>
            <a:ext uri="{FF2B5EF4-FFF2-40B4-BE49-F238E27FC236}">
              <a16:creationId xmlns:a16="http://schemas.microsoft.com/office/drawing/2014/main" id="{3EF860C6-BC6D-4B84-B0A7-143B90E033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0" name="Elipse 9949">
          <a:extLst>
            <a:ext uri="{FF2B5EF4-FFF2-40B4-BE49-F238E27FC236}">
              <a16:creationId xmlns:a16="http://schemas.microsoft.com/office/drawing/2014/main" id="{24EC3CB7-875B-4097-B8BB-198EF7EAE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1" name="Elipse 9950">
          <a:extLst>
            <a:ext uri="{FF2B5EF4-FFF2-40B4-BE49-F238E27FC236}">
              <a16:creationId xmlns:a16="http://schemas.microsoft.com/office/drawing/2014/main" id="{1FC1BDDA-19BE-49A4-A8EA-0C84E8F105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2" name="Elipse 9951">
          <a:extLst>
            <a:ext uri="{FF2B5EF4-FFF2-40B4-BE49-F238E27FC236}">
              <a16:creationId xmlns:a16="http://schemas.microsoft.com/office/drawing/2014/main" id="{0F7005E1-D78B-4FF3-BF28-1EC309BEC6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3" name="Elipse 9952">
          <a:extLst>
            <a:ext uri="{FF2B5EF4-FFF2-40B4-BE49-F238E27FC236}">
              <a16:creationId xmlns:a16="http://schemas.microsoft.com/office/drawing/2014/main" id="{3D22CF4E-3567-46F1-8FA9-B248DA675C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4" name="Elipse 9953">
          <a:extLst>
            <a:ext uri="{FF2B5EF4-FFF2-40B4-BE49-F238E27FC236}">
              <a16:creationId xmlns:a16="http://schemas.microsoft.com/office/drawing/2014/main" id="{CE56966D-6781-4CA7-9078-B4787FF480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5" name="Elipse 9954">
          <a:extLst>
            <a:ext uri="{FF2B5EF4-FFF2-40B4-BE49-F238E27FC236}">
              <a16:creationId xmlns:a16="http://schemas.microsoft.com/office/drawing/2014/main" id="{4281B5B3-1A65-4855-A1F1-06BB0F9BD2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6" name="Elipse 9955">
          <a:extLst>
            <a:ext uri="{FF2B5EF4-FFF2-40B4-BE49-F238E27FC236}">
              <a16:creationId xmlns:a16="http://schemas.microsoft.com/office/drawing/2014/main" id="{97D84B54-144F-4060-9D88-27CC99E9D7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7" name="Elipse 9956">
          <a:extLst>
            <a:ext uri="{FF2B5EF4-FFF2-40B4-BE49-F238E27FC236}">
              <a16:creationId xmlns:a16="http://schemas.microsoft.com/office/drawing/2014/main" id="{39789117-F98B-420D-80D4-A7BA66E2AF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8" name="Elipse 9957">
          <a:extLst>
            <a:ext uri="{FF2B5EF4-FFF2-40B4-BE49-F238E27FC236}">
              <a16:creationId xmlns:a16="http://schemas.microsoft.com/office/drawing/2014/main" id="{711180AD-B0FB-4916-BAB1-1B468A6EE8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59" name="Elipse 9958">
          <a:extLst>
            <a:ext uri="{FF2B5EF4-FFF2-40B4-BE49-F238E27FC236}">
              <a16:creationId xmlns:a16="http://schemas.microsoft.com/office/drawing/2014/main" id="{16FBE800-BFAF-4857-BE55-71C0A922C4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0" name="Elipse 9959">
          <a:extLst>
            <a:ext uri="{FF2B5EF4-FFF2-40B4-BE49-F238E27FC236}">
              <a16:creationId xmlns:a16="http://schemas.microsoft.com/office/drawing/2014/main" id="{9B28CD30-F405-4B44-8AA0-28518E06DB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1" name="Elipse 9960">
          <a:extLst>
            <a:ext uri="{FF2B5EF4-FFF2-40B4-BE49-F238E27FC236}">
              <a16:creationId xmlns:a16="http://schemas.microsoft.com/office/drawing/2014/main" id="{6CABEA5C-D76F-48F2-B443-268CF49FD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2" name="Elipse 9961">
          <a:extLst>
            <a:ext uri="{FF2B5EF4-FFF2-40B4-BE49-F238E27FC236}">
              <a16:creationId xmlns:a16="http://schemas.microsoft.com/office/drawing/2014/main" id="{6C7E8AD2-24FB-43EE-B4B6-C6B816246E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3" name="Elipse 9962">
          <a:extLst>
            <a:ext uri="{FF2B5EF4-FFF2-40B4-BE49-F238E27FC236}">
              <a16:creationId xmlns:a16="http://schemas.microsoft.com/office/drawing/2014/main" id="{0097E447-1A21-4357-A65B-8C76509DD5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4" name="Elipse 9963">
          <a:extLst>
            <a:ext uri="{FF2B5EF4-FFF2-40B4-BE49-F238E27FC236}">
              <a16:creationId xmlns:a16="http://schemas.microsoft.com/office/drawing/2014/main" id="{92569CE1-AE72-4416-87CE-32BB0E82C7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5" name="Elipse 9964">
          <a:extLst>
            <a:ext uri="{FF2B5EF4-FFF2-40B4-BE49-F238E27FC236}">
              <a16:creationId xmlns:a16="http://schemas.microsoft.com/office/drawing/2014/main" id="{179729EA-A854-428E-9E71-BE97A05696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6" name="Elipse 9965">
          <a:extLst>
            <a:ext uri="{FF2B5EF4-FFF2-40B4-BE49-F238E27FC236}">
              <a16:creationId xmlns:a16="http://schemas.microsoft.com/office/drawing/2014/main" id="{9A2F4B69-F7D4-42FE-B552-9FEFAC8421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7" name="Elipse 9966">
          <a:extLst>
            <a:ext uri="{FF2B5EF4-FFF2-40B4-BE49-F238E27FC236}">
              <a16:creationId xmlns:a16="http://schemas.microsoft.com/office/drawing/2014/main" id="{02F16CB0-A4AA-48A8-9D44-D31ACE790F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8" name="Elipse 9967">
          <a:extLst>
            <a:ext uri="{FF2B5EF4-FFF2-40B4-BE49-F238E27FC236}">
              <a16:creationId xmlns:a16="http://schemas.microsoft.com/office/drawing/2014/main" id="{DB0E063D-163F-4074-B01A-BC3765BD70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69" name="Elipse 9968">
          <a:extLst>
            <a:ext uri="{FF2B5EF4-FFF2-40B4-BE49-F238E27FC236}">
              <a16:creationId xmlns:a16="http://schemas.microsoft.com/office/drawing/2014/main" id="{30F03CCE-3ED0-40A3-BDF8-34E1825B6B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0" name="Elipse 9969">
          <a:extLst>
            <a:ext uri="{FF2B5EF4-FFF2-40B4-BE49-F238E27FC236}">
              <a16:creationId xmlns:a16="http://schemas.microsoft.com/office/drawing/2014/main" id="{7C1A74FA-DA07-4306-A739-D117E08581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1" name="Elipse 9970">
          <a:extLst>
            <a:ext uri="{FF2B5EF4-FFF2-40B4-BE49-F238E27FC236}">
              <a16:creationId xmlns:a16="http://schemas.microsoft.com/office/drawing/2014/main" id="{76CE4504-9B09-4B51-8605-4A747F5292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2" name="Elipse 9971">
          <a:extLst>
            <a:ext uri="{FF2B5EF4-FFF2-40B4-BE49-F238E27FC236}">
              <a16:creationId xmlns:a16="http://schemas.microsoft.com/office/drawing/2014/main" id="{A41D4B64-1D8E-4F0A-B3B9-927AF59812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3" name="Elipse 9972">
          <a:extLst>
            <a:ext uri="{FF2B5EF4-FFF2-40B4-BE49-F238E27FC236}">
              <a16:creationId xmlns:a16="http://schemas.microsoft.com/office/drawing/2014/main" id="{572CCE44-778E-457A-A098-68042794AA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4" name="Elipse 9973">
          <a:extLst>
            <a:ext uri="{FF2B5EF4-FFF2-40B4-BE49-F238E27FC236}">
              <a16:creationId xmlns:a16="http://schemas.microsoft.com/office/drawing/2014/main" id="{72B7393B-B230-43EB-97A3-45F95490D1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5" name="Elipse 9974">
          <a:extLst>
            <a:ext uri="{FF2B5EF4-FFF2-40B4-BE49-F238E27FC236}">
              <a16:creationId xmlns:a16="http://schemas.microsoft.com/office/drawing/2014/main" id="{E5879C06-47A1-4160-90CA-B5B0C435FB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6" name="Elipse 9975">
          <a:extLst>
            <a:ext uri="{FF2B5EF4-FFF2-40B4-BE49-F238E27FC236}">
              <a16:creationId xmlns:a16="http://schemas.microsoft.com/office/drawing/2014/main" id="{84DDD113-4A50-4822-A98A-6443CCDAD5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7" name="Elipse 9976">
          <a:extLst>
            <a:ext uri="{FF2B5EF4-FFF2-40B4-BE49-F238E27FC236}">
              <a16:creationId xmlns:a16="http://schemas.microsoft.com/office/drawing/2014/main" id="{D43EFE8D-4762-4CA9-935D-589B093F05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8" name="Elipse 9977">
          <a:extLst>
            <a:ext uri="{FF2B5EF4-FFF2-40B4-BE49-F238E27FC236}">
              <a16:creationId xmlns:a16="http://schemas.microsoft.com/office/drawing/2014/main" id="{0B028E1D-8007-45B7-87E3-DEAF7541D1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79" name="Elipse 9978">
          <a:extLst>
            <a:ext uri="{FF2B5EF4-FFF2-40B4-BE49-F238E27FC236}">
              <a16:creationId xmlns:a16="http://schemas.microsoft.com/office/drawing/2014/main" id="{F2C5F9B8-C9C1-46D3-9938-D74275BDE1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0" name="Elipse 9979">
          <a:extLst>
            <a:ext uri="{FF2B5EF4-FFF2-40B4-BE49-F238E27FC236}">
              <a16:creationId xmlns:a16="http://schemas.microsoft.com/office/drawing/2014/main" id="{FB6312F0-8B95-49A5-A697-B429DD3AEE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1" name="Elipse 9980">
          <a:extLst>
            <a:ext uri="{FF2B5EF4-FFF2-40B4-BE49-F238E27FC236}">
              <a16:creationId xmlns:a16="http://schemas.microsoft.com/office/drawing/2014/main" id="{A33DD345-3177-4B67-9E0D-046C9D818A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2" name="Elipse 9981">
          <a:extLst>
            <a:ext uri="{FF2B5EF4-FFF2-40B4-BE49-F238E27FC236}">
              <a16:creationId xmlns:a16="http://schemas.microsoft.com/office/drawing/2014/main" id="{AE276CEF-11D6-447D-AB41-5BC965F73F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3" name="Elipse 9982">
          <a:extLst>
            <a:ext uri="{FF2B5EF4-FFF2-40B4-BE49-F238E27FC236}">
              <a16:creationId xmlns:a16="http://schemas.microsoft.com/office/drawing/2014/main" id="{49B244EB-2790-4DA5-A7ED-0BD3393A4E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4" name="Elipse 9983">
          <a:extLst>
            <a:ext uri="{FF2B5EF4-FFF2-40B4-BE49-F238E27FC236}">
              <a16:creationId xmlns:a16="http://schemas.microsoft.com/office/drawing/2014/main" id="{AEAFC05E-903F-49FA-9ACB-776C697A67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5" name="Elipse 9984">
          <a:extLst>
            <a:ext uri="{FF2B5EF4-FFF2-40B4-BE49-F238E27FC236}">
              <a16:creationId xmlns:a16="http://schemas.microsoft.com/office/drawing/2014/main" id="{BE4E05BA-ECBC-4DBA-B594-7D219F1C51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6" name="Elipse 9985">
          <a:extLst>
            <a:ext uri="{FF2B5EF4-FFF2-40B4-BE49-F238E27FC236}">
              <a16:creationId xmlns:a16="http://schemas.microsoft.com/office/drawing/2014/main" id="{9A6E13CE-4631-4CDE-B233-8EEEF7BB99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7" name="Elipse 9986">
          <a:extLst>
            <a:ext uri="{FF2B5EF4-FFF2-40B4-BE49-F238E27FC236}">
              <a16:creationId xmlns:a16="http://schemas.microsoft.com/office/drawing/2014/main" id="{13565EC5-E062-4E3B-AB88-E5E3669F97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8" name="Elipse 9987">
          <a:extLst>
            <a:ext uri="{FF2B5EF4-FFF2-40B4-BE49-F238E27FC236}">
              <a16:creationId xmlns:a16="http://schemas.microsoft.com/office/drawing/2014/main" id="{848033C6-4997-4C4F-B7EB-4FADE1EC75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89" name="Elipse 9988">
          <a:extLst>
            <a:ext uri="{FF2B5EF4-FFF2-40B4-BE49-F238E27FC236}">
              <a16:creationId xmlns:a16="http://schemas.microsoft.com/office/drawing/2014/main" id="{DEAAD43D-53FD-43B3-80DC-66A5EFAEAF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0" name="Elipse 9989">
          <a:extLst>
            <a:ext uri="{FF2B5EF4-FFF2-40B4-BE49-F238E27FC236}">
              <a16:creationId xmlns:a16="http://schemas.microsoft.com/office/drawing/2014/main" id="{89E41D13-7D52-4875-977E-ADA143E6E6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1" name="Elipse 9990">
          <a:extLst>
            <a:ext uri="{FF2B5EF4-FFF2-40B4-BE49-F238E27FC236}">
              <a16:creationId xmlns:a16="http://schemas.microsoft.com/office/drawing/2014/main" id="{C7E2EAD3-EB7A-40C9-9D17-7726236192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2" name="Elipse 9991">
          <a:extLst>
            <a:ext uri="{FF2B5EF4-FFF2-40B4-BE49-F238E27FC236}">
              <a16:creationId xmlns:a16="http://schemas.microsoft.com/office/drawing/2014/main" id="{1E056678-0FAF-47A6-90B0-09AED3E911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3" name="Elipse 9992">
          <a:extLst>
            <a:ext uri="{FF2B5EF4-FFF2-40B4-BE49-F238E27FC236}">
              <a16:creationId xmlns:a16="http://schemas.microsoft.com/office/drawing/2014/main" id="{E7D0080E-A361-4462-993C-7A5CB45DB3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4" name="Elipse 9993">
          <a:extLst>
            <a:ext uri="{FF2B5EF4-FFF2-40B4-BE49-F238E27FC236}">
              <a16:creationId xmlns:a16="http://schemas.microsoft.com/office/drawing/2014/main" id="{D2735361-4E90-4BE2-9FE9-556FB46E21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5" name="Elipse 9994">
          <a:extLst>
            <a:ext uri="{FF2B5EF4-FFF2-40B4-BE49-F238E27FC236}">
              <a16:creationId xmlns:a16="http://schemas.microsoft.com/office/drawing/2014/main" id="{0850024A-1AF0-4CD3-98C8-F362C13A00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6" name="Elipse 9995">
          <a:extLst>
            <a:ext uri="{FF2B5EF4-FFF2-40B4-BE49-F238E27FC236}">
              <a16:creationId xmlns:a16="http://schemas.microsoft.com/office/drawing/2014/main" id="{ADF4013F-AEDC-446B-BEB4-DF389952D3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7" name="Elipse 9996">
          <a:extLst>
            <a:ext uri="{FF2B5EF4-FFF2-40B4-BE49-F238E27FC236}">
              <a16:creationId xmlns:a16="http://schemas.microsoft.com/office/drawing/2014/main" id="{1AE0C443-DDFD-4CAD-A962-B3C000627B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8" name="Elipse 9997">
          <a:extLst>
            <a:ext uri="{FF2B5EF4-FFF2-40B4-BE49-F238E27FC236}">
              <a16:creationId xmlns:a16="http://schemas.microsoft.com/office/drawing/2014/main" id="{AD10B2AC-9605-49BB-9318-ACEC190FC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999" name="Elipse 9998">
          <a:extLst>
            <a:ext uri="{FF2B5EF4-FFF2-40B4-BE49-F238E27FC236}">
              <a16:creationId xmlns:a16="http://schemas.microsoft.com/office/drawing/2014/main" id="{C60472C9-0BFD-459C-BC15-E1197BB43C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0" name="Elipse 9999">
          <a:extLst>
            <a:ext uri="{FF2B5EF4-FFF2-40B4-BE49-F238E27FC236}">
              <a16:creationId xmlns:a16="http://schemas.microsoft.com/office/drawing/2014/main" id="{23F30386-6D64-4BC7-AE8D-AB13C1C78B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1" name="Elipse 10000">
          <a:extLst>
            <a:ext uri="{FF2B5EF4-FFF2-40B4-BE49-F238E27FC236}">
              <a16:creationId xmlns:a16="http://schemas.microsoft.com/office/drawing/2014/main" id="{C0FDF73B-D4D2-46AF-9004-9820AF8F62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2" name="Elipse 10001">
          <a:extLst>
            <a:ext uri="{FF2B5EF4-FFF2-40B4-BE49-F238E27FC236}">
              <a16:creationId xmlns:a16="http://schemas.microsoft.com/office/drawing/2014/main" id="{9D8696D2-CBC4-4625-A349-0E60DB4550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3" name="Elipse 10002">
          <a:extLst>
            <a:ext uri="{FF2B5EF4-FFF2-40B4-BE49-F238E27FC236}">
              <a16:creationId xmlns:a16="http://schemas.microsoft.com/office/drawing/2014/main" id="{6426CE22-0E23-47CB-81E8-C09E05DB53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4" name="Elipse 10003">
          <a:extLst>
            <a:ext uri="{FF2B5EF4-FFF2-40B4-BE49-F238E27FC236}">
              <a16:creationId xmlns:a16="http://schemas.microsoft.com/office/drawing/2014/main" id="{CA5C0E66-C04A-44B6-A3A7-572602CE34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5" name="Elipse 10004">
          <a:extLst>
            <a:ext uri="{FF2B5EF4-FFF2-40B4-BE49-F238E27FC236}">
              <a16:creationId xmlns:a16="http://schemas.microsoft.com/office/drawing/2014/main" id="{6D109B96-1E1D-4501-99C3-29334A04C0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6" name="Elipse 10005">
          <a:extLst>
            <a:ext uri="{FF2B5EF4-FFF2-40B4-BE49-F238E27FC236}">
              <a16:creationId xmlns:a16="http://schemas.microsoft.com/office/drawing/2014/main" id="{05BBFE79-8382-47E9-99BE-A4047A76A3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7" name="Elipse 10006">
          <a:extLst>
            <a:ext uri="{FF2B5EF4-FFF2-40B4-BE49-F238E27FC236}">
              <a16:creationId xmlns:a16="http://schemas.microsoft.com/office/drawing/2014/main" id="{659EF2D0-0365-4B81-BEA1-62F04EB08E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8" name="Elipse 10007">
          <a:extLst>
            <a:ext uri="{FF2B5EF4-FFF2-40B4-BE49-F238E27FC236}">
              <a16:creationId xmlns:a16="http://schemas.microsoft.com/office/drawing/2014/main" id="{B71CF7F0-20C3-47C7-88E1-9A906DEC79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09" name="Elipse 10008">
          <a:extLst>
            <a:ext uri="{FF2B5EF4-FFF2-40B4-BE49-F238E27FC236}">
              <a16:creationId xmlns:a16="http://schemas.microsoft.com/office/drawing/2014/main" id="{89BA25F1-41D0-40EA-9540-428532FE3A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0" name="Elipse 10009">
          <a:extLst>
            <a:ext uri="{FF2B5EF4-FFF2-40B4-BE49-F238E27FC236}">
              <a16:creationId xmlns:a16="http://schemas.microsoft.com/office/drawing/2014/main" id="{A5FC88D1-F889-4530-A7E2-34FD013654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1" name="Elipse 10010">
          <a:extLst>
            <a:ext uri="{FF2B5EF4-FFF2-40B4-BE49-F238E27FC236}">
              <a16:creationId xmlns:a16="http://schemas.microsoft.com/office/drawing/2014/main" id="{3B62436D-4AE6-4737-905D-C1B49CA6A3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2" name="Elipse 10011">
          <a:extLst>
            <a:ext uri="{FF2B5EF4-FFF2-40B4-BE49-F238E27FC236}">
              <a16:creationId xmlns:a16="http://schemas.microsoft.com/office/drawing/2014/main" id="{507790E4-CCB8-4558-A73A-34EBEB0581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3" name="Elipse 10012">
          <a:extLst>
            <a:ext uri="{FF2B5EF4-FFF2-40B4-BE49-F238E27FC236}">
              <a16:creationId xmlns:a16="http://schemas.microsoft.com/office/drawing/2014/main" id="{6CF85E39-D17B-426B-A6FC-5ADE39CD57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4" name="Elipse 10013">
          <a:extLst>
            <a:ext uri="{FF2B5EF4-FFF2-40B4-BE49-F238E27FC236}">
              <a16:creationId xmlns:a16="http://schemas.microsoft.com/office/drawing/2014/main" id="{34EE1F08-14D4-4CA8-9F11-E87F6FF521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5" name="Elipse 10014">
          <a:extLst>
            <a:ext uri="{FF2B5EF4-FFF2-40B4-BE49-F238E27FC236}">
              <a16:creationId xmlns:a16="http://schemas.microsoft.com/office/drawing/2014/main" id="{8806DCBD-635F-4293-B574-7A05D00FF8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6" name="Elipse 10015">
          <a:extLst>
            <a:ext uri="{FF2B5EF4-FFF2-40B4-BE49-F238E27FC236}">
              <a16:creationId xmlns:a16="http://schemas.microsoft.com/office/drawing/2014/main" id="{7D943671-870C-427E-9B28-8079945A0A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7" name="Elipse 10016">
          <a:extLst>
            <a:ext uri="{FF2B5EF4-FFF2-40B4-BE49-F238E27FC236}">
              <a16:creationId xmlns:a16="http://schemas.microsoft.com/office/drawing/2014/main" id="{7692CC72-9664-45A8-A5DB-8B7B2279ED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8" name="Elipse 10017">
          <a:extLst>
            <a:ext uri="{FF2B5EF4-FFF2-40B4-BE49-F238E27FC236}">
              <a16:creationId xmlns:a16="http://schemas.microsoft.com/office/drawing/2014/main" id="{A7108917-9713-494B-9978-BFF67A9F67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19" name="Elipse 10018">
          <a:extLst>
            <a:ext uri="{FF2B5EF4-FFF2-40B4-BE49-F238E27FC236}">
              <a16:creationId xmlns:a16="http://schemas.microsoft.com/office/drawing/2014/main" id="{2BB628DC-DF4E-497C-AC91-9271E59A1F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0" name="Elipse 10019">
          <a:extLst>
            <a:ext uri="{FF2B5EF4-FFF2-40B4-BE49-F238E27FC236}">
              <a16:creationId xmlns:a16="http://schemas.microsoft.com/office/drawing/2014/main" id="{0A8191E7-A18C-4554-B179-70010ECFBE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1" name="Elipse 10020">
          <a:extLst>
            <a:ext uri="{FF2B5EF4-FFF2-40B4-BE49-F238E27FC236}">
              <a16:creationId xmlns:a16="http://schemas.microsoft.com/office/drawing/2014/main" id="{72E71FCB-7867-4368-A56C-0E27F30A31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2" name="Elipse 10021">
          <a:extLst>
            <a:ext uri="{FF2B5EF4-FFF2-40B4-BE49-F238E27FC236}">
              <a16:creationId xmlns:a16="http://schemas.microsoft.com/office/drawing/2014/main" id="{4326AE5D-11B1-4BDB-BD2F-5F69381930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3" name="Elipse 10022">
          <a:extLst>
            <a:ext uri="{FF2B5EF4-FFF2-40B4-BE49-F238E27FC236}">
              <a16:creationId xmlns:a16="http://schemas.microsoft.com/office/drawing/2014/main" id="{1B180D35-D0B4-4C93-B4FE-2A3E63CD66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4" name="Elipse 10023">
          <a:extLst>
            <a:ext uri="{FF2B5EF4-FFF2-40B4-BE49-F238E27FC236}">
              <a16:creationId xmlns:a16="http://schemas.microsoft.com/office/drawing/2014/main" id="{54482DB7-D075-440C-AC21-6D340D6481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5" name="Elipse 10024">
          <a:extLst>
            <a:ext uri="{FF2B5EF4-FFF2-40B4-BE49-F238E27FC236}">
              <a16:creationId xmlns:a16="http://schemas.microsoft.com/office/drawing/2014/main" id="{DA1B6165-38B0-4840-8DEA-51D447CCCD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6" name="Elipse 10025">
          <a:extLst>
            <a:ext uri="{FF2B5EF4-FFF2-40B4-BE49-F238E27FC236}">
              <a16:creationId xmlns:a16="http://schemas.microsoft.com/office/drawing/2014/main" id="{906A9DA2-E763-4ECA-A463-1BA6E13022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7" name="Elipse 10026">
          <a:extLst>
            <a:ext uri="{FF2B5EF4-FFF2-40B4-BE49-F238E27FC236}">
              <a16:creationId xmlns:a16="http://schemas.microsoft.com/office/drawing/2014/main" id="{1A034372-4C9D-4F3A-9FBA-5DDE1D6E39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8" name="Elipse 10027">
          <a:extLst>
            <a:ext uri="{FF2B5EF4-FFF2-40B4-BE49-F238E27FC236}">
              <a16:creationId xmlns:a16="http://schemas.microsoft.com/office/drawing/2014/main" id="{2626B2E0-A4FD-4417-B178-019BCC72AD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29" name="Elipse 10028">
          <a:extLst>
            <a:ext uri="{FF2B5EF4-FFF2-40B4-BE49-F238E27FC236}">
              <a16:creationId xmlns:a16="http://schemas.microsoft.com/office/drawing/2014/main" id="{981398A7-7912-45B4-8A05-744471A040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0" name="Elipse 10029">
          <a:extLst>
            <a:ext uri="{FF2B5EF4-FFF2-40B4-BE49-F238E27FC236}">
              <a16:creationId xmlns:a16="http://schemas.microsoft.com/office/drawing/2014/main" id="{F402F541-9563-4974-AA4E-8E939C57CA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1" name="Elipse 10030">
          <a:extLst>
            <a:ext uri="{FF2B5EF4-FFF2-40B4-BE49-F238E27FC236}">
              <a16:creationId xmlns:a16="http://schemas.microsoft.com/office/drawing/2014/main" id="{3950CE86-8D23-48AF-BDFD-71DFDBA50E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2" name="Elipse 10031">
          <a:extLst>
            <a:ext uri="{FF2B5EF4-FFF2-40B4-BE49-F238E27FC236}">
              <a16:creationId xmlns:a16="http://schemas.microsoft.com/office/drawing/2014/main" id="{FB30CDB6-7614-4F0E-9FBB-5CC2BF7A84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3" name="Elipse 10032">
          <a:extLst>
            <a:ext uri="{FF2B5EF4-FFF2-40B4-BE49-F238E27FC236}">
              <a16:creationId xmlns:a16="http://schemas.microsoft.com/office/drawing/2014/main" id="{682A3CC0-078F-4BCD-BB85-2DDD05F6AE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4" name="Elipse 10033">
          <a:extLst>
            <a:ext uri="{FF2B5EF4-FFF2-40B4-BE49-F238E27FC236}">
              <a16:creationId xmlns:a16="http://schemas.microsoft.com/office/drawing/2014/main" id="{EFF0C346-CBDE-4B33-807B-BDA51D5815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5" name="Elipse 10034">
          <a:extLst>
            <a:ext uri="{FF2B5EF4-FFF2-40B4-BE49-F238E27FC236}">
              <a16:creationId xmlns:a16="http://schemas.microsoft.com/office/drawing/2014/main" id="{DC0D0EC2-2AD5-4655-8375-B5B48A1A2F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6" name="Elipse 10035">
          <a:extLst>
            <a:ext uri="{FF2B5EF4-FFF2-40B4-BE49-F238E27FC236}">
              <a16:creationId xmlns:a16="http://schemas.microsoft.com/office/drawing/2014/main" id="{DBBFCAFC-C0BD-4D7F-A4CC-729227E9B5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7" name="Elipse 10036">
          <a:extLst>
            <a:ext uri="{FF2B5EF4-FFF2-40B4-BE49-F238E27FC236}">
              <a16:creationId xmlns:a16="http://schemas.microsoft.com/office/drawing/2014/main" id="{24271149-427D-45AA-A652-B88A738917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8" name="Elipse 10037">
          <a:extLst>
            <a:ext uri="{FF2B5EF4-FFF2-40B4-BE49-F238E27FC236}">
              <a16:creationId xmlns:a16="http://schemas.microsoft.com/office/drawing/2014/main" id="{5773B0DD-4374-4327-AD89-1158795EF4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39" name="Elipse 10038">
          <a:extLst>
            <a:ext uri="{FF2B5EF4-FFF2-40B4-BE49-F238E27FC236}">
              <a16:creationId xmlns:a16="http://schemas.microsoft.com/office/drawing/2014/main" id="{632A1C52-D4C1-4AC9-BD9B-1A7C6C2B43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0" name="Elipse 10039">
          <a:extLst>
            <a:ext uri="{FF2B5EF4-FFF2-40B4-BE49-F238E27FC236}">
              <a16:creationId xmlns:a16="http://schemas.microsoft.com/office/drawing/2014/main" id="{090DD57B-0987-451A-9FD5-91845CA2E2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1" name="Elipse 10040">
          <a:extLst>
            <a:ext uri="{FF2B5EF4-FFF2-40B4-BE49-F238E27FC236}">
              <a16:creationId xmlns:a16="http://schemas.microsoft.com/office/drawing/2014/main" id="{D4ECEC79-2FA3-409C-9C4B-A342EA9532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2" name="Elipse 10041">
          <a:extLst>
            <a:ext uri="{FF2B5EF4-FFF2-40B4-BE49-F238E27FC236}">
              <a16:creationId xmlns:a16="http://schemas.microsoft.com/office/drawing/2014/main" id="{3D9CB591-7B05-4CA1-9C96-0DE651AE23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3" name="Elipse 10042">
          <a:extLst>
            <a:ext uri="{FF2B5EF4-FFF2-40B4-BE49-F238E27FC236}">
              <a16:creationId xmlns:a16="http://schemas.microsoft.com/office/drawing/2014/main" id="{1A7E3474-F364-4224-8F72-AAC3B64930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4" name="Elipse 10043">
          <a:extLst>
            <a:ext uri="{FF2B5EF4-FFF2-40B4-BE49-F238E27FC236}">
              <a16:creationId xmlns:a16="http://schemas.microsoft.com/office/drawing/2014/main" id="{1F919364-E02D-4052-8EB9-E8C00FC3AE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5" name="Elipse 10044">
          <a:extLst>
            <a:ext uri="{FF2B5EF4-FFF2-40B4-BE49-F238E27FC236}">
              <a16:creationId xmlns:a16="http://schemas.microsoft.com/office/drawing/2014/main" id="{40BF49E0-459B-4AC0-B39B-9C660FEF6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6" name="Elipse 10045">
          <a:extLst>
            <a:ext uri="{FF2B5EF4-FFF2-40B4-BE49-F238E27FC236}">
              <a16:creationId xmlns:a16="http://schemas.microsoft.com/office/drawing/2014/main" id="{B5D05D82-0594-4D05-BFEB-2D6099B01B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7" name="Elipse 10046">
          <a:extLst>
            <a:ext uri="{FF2B5EF4-FFF2-40B4-BE49-F238E27FC236}">
              <a16:creationId xmlns:a16="http://schemas.microsoft.com/office/drawing/2014/main" id="{63D8828D-AD51-4A89-9856-E6B1132BC2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8" name="Elipse 10047">
          <a:extLst>
            <a:ext uri="{FF2B5EF4-FFF2-40B4-BE49-F238E27FC236}">
              <a16:creationId xmlns:a16="http://schemas.microsoft.com/office/drawing/2014/main" id="{673E6402-6DE3-4DCB-9663-735A60A0F6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49" name="Elipse 10048">
          <a:extLst>
            <a:ext uri="{FF2B5EF4-FFF2-40B4-BE49-F238E27FC236}">
              <a16:creationId xmlns:a16="http://schemas.microsoft.com/office/drawing/2014/main" id="{93100439-062A-4954-8731-1E3A6AF756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0" name="Elipse 10049">
          <a:extLst>
            <a:ext uri="{FF2B5EF4-FFF2-40B4-BE49-F238E27FC236}">
              <a16:creationId xmlns:a16="http://schemas.microsoft.com/office/drawing/2014/main" id="{3C9FA996-D43C-41F5-AFF1-50662D8EDE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1" name="Elipse 10050">
          <a:extLst>
            <a:ext uri="{FF2B5EF4-FFF2-40B4-BE49-F238E27FC236}">
              <a16:creationId xmlns:a16="http://schemas.microsoft.com/office/drawing/2014/main" id="{7545639A-BBFD-41C9-A196-C9F31FF100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2" name="Elipse 10051">
          <a:extLst>
            <a:ext uri="{FF2B5EF4-FFF2-40B4-BE49-F238E27FC236}">
              <a16:creationId xmlns:a16="http://schemas.microsoft.com/office/drawing/2014/main" id="{2FBEFF31-CC53-4A3A-B51D-A1932613C0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3" name="Elipse 10052">
          <a:extLst>
            <a:ext uri="{FF2B5EF4-FFF2-40B4-BE49-F238E27FC236}">
              <a16:creationId xmlns:a16="http://schemas.microsoft.com/office/drawing/2014/main" id="{22A0D9AB-0EC3-47B1-9330-B7CF02ACD7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4" name="Elipse 10053">
          <a:extLst>
            <a:ext uri="{FF2B5EF4-FFF2-40B4-BE49-F238E27FC236}">
              <a16:creationId xmlns:a16="http://schemas.microsoft.com/office/drawing/2014/main" id="{95479FA4-E436-4A4D-90C0-E183E8309F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5" name="Elipse 10054">
          <a:extLst>
            <a:ext uri="{FF2B5EF4-FFF2-40B4-BE49-F238E27FC236}">
              <a16:creationId xmlns:a16="http://schemas.microsoft.com/office/drawing/2014/main" id="{EB578493-0246-4C51-8000-3ABE60E903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6" name="Elipse 10055">
          <a:extLst>
            <a:ext uri="{FF2B5EF4-FFF2-40B4-BE49-F238E27FC236}">
              <a16:creationId xmlns:a16="http://schemas.microsoft.com/office/drawing/2014/main" id="{D109164B-D610-4EE6-A69B-5DE394F85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7" name="Elipse 10056">
          <a:extLst>
            <a:ext uri="{FF2B5EF4-FFF2-40B4-BE49-F238E27FC236}">
              <a16:creationId xmlns:a16="http://schemas.microsoft.com/office/drawing/2014/main" id="{9A1AA8AB-A458-473D-BF9A-A8C7199849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8" name="Elipse 10057">
          <a:extLst>
            <a:ext uri="{FF2B5EF4-FFF2-40B4-BE49-F238E27FC236}">
              <a16:creationId xmlns:a16="http://schemas.microsoft.com/office/drawing/2014/main" id="{B53B95DD-2499-4261-9C35-AEB41A979E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59" name="Elipse 10058">
          <a:extLst>
            <a:ext uri="{FF2B5EF4-FFF2-40B4-BE49-F238E27FC236}">
              <a16:creationId xmlns:a16="http://schemas.microsoft.com/office/drawing/2014/main" id="{6FF8CF8A-2C43-4A38-BFA4-68A13258F2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0" name="Elipse 10059">
          <a:extLst>
            <a:ext uri="{FF2B5EF4-FFF2-40B4-BE49-F238E27FC236}">
              <a16:creationId xmlns:a16="http://schemas.microsoft.com/office/drawing/2014/main" id="{0FEF32DE-1432-47DA-9655-77CC50AE6F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1" name="Elipse 10060">
          <a:extLst>
            <a:ext uri="{FF2B5EF4-FFF2-40B4-BE49-F238E27FC236}">
              <a16:creationId xmlns:a16="http://schemas.microsoft.com/office/drawing/2014/main" id="{208006B1-FF2D-4B5E-AAE7-CA146F11EC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2" name="Elipse 10061">
          <a:extLst>
            <a:ext uri="{FF2B5EF4-FFF2-40B4-BE49-F238E27FC236}">
              <a16:creationId xmlns:a16="http://schemas.microsoft.com/office/drawing/2014/main" id="{32578BD8-4A37-4E5F-A628-CA60C4B67A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3" name="Elipse 10062">
          <a:extLst>
            <a:ext uri="{FF2B5EF4-FFF2-40B4-BE49-F238E27FC236}">
              <a16:creationId xmlns:a16="http://schemas.microsoft.com/office/drawing/2014/main" id="{0690A4C4-2D2A-4335-B852-D64B2DCF3F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4" name="Elipse 10063">
          <a:extLst>
            <a:ext uri="{FF2B5EF4-FFF2-40B4-BE49-F238E27FC236}">
              <a16:creationId xmlns:a16="http://schemas.microsoft.com/office/drawing/2014/main" id="{FBB1CFD2-CC13-4D65-B115-CD0D2E999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5" name="Elipse 10064">
          <a:extLst>
            <a:ext uri="{FF2B5EF4-FFF2-40B4-BE49-F238E27FC236}">
              <a16:creationId xmlns:a16="http://schemas.microsoft.com/office/drawing/2014/main" id="{8C36605E-6E6F-47FC-9526-089A350388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6" name="Elipse 10065">
          <a:extLst>
            <a:ext uri="{FF2B5EF4-FFF2-40B4-BE49-F238E27FC236}">
              <a16:creationId xmlns:a16="http://schemas.microsoft.com/office/drawing/2014/main" id="{2CDE413A-B9FE-4B80-A3BB-981FB249FF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7" name="Elipse 10066">
          <a:extLst>
            <a:ext uri="{FF2B5EF4-FFF2-40B4-BE49-F238E27FC236}">
              <a16:creationId xmlns:a16="http://schemas.microsoft.com/office/drawing/2014/main" id="{CBDD9D4C-E524-4B24-904F-76F992E354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8" name="Elipse 10067">
          <a:extLst>
            <a:ext uri="{FF2B5EF4-FFF2-40B4-BE49-F238E27FC236}">
              <a16:creationId xmlns:a16="http://schemas.microsoft.com/office/drawing/2014/main" id="{A7C0AF3F-FA6E-42DA-9284-B55080ED60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69" name="Elipse 10068">
          <a:extLst>
            <a:ext uri="{FF2B5EF4-FFF2-40B4-BE49-F238E27FC236}">
              <a16:creationId xmlns:a16="http://schemas.microsoft.com/office/drawing/2014/main" id="{F751F2AA-6BBF-440F-83C8-58A4A90BF1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0" name="Elipse 10069">
          <a:extLst>
            <a:ext uri="{FF2B5EF4-FFF2-40B4-BE49-F238E27FC236}">
              <a16:creationId xmlns:a16="http://schemas.microsoft.com/office/drawing/2014/main" id="{57F9FD3A-2B85-4338-8175-E75608B6BE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1" name="Elipse 10070">
          <a:extLst>
            <a:ext uri="{FF2B5EF4-FFF2-40B4-BE49-F238E27FC236}">
              <a16:creationId xmlns:a16="http://schemas.microsoft.com/office/drawing/2014/main" id="{E182452F-F149-4C61-9D52-71BE0E5521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2" name="Elipse 10071">
          <a:extLst>
            <a:ext uri="{FF2B5EF4-FFF2-40B4-BE49-F238E27FC236}">
              <a16:creationId xmlns:a16="http://schemas.microsoft.com/office/drawing/2014/main" id="{1D2B1F3C-954D-47E4-9372-6AE699C71A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3" name="Elipse 10072">
          <a:extLst>
            <a:ext uri="{FF2B5EF4-FFF2-40B4-BE49-F238E27FC236}">
              <a16:creationId xmlns:a16="http://schemas.microsoft.com/office/drawing/2014/main" id="{71A4F952-380B-4E4F-96F7-5816FFE2D3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4" name="Elipse 10073">
          <a:extLst>
            <a:ext uri="{FF2B5EF4-FFF2-40B4-BE49-F238E27FC236}">
              <a16:creationId xmlns:a16="http://schemas.microsoft.com/office/drawing/2014/main" id="{F99AAEC3-44FC-43D0-BBEB-17AC557CD0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5" name="Elipse 10074">
          <a:extLst>
            <a:ext uri="{FF2B5EF4-FFF2-40B4-BE49-F238E27FC236}">
              <a16:creationId xmlns:a16="http://schemas.microsoft.com/office/drawing/2014/main" id="{1736DF72-BD0D-4473-BCCF-8013E6A659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6" name="Elipse 10075">
          <a:extLst>
            <a:ext uri="{FF2B5EF4-FFF2-40B4-BE49-F238E27FC236}">
              <a16:creationId xmlns:a16="http://schemas.microsoft.com/office/drawing/2014/main" id="{99ADC0BE-96A9-4462-AB0E-1AE1168802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7" name="Elipse 10076">
          <a:extLst>
            <a:ext uri="{FF2B5EF4-FFF2-40B4-BE49-F238E27FC236}">
              <a16:creationId xmlns:a16="http://schemas.microsoft.com/office/drawing/2014/main" id="{C0A3F0E6-34EC-4471-BFE6-5537B74ECF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8" name="Elipse 10077">
          <a:extLst>
            <a:ext uri="{FF2B5EF4-FFF2-40B4-BE49-F238E27FC236}">
              <a16:creationId xmlns:a16="http://schemas.microsoft.com/office/drawing/2014/main" id="{4C3F7EFA-F310-441B-92B1-F7F0844D45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79" name="Elipse 10078">
          <a:extLst>
            <a:ext uri="{FF2B5EF4-FFF2-40B4-BE49-F238E27FC236}">
              <a16:creationId xmlns:a16="http://schemas.microsoft.com/office/drawing/2014/main" id="{EA9D5ADB-AA05-450E-A7A7-0DD27579E2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0" name="Elipse 10079">
          <a:extLst>
            <a:ext uri="{FF2B5EF4-FFF2-40B4-BE49-F238E27FC236}">
              <a16:creationId xmlns:a16="http://schemas.microsoft.com/office/drawing/2014/main" id="{DEA4D8D8-7B7B-4F2D-A3A3-5A71155431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1" name="Elipse 10080">
          <a:extLst>
            <a:ext uri="{FF2B5EF4-FFF2-40B4-BE49-F238E27FC236}">
              <a16:creationId xmlns:a16="http://schemas.microsoft.com/office/drawing/2014/main" id="{5BCB2C09-89FB-424E-857E-2B44C63503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2" name="Elipse 10081">
          <a:extLst>
            <a:ext uri="{FF2B5EF4-FFF2-40B4-BE49-F238E27FC236}">
              <a16:creationId xmlns:a16="http://schemas.microsoft.com/office/drawing/2014/main" id="{03BD974E-617B-438B-9BA2-7294EF1126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3" name="Elipse 10082">
          <a:extLst>
            <a:ext uri="{FF2B5EF4-FFF2-40B4-BE49-F238E27FC236}">
              <a16:creationId xmlns:a16="http://schemas.microsoft.com/office/drawing/2014/main" id="{F52661B7-88F3-4025-BE19-C2E7D21B03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4" name="Elipse 10083">
          <a:extLst>
            <a:ext uri="{FF2B5EF4-FFF2-40B4-BE49-F238E27FC236}">
              <a16:creationId xmlns:a16="http://schemas.microsoft.com/office/drawing/2014/main" id="{1AC62192-3EAE-4524-AC5F-01E04F1365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5" name="Elipse 10084">
          <a:extLst>
            <a:ext uri="{FF2B5EF4-FFF2-40B4-BE49-F238E27FC236}">
              <a16:creationId xmlns:a16="http://schemas.microsoft.com/office/drawing/2014/main" id="{B7B04786-82B0-47EA-A0EB-296A731B9A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6" name="Elipse 10085">
          <a:extLst>
            <a:ext uri="{FF2B5EF4-FFF2-40B4-BE49-F238E27FC236}">
              <a16:creationId xmlns:a16="http://schemas.microsoft.com/office/drawing/2014/main" id="{9E17C561-8F08-4EA8-A2C4-C3EE074460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7" name="Elipse 10086">
          <a:extLst>
            <a:ext uri="{FF2B5EF4-FFF2-40B4-BE49-F238E27FC236}">
              <a16:creationId xmlns:a16="http://schemas.microsoft.com/office/drawing/2014/main" id="{64F6485B-86E7-41AA-87BF-B6CE8E9C5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8" name="Elipse 10087">
          <a:extLst>
            <a:ext uri="{FF2B5EF4-FFF2-40B4-BE49-F238E27FC236}">
              <a16:creationId xmlns:a16="http://schemas.microsoft.com/office/drawing/2014/main" id="{D1BF3178-1141-4A1C-8C8F-07CA50D887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89" name="Elipse 10088">
          <a:extLst>
            <a:ext uri="{FF2B5EF4-FFF2-40B4-BE49-F238E27FC236}">
              <a16:creationId xmlns:a16="http://schemas.microsoft.com/office/drawing/2014/main" id="{6658C7CE-04A3-4421-B656-311AC78F91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0" name="Elipse 10089">
          <a:extLst>
            <a:ext uri="{FF2B5EF4-FFF2-40B4-BE49-F238E27FC236}">
              <a16:creationId xmlns:a16="http://schemas.microsoft.com/office/drawing/2014/main" id="{47FF9FD8-D1BB-45B1-A7EE-8931A87609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1" name="Elipse 10090">
          <a:extLst>
            <a:ext uri="{FF2B5EF4-FFF2-40B4-BE49-F238E27FC236}">
              <a16:creationId xmlns:a16="http://schemas.microsoft.com/office/drawing/2014/main" id="{ABD3CF0E-CE92-41E2-8BB2-2454273EBA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2" name="Elipse 10091">
          <a:extLst>
            <a:ext uri="{FF2B5EF4-FFF2-40B4-BE49-F238E27FC236}">
              <a16:creationId xmlns:a16="http://schemas.microsoft.com/office/drawing/2014/main" id="{6D42E49F-39AE-41AD-B47D-02A3316E18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3" name="Elipse 10092">
          <a:extLst>
            <a:ext uri="{FF2B5EF4-FFF2-40B4-BE49-F238E27FC236}">
              <a16:creationId xmlns:a16="http://schemas.microsoft.com/office/drawing/2014/main" id="{7E38C17E-B83A-4FED-AFBD-76866A5490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4" name="Elipse 10093">
          <a:extLst>
            <a:ext uri="{FF2B5EF4-FFF2-40B4-BE49-F238E27FC236}">
              <a16:creationId xmlns:a16="http://schemas.microsoft.com/office/drawing/2014/main" id="{16239844-6312-4DBE-963D-C3A4A279FB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5" name="Elipse 10094">
          <a:extLst>
            <a:ext uri="{FF2B5EF4-FFF2-40B4-BE49-F238E27FC236}">
              <a16:creationId xmlns:a16="http://schemas.microsoft.com/office/drawing/2014/main" id="{A5853E89-F713-49E1-8207-4632727460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6" name="Elipse 10095">
          <a:extLst>
            <a:ext uri="{FF2B5EF4-FFF2-40B4-BE49-F238E27FC236}">
              <a16:creationId xmlns:a16="http://schemas.microsoft.com/office/drawing/2014/main" id="{22445AB1-CFAE-4DE9-A0DE-9B1202772B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7" name="Elipse 10096">
          <a:extLst>
            <a:ext uri="{FF2B5EF4-FFF2-40B4-BE49-F238E27FC236}">
              <a16:creationId xmlns:a16="http://schemas.microsoft.com/office/drawing/2014/main" id="{E87B17DB-526C-40A1-8518-3404FF83A6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8" name="Elipse 10097">
          <a:extLst>
            <a:ext uri="{FF2B5EF4-FFF2-40B4-BE49-F238E27FC236}">
              <a16:creationId xmlns:a16="http://schemas.microsoft.com/office/drawing/2014/main" id="{EB36FB22-4895-41E0-B758-D88FEBDF19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099" name="Elipse 10098">
          <a:extLst>
            <a:ext uri="{FF2B5EF4-FFF2-40B4-BE49-F238E27FC236}">
              <a16:creationId xmlns:a16="http://schemas.microsoft.com/office/drawing/2014/main" id="{17504A0F-B49C-43CD-A8AA-FD4478F82C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0" name="Elipse 10099">
          <a:extLst>
            <a:ext uri="{FF2B5EF4-FFF2-40B4-BE49-F238E27FC236}">
              <a16:creationId xmlns:a16="http://schemas.microsoft.com/office/drawing/2014/main" id="{09E8028B-FF84-4F32-B95D-04C555A2C5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1" name="Elipse 10100">
          <a:extLst>
            <a:ext uri="{FF2B5EF4-FFF2-40B4-BE49-F238E27FC236}">
              <a16:creationId xmlns:a16="http://schemas.microsoft.com/office/drawing/2014/main" id="{2938F4CD-F5E5-477B-A9F0-7E4F58D9BE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2" name="Elipse 10101">
          <a:extLst>
            <a:ext uri="{FF2B5EF4-FFF2-40B4-BE49-F238E27FC236}">
              <a16:creationId xmlns:a16="http://schemas.microsoft.com/office/drawing/2014/main" id="{939BAA48-C9D5-48EE-BFBE-2B8F2C359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3" name="Elipse 10102">
          <a:extLst>
            <a:ext uri="{FF2B5EF4-FFF2-40B4-BE49-F238E27FC236}">
              <a16:creationId xmlns:a16="http://schemas.microsoft.com/office/drawing/2014/main" id="{4E0B0E58-44D8-4C35-8822-5DC4329ABD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4" name="Elipse 10103">
          <a:extLst>
            <a:ext uri="{FF2B5EF4-FFF2-40B4-BE49-F238E27FC236}">
              <a16:creationId xmlns:a16="http://schemas.microsoft.com/office/drawing/2014/main" id="{308276D3-07A3-401A-B629-9D325178D8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5" name="Elipse 10104">
          <a:extLst>
            <a:ext uri="{FF2B5EF4-FFF2-40B4-BE49-F238E27FC236}">
              <a16:creationId xmlns:a16="http://schemas.microsoft.com/office/drawing/2014/main" id="{71495A6A-40E9-45F4-BE1C-4B69E6A0FB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6" name="Elipse 10105">
          <a:extLst>
            <a:ext uri="{FF2B5EF4-FFF2-40B4-BE49-F238E27FC236}">
              <a16:creationId xmlns:a16="http://schemas.microsoft.com/office/drawing/2014/main" id="{EE59864B-1117-4AA1-ADC2-B7ACB09F17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7" name="Elipse 10106">
          <a:extLst>
            <a:ext uri="{FF2B5EF4-FFF2-40B4-BE49-F238E27FC236}">
              <a16:creationId xmlns:a16="http://schemas.microsoft.com/office/drawing/2014/main" id="{B664C71F-E5C4-416D-AF23-EA3E733ABE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8" name="Elipse 10107">
          <a:extLst>
            <a:ext uri="{FF2B5EF4-FFF2-40B4-BE49-F238E27FC236}">
              <a16:creationId xmlns:a16="http://schemas.microsoft.com/office/drawing/2014/main" id="{DBFEFE74-CBA7-48BA-8664-B68C998C63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09" name="Elipse 10108">
          <a:extLst>
            <a:ext uri="{FF2B5EF4-FFF2-40B4-BE49-F238E27FC236}">
              <a16:creationId xmlns:a16="http://schemas.microsoft.com/office/drawing/2014/main" id="{FAB72E14-2562-478D-898A-DFC11983D8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0" name="Elipse 10109">
          <a:extLst>
            <a:ext uri="{FF2B5EF4-FFF2-40B4-BE49-F238E27FC236}">
              <a16:creationId xmlns:a16="http://schemas.microsoft.com/office/drawing/2014/main" id="{4BE229AF-E246-47B1-9A8B-F672C46C8A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1" name="Elipse 10110">
          <a:extLst>
            <a:ext uri="{FF2B5EF4-FFF2-40B4-BE49-F238E27FC236}">
              <a16:creationId xmlns:a16="http://schemas.microsoft.com/office/drawing/2014/main" id="{E7872BE1-8CBE-4F35-9FC6-12E087328C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2" name="Elipse 10111">
          <a:extLst>
            <a:ext uri="{FF2B5EF4-FFF2-40B4-BE49-F238E27FC236}">
              <a16:creationId xmlns:a16="http://schemas.microsoft.com/office/drawing/2014/main" id="{303FE960-020E-430E-B0EB-BFCFC50B6D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3" name="Elipse 10112">
          <a:extLst>
            <a:ext uri="{FF2B5EF4-FFF2-40B4-BE49-F238E27FC236}">
              <a16:creationId xmlns:a16="http://schemas.microsoft.com/office/drawing/2014/main" id="{375850AC-71E7-4475-8FEE-DBC25EA554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4" name="Elipse 10113">
          <a:extLst>
            <a:ext uri="{FF2B5EF4-FFF2-40B4-BE49-F238E27FC236}">
              <a16:creationId xmlns:a16="http://schemas.microsoft.com/office/drawing/2014/main" id="{11759B43-05B7-4C71-9223-40EE1F385A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5" name="Elipse 10114">
          <a:extLst>
            <a:ext uri="{FF2B5EF4-FFF2-40B4-BE49-F238E27FC236}">
              <a16:creationId xmlns:a16="http://schemas.microsoft.com/office/drawing/2014/main" id="{66D4C670-8E3D-4DFC-AFC3-16DE66D23E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6" name="Elipse 10115">
          <a:extLst>
            <a:ext uri="{FF2B5EF4-FFF2-40B4-BE49-F238E27FC236}">
              <a16:creationId xmlns:a16="http://schemas.microsoft.com/office/drawing/2014/main" id="{86394C18-C238-4340-80A7-2222B80D85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7" name="Elipse 10116">
          <a:extLst>
            <a:ext uri="{FF2B5EF4-FFF2-40B4-BE49-F238E27FC236}">
              <a16:creationId xmlns:a16="http://schemas.microsoft.com/office/drawing/2014/main" id="{2E288C02-06E9-4B5A-8D24-53E9AE54ED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8" name="Elipse 10117">
          <a:extLst>
            <a:ext uri="{FF2B5EF4-FFF2-40B4-BE49-F238E27FC236}">
              <a16:creationId xmlns:a16="http://schemas.microsoft.com/office/drawing/2014/main" id="{1E2AD7CB-672B-4EC2-8D99-86051D13F7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19" name="Elipse 10118">
          <a:extLst>
            <a:ext uri="{FF2B5EF4-FFF2-40B4-BE49-F238E27FC236}">
              <a16:creationId xmlns:a16="http://schemas.microsoft.com/office/drawing/2014/main" id="{E31263D5-7D4F-42EE-A99B-2DE9A9F40E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0" name="Elipse 10119">
          <a:extLst>
            <a:ext uri="{FF2B5EF4-FFF2-40B4-BE49-F238E27FC236}">
              <a16:creationId xmlns:a16="http://schemas.microsoft.com/office/drawing/2014/main" id="{62F1BB81-958A-4F25-871B-89B22AF6E9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1" name="Elipse 10120">
          <a:extLst>
            <a:ext uri="{FF2B5EF4-FFF2-40B4-BE49-F238E27FC236}">
              <a16:creationId xmlns:a16="http://schemas.microsoft.com/office/drawing/2014/main" id="{540E8957-D6F9-4922-AB23-651E97A93C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2" name="Elipse 10121">
          <a:extLst>
            <a:ext uri="{FF2B5EF4-FFF2-40B4-BE49-F238E27FC236}">
              <a16:creationId xmlns:a16="http://schemas.microsoft.com/office/drawing/2014/main" id="{77BC7DD8-7A22-4DB4-8457-C1E147B81D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3" name="Elipse 10122">
          <a:extLst>
            <a:ext uri="{FF2B5EF4-FFF2-40B4-BE49-F238E27FC236}">
              <a16:creationId xmlns:a16="http://schemas.microsoft.com/office/drawing/2014/main" id="{7CB80FB9-E5B5-48B0-B05A-C310A114C5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4" name="Elipse 10123">
          <a:extLst>
            <a:ext uri="{FF2B5EF4-FFF2-40B4-BE49-F238E27FC236}">
              <a16:creationId xmlns:a16="http://schemas.microsoft.com/office/drawing/2014/main" id="{689C3D53-D10B-4A4D-90EB-71C0FE5D4E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5" name="Elipse 10124">
          <a:extLst>
            <a:ext uri="{FF2B5EF4-FFF2-40B4-BE49-F238E27FC236}">
              <a16:creationId xmlns:a16="http://schemas.microsoft.com/office/drawing/2014/main" id="{89C93EF9-64DE-4B22-879C-AB7A64FE4D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6" name="Elipse 10125">
          <a:extLst>
            <a:ext uri="{FF2B5EF4-FFF2-40B4-BE49-F238E27FC236}">
              <a16:creationId xmlns:a16="http://schemas.microsoft.com/office/drawing/2014/main" id="{72C71178-BCE4-4DAA-9B45-68C41CEEB1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7" name="Elipse 10126">
          <a:extLst>
            <a:ext uri="{FF2B5EF4-FFF2-40B4-BE49-F238E27FC236}">
              <a16:creationId xmlns:a16="http://schemas.microsoft.com/office/drawing/2014/main" id="{39695809-136C-4B7A-A7DA-0E262A7790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8" name="Elipse 10127">
          <a:extLst>
            <a:ext uri="{FF2B5EF4-FFF2-40B4-BE49-F238E27FC236}">
              <a16:creationId xmlns:a16="http://schemas.microsoft.com/office/drawing/2014/main" id="{A2854BCE-FE11-42DA-87E1-5CED269971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29" name="Elipse 10128">
          <a:extLst>
            <a:ext uri="{FF2B5EF4-FFF2-40B4-BE49-F238E27FC236}">
              <a16:creationId xmlns:a16="http://schemas.microsoft.com/office/drawing/2014/main" id="{F93A8374-C9E8-42E8-9A5B-040E4C59D7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0" name="Elipse 10129">
          <a:extLst>
            <a:ext uri="{FF2B5EF4-FFF2-40B4-BE49-F238E27FC236}">
              <a16:creationId xmlns:a16="http://schemas.microsoft.com/office/drawing/2014/main" id="{A1F9A59A-51AC-4191-9996-41DD31ACFA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1" name="Elipse 10130">
          <a:extLst>
            <a:ext uri="{FF2B5EF4-FFF2-40B4-BE49-F238E27FC236}">
              <a16:creationId xmlns:a16="http://schemas.microsoft.com/office/drawing/2014/main" id="{3D117D65-9782-4C27-9928-7AE58F7990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2" name="Elipse 10131">
          <a:extLst>
            <a:ext uri="{FF2B5EF4-FFF2-40B4-BE49-F238E27FC236}">
              <a16:creationId xmlns:a16="http://schemas.microsoft.com/office/drawing/2014/main" id="{8BB9F908-4444-4E28-ADE5-B2391B41E4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3" name="Elipse 10132">
          <a:extLst>
            <a:ext uri="{FF2B5EF4-FFF2-40B4-BE49-F238E27FC236}">
              <a16:creationId xmlns:a16="http://schemas.microsoft.com/office/drawing/2014/main" id="{C25EFD67-B301-4ACA-AB49-1FC5D5F081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4" name="Elipse 10133">
          <a:extLst>
            <a:ext uri="{FF2B5EF4-FFF2-40B4-BE49-F238E27FC236}">
              <a16:creationId xmlns:a16="http://schemas.microsoft.com/office/drawing/2014/main" id="{39B100E5-08C6-421D-94DC-8B1ADD8ACD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5" name="Elipse 10134">
          <a:extLst>
            <a:ext uri="{FF2B5EF4-FFF2-40B4-BE49-F238E27FC236}">
              <a16:creationId xmlns:a16="http://schemas.microsoft.com/office/drawing/2014/main" id="{022A272F-B82F-48E0-BE2B-40003C52FE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6" name="Elipse 10135">
          <a:extLst>
            <a:ext uri="{FF2B5EF4-FFF2-40B4-BE49-F238E27FC236}">
              <a16:creationId xmlns:a16="http://schemas.microsoft.com/office/drawing/2014/main" id="{D7E3E6F1-81C4-4026-A6DF-3CB9C6885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7" name="Elipse 10136">
          <a:extLst>
            <a:ext uri="{FF2B5EF4-FFF2-40B4-BE49-F238E27FC236}">
              <a16:creationId xmlns:a16="http://schemas.microsoft.com/office/drawing/2014/main" id="{3433742F-C05D-4887-9C5B-61C85B21B7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8" name="Elipse 10137">
          <a:extLst>
            <a:ext uri="{FF2B5EF4-FFF2-40B4-BE49-F238E27FC236}">
              <a16:creationId xmlns:a16="http://schemas.microsoft.com/office/drawing/2014/main" id="{DE66D4C2-86EE-4D02-BC66-1DAC06560E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39" name="Elipse 10138">
          <a:extLst>
            <a:ext uri="{FF2B5EF4-FFF2-40B4-BE49-F238E27FC236}">
              <a16:creationId xmlns:a16="http://schemas.microsoft.com/office/drawing/2014/main" id="{4AAD2B30-58C8-4422-8FBB-92DB7B840B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0" name="Elipse 10139">
          <a:extLst>
            <a:ext uri="{FF2B5EF4-FFF2-40B4-BE49-F238E27FC236}">
              <a16:creationId xmlns:a16="http://schemas.microsoft.com/office/drawing/2014/main" id="{E3CA868F-FDEA-4BD9-AE7B-0BD5DB881D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1" name="Elipse 10140">
          <a:extLst>
            <a:ext uri="{FF2B5EF4-FFF2-40B4-BE49-F238E27FC236}">
              <a16:creationId xmlns:a16="http://schemas.microsoft.com/office/drawing/2014/main" id="{A0F3A71C-4D0C-48DB-B574-183C6062F3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2" name="Elipse 10141">
          <a:extLst>
            <a:ext uri="{FF2B5EF4-FFF2-40B4-BE49-F238E27FC236}">
              <a16:creationId xmlns:a16="http://schemas.microsoft.com/office/drawing/2014/main" id="{BA8D828E-9E9E-4932-8DF1-744EB5702A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3" name="Elipse 10142">
          <a:extLst>
            <a:ext uri="{FF2B5EF4-FFF2-40B4-BE49-F238E27FC236}">
              <a16:creationId xmlns:a16="http://schemas.microsoft.com/office/drawing/2014/main" id="{6EF0E0A0-2C5C-4E2A-B95F-B087023D96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4" name="Elipse 10143">
          <a:extLst>
            <a:ext uri="{FF2B5EF4-FFF2-40B4-BE49-F238E27FC236}">
              <a16:creationId xmlns:a16="http://schemas.microsoft.com/office/drawing/2014/main" id="{02F4608F-F4B3-4E56-991E-150036A982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5" name="Elipse 10144">
          <a:extLst>
            <a:ext uri="{FF2B5EF4-FFF2-40B4-BE49-F238E27FC236}">
              <a16:creationId xmlns:a16="http://schemas.microsoft.com/office/drawing/2014/main" id="{2FA55748-6849-4DA9-9ADA-A5ACB10C75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6" name="Elipse 10145">
          <a:extLst>
            <a:ext uri="{FF2B5EF4-FFF2-40B4-BE49-F238E27FC236}">
              <a16:creationId xmlns:a16="http://schemas.microsoft.com/office/drawing/2014/main" id="{49353101-024C-4800-A011-AB89607D7A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7" name="Elipse 10146">
          <a:extLst>
            <a:ext uri="{FF2B5EF4-FFF2-40B4-BE49-F238E27FC236}">
              <a16:creationId xmlns:a16="http://schemas.microsoft.com/office/drawing/2014/main" id="{A468A554-9237-4BAE-A7AC-DFBE880973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8" name="Elipse 10147">
          <a:extLst>
            <a:ext uri="{FF2B5EF4-FFF2-40B4-BE49-F238E27FC236}">
              <a16:creationId xmlns:a16="http://schemas.microsoft.com/office/drawing/2014/main" id="{49851164-595C-4603-9B1C-54D9E424FE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49" name="Elipse 10148">
          <a:extLst>
            <a:ext uri="{FF2B5EF4-FFF2-40B4-BE49-F238E27FC236}">
              <a16:creationId xmlns:a16="http://schemas.microsoft.com/office/drawing/2014/main" id="{9E47E5B9-CBC5-43EC-AB5D-9A83B8147D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0" name="Elipse 10149">
          <a:extLst>
            <a:ext uri="{FF2B5EF4-FFF2-40B4-BE49-F238E27FC236}">
              <a16:creationId xmlns:a16="http://schemas.microsoft.com/office/drawing/2014/main" id="{9FAF8906-62F7-4BC5-A4E8-718F77209E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1" name="Elipse 10150">
          <a:extLst>
            <a:ext uri="{FF2B5EF4-FFF2-40B4-BE49-F238E27FC236}">
              <a16:creationId xmlns:a16="http://schemas.microsoft.com/office/drawing/2014/main" id="{5DCB5285-7CA6-4808-A661-1B32617466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2" name="Elipse 10151">
          <a:extLst>
            <a:ext uri="{FF2B5EF4-FFF2-40B4-BE49-F238E27FC236}">
              <a16:creationId xmlns:a16="http://schemas.microsoft.com/office/drawing/2014/main" id="{60E2B179-6D9D-4117-BC11-893E29ECDB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3" name="Elipse 10152">
          <a:extLst>
            <a:ext uri="{FF2B5EF4-FFF2-40B4-BE49-F238E27FC236}">
              <a16:creationId xmlns:a16="http://schemas.microsoft.com/office/drawing/2014/main" id="{CDD7B5AF-F23D-4394-B5D5-A22F6E9A64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4" name="Elipse 10153">
          <a:extLst>
            <a:ext uri="{FF2B5EF4-FFF2-40B4-BE49-F238E27FC236}">
              <a16:creationId xmlns:a16="http://schemas.microsoft.com/office/drawing/2014/main" id="{895FC99C-6CA7-4FD3-9EF5-479DA2D740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5" name="Elipse 10154">
          <a:extLst>
            <a:ext uri="{FF2B5EF4-FFF2-40B4-BE49-F238E27FC236}">
              <a16:creationId xmlns:a16="http://schemas.microsoft.com/office/drawing/2014/main" id="{9EDE3789-5126-4128-BAEA-2A7BC35F88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6" name="Elipse 10155">
          <a:extLst>
            <a:ext uri="{FF2B5EF4-FFF2-40B4-BE49-F238E27FC236}">
              <a16:creationId xmlns:a16="http://schemas.microsoft.com/office/drawing/2014/main" id="{BC6032B5-7D3A-4972-845C-B1CF0A276E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7" name="Elipse 10156">
          <a:extLst>
            <a:ext uri="{FF2B5EF4-FFF2-40B4-BE49-F238E27FC236}">
              <a16:creationId xmlns:a16="http://schemas.microsoft.com/office/drawing/2014/main" id="{71B9B36C-F956-48A4-A22D-9C63F89069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8" name="Elipse 10157">
          <a:extLst>
            <a:ext uri="{FF2B5EF4-FFF2-40B4-BE49-F238E27FC236}">
              <a16:creationId xmlns:a16="http://schemas.microsoft.com/office/drawing/2014/main" id="{6EFC8857-41EB-48DB-9C1F-50E4017D41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59" name="Elipse 10158">
          <a:extLst>
            <a:ext uri="{FF2B5EF4-FFF2-40B4-BE49-F238E27FC236}">
              <a16:creationId xmlns:a16="http://schemas.microsoft.com/office/drawing/2014/main" id="{BA82B93F-F07A-4049-9847-559493B48E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0" name="Elipse 10159">
          <a:extLst>
            <a:ext uri="{FF2B5EF4-FFF2-40B4-BE49-F238E27FC236}">
              <a16:creationId xmlns:a16="http://schemas.microsoft.com/office/drawing/2014/main" id="{F8F4A8E6-2EC3-41CF-A2D8-8CA791A9BA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1" name="Elipse 10160">
          <a:extLst>
            <a:ext uri="{FF2B5EF4-FFF2-40B4-BE49-F238E27FC236}">
              <a16:creationId xmlns:a16="http://schemas.microsoft.com/office/drawing/2014/main" id="{812184B1-A78E-4F9F-9A1A-51C23C18E9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2" name="Elipse 10161">
          <a:extLst>
            <a:ext uri="{FF2B5EF4-FFF2-40B4-BE49-F238E27FC236}">
              <a16:creationId xmlns:a16="http://schemas.microsoft.com/office/drawing/2014/main" id="{5B374420-671E-4BCE-B289-55A5B0C6C5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3" name="Elipse 10162">
          <a:extLst>
            <a:ext uri="{FF2B5EF4-FFF2-40B4-BE49-F238E27FC236}">
              <a16:creationId xmlns:a16="http://schemas.microsoft.com/office/drawing/2014/main" id="{268DA1DF-3A25-4B43-BDAE-6443520F3C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4" name="Elipse 10163">
          <a:extLst>
            <a:ext uri="{FF2B5EF4-FFF2-40B4-BE49-F238E27FC236}">
              <a16:creationId xmlns:a16="http://schemas.microsoft.com/office/drawing/2014/main" id="{84D44C70-B08E-4794-9678-1345EE22C0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5" name="Elipse 10164">
          <a:extLst>
            <a:ext uri="{FF2B5EF4-FFF2-40B4-BE49-F238E27FC236}">
              <a16:creationId xmlns:a16="http://schemas.microsoft.com/office/drawing/2014/main" id="{05C6D333-0C50-42FD-BA7C-6C8431B64D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6" name="Elipse 10165">
          <a:extLst>
            <a:ext uri="{FF2B5EF4-FFF2-40B4-BE49-F238E27FC236}">
              <a16:creationId xmlns:a16="http://schemas.microsoft.com/office/drawing/2014/main" id="{70AA318D-4EF3-4AAB-8D78-E8B8666116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7" name="Elipse 10166">
          <a:extLst>
            <a:ext uri="{FF2B5EF4-FFF2-40B4-BE49-F238E27FC236}">
              <a16:creationId xmlns:a16="http://schemas.microsoft.com/office/drawing/2014/main" id="{7422961E-0F6A-4C90-87B4-37AB2FD972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8" name="Elipse 10167">
          <a:extLst>
            <a:ext uri="{FF2B5EF4-FFF2-40B4-BE49-F238E27FC236}">
              <a16:creationId xmlns:a16="http://schemas.microsoft.com/office/drawing/2014/main" id="{E82483A0-CF00-4723-A438-9DB21E7962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69" name="Elipse 10168">
          <a:extLst>
            <a:ext uri="{FF2B5EF4-FFF2-40B4-BE49-F238E27FC236}">
              <a16:creationId xmlns:a16="http://schemas.microsoft.com/office/drawing/2014/main" id="{7AB0D78E-EB16-4CFD-992A-C543041659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0" name="Elipse 10169">
          <a:extLst>
            <a:ext uri="{FF2B5EF4-FFF2-40B4-BE49-F238E27FC236}">
              <a16:creationId xmlns:a16="http://schemas.microsoft.com/office/drawing/2014/main" id="{61D001C1-94E7-447C-8A55-EFCD8D15AA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1" name="Elipse 10170">
          <a:extLst>
            <a:ext uri="{FF2B5EF4-FFF2-40B4-BE49-F238E27FC236}">
              <a16:creationId xmlns:a16="http://schemas.microsoft.com/office/drawing/2014/main" id="{B56744E0-A346-4366-8641-388BD10338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2" name="Elipse 10171">
          <a:extLst>
            <a:ext uri="{FF2B5EF4-FFF2-40B4-BE49-F238E27FC236}">
              <a16:creationId xmlns:a16="http://schemas.microsoft.com/office/drawing/2014/main" id="{F29F256F-911E-4FF1-BC71-2EB5AF9545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3" name="Elipse 10172">
          <a:extLst>
            <a:ext uri="{FF2B5EF4-FFF2-40B4-BE49-F238E27FC236}">
              <a16:creationId xmlns:a16="http://schemas.microsoft.com/office/drawing/2014/main" id="{2996F747-E129-42B5-BC8F-2CBD363F89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4" name="Elipse 10173">
          <a:extLst>
            <a:ext uri="{FF2B5EF4-FFF2-40B4-BE49-F238E27FC236}">
              <a16:creationId xmlns:a16="http://schemas.microsoft.com/office/drawing/2014/main" id="{142862F2-5E0E-473F-BA4A-F28F8C445F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5" name="Elipse 10174">
          <a:extLst>
            <a:ext uri="{FF2B5EF4-FFF2-40B4-BE49-F238E27FC236}">
              <a16:creationId xmlns:a16="http://schemas.microsoft.com/office/drawing/2014/main" id="{D60B0330-9B59-46B0-BA70-FAC7CD375C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6" name="Elipse 10175">
          <a:extLst>
            <a:ext uri="{FF2B5EF4-FFF2-40B4-BE49-F238E27FC236}">
              <a16:creationId xmlns:a16="http://schemas.microsoft.com/office/drawing/2014/main" id="{F001A392-6AF4-46C1-94C0-8037178757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7" name="Elipse 10176">
          <a:extLst>
            <a:ext uri="{FF2B5EF4-FFF2-40B4-BE49-F238E27FC236}">
              <a16:creationId xmlns:a16="http://schemas.microsoft.com/office/drawing/2014/main" id="{8FBC6F00-B851-4720-A076-4C050A20FD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8" name="Elipse 10177">
          <a:extLst>
            <a:ext uri="{FF2B5EF4-FFF2-40B4-BE49-F238E27FC236}">
              <a16:creationId xmlns:a16="http://schemas.microsoft.com/office/drawing/2014/main" id="{EAD8FE30-ABF7-4519-A650-2D7CF638CC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79" name="Elipse 10178">
          <a:extLst>
            <a:ext uri="{FF2B5EF4-FFF2-40B4-BE49-F238E27FC236}">
              <a16:creationId xmlns:a16="http://schemas.microsoft.com/office/drawing/2014/main" id="{44CC7C4F-C085-4D14-A9AA-8E466EF6DA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0" name="Elipse 10179">
          <a:extLst>
            <a:ext uri="{FF2B5EF4-FFF2-40B4-BE49-F238E27FC236}">
              <a16:creationId xmlns:a16="http://schemas.microsoft.com/office/drawing/2014/main" id="{0C14A43F-C7A6-4BFC-9AC7-6F6E9BF0AF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1" name="Elipse 10180">
          <a:extLst>
            <a:ext uri="{FF2B5EF4-FFF2-40B4-BE49-F238E27FC236}">
              <a16:creationId xmlns:a16="http://schemas.microsoft.com/office/drawing/2014/main" id="{C3B8392A-18AC-4012-959B-7773002006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2" name="Elipse 10181">
          <a:extLst>
            <a:ext uri="{FF2B5EF4-FFF2-40B4-BE49-F238E27FC236}">
              <a16:creationId xmlns:a16="http://schemas.microsoft.com/office/drawing/2014/main" id="{7B5E4D04-CAC0-4EA4-B9CA-90639E881B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3" name="Elipse 10182">
          <a:extLst>
            <a:ext uri="{FF2B5EF4-FFF2-40B4-BE49-F238E27FC236}">
              <a16:creationId xmlns:a16="http://schemas.microsoft.com/office/drawing/2014/main" id="{54B2B88C-800E-41D8-908A-7A7ECF7CAF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4" name="Elipse 10183">
          <a:extLst>
            <a:ext uri="{FF2B5EF4-FFF2-40B4-BE49-F238E27FC236}">
              <a16:creationId xmlns:a16="http://schemas.microsoft.com/office/drawing/2014/main" id="{0E3348F9-60B1-4BD8-BE75-D5654A7E4F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5" name="Elipse 10184">
          <a:extLst>
            <a:ext uri="{FF2B5EF4-FFF2-40B4-BE49-F238E27FC236}">
              <a16:creationId xmlns:a16="http://schemas.microsoft.com/office/drawing/2014/main" id="{14885511-902C-413D-9BD0-C461785247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6" name="Elipse 10185">
          <a:extLst>
            <a:ext uri="{FF2B5EF4-FFF2-40B4-BE49-F238E27FC236}">
              <a16:creationId xmlns:a16="http://schemas.microsoft.com/office/drawing/2014/main" id="{2F36F57A-E6CD-4736-B12E-B393FFE936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7" name="Elipse 10186">
          <a:extLst>
            <a:ext uri="{FF2B5EF4-FFF2-40B4-BE49-F238E27FC236}">
              <a16:creationId xmlns:a16="http://schemas.microsoft.com/office/drawing/2014/main" id="{E3DC7AEB-F384-4EEB-AB54-2D89FE893E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8" name="Elipse 10187">
          <a:extLst>
            <a:ext uri="{FF2B5EF4-FFF2-40B4-BE49-F238E27FC236}">
              <a16:creationId xmlns:a16="http://schemas.microsoft.com/office/drawing/2014/main" id="{B4DFEDAE-D4AE-433A-A0F9-B7B637CE05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89" name="Elipse 10188">
          <a:extLst>
            <a:ext uri="{FF2B5EF4-FFF2-40B4-BE49-F238E27FC236}">
              <a16:creationId xmlns:a16="http://schemas.microsoft.com/office/drawing/2014/main" id="{DCCA3794-BA06-4325-8281-1EFA99BCA1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0" name="Elipse 10189">
          <a:extLst>
            <a:ext uri="{FF2B5EF4-FFF2-40B4-BE49-F238E27FC236}">
              <a16:creationId xmlns:a16="http://schemas.microsoft.com/office/drawing/2014/main" id="{0694EAC5-54EA-4D00-B104-D4347DA0F1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1" name="Elipse 10190">
          <a:extLst>
            <a:ext uri="{FF2B5EF4-FFF2-40B4-BE49-F238E27FC236}">
              <a16:creationId xmlns:a16="http://schemas.microsoft.com/office/drawing/2014/main" id="{EF49D12B-A33D-4497-BCF0-9283E5E1F6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2" name="Elipse 10191">
          <a:extLst>
            <a:ext uri="{FF2B5EF4-FFF2-40B4-BE49-F238E27FC236}">
              <a16:creationId xmlns:a16="http://schemas.microsoft.com/office/drawing/2014/main" id="{293154D9-428C-4F41-986E-88F8071882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3" name="Elipse 10192">
          <a:extLst>
            <a:ext uri="{FF2B5EF4-FFF2-40B4-BE49-F238E27FC236}">
              <a16:creationId xmlns:a16="http://schemas.microsoft.com/office/drawing/2014/main" id="{B446A219-AA04-4F0D-8793-CB353F4F69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4" name="Elipse 10193">
          <a:extLst>
            <a:ext uri="{FF2B5EF4-FFF2-40B4-BE49-F238E27FC236}">
              <a16:creationId xmlns:a16="http://schemas.microsoft.com/office/drawing/2014/main" id="{9C38DDE7-ED81-4CB9-8C32-C5F6015E71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5" name="Elipse 10194">
          <a:extLst>
            <a:ext uri="{FF2B5EF4-FFF2-40B4-BE49-F238E27FC236}">
              <a16:creationId xmlns:a16="http://schemas.microsoft.com/office/drawing/2014/main" id="{BCD67B8A-FE94-4490-A097-091759C093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6" name="Elipse 10195">
          <a:extLst>
            <a:ext uri="{FF2B5EF4-FFF2-40B4-BE49-F238E27FC236}">
              <a16:creationId xmlns:a16="http://schemas.microsoft.com/office/drawing/2014/main" id="{404980E1-BA38-43B0-A4A7-BF376CB341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7" name="Elipse 10196">
          <a:extLst>
            <a:ext uri="{FF2B5EF4-FFF2-40B4-BE49-F238E27FC236}">
              <a16:creationId xmlns:a16="http://schemas.microsoft.com/office/drawing/2014/main" id="{C4745530-51B7-47AB-B3E7-A70244D542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8" name="Elipse 10197">
          <a:extLst>
            <a:ext uri="{FF2B5EF4-FFF2-40B4-BE49-F238E27FC236}">
              <a16:creationId xmlns:a16="http://schemas.microsoft.com/office/drawing/2014/main" id="{E37A5F75-C1BA-4267-8DCF-0F882F536F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199" name="Elipse 10198">
          <a:extLst>
            <a:ext uri="{FF2B5EF4-FFF2-40B4-BE49-F238E27FC236}">
              <a16:creationId xmlns:a16="http://schemas.microsoft.com/office/drawing/2014/main" id="{021A0001-6487-4D03-A12C-1B4C2BBEB2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0" name="Elipse 10199">
          <a:extLst>
            <a:ext uri="{FF2B5EF4-FFF2-40B4-BE49-F238E27FC236}">
              <a16:creationId xmlns:a16="http://schemas.microsoft.com/office/drawing/2014/main" id="{FCD4F94B-52A1-4C18-BB71-6C16D70DF1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1" name="Elipse 10200">
          <a:extLst>
            <a:ext uri="{FF2B5EF4-FFF2-40B4-BE49-F238E27FC236}">
              <a16:creationId xmlns:a16="http://schemas.microsoft.com/office/drawing/2014/main" id="{E282A36A-42C4-4B85-A44F-89E59DBEC9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2" name="Elipse 10201">
          <a:extLst>
            <a:ext uri="{FF2B5EF4-FFF2-40B4-BE49-F238E27FC236}">
              <a16:creationId xmlns:a16="http://schemas.microsoft.com/office/drawing/2014/main" id="{C2CD841F-A19E-4159-8586-E227671552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3" name="Elipse 10202">
          <a:extLst>
            <a:ext uri="{FF2B5EF4-FFF2-40B4-BE49-F238E27FC236}">
              <a16:creationId xmlns:a16="http://schemas.microsoft.com/office/drawing/2014/main" id="{2D1CEB90-34DD-43C3-AD05-48E3CD58E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4" name="Elipse 10203">
          <a:extLst>
            <a:ext uri="{FF2B5EF4-FFF2-40B4-BE49-F238E27FC236}">
              <a16:creationId xmlns:a16="http://schemas.microsoft.com/office/drawing/2014/main" id="{39B2009B-5B29-435C-940E-86C8B7FA6B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5" name="Elipse 10204">
          <a:extLst>
            <a:ext uri="{FF2B5EF4-FFF2-40B4-BE49-F238E27FC236}">
              <a16:creationId xmlns:a16="http://schemas.microsoft.com/office/drawing/2014/main" id="{1B5DCDEE-0F1A-4A83-BDBD-78FF9B26F2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6" name="Elipse 10205">
          <a:extLst>
            <a:ext uri="{FF2B5EF4-FFF2-40B4-BE49-F238E27FC236}">
              <a16:creationId xmlns:a16="http://schemas.microsoft.com/office/drawing/2014/main" id="{610AF1A5-0380-432F-A8FE-A3E078B135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7" name="Elipse 10206">
          <a:extLst>
            <a:ext uri="{FF2B5EF4-FFF2-40B4-BE49-F238E27FC236}">
              <a16:creationId xmlns:a16="http://schemas.microsoft.com/office/drawing/2014/main" id="{7901B7F3-4F7D-43D8-9631-20F036E269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8" name="Elipse 10207">
          <a:extLst>
            <a:ext uri="{FF2B5EF4-FFF2-40B4-BE49-F238E27FC236}">
              <a16:creationId xmlns:a16="http://schemas.microsoft.com/office/drawing/2014/main" id="{ADA08B0C-C138-4D5A-80AC-2886F3374A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09" name="Elipse 10208">
          <a:extLst>
            <a:ext uri="{FF2B5EF4-FFF2-40B4-BE49-F238E27FC236}">
              <a16:creationId xmlns:a16="http://schemas.microsoft.com/office/drawing/2014/main" id="{87BD11AA-ACEF-4323-BDA1-39BD4292D8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0" name="Elipse 10209">
          <a:extLst>
            <a:ext uri="{FF2B5EF4-FFF2-40B4-BE49-F238E27FC236}">
              <a16:creationId xmlns:a16="http://schemas.microsoft.com/office/drawing/2014/main" id="{EDA64111-D189-49B6-BCBA-A0AFCFE215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1" name="Elipse 10210">
          <a:extLst>
            <a:ext uri="{FF2B5EF4-FFF2-40B4-BE49-F238E27FC236}">
              <a16:creationId xmlns:a16="http://schemas.microsoft.com/office/drawing/2014/main" id="{21ABC337-7D80-4EFD-9943-76072A6FE8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2" name="Elipse 10211">
          <a:extLst>
            <a:ext uri="{FF2B5EF4-FFF2-40B4-BE49-F238E27FC236}">
              <a16:creationId xmlns:a16="http://schemas.microsoft.com/office/drawing/2014/main" id="{720C8FEB-EA33-41FB-9B28-5591FCEFAB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3" name="Elipse 10212">
          <a:extLst>
            <a:ext uri="{FF2B5EF4-FFF2-40B4-BE49-F238E27FC236}">
              <a16:creationId xmlns:a16="http://schemas.microsoft.com/office/drawing/2014/main" id="{7A369AFE-670B-4625-89B7-FC15D2AB78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4" name="Elipse 10213">
          <a:extLst>
            <a:ext uri="{FF2B5EF4-FFF2-40B4-BE49-F238E27FC236}">
              <a16:creationId xmlns:a16="http://schemas.microsoft.com/office/drawing/2014/main" id="{4ABE1AF1-AFBC-40F1-9725-EB44AA5E2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5" name="Elipse 10214">
          <a:extLst>
            <a:ext uri="{FF2B5EF4-FFF2-40B4-BE49-F238E27FC236}">
              <a16:creationId xmlns:a16="http://schemas.microsoft.com/office/drawing/2014/main" id="{B1102C29-5B78-4788-84A1-DCA3589C8D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6" name="Elipse 10215">
          <a:extLst>
            <a:ext uri="{FF2B5EF4-FFF2-40B4-BE49-F238E27FC236}">
              <a16:creationId xmlns:a16="http://schemas.microsoft.com/office/drawing/2014/main" id="{886F81D9-6D7D-4790-935E-2BD7E2C876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7" name="Elipse 10216">
          <a:extLst>
            <a:ext uri="{FF2B5EF4-FFF2-40B4-BE49-F238E27FC236}">
              <a16:creationId xmlns:a16="http://schemas.microsoft.com/office/drawing/2014/main" id="{3EDA86A6-4682-402F-A1AE-99F075883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8" name="Elipse 10217">
          <a:extLst>
            <a:ext uri="{FF2B5EF4-FFF2-40B4-BE49-F238E27FC236}">
              <a16:creationId xmlns:a16="http://schemas.microsoft.com/office/drawing/2014/main" id="{2F111B21-1CFB-448C-8830-CE60E247C5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19" name="Elipse 10218">
          <a:extLst>
            <a:ext uri="{FF2B5EF4-FFF2-40B4-BE49-F238E27FC236}">
              <a16:creationId xmlns:a16="http://schemas.microsoft.com/office/drawing/2014/main" id="{72AA8596-A3D9-4E49-9579-EBB32268B3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0" name="Elipse 10219">
          <a:extLst>
            <a:ext uri="{FF2B5EF4-FFF2-40B4-BE49-F238E27FC236}">
              <a16:creationId xmlns:a16="http://schemas.microsoft.com/office/drawing/2014/main" id="{E7F8BB97-9F23-4FB6-867D-940B518402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1" name="Elipse 10220">
          <a:extLst>
            <a:ext uri="{FF2B5EF4-FFF2-40B4-BE49-F238E27FC236}">
              <a16:creationId xmlns:a16="http://schemas.microsoft.com/office/drawing/2014/main" id="{5F9DB8E0-C90B-493A-8434-11890AA657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2" name="Elipse 10221">
          <a:extLst>
            <a:ext uri="{FF2B5EF4-FFF2-40B4-BE49-F238E27FC236}">
              <a16:creationId xmlns:a16="http://schemas.microsoft.com/office/drawing/2014/main" id="{927BE548-483F-4BAD-A37D-761C6B4D0B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3" name="Elipse 10222">
          <a:extLst>
            <a:ext uri="{FF2B5EF4-FFF2-40B4-BE49-F238E27FC236}">
              <a16:creationId xmlns:a16="http://schemas.microsoft.com/office/drawing/2014/main" id="{97D4FF20-7AC5-4BDE-AC5B-8F53065621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4" name="Elipse 10223">
          <a:extLst>
            <a:ext uri="{FF2B5EF4-FFF2-40B4-BE49-F238E27FC236}">
              <a16:creationId xmlns:a16="http://schemas.microsoft.com/office/drawing/2014/main" id="{B7A94620-8E3B-4E90-A925-5E8F5578E4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5" name="Elipse 10224">
          <a:extLst>
            <a:ext uri="{FF2B5EF4-FFF2-40B4-BE49-F238E27FC236}">
              <a16:creationId xmlns:a16="http://schemas.microsoft.com/office/drawing/2014/main" id="{535B0140-ABFC-43B5-91B4-EC4ACF33A8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6" name="Elipse 10225">
          <a:extLst>
            <a:ext uri="{FF2B5EF4-FFF2-40B4-BE49-F238E27FC236}">
              <a16:creationId xmlns:a16="http://schemas.microsoft.com/office/drawing/2014/main" id="{2A9731C5-E03F-436A-8C0A-F29A06B16C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7" name="Elipse 10226">
          <a:extLst>
            <a:ext uri="{FF2B5EF4-FFF2-40B4-BE49-F238E27FC236}">
              <a16:creationId xmlns:a16="http://schemas.microsoft.com/office/drawing/2014/main" id="{06605113-7060-4157-998A-1F10DC6983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8" name="Elipse 10227">
          <a:extLst>
            <a:ext uri="{FF2B5EF4-FFF2-40B4-BE49-F238E27FC236}">
              <a16:creationId xmlns:a16="http://schemas.microsoft.com/office/drawing/2014/main" id="{A8DE9995-158C-435A-931D-5A3DA1F763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29" name="Elipse 10228">
          <a:extLst>
            <a:ext uri="{FF2B5EF4-FFF2-40B4-BE49-F238E27FC236}">
              <a16:creationId xmlns:a16="http://schemas.microsoft.com/office/drawing/2014/main" id="{95D785DF-3563-47DB-87D1-8AC0403D33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0" name="Elipse 10229">
          <a:extLst>
            <a:ext uri="{FF2B5EF4-FFF2-40B4-BE49-F238E27FC236}">
              <a16:creationId xmlns:a16="http://schemas.microsoft.com/office/drawing/2014/main" id="{E63BFA7D-5F04-490F-8E19-C1D39A5751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1" name="Elipse 10230">
          <a:extLst>
            <a:ext uri="{FF2B5EF4-FFF2-40B4-BE49-F238E27FC236}">
              <a16:creationId xmlns:a16="http://schemas.microsoft.com/office/drawing/2014/main" id="{C564157B-A1BA-48EA-9E92-5B571F143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2" name="Elipse 10231">
          <a:extLst>
            <a:ext uri="{FF2B5EF4-FFF2-40B4-BE49-F238E27FC236}">
              <a16:creationId xmlns:a16="http://schemas.microsoft.com/office/drawing/2014/main" id="{472BCA71-2032-4CE6-89B8-BDE22B1938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3" name="Elipse 10232">
          <a:extLst>
            <a:ext uri="{FF2B5EF4-FFF2-40B4-BE49-F238E27FC236}">
              <a16:creationId xmlns:a16="http://schemas.microsoft.com/office/drawing/2014/main" id="{A1F62DD6-09B4-4D28-8163-C19B1BECA1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4" name="Elipse 10233">
          <a:extLst>
            <a:ext uri="{FF2B5EF4-FFF2-40B4-BE49-F238E27FC236}">
              <a16:creationId xmlns:a16="http://schemas.microsoft.com/office/drawing/2014/main" id="{D6C06B3D-24A6-4687-9027-184A8BE184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5" name="Elipse 10234">
          <a:extLst>
            <a:ext uri="{FF2B5EF4-FFF2-40B4-BE49-F238E27FC236}">
              <a16:creationId xmlns:a16="http://schemas.microsoft.com/office/drawing/2014/main" id="{669BE162-0EE4-4B11-899D-CB775B4967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6" name="Elipse 10235">
          <a:extLst>
            <a:ext uri="{FF2B5EF4-FFF2-40B4-BE49-F238E27FC236}">
              <a16:creationId xmlns:a16="http://schemas.microsoft.com/office/drawing/2014/main" id="{797F9A0C-C68D-4B17-8281-597F47A363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7" name="Elipse 10236">
          <a:extLst>
            <a:ext uri="{FF2B5EF4-FFF2-40B4-BE49-F238E27FC236}">
              <a16:creationId xmlns:a16="http://schemas.microsoft.com/office/drawing/2014/main" id="{9B7E5C2E-09B5-4BD1-888A-2ED585E78C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8" name="Elipse 10237">
          <a:extLst>
            <a:ext uri="{FF2B5EF4-FFF2-40B4-BE49-F238E27FC236}">
              <a16:creationId xmlns:a16="http://schemas.microsoft.com/office/drawing/2014/main" id="{4D41916F-AAD4-4CAF-9750-FDA742D0A0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39" name="Elipse 10238">
          <a:extLst>
            <a:ext uri="{FF2B5EF4-FFF2-40B4-BE49-F238E27FC236}">
              <a16:creationId xmlns:a16="http://schemas.microsoft.com/office/drawing/2014/main" id="{D8A2A252-EFF1-48EA-B7AE-FA67308E60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0" name="Elipse 10239">
          <a:extLst>
            <a:ext uri="{FF2B5EF4-FFF2-40B4-BE49-F238E27FC236}">
              <a16:creationId xmlns:a16="http://schemas.microsoft.com/office/drawing/2014/main" id="{8F2C1ACC-EA38-4D07-9E45-04D8FE9F74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1" name="Elipse 10240">
          <a:extLst>
            <a:ext uri="{FF2B5EF4-FFF2-40B4-BE49-F238E27FC236}">
              <a16:creationId xmlns:a16="http://schemas.microsoft.com/office/drawing/2014/main" id="{6DF97CCE-ACF9-4C48-A3C7-0582EB4871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2" name="Elipse 10241">
          <a:extLst>
            <a:ext uri="{FF2B5EF4-FFF2-40B4-BE49-F238E27FC236}">
              <a16:creationId xmlns:a16="http://schemas.microsoft.com/office/drawing/2014/main" id="{C32C2425-3A1C-49D8-A8F7-747FC83488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3" name="Elipse 10242">
          <a:extLst>
            <a:ext uri="{FF2B5EF4-FFF2-40B4-BE49-F238E27FC236}">
              <a16:creationId xmlns:a16="http://schemas.microsoft.com/office/drawing/2014/main" id="{20D78CFC-6112-4396-99A3-14B681749F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4" name="Elipse 10243">
          <a:extLst>
            <a:ext uri="{FF2B5EF4-FFF2-40B4-BE49-F238E27FC236}">
              <a16:creationId xmlns:a16="http://schemas.microsoft.com/office/drawing/2014/main" id="{C42A7A97-A6B0-45D6-889C-B0976053E5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5" name="Elipse 10244">
          <a:extLst>
            <a:ext uri="{FF2B5EF4-FFF2-40B4-BE49-F238E27FC236}">
              <a16:creationId xmlns:a16="http://schemas.microsoft.com/office/drawing/2014/main" id="{C2C187E5-CA90-4B70-96A6-16175A8694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6" name="Elipse 10245">
          <a:extLst>
            <a:ext uri="{FF2B5EF4-FFF2-40B4-BE49-F238E27FC236}">
              <a16:creationId xmlns:a16="http://schemas.microsoft.com/office/drawing/2014/main" id="{A7D7212B-7F32-44DF-AD07-D263730E64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7" name="Elipse 10246">
          <a:extLst>
            <a:ext uri="{FF2B5EF4-FFF2-40B4-BE49-F238E27FC236}">
              <a16:creationId xmlns:a16="http://schemas.microsoft.com/office/drawing/2014/main" id="{A773C540-EE21-47CC-931A-B6B6C0B172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8" name="Elipse 10247">
          <a:extLst>
            <a:ext uri="{FF2B5EF4-FFF2-40B4-BE49-F238E27FC236}">
              <a16:creationId xmlns:a16="http://schemas.microsoft.com/office/drawing/2014/main" id="{1BF198AC-933C-4CAC-BDC1-15BFFF1ECB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49" name="Elipse 10248">
          <a:extLst>
            <a:ext uri="{FF2B5EF4-FFF2-40B4-BE49-F238E27FC236}">
              <a16:creationId xmlns:a16="http://schemas.microsoft.com/office/drawing/2014/main" id="{98515DFC-FB64-499C-90F5-ACFA5485EB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0" name="Elipse 10249">
          <a:extLst>
            <a:ext uri="{FF2B5EF4-FFF2-40B4-BE49-F238E27FC236}">
              <a16:creationId xmlns:a16="http://schemas.microsoft.com/office/drawing/2014/main" id="{7DCBB7F6-E6F6-4CC2-9B7E-C47EF7E2DA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1" name="Elipse 10250">
          <a:extLst>
            <a:ext uri="{FF2B5EF4-FFF2-40B4-BE49-F238E27FC236}">
              <a16:creationId xmlns:a16="http://schemas.microsoft.com/office/drawing/2014/main" id="{7E5E60DD-6111-4A0C-9738-D052343696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2" name="Elipse 10251">
          <a:extLst>
            <a:ext uri="{FF2B5EF4-FFF2-40B4-BE49-F238E27FC236}">
              <a16:creationId xmlns:a16="http://schemas.microsoft.com/office/drawing/2014/main" id="{2331D2FD-716B-41CA-BA50-ABE2FA3750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3" name="Elipse 10252">
          <a:extLst>
            <a:ext uri="{FF2B5EF4-FFF2-40B4-BE49-F238E27FC236}">
              <a16:creationId xmlns:a16="http://schemas.microsoft.com/office/drawing/2014/main" id="{B7930381-4854-45FF-A57E-6575A19528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4" name="Elipse 10253">
          <a:extLst>
            <a:ext uri="{FF2B5EF4-FFF2-40B4-BE49-F238E27FC236}">
              <a16:creationId xmlns:a16="http://schemas.microsoft.com/office/drawing/2014/main" id="{BE86E1EB-4DAB-49FC-8A80-A1B7B49328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5" name="Elipse 10254">
          <a:extLst>
            <a:ext uri="{FF2B5EF4-FFF2-40B4-BE49-F238E27FC236}">
              <a16:creationId xmlns:a16="http://schemas.microsoft.com/office/drawing/2014/main" id="{7B3AE696-03FA-4ECF-AD32-B3C4A742F9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6" name="Elipse 10255">
          <a:extLst>
            <a:ext uri="{FF2B5EF4-FFF2-40B4-BE49-F238E27FC236}">
              <a16:creationId xmlns:a16="http://schemas.microsoft.com/office/drawing/2014/main" id="{4F80EF24-E2F4-4FDB-B3AF-01180F82F5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7" name="Elipse 10256">
          <a:extLst>
            <a:ext uri="{FF2B5EF4-FFF2-40B4-BE49-F238E27FC236}">
              <a16:creationId xmlns:a16="http://schemas.microsoft.com/office/drawing/2014/main" id="{A790F3FE-4F3A-49EA-98F0-B2F60C2099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8" name="Elipse 10257">
          <a:extLst>
            <a:ext uri="{FF2B5EF4-FFF2-40B4-BE49-F238E27FC236}">
              <a16:creationId xmlns:a16="http://schemas.microsoft.com/office/drawing/2014/main" id="{525851AF-E4E3-4F3E-A862-4F2795D108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59" name="Elipse 10258">
          <a:extLst>
            <a:ext uri="{FF2B5EF4-FFF2-40B4-BE49-F238E27FC236}">
              <a16:creationId xmlns:a16="http://schemas.microsoft.com/office/drawing/2014/main" id="{56357B0C-AEF0-469D-8BCB-2C07C95D5F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0" name="Elipse 10259">
          <a:extLst>
            <a:ext uri="{FF2B5EF4-FFF2-40B4-BE49-F238E27FC236}">
              <a16:creationId xmlns:a16="http://schemas.microsoft.com/office/drawing/2014/main" id="{74E720B3-DCDC-42BA-B4AC-CE4DB60E81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1" name="Elipse 10260">
          <a:extLst>
            <a:ext uri="{FF2B5EF4-FFF2-40B4-BE49-F238E27FC236}">
              <a16:creationId xmlns:a16="http://schemas.microsoft.com/office/drawing/2014/main" id="{BA14FADA-E1AA-43C2-8CD2-CC8E0DE22B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2" name="Elipse 10261">
          <a:extLst>
            <a:ext uri="{FF2B5EF4-FFF2-40B4-BE49-F238E27FC236}">
              <a16:creationId xmlns:a16="http://schemas.microsoft.com/office/drawing/2014/main" id="{DA37DB81-50F0-48AB-A7F9-E7161D1370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3" name="Elipse 10262">
          <a:extLst>
            <a:ext uri="{FF2B5EF4-FFF2-40B4-BE49-F238E27FC236}">
              <a16:creationId xmlns:a16="http://schemas.microsoft.com/office/drawing/2014/main" id="{CBC72602-E6EF-4B4F-84EB-C6C95CAE60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4" name="Elipse 10263">
          <a:extLst>
            <a:ext uri="{FF2B5EF4-FFF2-40B4-BE49-F238E27FC236}">
              <a16:creationId xmlns:a16="http://schemas.microsoft.com/office/drawing/2014/main" id="{1090E148-8D53-47FB-88D6-1395547666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5" name="Elipse 10264">
          <a:extLst>
            <a:ext uri="{FF2B5EF4-FFF2-40B4-BE49-F238E27FC236}">
              <a16:creationId xmlns:a16="http://schemas.microsoft.com/office/drawing/2014/main" id="{7A5A924C-04C6-4131-8700-599AF5BF2C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6" name="Elipse 10265">
          <a:extLst>
            <a:ext uri="{FF2B5EF4-FFF2-40B4-BE49-F238E27FC236}">
              <a16:creationId xmlns:a16="http://schemas.microsoft.com/office/drawing/2014/main" id="{6E04B943-675A-4ABC-8195-F40B8FC474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7" name="Elipse 10266">
          <a:extLst>
            <a:ext uri="{FF2B5EF4-FFF2-40B4-BE49-F238E27FC236}">
              <a16:creationId xmlns:a16="http://schemas.microsoft.com/office/drawing/2014/main" id="{EDA2BC85-162B-4B82-9D9D-D00EBCB37E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8" name="Elipse 10267">
          <a:extLst>
            <a:ext uri="{FF2B5EF4-FFF2-40B4-BE49-F238E27FC236}">
              <a16:creationId xmlns:a16="http://schemas.microsoft.com/office/drawing/2014/main" id="{4CF10A21-B599-47BE-917A-A60AC50175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69" name="Elipse 10268">
          <a:extLst>
            <a:ext uri="{FF2B5EF4-FFF2-40B4-BE49-F238E27FC236}">
              <a16:creationId xmlns:a16="http://schemas.microsoft.com/office/drawing/2014/main" id="{5A8BA28D-9E92-4519-AA75-03A10DBCA0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0" name="Elipse 10269">
          <a:extLst>
            <a:ext uri="{FF2B5EF4-FFF2-40B4-BE49-F238E27FC236}">
              <a16:creationId xmlns:a16="http://schemas.microsoft.com/office/drawing/2014/main" id="{1EF94E5C-612E-4419-A896-A60A998EBF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1" name="Elipse 10270">
          <a:extLst>
            <a:ext uri="{FF2B5EF4-FFF2-40B4-BE49-F238E27FC236}">
              <a16:creationId xmlns:a16="http://schemas.microsoft.com/office/drawing/2014/main" id="{CCB514D3-39D1-40C1-8643-0901926E73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2" name="Elipse 10271">
          <a:extLst>
            <a:ext uri="{FF2B5EF4-FFF2-40B4-BE49-F238E27FC236}">
              <a16:creationId xmlns:a16="http://schemas.microsoft.com/office/drawing/2014/main" id="{3441E922-E985-4410-90A7-E3FA74EE95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3" name="Elipse 10272">
          <a:extLst>
            <a:ext uri="{FF2B5EF4-FFF2-40B4-BE49-F238E27FC236}">
              <a16:creationId xmlns:a16="http://schemas.microsoft.com/office/drawing/2014/main" id="{85566C18-3DA6-4027-AB70-2259498E2E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4" name="Elipse 10273">
          <a:extLst>
            <a:ext uri="{FF2B5EF4-FFF2-40B4-BE49-F238E27FC236}">
              <a16:creationId xmlns:a16="http://schemas.microsoft.com/office/drawing/2014/main" id="{7F08169F-302F-4D44-8461-7D695DAD20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5" name="Elipse 10274">
          <a:extLst>
            <a:ext uri="{FF2B5EF4-FFF2-40B4-BE49-F238E27FC236}">
              <a16:creationId xmlns:a16="http://schemas.microsoft.com/office/drawing/2014/main" id="{F6377256-5D7A-42A3-9AD0-F8DBB422D1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6" name="Elipse 10275">
          <a:extLst>
            <a:ext uri="{FF2B5EF4-FFF2-40B4-BE49-F238E27FC236}">
              <a16:creationId xmlns:a16="http://schemas.microsoft.com/office/drawing/2014/main" id="{FDB084B6-49B7-4905-8066-2D431E94CD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7" name="Elipse 10276">
          <a:extLst>
            <a:ext uri="{FF2B5EF4-FFF2-40B4-BE49-F238E27FC236}">
              <a16:creationId xmlns:a16="http://schemas.microsoft.com/office/drawing/2014/main" id="{48E73921-B65C-40BE-A46A-F295B6BC0B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8" name="Elipse 10277">
          <a:extLst>
            <a:ext uri="{FF2B5EF4-FFF2-40B4-BE49-F238E27FC236}">
              <a16:creationId xmlns:a16="http://schemas.microsoft.com/office/drawing/2014/main" id="{623F46B0-3C59-4C4F-9CB1-BD3DD035F5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79" name="Elipse 10278">
          <a:extLst>
            <a:ext uri="{FF2B5EF4-FFF2-40B4-BE49-F238E27FC236}">
              <a16:creationId xmlns:a16="http://schemas.microsoft.com/office/drawing/2014/main" id="{B1DB5FF7-487C-4D7A-9BB0-AEBC216166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0" name="Elipse 10279">
          <a:extLst>
            <a:ext uri="{FF2B5EF4-FFF2-40B4-BE49-F238E27FC236}">
              <a16:creationId xmlns:a16="http://schemas.microsoft.com/office/drawing/2014/main" id="{1B3CDAF9-6F42-43FF-8EF8-BDBC5767E2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1" name="Elipse 10280">
          <a:extLst>
            <a:ext uri="{FF2B5EF4-FFF2-40B4-BE49-F238E27FC236}">
              <a16:creationId xmlns:a16="http://schemas.microsoft.com/office/drawing/2014/main" id="{347B42D7-4E36-49EE-B78B-7A6FA2C26D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2" name="Elipse 10281">
          <a:extLst>
            <a:ext uri="{FF2B5EF4-FFF2-40B4-BE49-F238E27FC236}">
              <a16:creationId xmlns:a16="http://schemas.microsoft.com/office/drawing/2014/main" id="{07AA9DB6-E802-465C-BA3B-05BB6725E3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3" name="Elipse 10282">
          <a:extLst>
            <a:ext uri="{FF2B5EF4-FFF2-40B4-BE49-F238E27FC236}">
              <a16:creationId xmlns:a16="http://schemas.microsoft.com/office/drawing/2014/main" id="{D8D12CBE-CC80-41BF-B6D4-BA62690A3E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4" name="Elipse 10283">
          <a:extLst>
            <a:ext uri="{FF2B5EF4-FFF2-40B4-BE49-F238E27FC236}">
              <a16:creationId xmlns:a16="http://schemas.microsoft.com/office/drawing/2014/main" id="{ADDC73CA-B19C-4069-8282-C37EBE3478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5" name="Elipse 10284">
          <a:extLst>
            <a:ext uri="{FF2B5EF4-FFF2-40B4-BE49-F238E27FC236}">
              <a16:creationId xmlns:a16="http://schemas.microsoft.com/office/drawing/2014/main" id="{6949A71F-5B3F-4811-B620-DAFE8AF15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6" name="Elipse 10285">
          <a:extLst>
            <a:ext uri="{FF2B5EF4-FFF2-40B4-BE49-F238E27FC236}">
              <a16:creationId xmlns:a16="http://schemas.microsoft.com/office/drawing/2014/main" id="{9BD53184-C905-491F-B6CC-9A6A8AD8B6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7" name="Elipse 10286">
          <a:extLst>
            <a:ext uri="{FF2B5EF4-FFF2-40B4-BE49-F238E27FC236}">
              <a16:creationId xmlns:a16="http://schemas.microsoft.com/office/drawing/2014/main" id="{D32FDDB3-2B1A-49A4-9176-9816559F44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8" name="Elipse 10287">
          <a:extLst>
            <a:ext uri="{FF2B5EF4-FFF2-40B4-BE49-F238E27FC236}">
              <a16:creationId xmlns:a16="http://schemas.microsoft.com/office/drawing/2014/main" id="{920C2EC8-5753-4A63-B90C-648E849C25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89" name="Elipse 10288">
          <a:extLst>
            <a:ext uri="{FF2B5EF4-FFF2-40B4-BE49-F238E27FC236}">
              <a16:creationId xmlns:a16="http://schemas.microsoft.com/office/drawing/2014/main" id="{BC0128B9-131C-4F83-9DC5-4B46FB7F8E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0" name="Elipse 10289">
          <a:extLst>
            <a:ext uri="{FF2B5EF4-FFF2-40B4-BE49-F238E27FC236}">
              <a16:creationId xmlns:a16="http://schemas.microsoft.com/office/drawing/2014/main" id="{10038B0E-5CF2-4620-93BD-7DEADCFDA5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1" name="Elipse 10290">
          <a:extLst>
            <a:ext uri="{FF2B5EF4-FFF2-40B4-BE49-F238E27FC236}">
              <a16:creationId xmlns:a16="http://schemas.microsoft.com/office/drawing/2014/main" id="{EB80F06F-76B8-464C-B865-A59FAD8070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2" name="Elipse 10291">
          <a:extLst>
            <a:ext uri="{FF2B5EF4-FFF2-40B4-BE49-F238E27FC236}">
              <a16:creationId xmlns:a16="http://schemas.microsoft.com/office/drawing/2014/main" id="{D71D0738-5950-4892-8F44-50C14E8872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3" name="Elipse 10292">
          <a:extLst>
            <a:ext uri="{FF2B5EF4-FFF2-40B4-BE49-F238E27FC236}">
              <a16:creationId xmlns:a16="http://schemas.microsoft.com/office/drawing/2014/main" id="{A05CFC27-5C8D-4A34-8CBF-65BE972F9D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4" name="Elipse 10293">
          <a:extLst>
            <a:ext uri="{FF2B5EF4-FFF2-40B4-BE49-F238E27FC236}">
              <a16:creationId xmlns:a16="http://schemas.microsoft.com/office/drawing/2014/main" id="{6F67D6DA-10A5-49BA-BAB4-D4B84C207E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5" name="Elipse 10294">
          <a:extLst>
            <a:ext uri="{FF2B5EF4-FFF2-40B4-BE49-F238E27FC236}">
              <a16:creationId xmlns:a16="http://schemas.microsoft.com/office/drawing/2014/main" id="{802B43C6-4D6B-4F41-9127-6F09DA1CC2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6" name="Elipse 10295">
          <a:extLst>
            <a:ext uri="{FF2B5EF4-FFF2-40B4-BE49-F238E27FC236}">
              <a16:creationId xmlns:a16="http://schemas.microsoft.com/office/drawing/2014/main" id="{6B09C3FA-3887-41C5-999D-47AA85C6C2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7" name="Elipse 10296">
          <a:extLst>
            <a:ext uri="{FF2B5EF4-FFF2-40B4-BE49-F238E27FC236}">
              <a16:creationId xmlns:a16="http://schemas.microsoft.com/office/drawing/2014/main" id="{6596C92D-1A0B-4108-A26C-CC03D377B4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8" name="Elipse 10297">
          <a:extLst>
            <a:ext uri="{FF2B5EF4-FFF2-40B4-BE49-F238E27FC236}">
              <a16:creationId xmlns:a16="http://schemas.microsoft.com/office/drawing/2014/main" id="{2551990A-94ED-43B9-8FAD-2A5515FBB3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299" name="Elipse 10298">
          <a:extLst>
            <a:ext uri="{FF2B5EF4-FFF2-40B4-BE49-F238E27FC236}">
              <a16:creationId xmlns:a16="http://schemas.microsoft.com/office/drawing/2014/main" id="{450FFDFF-C4EB-4D7A-9D8D-4F74E75B35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0" name="Elipse 10299">
          <a:extLst>
            <a:ext uri="{FF2B5EF4-FFF2-40B4-BE49-F238E27FC236}">
              <a16:creationId xmlns:a16="http://schemas.microsoft.com/office/drawing/2014/main" id="{BBF13AB1-F9E0-4C6E-AAAA-B073EF5822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1" name="Elipse 10300">
          <a:extLst>
            <a:ext uri="{FF2B5EF4-FFF2-40B4-BE49-F238E27FC236}">
              <a16:creationId xmlns:a16="http://schemas.microsoft.com/office/drawing/2014/main" id="{3E1B978F-696D-44DC-BF5A-8DD4E08600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2" name="Elipse 10301">
          <a:extLst>
            <a:ext uri="{FF2B5EF4-FFF2-40B4-BE49-F238E27FC236}">
              <a16:creationId xmlns:a16="http://schemas.microsoft.com/office/drawing/2014/main" id="{78C1991C-6330-40FB-A988-5826052C72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3" name="Elipse 10302">
          <a:extLst>
            <a:ext uri="{FF2B5EF4-FFF2-40B4-BE49-F238E27FC236}">
              <a16:creationId xmlns:a16="http://schemas.microsoft.com/office/drawing/2014/main" id="{E2E43ED1-AE29-4B3B-B544-06A2C9C739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4" name="Elipse 10303">
          <a:extLst>
            <a:ext uri="{FF2B5EF4-FFF2-40B4-BE49-F238E27FC236}">
              <a16:creationId xmlns:a16="http://schemas.microsoft.com/office/drawing/2014/main" id="{ADD037F4-7BAF-4F08-A293-FE189F103B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5" name="Elipse 10304">
          <a:extLst>
            <a:ext uri="{FF2B5EF4-FFF2-40B4-BE49-F238E27FC236}">
              <a16:creationId xmlns:a16="http://schemas.microsoft.com/office/drawing/2014/main" id="{8EFE3273-3D28-4DC3-AA99-FEA929D00A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6" name="Elipse 10305">
          <a:extLst>
            <a:ext uri="{FF2B5EF4-FFF2-40B4-BE49-F238E27FC236}">
              <a16:creationId xmlns:a16="http://schemas.microsoft.com/office/drawing/2014/main" id="{4F308292-907B-421A-A64D-CC96D5C308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7" name="Elipse 10306">
          <a:extLst>
            <a:ext uri="{FF2B5EF4-FFF2-40B4-BE49-F238E27FC236}">
              <a16:creationId xmlns:a16="http://schemas.microsoft.com/office/drawing/2014/main" id="{626636E0-A78F-495F-8AF1-DD28307639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8" name="Elipse 10307">
          <a:extLst>
            <a:ext uri="{FF2B5EF4-FFF2-40B4-BE49-F238E27FC236}">
              <a16:creationId xmlns:a16="http://schemas.microsoft.com/office/drawing/2014/main" id="{63BC2AFF-059D-4ABC-A6D6-0BAE4B3E53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09" name="Elipse 10308">
          <a:extLst>
            <a:ext uri="{FF2B5EF4-FFF2-40B4-BE49-F238E27FC236}">
              <a16:creationId xmlns:a16="http://schemas.microsoft.com/office/drawing/2014/main" id="{871D164A-7955-49FF-91EE-7D60EB5BD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0" name="Elipse 10309">
          <a:extLst>
            <a:ext uri="{FF2B5EF4-FFF2-40B4-BE49-F238E27FC236}">
              <a16:creationId xmlns:a16="http://schemas.microsoft.com/office/drawing/2014/main" id="{84A1BD72-4859-476E-BCD7-B41BC47156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1" name="Elipse 10310">
          <a:extLst>
            <a:ext uri="{FF2B5EF4-FFF2-40B4-BE49-F238E27FC236}">
              <a16:creationId xmlns:a16="http://schemas.microsoft.com/office/drawing/2014/main" id="{362FB717-37D1-46E2-9ADE-EEA2354ED4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2" name="Elipse 10311">
          <a:extLst>
            <a:ext uri="{FF2B5EF4-FFF2-40B4-BE49-F238E27FC236}">
              <a16:creationId xmlns:a16="http://schemas.microsoft.com/office/drawing/2014/main" id="{1705987B-1D73-405C-BD11-AEA47401E6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3" name="Elipse 10312">
          <a:extLst>
            <a:ext uri="{FF2B5EF4-FFF2-40B4-BE49-F238E27FC236}">
              <a16:creationId xmlns:a16="http://schemas.microsoft.com/office/drawing/2014/main" id="{9403A534-CA22-4179-B105-25E57A14B5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4" name="Elipse 10313">
          <a:extLst>
            <a:ext uri="{FF2B5EF4-FFF2-40B4-BE49-F238E27FC236}">
              <a16:creationId xmlns:a16="http://schemas.microsoft.com/office/drawing/2014/main" id="{7A50B115-CA94-4D6B-8AB7-6DD9695CDB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5" name="Elipse 10314">
          <a:extLst>
            <a:ext uri="{FF2B5EF4-FFF2-40B4-BE49-F238E27FC236}">
              <a16:creationId xmlns:a16="http://schemas.microsoft.com/office/drawing/2014/main" id="{B8B6278E-1BC7-4B84-B5BD-F88575D578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6" name="Elipse 10315">
          <a:extLst>
            <a:ext uri="{FF2B5EF4-FFF2-40B4-BE49-F238E27FC236}">
              <a16:creationId xmlns:a16="http://schemas.microsoft.com/office/drawing/2014/main" id="{525184B1-F2EC-4630-BAE5-645468EA56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7" name="Elipse 10316">
          <a:extLst>
            <a:ext uri="{FF2B5EF4-FFF2-40B4-BE49-F238E27FC236}">
              <a16:creationId xmlns:a16="http://schemas.microsoft.com/office/drawing/2014/main" id="{CC7782AE-81EF-4B3C-8301-BDF72B5442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8" name="Elipse 10317">
          <a:extLst>
            <a:ext uri="{FF2B5EF4-FFF2-40B4-BE49-F238E27FC236}">
              <a16:creationId xmlns:a16="http://schemas.microsoft.com/office/drawing/2014/main" id="{051EB688-AB4A-4C11-A55B-90F823217D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19" name="Elipse 10318">
          <a:extLst>
            <a:ext uri="{FF2B5EF4-FFF2-40B4-BE49-F238E27FC236}">
              <a16:creationId xmlns:a16="http://schemas.microsoft.com/office/drawing/2014/main" id="{07503BF6-5C91-40C5-A731-C588BFBA79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0" name="Elipse 10319">
          <a:extLst>
            <a:ext uri="{FF2B5EF4-FFF2-40B4-BE49-F238E27FC236}">
              <a16:creationId xmlns:a16="http://schemas.microsoft.com/office/drawing/2014/main" id="{A44A6A0E-CC97-4AC4-A8E4-39C84DE957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1" name="Elipse 10320">
          <a:extLst>
            <a:ext uri="{FF2B5EF4-FFF2-40B4-BE49-F238E27FC236}">
              <a16:creationId xmlns:a16="http://schemas.microsoft.com/office/drawing/2014/main" id="{635ED417-2F02-4393-9258-B2ACEADE75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2" name="Elipse 10321">
          <a:extLst>
            <a:ext uri="{FF2B5EF4-FFF2-40B4-BE49-F238E27FC236}">
              <a16:creationId xmlns:a16="http://schemas.microsoft.com/office/drawing/2014/main" id="{E3E0623B-E9F9-4040-9A3E-D32CB8CA7F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3" name="Elipse 10322">
          <a:extLst>
            <a:ext uri="{FF2B5EF4-FFF2-40B4-BE49-F238E27FC236}">
              <a16:creationId xmlns:a16="http://schemas.microsoft.com/office/drawing/2014/main" id="{A1E7D063-C8ED-4AF1-BC07-6B216D0625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4" name="Elipse 10323">
          <a:extLst>
            <a:ext uri="{FF2B5EF4-FFF2-40B4-BE49-F238E27FC236}">
              <a16:creationId xmlns:a16="http://schemas.microsoft.com/office/drawing/2014/main" id="{60B6639F-4738-4E8D-86DC-0F9B102479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5" name="Elipse 10324">
          <a:extLst>
            <a:ext uri="{FF2B5EF4-FFF2-40B4-BE49-F238E27FC236}">
              <a16:creationId xmlns:a16="http://schemas.microsoft.com/office/drawing/2014/main" id="{182520A7-DCF8-4820-97DB-438BA4D0DB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6" name="Elipse 10325">
          <a:extLst>
            <a:ext uri="{FF2B5EF4-FFF2-40B4-BE49-F238E27FC236}">
              <a16:creationId xmlns:a16="http://schemas.microsoft.com/office/drawing/2014/main" id="{DE957052-ACD5-472A-8CAC-DD23CDED54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7" name="Elipse 10326">
          <a:extLst>
            <a:ext uri="{FF2B5EF4-FFF2-40B4-BE49-F238E27FC236}">
              <a16:creationId xmlns:a16="http://schemas.microsoft.com/office/drawing/2014/main" id="{A3497194-F038-485A-A90C-EB7B25F475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8" name="Elipse 10327">
          <a:extLst>
            <a:ext uri="{FF2B5EF4-FFF2-40B4-BE49-F238E27FC236}">
              <a16:creationId xmlns:a16="http://schemas.microsoft.com/office/drawing/2014/main" id="{AEE77EC3-9A6E-4B13-B2F2-6AE3EF647B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29" name="Elipse 10328">
          <a:extLst>
            <a:ext uri="{FF2B5EF4-FFF2-40B4-BE49-F238E27FC236}">
              <a16:creationId xmlns:a16="http://schemas.microsoft.com/office/drawing/2014/main" id="{E6B2120F-5AF1-4D52-B84D-0DA5F82088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0" name="Elipse 10329">
          <a:extLst>
            <a:ext uri="{FF2B5EF4-FFF2-40B4-BE49-F238E27FC236}">
              <a16:creationId xmlns:a16="http://schemas.microsoft.com/office/drawing/2014/main" id="{E9D84E77-EF2F-4366-ACDE-025B5F3468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1" name="Elipse 10330">
          <a:extLst>
            <a:ext uri="{FF2B5EF4-FFF2-40B4-BE49-F238E27FC236}">
              <a16:creationId xmlns:a16="http://schemas.microsoft.com/office/drawing/2014/main" id="{2D024E3C-2F31-4300-BA6C-15FBA76539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2" name="Elipse 10331">
          <a:extLst>
            <a:ext uri="{FF2B5EF4-FFF2-40B4-BE49-F238E27FC236}">
              <a16:creationId xmlns:a16="http://schemas.microsoft.com/office/drawing/2014/main" id="{CCECA5D5-AB74-4542-8C9C-B106672DD8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3" name="Elipse 10332">
          <a:extLst>
            <a:ext uri="{FF2B5EF4-FFF2-40B4-BE49-F238E27FC236}">
              <a16:creationId xmlns:a16="http://schemas.microsoft.com/office/drawing/2014/main" id="{024D1FB9-9C89-42FB-B2E9-131F7CACE7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4" name="Elipse 10333">
          <a:extLst>
            <a:ext uri="{FF2B5EF4-FFF2-40B4-BE49-F238E27FC236}">
              <a16:creationId xmlns:a16="http://schemas.microsoft.com/office/drawing/2014/main" id="{3F92FED3-CC55-4E3C-B332-B8A59BEBF6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5" name="Elipse 10334">
          <a:extLst>
            <a:ext uri="{FF2B5EF4-FFF2-40B4-BE49-F238E27FC236}">
              <a16:creationId xmlns:a16="http://schemas.microsoft.com/office/drawing/2014/main" id="{67071BC8-A81A-4ABB-8261-83ED945D85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6" name="Elipse 10335">
          <a:extLst>
            <a:ext uri="{FF2B5EF4-FFF2-40B4-BE49-F238E27FC236}">
              <a16:creationId xmlns:a16="http://schemas.microsoft.com/office/drawing/2014/main" id="{07C3D108-0FD5-4A81-922B-413F5F6ADA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7" name="Elipse 10336">
          <a:extLst>
            <a:ext uri="{FF2B5EF4-FFF2-40B4-BE49-F238E27FC236}">
              <a16:creationId xmlns:a16="http://schemas.microsoft.com/office/drawing/2014/main" id="{EA710EA8-BE8D-4EDB-BD34-18DBD72B31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8" name="Elipse 10337">
          <a:extLst>
            <a:ext uri="{FF2B5EF4-FFF2-40B4-BE49-F238E27FC236}">
              <a16:creationId xmlns:a16="http://schemas.microsoft.com/office/drawing/2014/main" id="{94C9BE32-3B17-4CD3-86B0-2A9FCFBB79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39" name="Elipse 10338">
          <a:extLst>
            <a:ext uri="{FF2B5EF4-FFF2-40B4-BE49-F238E27FC236}">
              <a16:creationId xmlns:a16="http://schemas.microsoft.com/office/drawing/2014/main" id="{EEEC665C-4921-40D1-91E0-C0062F3745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0" name="Elipse 10339">
          <a:extLst>
            <a:ext uri="{FF2B5EF4-FFF2-40B4-BE49-F238E27FC236}">
              <a16:creationId xmlns:a16="http://schemas.microsoft.com/office/drawing/2014/main" id="{39E9FC95-A54A-42CD-A7FB-2E2DF278E2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1" name="Elipse 10340">
          <a:extLst>
            <a:ext uri="{FF2B5EF4-FFF2-40B4-BE49-F238E27FC236}">
              <a16:creationId xmlns:a16="http://schemas.microsoft.com/office/drawing/2014/main" id="{2856109E-42F9-4B30-BB65-4A7E4ECD7A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2" name="Elipse 10341">
          <a:extLst>
            <a:ext uri="{FF2B5EF4-FFF2-40B4-BE49-F238E27FC236}">
              <a16:creationId xmlns:a16="http://schemas.microsoft.com/office/drawing/2014/main" id="{F474DB61-6EFB-455E-9E7A-31333154FB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3" name="Elipse 10342">
          <a:extLst>
            <a:ext uri="{FF2B5EF4-FFF2-40B4-BE49-F238E27FC236}">
              <a16:creationId xmlns:a16="http://schemas.microsoft.com/office/drawing/2014/main" id="{851056C7-9E2F-4853-81B6-E020535914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4" name="Elipse 10343">
          <a:extLst>
            <a:ext uri="{FF2B5EF4-FFF2-40B4-BE49-F238E27FC236}">
              <a16:creationId xmlns:a16="http://schemas.microsoft.com/office/drawing/2014/main" id="{FDBC7D47-DF77-4039-854B-C6CB288CF1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5" name="Elipse 10344">
          <a:extLst>
            <a:ext uri="{FF2B5EF4-FFF2-40B4-BE49-F238E27FC236}">
              <a16:creationId xmlns:a16="http://schemas.microsoft.com/office/drawing/2014/main" id="{49CDBB24-0319-475A-95E5-CBB77BD5DE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6" name="Elipse 10345">
          <a:extLst>
            <a:ext uri="{FF2B5EF4-FFF2-40B4-BE49-F238E27FC236}">
              <a16:creationId xmlns:a16="http://schemas.microsoft.com/office/drawing/2014/main" id="{27CC3118-30CE-43B2-820D-52987321CE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7" name="Elipse 10346">
          <a:extLst>
            <a:ext uri="{FF2B5EF4-FFF2-40B4-BE49-F238E27FC236}">
              <a16:creationId xmlns:a16="http://schemas.microsoft.com/office/drawing/2014/main" id="{1DE31872-AFA8-4E6D-A89A-5911EF6727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8" name="Elipse 10347">
          <a:extLst>
            <a:ext uri="{FF2B5EF4-FFF2-40B4-BE49-F238E27FC236}">
              <a16:creationId xmlns:a16="http://schemas.microsoft.com/office/drawing/2014/main" id="{5F062EFE-9EB2-432E-A6A7-C602034A5D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49" name="Elipse 10348">
          <a:extLst>
            <a:ext uri="{FF2B5EF4-FFF2-40B4-BE49-F238E27FC236}">
              <a16:creationId xmlns:a16="http://schemas.microsoft.com/office/drawing/2014/main" id="{C239BF6A-CB24-4A65-AA9C-43D4E8905B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0" name="Elipse 10349">
          <a:extLst>
            <a:ext uri="{FF2B5EF4-FFF2-40B4-BE49-F238E27FC236}">
              <a16:creationId xmlns:a16="http://schemas.microsoft.com/office/drawing/2014/main" id="{81ED3111-D30E-4D71-B0FE-456911BCD4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1" name="Elipse 10350">
          <a:extLst>
            <a:ext uri="{FF2B5EF4-FFF2-40B4-BE49-F238E27FC236}">
              <a16:creationId xmlns:a16="http://schemas.microsoft.com/office/drawing/2014/main" id="{28EEB6E5-6236-4DF3-B05C-0E4C7A369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2" name="Elipse 10351">
          <a:extLst>
            <a:ext uri="{FF2B5EF4-FFF2-40B4-BE49-F238E27FC236}">
              <a16:creationId xmlns:a16="http://schemas.microsoft.com/office/drawing/2014/main" id="{499EED86-225E-48F0-B203-E834023AF9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3" name="Elipse 10352">
          <a:extLst>
            <a:ext uri="{FF2B5EF4-FFF2-40B4-BE49-F238E27FC236}">
              <a16:creationId xmlns:a16="http://schemas.microsoft.com/office/drawing/2014/main" id="{FF218A33-E218-4329-A55A-531CBCA06A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4" name="Elipse 10353">
          <a:extLst>
            <a:ext uri="{FF2B5EF4-FFF2-40B4-BE49-F238E27FC236}">
              <a16:creationId xmlns:a16="http://schemas.microsoft.com/office/drawing/2014/main" id="{983281BF-03C3-49CF-A297-782B23485F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5" name="Elipse 10354">
          <a:extLst>
            <a:ext uri="{FF2B5EF4-FFF2-40B4-BE49-F238E27FC236}">
              <a16:creationId xmlns:a16="http://schemas.microsoft.com/office/drawing/2014/main" id="{59242F8E-4A9B-4888-8DC9-915B063F77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6" name="Elipse 10355">
          <a:extLst>
            <a:ext uri="{FF2B5EF4-FFF2-40B4-BE49-F238E27FC236}">
              <a16:creationId xmlns:a16="http://schemas.microsoft.com/office/drawing/2014/main" id="{CA82FB9E-70F6-4DE7-B16C-54CFEA0429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7" name="Elipse 10356">
          <a:extLst>
            <a:ext uri="{FF2B5EF4-FFF2-40B4-BE49-F238E27FC236}">
              <a16:creationId xmlns:a16="http://schemas.microsoft.com/office/drawing/2014/main" id="{855CF084-BD15-4C09-AD76-FFE9906C80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8" name="Elipse 10357">
          <a:extLst>
            <a:ext uri="{FF2B5EF4-FFF2-40B4-BE49-F238E27FC236}">
              <a16:creationId xmlns:a16="http://schemas.microsoft.com/office/drawing/2014/main" id="{03E2B64D-0161-49A7-8833-8E340DC986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59" name="Elipse 10358">
          <a:extLst>
            <a:ext uri="{FF2B5EF4-FFF2-40B4-BE49-F238E27FC236}">
              <a16:creationId xmlns:a16="http://schemas.microsoft.com/office/drawing/2014/main" id="{C2BD2468-D163-4A59-9920-71EF069603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0" name="Elipse 10359">
          <a:extLst>
            <a:ext uri="{FF2B5EF4-FFF2-40B4-BE49-F238E27FC236}">
              <a16:creationId xmlns:a16="http://schemas.microsoft.com/office/drawing/2014/main" id="{918B533E-9FAA-4388-8F98-E1B77B8E04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1" name="Elipse 10360">
          <a:extLst>
            <a:ext uri="{FF2B5EF4-FFF2-40B4-BE49-F238E27FC236}">
              <a16:creationId xmlns:a16="http://schemas.microsoft.com/office/drawing/2014/main" id="{E035A94E-4501-4BB6-BE0E-91E09B1DA9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2" name="Elipse 10361">
          <a:extLst>
            <a:ext uri="{FF2B5EF4-FFF2-40B4-BE49-F238E27FC236}">
              <a16:creationId xmlns:a16="http://schemas.microsoft.com/office/drawing/2014/main" id="{6F1198C0-E8C0-4FB2-8414-EC998359A2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3" name="Elipse 10362">
          <a:extLst>
            <a:ext uri="{FF2B5EF4-FFF2-40B4-BE49-F238E27FC236}">
              <a16:creationId xmlns:a16="http://schemas.microsoft.com/office/drawing/2014/main" id="{1C6EA3C8-62D0-432E-A368-7473306F9C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4" name="Elipse 10363">
          <a:extLst>
            <a:ext uri="{FF2B5EF4-FFF2-40B4-BE49-F238E27FC236}">
              <a16:creationId xmlns:a16="http://schemas.microsoft.com/office/drawing/2014/main" id="{866D4AA9-B713-41E6-A884-B1EF2D7D29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5" name="Elipse 10364">
          <a:extLst>
            <a:ext uri="{FF2B5EF4-FFF2-40B4-BE49-F238E27FC236}">
              <a16:creationId xmlns:a16="http://schemas.microsoft.com/office/drawing/2014/main" id="{EFD8F0FD-E373-43BE-8972-008737AE43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6" name="Elipse 10365">
          <a:extLst>
            <a:ext uri="{FF2B5EF4-FFF2-40B4-BE49-F238E27FC236}">
              <a16:creationId xmlns:a16="http://schemas.microsoft.com/office/drawing/2014/main" id="{17EB66D0-C0AD-4A63-9EAD-074EA8B8CE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7" name="Elipse 10366">
          <a:extLst>
            <a:ext uri="{FF2B5EF4-FFF2-40B4-BE49-F238E27FC236}">
              <a16:creationId xmlns:a16="http://schemas.microsoft.com/office/drawing/2014/main" id="{9A6B97DC-7B73-4FD7-A60C-9D3117F89A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8" name="Elipse 10367">
          <a:extLst>
            <a:ext uri="{FF2B5EF4-FFF2-40B4-BE49-F238E27FC236}">
              <a16:creationId xmlns:a16="http://schemas.microsoft.com/office/drawing/2014/main" id="{D4610DDE-E3AA-4B26-9993-4F5C656CD1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69" name="Elipse 10368">
          <a:extLst>
            <a:ext uri="{FF2B5EF4-FFF2-40B4-BE49-F238E27FC236}">
              <a16:creationId xmlns:a16="http://schemas.microsoft.com/office/drawing/2014/main" id="{A32B6F91-7AA1-4B09-A7AF-08CE6FBB99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0" name="Elipse 10369">
          <a:extLst>
            <a:ext uri="{FF2B5EF4-FFF2-40B4-BE49-F238E27FC236}">
              <a16:creationId xmlns:a16="http://schemas.microsoft.com/office/drawing/2014/main" id="{37719587-D79D-4192-9A46-A8BD6BABD0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1" name="Elipse 10370">
          <a:extLst>
            <a:ext uri="{FF2B5EF4-FFF2-40B4-BE49-F238E27FC236}">
              <a16:creationId xmlns:a16="http://schemas.microsoft.com/office/drawing/2014/main" id="{E16CBB79-4C4A-4E41-B71E-A14E417135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2" name="Elipse 10371">
          <a:extLst>
            <a:ext uri="{FF2B5EF4-FFF2-40B4-BE49-F238E27FC236}">
              <a16:creationId xmlns:a16="http://schemas.microsoft.com/office/drawing/2014/main" id="{4310A3D0-E678-4D7A-8AEA-A62908D090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3" name="Elipse 10372">
          <a:extLst>
            <a:ext uri="{FF2B5EF4-FFF2-40B4-BE49-F238E27FC236}">
              <a16:creationId xmlns:a16="http://schemas.microsoft.com/office/drawing/2014/main" id="{13587E1C-296C-4FD8-ACD2-8735CB0E5B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4" name="Elipse 10373">
          <a:extLst>
            <a:ext uri="{FF2B5EF4-FFF2-40B4-BE49-F238E27FC236}">
              <a16:creationId xmlns:a16="http://schemas.microsoft.com/office/drawing/2014/main" id="{1FBB9518-46B9-417B-9CF3-4C9010DECA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5" name="Elipse 10374">
          <a:extLst>
            <a:ext uri="{FF2B5EF4-FFF2-40B4-BE49-F238E27FC236}">
              <a16:creationId xmlns:a16="http://schemas.microsoft.com/office/drawing/2014/main" id="{6B40C22F-7979-47C8-AECE-3F8234CDDA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6" name="Elipse 10375">
          <a:extLst>
            <a:ext uri="{FF2B5EF4-FFF2-40B4-BE49-F238E27FC236}">
              <a16:creationId xmlns:a16="http://schemas.microsoft.com/office/drawing/2014/main" id="{F4EDF477-74CF-4C73-84C6-028B43DEF2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7" name="Elipse 10376">
          <a:extLst>
            <a:ext uri="{FF2B5EF4-FFF2-40B4-BE49-F238E27FC236}">
              <a16:creationId xmlns:a16="http://schemas.microsoft.com/office/drawing/2014/main" id="{679BAF35-D325-4AA9-BC58-B84361A09E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8" name="Elipse 10377">
          <a:extLst>
            <a:ext uri="{FF2B5EF4-FFF2-40B4-BE49-F238E27FC236}">
              <a16:creationId xmlns:a16="http://schemas.microsoft.com/office/drawing/2014/main" id="{609716BD-7AFC-49BA-B953-5FC30DCE33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79" name="Elipse 10378">
          <a:extLst>
            <a:ext uri="{FF2B5EF4-FFF2-40B4-BE49-F238E27FC236}">
              <a16:creationId xmlns:a16="http://schemas.microsoft.com/office/drawing/2014/main" id="{D46F18FB-699A-44A5-98EA-E26E10482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0" name="Elipse 10379">
          <a:extLst>
            <a:ext uri="{FF2B5EF4-FFF2-40B4-BE49-F238E27FC236}">
              <a16:creationId xmlns:a16="http://schemas.microsoft.com/office/drawing/2014/main" id="{E4560FBD-D65F-4493-8B68-E2B4257EF8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1" name="Elipse 10380">
          <a:extLst>
            <a:ext uri="{FF2B5EF4-FFF2-40B4-BE49-F238E27FC236}">
              <a16:creationId xmlns:a16="http://schemas.microsoft.com/office/drawing/2014/main" id="{E096EAAB-436E-4656-836D-4760037DBF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2" name="Elipse 10381">
          <a:extLst>
            <a:ext uri="{FF2B5EF4-FFF2-40B4-BE49-F238E27FC236}">
              <a16:creationId xmlns:a16="http://schemas.microsoft.com/office/drawing/2014/main" id="{55CE0A2D-4A5E-4F2C-9AA2-321EEAC2A4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3" name="Elipse 10382">
          <a:extLst>
            <a:ext uri="{FF2B5EF4-FFF2-40B4-BE49-F238E27FC236}">
              <a16:creationId xmlns:a16="http://schemas.microsoft.com/office/drawing/2014/main" id="{887A4DA7-7453-4F4E-8257-ACB40EC618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4" name="Elipse 10383">
          <a:extLst>
            <a:ext uri="{FF2B5EF4-FFF2-40B4-BE49-F238E27FC236}">
              <a16:creationId xmlns:a16="http://schemas.microsoft.com/office/drawing/2014/main" id="{6C226BD6-926B-4C06-9A79-98B05CE3B1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5" name="Elipse 10384">
          <a:extLst>
            <a:ext uri="{FF2B5EF4-FFF2-40B4-BE49-F238E27FC236}">
              <a16:creationId xmlns:a16="http://schemas.microsoft.com/office/drawing/2014/main" id="{AB4D6203-1FB7-4C42-BE70-61AE5130FE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6" name="Elipse 10385">
          <a:extLst>
            <a:ext uri="{FF2B5EF4-FFF2-40B4-BE49-F238E27FC236}">
              <a16:creationId xmlns:a16="http://schemas.microsoft.com/office/drawing/2014/main" id="{118B5FFB-4D77-45CE-ACE9-BE52F57DA2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7" name="Elipse 10386">
          <a:extLst>
            <a:ext uri="{FF2B5EF4-FFF2-40B4-BE49-F238E27FC236}">
              <a16:creationId xmlns:a16="http://schemas.microsoft.com/office/drawing/2014/main" id="{B8DF8673-241F-434B-9092-0C40E8E341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8" name="Elipse 10387">
          <a:extLst>
            <a:ext uri="{FF2B5EF4-FFF2-40B4-BE49-F238E27FC236}">
              <a16:creationId xmlns:a16="http://schemas.microsoft.com/office/drawing/2014/main" id="{9BDBB0EC-AC47-4E3D-BFC7-CC644DE631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89" name="Elipse 10388">
          <a:extLst>
            <a:ext uri="{FF2B5EF4-FFF2-40B4-BE49-F238E27FC236}">
              <a16:creationId xmlns:a16="http://schemas.microsoft.com/office/drawing/2014/main" id="{355E0476-4FBC-4B11-8075-970391977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0" name="Elipse 10389">
          <a:extLst>
            <a:ext uri="{FF2B5EF4-FFF2-40B4-BE49-F238E27FC236}">
              <a16:creationId xmlns:a16="http://schemas.microsoft.com/office/drawing/2014/main" id="{659C7EFF-D6D9-4C82-8B9E-BA931DA039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1" name="Elipse 10390">
          <a:extLst>
            <a:ext uri="{FF2B5EF4-FFF2-40B4-BE49-F238E27FC236}">
              <a16:creationId xmlns:a16="http://schemas.microsoft.com/office/drawing/2014/main" id="{D028A77D-0B1A-45F4-B767-7264641060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2" name="Elipse 10391">
          <a:extLst>
            <a:ext uri="{FF2B5EF4-FFF2-40B4-BE49-F238E27FC236}">
              <a16:creationId xmlns:a16="http://schemas.microsoft.com/office/drawing/2014/main" id="{2D226E03-EB96-48AC-8FF3-FC6D3F821C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3" name="Elipse 10392">
          <a:extLst>
            <a:ext uri="{FF2B5EF4-FFF2-40B4-BE49-F238E27FC236}">
              <a16:creationId xmlns:a16="http://schemas.microsoft.com/office/drawing/2014/main" id="{5A1FA253-D702-46E0-94FF-CECE630B08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4" name="Elipse 10393">
          <a:extLst>
            <a:ext uri="{FF2B5EF4-FFF2-40B4-BE49-F238E27FC236}">
              <a16:creationId xmlns:a16="http://schemas.microsoft.com/office/drawing/2014/main" id="{FC2F5743-3940-49F5-BAFE-E0DAEFB3AA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5" name="Elipse 10394">
          <a:extLst>
            <a:ext uri="{FF2B5EF4-FFF2-40B4-BE49-F238E27FC236}">
              <a16:creationId xmlns:a16="http://schemas.microsoft.com/office/drawing/2014/main" id="{05E2873E-9B1C-43F9-AFC8-F61801ECA1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6" name="Elipse 10395">
          <a:extLst>
            <a:ext uri="{FF2B5EF4-FFF2-40B4-BE49-F238E27FC236}">
              <a16:creationId xmlns:a16="http://schemas.microsoft.com/office/drawing/2014/main" id="{A60C1DFE-39D4-41C9-B04A-056EB9027B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7" name="Elipse 10396">
          <a:extLst>
            <a:ext uri="{FF2B5EF4-FFF2-40B4-BE49-F238E27FC236}">
              <a16:creationId xmlns:a16="http://schemas.microsoft.com/office/drawing/2014/main" id="{DE13CBE0-FFEE-41BC-BA2E-5782999F97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8" name="Elipse 10397">
          <a:extLst>
            <a:ext uri="{FF2B5EF4-FFF2-40B4-BE49-F238E27FC236}">
              <a16:creationId xmlns:a16="http://schemas.microsoft.com/office/drawing/2014/main" id="{BEA66B54-3F0B-44A4-A5B6-EE2F41FDA5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399" name="Elipse 10398">
          <a:extLst>
            <a:ext uri="{FF2B5EF4-FFF2-40B4-BE49-F238E27FC236}">
              <a16:creationId xmlns:a16="http://schemas.microsoft.com/office/drawing/2014/main" id="{98B7E4CB-2C15-4CB9-B53E-095D36A099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0" name="Elipse 10399">
          <a:extLst>
            <a:ext uri="{FF2B5EF4-FFF2-40B4-BE49-F238E27FC236}">
              <a16:creationId xmlns:a16="http://schemas.microsoft.com/office/drawing/2014/main" id="{B3A1B751-E804-4886-BAD5-DF104A26F4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1" name="Elipse 10400">
          <a:extLst>
            <a:ext uri="{FF2B5EF4-FFF2-40B4-BE49-F238E27FC236}">
              <a16:creationId xmlns:a16="http://schemas.microsoft.com/office/drawing/2014/main" id="{CF4A1B7D-C94C-41AD-82E7-F0B98EF92B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2" name="Elipse 10401">
          <a:extLst>
            <a:ext uri="{FF2B5EF4-FFF2-40B4-BE49-F238E27FC236}">
              <a16:creationId xmlns:a16="http://schemas.microsoft.com/office/drawing/2014/main" id="{B48E200A-4792-441F-A757-3AA1FE3C98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3" name="Elipse 10402">
          <a:extLst>
            <a:ext uri="{FF2B5EF4-FFF2-40B4-BE49-F238E27FC236}">
              <a16:creationId xmlns:a16="http://schemas.microsoft.com/office/drawing/2014/main" id="{11F9F8E2-9BA4-4F5D-93BA-669DBCB4E0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4" name="Elipse 10403">
          <a:extLst>
            <a:ext uri="{FF2B5EF4-FFF2-40B4-BE49-F238E27FC236}">
              <a16:creationId xmlns:a16="http://schemas.microsoft.com/office/drawing/2014/main" id="{BD830B53-A17E-4BBD-AF69-CC17F9C3B8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5" name="Elipse 10404">
          <a:extLst>
            <a:ext uri="{FF2B5EF4-FFF2-40B4-BE49-F238E27FC236}">
              <a16:creationId xmlns:a16="http://schemas.microsoft.com/office/drawing/2014/main" id="{E5422879-9256-41D3-8C9F-543D63988B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6" name="Elipse 10405">
          <a:extLst>
            <a:ext uri="{FF2B5EF4-FFF2-40B4-BE49-F238E27FC236}">
              <a16:creationId xmlns:a16="http://schemas.microsoft.com/office/drawing/2014/main" id="{E386563F-FA8D-40A5-AD9E-B76BA35511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7" name="Elipse 10406">
          <a:extLst>
            <a:ext uri="{FF2B5EF4-FFF2-40B4-BE49-F238E27FC236}">
              <a16:creationId xmlns:a16="http://schemas.microsoft.com/office/drawing/2014/main" id="{73FEFF65-E217-46B3-84DA-23353C18B2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8" name="Elipse 10407">
          <a:extLst>
            <a:ext uri="{FF2B5EF4-FFF2-40B4-BE49-F238E27FC236}">
              <a16:creationId xmlns:a16="http://schemas.microsoft.com/office/drawing/2014/main" id="{3BCFA5D7-D159-4CE1-88E3-6BBB0F5A9A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09" name="Elipse 10408">
          <a:extLst>
            <a:ext uri="{FF2B5EF4-FFF2-40B4-BE49-F238E27FC236}">
              <a16:creationId xmlns:a16="http://schemas.microsoft.com/office/drawing/2014/main" id="{0593C00F-1A7C-4C31-8197-A11D176BB3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0" name="Elipse 10409">
          <a:extLst>
            <a:ext uri="{FF2B5EF4-FFF2-40B4-BE49-F238E27FC236}">
              <a16:creationId xmlns:a16="http://schemas.microsoft.com/office/drawing/2014/main" id="{7B1091E9-ACAC-40E4-A3B5-31C754B73E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1" name="Elipse 10410">
          <a:extLst>
            <a:ext uri="{FF2B5EF4-FFF2-40B4-BE49-F238E27FC236}">
              <a16:creationId xmlns:a16="http://schemas.microsoft.com/office/drawing/2014/main" id="{DA410081-0340-43A6-9415-6BD7F48035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2" name="Elipse 10411">
          <a:extLst>
            <a:ext uri="{FF2B5EF4-FFF2-40B4-BE49-F238E27FC236}">
              <a16:creationId xmlns:a16="http://schemas.microsoft.com/office/drawing/2014/main" id="{DDF76EB6-A275-4DB7-B9F9-7A9B782F3E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3" name="Elipse 10412">
          <a:extLst>
            <a:ext uri="{FF2B5EF4-FFF2-40B4-BE49-F238E27FC236}">
              <a16:creationId xmlns:a16="http://schemas.microsoft.com/office/drawing/2014/main" id="{D3260ED6-463D-4187-82E2-DB0F859B9E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4" name="Elipse 10413">
          <a:extLst>
            <a:ext uri="{FF2B5EF4-FFF2-40B4-BE49-F238E27FC236}">
              <a16:creationId xmlns:a16="http://schemas.microsoft.com/office/drawing/2014/main" id="{032DB721-3FA3-470C-91EA-6E5F4E1362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5" name="Elipse 10414">
          <a:extLst>
            <a:ext uri="{FF2B5EF4-FFF2-40B4-BE49-F238E27FC236}">
              <a16:creationId xmlns:a16="http://schemas.microsoft.com/office/drawing/2014/main" id="{7EF49736-6B3F-40D7-A122-4E67C2FEE9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6" name="Elipse 10415">
          <a:extLst>
            <a:ext uri="{FF2B5EF4-FFF2-40B4-BE49-F238E27FC236}">
              <a16:creationId xmlns:a16="http://schemas.microsoft.com/office/drawing/2014/main" id="{FBF3D023-7119-4995-9A89-384B8A2004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7" name="Elipse 10416">
          <a:extLst>
            <a:ext uri="{FF2B5EF4-FFF2-40B4-BE49-F238E27FC236}">
              <a16:creationId xmlns:a16="http://schemas.microsoft.com/office/drawing/2014/main" id="{F3D4F739-97CA-4BC2-B585-4CF94DB95F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8" name="Elipse 10417">
          <a:extLst>
            <a:ext uri="{FF2B5EF4-FFF2-40B4-BE49-F238E27FC236}">
              <a16:creationId xmlns:a16="http://schemas.microsoft.com/office/drawing/2014/main" id="{DE4CE7A1-4B38-468F-828A-8828CD5DEE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19" name="Elipse 10418">
          <a:extLst>
            <a:ext uri="{FF2B5EF4-FFF2-40B4-BE49-F238E27FC236}">
              <a16:creationId xmlns:a16="http://schemas.microsoft.com/office/drawing/2014/main" id="{EA160F63-14F7-4BC1-92B4-ABFCFE60B9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0" name="Elipse 10419">
          <a:extLst>
            <a:ext uri="{FF2B5EF4-FFF2-40B4-BE49-F238E27FC236}">
              <a16:creationId xmlns:a16="http://schemas.microsoft.com/office/drawing/2014/main" id="{6E05F21A-A99A-46BE-851A-418817C352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1" name="Elipse 10420">
          <a:extLst>
            <a:ext uri="{FF2B5EF4-FFF2-40B4-BE49-F238E27FC236}">
              <a16:creationId xmlns:a16="http://schemas.microsoft.com/office/drawing/2014/main" id="{E277045C-90F7-4F02-BA65-F6ABCD1441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2" name="Elipse 10421">
          <a:extLst>
            <a:ext uri="{FF2B5EF4-FFF2-40B4-BE49-F238E27FC236}">
              <a16:creationId xmlns:a16="http://schemas.microsoft.com/office/drawing/2014/main" id="{6FDFA607-752C-4878-A21F-031ED049ED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3" name="Elipse 10422">
          <a:extLst>
            <a:ext uri="{FF2B5EF4-FFF2-40B4-BE49-F238E27FC236}">
              <a16:creationId xmlns:a16="http://schemas.microsoft.com/office/drawing/2014/main" id="{DC57EEAB-3D64-4B87-87BD-E061534B40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4" name="Elipse 10423">
          <a:extLst>
            <a:ext uri="{FF2B5EF4-FFF2-40B4-BE49-F238E27FC236}">
              <a16:creationId xmlns:a16="http://schemas.microsoft.com/office/drawing/2014/main" id="{6767D14A-2871-4094-872C-636A44A553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5" name="Elipse 10424">
          <a:extLst>
            <a:ext uri="{FF2B5EF4-FFF2-40B4-BE49-F238E27FC236}">
              <a16:creationId xmlns:a16="http://schemas.microsoft.com/office/drawing/2014/main" id="{78971035-2061-40F9-9CE6-B8D91174F4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6" name="Elipse 10425">
          <a:extLst>
            <a:ext uri="{FF2B5EF4-FFF2-40B4-BE49-F238E27FC236}">
              <a16:creationId xmlns:a16="http://schemas.microsoft.com/office/drawing/2014/main" id="{5CAC51F6-787D-4F10-AB75-1C21B24B23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7" name="Elipse 10426">
          <a:extLst>
            <a:ext uri="{FF2B5EF4-FFF2-40B4-BE49-F238E27FC236}">
              <a16:creationId xmlns:a16="http://schemas.microsoft.com/office/drawing/2014/main" id="{B9860314-16AD-41B3-A19F-92A745D55E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8" name="Elipse 10427">
          <a:extLst>
            <a:ext uri="{FF2B5EF4-FFF2-40B4-BE49-F238E27FC236}">
              <a16:creationId xmlns:a16="http://schemas.microsoft.com/office/drawing/2014/main" id="{C4CAEFE4-E74C-49EE-80D5-60EDB71C96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29" name="Elipse 10428">
          <a:extLst>
            <a:ext uri="{FF2B5EF4-FFF2-40B4-BE49-F238E27FC236}">
              <a16:creationId xmlns:a16="http://schemas.microsoft.com/office/drawing/2014/main" id="{9777D004-446C-4C5B-8EAD-D8F4E8A606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0" name="Elipse 10429">
          <a:extLst>
            <a:ext uri="{FF2B5EF4-FFF2-40B4-BE49-F238E27FC236}">
              <a16:creationId xmlns:a16="http://schemas.microsoft.com/office/drawing/2014/main" id="{2669C998-72A5-4C29-8DC1-E5F09949B7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1" name="Elipse 10430">
          <a:extLst>
            <a:ext uri="{FF2B5EF4-FFF2-40B4-BE49-F238E27FC236}">
              <a16:creationId xmlns:a16="http://schemas.microsoft.com/office/drawing/2014/main" id="{A970E3BD-963F-43FA-A916-46314D97F2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2" name="Elipse 10431">
          <a:extLst>
            <a:ext uri="{FF2B5EF4-FFF2-40B4-BE49-F238E27FC236}">
              <a16:creationId xmlns:a16="http://schemas.microsoft.com/office/drawing/2014/main" id="{D70522E7-2FB1-4A06-8DE2-619949E4B0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3" name="Elipse 10432">
          <a:extLst>
            <a:ext uri="{FF2B5EF4-FFF2-40B4-BE49-F238E27FC236}">
              <a16:creationId xmlns:a16="http://schemas.microsoft.com/office/drawing/2014/main" id="{9FF7381F-BC3A-451C-B5FF-A2B70F775D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4" name="Elipse 10433">
          <a:extLst>
            <a:ext uri="{FF2B5EF4-FFF2-40B4-BE49-F238E27FC236}">
              <a16:creationId xmlns:a16="http://schemas.microsoft.com/office/drawing/2014/main" id="{69D74538-89CC-468D-B960-FD20AFA1AF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5" name="Elipse 10434">
          <a:extLst>
            <a:ext uri="{FF2B5EF4-FFF2-40B4-BE49-F238E27FC236}">
              <a16:creationId xmlns:a16="http://schemas.microsoft.com/office/drawing/2014/main" id="{64F19317-7DCE-4FC2-B893-FF4D663556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6" name="Elipse 10435">
          <a:extLst>
            <a:ext uri="{FF2B5EF4-FFF2-40B4-BE49-F238E27FC236}">
              <a16:creationId xmlns:a16="http://schemas.microsoft.com/office/drawing/2014/main" id="{40A44805-E262-4461-B4FB-B7F354A26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7" name="Elipse 10436">
          <a:extLst>
            <a:ext uri="{FF2B5EF4-FFF2-40B4-BE49-F238E27FC236}">
              <a16:creationId xmlns:a16="http://schemas.microsoft.com/office/drawing/2014/main" id="{7495272A-12C3-4779-9E28-09C2D07D35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8" name="Elipse 10437">
          <a:extLst>
            <a:ext uri="{FF2B5EF4-FFF2-40B4-BE49-F238E27FC236}">
              <a16:creationId xmlns:a16="http://schemas.microsoft.com/office/drawing/2014/main" id="{0524FECA-E254-413F-85D1-4BF484E8BE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39" name="Elipse 10438">
          <a:extLst>
            <a:ext uri="{FF2B5EF4-FFF2-40B4-BE49-F238E27FC236}">
              <a16:creationId xmlns:a16="http://schemas.microsoft.com/office/drawing/2014/main" id="{E6FEB5CC-3305-4C20-8B41-D186AC2F75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0" name="Elipse 10439">
          <a:extLst>
            <a:ext uri="{FF2B5EF4-FFF2-40B4-BE49-F238E27FC236}">
              <a16:creationId xmlns:a16="http://schemas.microsoft.com/office/drawing/2014/main" id="{5946DAD4-B158-4454-9E85-8BD1F4C591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1" name="Elipse 10440">
          <a:extLst>
            <a:ext uri="{FF2B5EF4-FFF2-40B4-BE49-F238E27FC236}">
              <a16:creationId xmlns:a16="http://schemas.microsoft.com/office/drawing/2014/main" id="{F627795D-2CAC-47A9-B0A4-36E9416D56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2" name="Elipse 10441">
          <a:extLst>
            <a:ext uri="{FF2B5EF4-FFF2-40B4-BE49-F238E27FC236}">
              <a16:creationId xmlns:a16="http://schemas.microsoft.com/office/drawing/2014/main" id="{7FF5E2A1-7727-451E-B390-A49752976F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3" name="Elipse 10442">
          <a:extLst>
            <a:ext uri="{FF2B5EF4-FFF2-40B4-BE49-F238E27FC236}">
              <a16:creationId xmlns:a16="http://schemas.microsoft.com/office/drawing/2014/main" id="{BDC94C70-0E24-4FF3-8A03-1A41411232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4" name="Elipse 10443">
          <a:extLst>
            <a:ext uri="{FF2B5EF4-FFF2-40B4-BE49-F238E27FC236}">
              <a16:creationId xmlns:a16="http://schemas.microsoft.com/office/drawing/2014/main" id="{9738EA19-4DED-461F-B043-17F5F6772E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5" name="Elipse 10444">
          <a:extLst>
            <a:ext uri="{FF2B5EF4-FFF2-40B4-BE49-F238E27FC236}">
              <a16:creationId xmlns:a16="http://schemas.microsoft.com/office/drawing/2014/main" id="{CD670DF8-83A2-47A7-87DA-A5E4D2F109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6" name="Elipse 10445">
          <a:extLst>
            <a:ext uri="{FF2B5EF4-FFF2-40B4-BE49-F238E27FC236}">
              <a16:creationId xmlns:a16="http://schemas.microsoft.com/office/drawing/2014/main" id="{672CA774-ECD7-402F-A8EE-566BC2ADAE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7" name="Elipse 10446">
          <a:extLst>
            <a:ext uri="{FF2B5EF4-FFF2-40B4-BE49-F238E27FC236}">
              <a16:creationId xmlns:a16="http://schemas.microsoft.com/office/drawing/2014/main" id="{35C43E6F-DF2E-46CD-BBAA-9C88273D53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8" name="Elipse 10447">
          <a:extLst>
            <a:ext uri="{FF2B5EF4-FFF2-40B4-BE49-F238E27FC236}">
              <a16:creationId xmlns:a16="http://schemas.microsoft.com/office/drawing/2014/main" id="{0BD82CD7-3612-40B8-AA99-D367F300BB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49" name="Elipse 10448">
          <a:extLst>
            <a:ext uri="{FF2B5EF4-FFF2-40B4-BE49-F238E27FC236}">
              <a16:creationId xmlns:a16="http://schemas.microsoft.com/office/drawing/2014/main" id="{25F5F1DB-2172-41FB-8263-9EEF0C1BF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0" name="Elipse 10449">
          <a:extLst>
            <a:ext uri="{FF2B5EF4-FFF2-40B4-BE49-F238E27FC236}">
              <a16:creationId xmlns:a16="http://schemas.microsoft.com/office/drawing/2014/main" id="{3D2B10DF-C1EC-43DA-84AB-C81E475537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1" name="Elipse 10450">
          <a:extLst>
            <a:ext uri="{FF2B5EF4-FFF2-40B4-BE49-F238E27FC236}">
              <a16:creationId xmlns:a16="http://schemas.microsoft.com/office/drawing/2014/main" id="{A223B5FA-6F02-4318-91E1-F0F78C7C56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2" name="Elipse 10451">
          <a:extLst>
            <a:ext uri="{FF2B5EF4-FFF2-40B4-BE49-F238E27FC236}">
              <a16:creationId xmlns:a16="http://schemas.microsoft.com/office/drawing/2014/main" id="{425DF586-0F7E-494F-8FF5-BC1FAA56F6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3" name="Elipse 10452">
          <a:extLst>
            <a:ext uri="{FF2B5EF4-FFF2-40B4-BE49-F238E27FC236}">
              <a16:creationId xmlns:a16="http://schemas.microsoft.com/office/drawing/2014/main" id="{BDB42403-3E1B-4223-B0DF-4BA6A54DBB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4" name="Elipse 10453">
          <a:extLst>
            <a:ext uri="{FF2B5EF4-FFF2-40B4-BE49-F238E27FC236}">
              <a16:creationId xmlns:a16="http://schemas.microsoft.com/office/drawing/2014/main" id="{FC5AC419-B313-4126-B86D-924401F3F1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5" name="Elipse 10454">
          <a:extLst>
            <a:ext uri="{FF2B5EF4-FFF2-40B4-BE49-F238E27FC236}">
              <a16:creationId xmlns:a16="http://schemas.microsoft.com/office/drawing/2014/main" id="{49D59258-9607-4FF6-A27A-34213EF5CC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6" name="Elipse 10455">
          <a:extLst>
            <a:ext uri="{FF2B5EF4-FFF2-40B4-BE49-F238E27FC236}">
              <a16:creationId xmlns:a16="http://schemas.microsoft.com/office/drawing/2014/main" id="{9E6A7CEF-6E3A-4E8D-8300-DE320096A2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7" name="Elipse 10456">
          <a:extLst>
            <a:ext uri="{FF2B5EF4-FFF2-40B4-BE49-F238E27FC236}">
              <a16:creationId xmlns:a16="http://schemas.microsoft.com/office/drawing/2014/main" id="{FDDAA680-3CA6-419F-9E1B-80C697C4CB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8" name="Elipse 10457">
          <a:extLst>
            <a:ext uri="{FF2B5EF4-FFF2-40B4-BE49-F238E27FC236}">
              <a16:creationId xmlns:a16="http://schemas.microsoft.com/office/drawing/2014/main" id="{566BC41F-9748-45A5-84C3-C6276D8297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59" name="Elipse 10458">
          <a:extLst>
            <a:ext uri="{FF2B5EF4-FFF2-40B4-BE49-F238E27FC236}">
              <a16:creationId xmlns:a16="http://schemas.microsoft.com/office/drawing/2014/main" id="{107DAB7C-74E0-49C4-B5B2-4114686DB6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0" name="Elipse 10459">
          <a:extLst>
            <a:ext uri="{FF2B5EF4-FFF2-40B4-BE49-F238E27FC236}">
              <a16:creationId xmlns:a16="http://schemas.microsoft.com/office/drawing/2014/main" id="{AFDD0E89-7DA3-4970-B56B-7189F46A43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1" name="Elipse 10460">
          <a:extLst>
            <a:ext uri="{FF2B5EF4-FFF2-40B4-BE49-F238E27FC236}">
              <a16:creationId xmlns:a16="http://schemas.microsoft.com/office/drawing/2014/main" id="{D18D2B65-5B3A-49D5-AE76-87BB40DAAF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2" name="Elipse 10461">
          <a:extLst>
            <a:ext uri="{FF2B5EF4-FFF2-40B4-BE49-F238E27FC236}">
              <a16:creationId xmlns:a16="http://schemas.microsoft.com/office/drawing/2014/main" id="{1D5914DA-F574-4338-945C-07168BD102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3" name="Elipse 10462">
          <a:extLst>
            <a:ext uri="{FF2B5EF4-FFF2-40B4-BE49-F238E27FC236}">
              <a16:creationId xmlns:a16="http://schemas.microsoft.com/office/drawing/2014/main" id="{8F6AD141-8F35-488C-8FB0-13B5E4B311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4" name="Elipse 10463">
          <a:extLst>
            <a:ext uri="{FF2B5EF4-FFF2-40B4-BE49-F238E27FC236}">
              <a16:creationId xmlns:a16="http://schemas.microsoft.com/office/drawing/2014/main" id="{6BF40895-EEE4-43CB-9863-2F317BE343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5" name="Elipse 10464">
          <a:extLst>
            <a:ext uri="{FF2B5EF4-FFF2-40B4-BE49-F238E27FC236}">
              <a16:creationId xmlns:a16="http://schemas.microsoft.com/office/drawing/2014/main" id="{A4C8C853-2CB0-43FC-B1C7-541BF72A55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6" name="Elipse 10465">
          <a:extLst>
            <a:ext uri="{FF2B5EF4-FFF2-40B4-BE49-F238E27FC236}">
              <a16:creationId xmlns:a16="http://schemas.microsoft.com/office/drawing/2014/main" id="{FC628783-C4C8-4A8A-BB5C-051AC1123D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7" name="Elipse 10466">
          <a:extLst>
            <a:ext uri="{FF2B5EF4-FFF2-40B4-BE49-F238E27FC236}">
              <a16:creationId xmlns:a16="http://schemas.microsoft.com/office/drawing/2014/main" id="{77A5624D-039D-4BB3-B356-CC8DF2A402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8" name="Elipse 10467">
          <a:extLst>
            <a:ext uri="{FF2B5EF4-FFF2-40B4-BE49-F238E27FC236}">
              <a16:creationId xmlns:a16="http://schemas.microsoft.com/office/drawing/2014/main" id="{8406A7E5-2AD3-49F0-ACB9-DD6DDFF6C5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69" name="Elipse 10468">
          <a:extLst>
            <a:ext uri="{FF2B5EF4-FFF2-40B4-BE49-F238E27FC236}">
              <a16:creationId xmlns:a16="http://schemas.microsoft.com/office/drawing/2014/main" id="{3E724C53-E32E-40D9-897F-2D99BD70A4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0" name="Elipse 10469">
          <a:extLst>
            <a:ext uri="{FF2B5EF4-FFF2-40B4-BE49-F238E27FC236}">
              <a16:creationId xmlns:a16="http://schemas.microsoft.com/office/drawing/2014/main" id="{D659F9C2-C472-4468-82F7-0B1902686F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1" name="Elipse 10470">
          <a:extLst>
            <a:ext uri="{FF2B5EF4-FFF2-40B4-BE49-F238E27FC236}">
              <a16:creationId xmlns:a16="http://schemas.microsoft.com/office/drawing/2014/main" id="{79C78B13-C555-4B26-B48A-C21658DC94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2" name="Elipse 10471">
          <a:extLst>
            <a:ext uri="{FF2B5EF4-FFF2-40B4-BE49-F238E27FC236}">
              <a16:creationId xmlns:a16="http://schemas.microsoft.com/office/drawing/2014/main" id="{8B5BF3B8-6D4E-4CC7-A8DD-99726C3BC2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3" name="Elipse 10472">
          <a:extLst>
            <a:ext uri="{FF2B5EF4-FFF2-40B4-BE49-F238E27FC236}">
              <a16:creationId xmlns:a16="http://schemas.microsoft.com/office/drawing/2014/main" id="{F198248D-1895-42B8-93AA-7EAC4C2A71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4" name="Elipse 10473">
          <a:extLst>
            <a:ext uri="{FF2B5EF4-FFF2-40B4-BE49-F238E27FC236}">
              <a16:creationId xmlns:a16="http://schemas.microsoft.com/office/drawing/2014/main" id="{4B3ED61F-A5A4-4F52-99DD-C14D56C1B9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5" name="Elipse 10474">
          <a:extLst>
            <a:ext uri="{FF2B5EF4-FFF2-40B4-BE49-F238E27FC236}">
              <a16:creationId xmlns:a16="http://schemas.microsoft.com/office/drawing/2014/main" id="{EF219575-B4B2-43A8-B307-F6E290FE6E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6" name="Elipse 10475">
          <a:extLst>
            <a:ext uri="{FF2B5EF4-FFF2-40B4-BE49-F238E27FC236}">
              <a16:creationId xmlns:a16="http://schemas.microsoft.com/office/drawing/2014/main" id="{CDF99E7E-5A3E-4428-A8EB-A5DA8E62F3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7" name="Elipse 10476">
          <a:extLst>
            <a:ext uri="{FF2B5EF4-FFF2-40B4-BE49-F238E27FC236}">
              <a16:creationId xmlns:a16="http://schemas.microsoft.com/office/drawing/2014/main" id="{4FBC806C-C0AB-4BE3-8292-442009FFAB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8" name="Elipse 10477">
          <a:extLst>
            <a:ext uri="{FF2B5EF4-FFF2-40B4-BE49-F238E27FC236}">
              <a16:creationId xmlns:a16="http://schemas.microsoft.com/office/drawing/2014/main" id="{3D9B829C-224B-4C18-91BF-6D44A86B07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79" name="Elipse 10478">
          <a:extLst>
            <a:ext uri="{FF2B5EF4-FFF2-40B4-BE49-F238E27FC236}">
              <a16:creationId xmlns:a16="http://schemas.microsoft.com/office/drawing/2014/main" id="{2B5C73F2-2803-4659-BBB2-520FA38A42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0" name="Elipse 10479">
          <a:extLst>
            <a:ext uri="{FF2B5EF4-FFF2-40B4-BE49-F238E27FC236}">
              <a16:creationId xmlns:a16="http://schemas.microsoft.com/office/drawing/2014/main" id="{D470D95E-DD71-46A4-BF2B-9BCC1A7F76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1" name="Elipse 10480">
          <a:extLst>
            <a:ext uri="{FF2B5EF4-FFF2-40B4-BE49-F238E27FC236}">
              <a16:creationId xmlns:a16="http://schemas.microsoft.com/office/drawing/2014/main" id="{D59DBF06-BA3C-46D6-BFB8-E1979A152B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2" name="Elipse 10481">
          <a:extLst>
            <a:ext uri="{FF2B5EF4-FFF2-40B4-BE49-F238E27FC236}">
              <a16:creationId xmlns:a16="http://schemas.microsoft.com/office/drawing/2014/main" id="{748B56AA-EDEB-4CDD-9486-42B189CF63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3" name="Elipse 10482">
          <a:extLst>
            <a:ext uri="{FF2B5EF4-FFF2-40B4-BE49-F238E27FC236}">
              <a16:creationId xmlns:a16="http://schemas.microsoft.com/office/drawing/2014/main" id="{2E8FFF41-070B-4C27-8BE9-A0117F3EC6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4" name="Elipse 10483">
          <a:extLst>
            <a:ext uri="{FF2B5EF4-FFF2-40B4-BE49-F238E27FC236}">
              <a16:creationId xmlns:a16="http://schemas.microsoft.com/office/drawing/2014/main" id="{F51AAF9A-ADF3-4369-B332-0ECCF27EA4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5" name="Elipse 10484">
          <a:extLst>
            <a:ext uri="{FF2B5EF4-FFF2-40B4-BE49-F238E27FC236}">
              <a16:creationId xmlns:a16="http://schemas.microsoft.com/office/drawing/2014/main" id="{1199043E-F07C-435E-9CC0-2AC466EFEA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6" name="Elipse 10485">
          <a:extLst>
            <a:ext uri="{FF2B5EF4-FFF2-40B4-BE49-F238E27FC236}">
              <a16:creationId xmlns:a16="http://schemas.microsoft.com/office/drawing/2014/main" id="{63AD005A-C7C7-4FD3-8067-F84BD3192A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7" name="Elipse 10486">
          <a:extLst>
            <a:ext uri="{FF2B5EF4-FFF2-40B4-BE49-F238E27FC236}">
              <a16:creationId xmlns:a16="http://schemas.microsoft.com/office/drawing/2014/main" id="{BD886F5D-3FDA-4316-AA97-071C9F3D73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8" name="Elipse 10487">
          <a:extLst>
            <a:ext uri="{FF2B5EF4-FFF2-40B4-BE49-F238E27FC236}">
              <a16:creationId xmlns:a16="http://schemas.microsoft.com/office/drawing/2014/main" id="{19F35248-1A37-4CCB-9D4E-FE9C33203F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89" name="Elipse 10488">
          <a:extLst>
            <a:ext uri="{FF2B5EF4-FFF2-40B4-BE49-F238E27FC236}">
              <a16:creationId xmlns:a16="http://schemas.microsoft.com/office/drawing/2014/main" id="{3E073E61-A993-4B89-A064-C7653EB010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0" name="Elipse 10489">
          <a:extLst>
            <a:ext uri="{FF2B5EF4-FFF2-40B4-BE49-F238E27FC236}">
              <a16:creationId xmlns:a16="http://schemas.microsoft.com/office/drawing/2014/main" id="{D8A3672D-7269-40CA-B369-A5C162E130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1" name="Elipse 10490">
          <a:extLst>
            <a:ext uri="{FF2B5EF4-FFF2-40B4-BE49-F238E27FC236}">
              <a16:creationId xmlns:a16="http://schemas.microsoft.com/office/drawing/2014/main" id="{4A12680F-F283-419D-BE97-CF9F31EB0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2" name="Elipse 10491">
          <a:extLst>
            <a:ext uri="{FF2B5EF4-FFF2-40B4-BE49-F238E27FC236}">
              <a16:creationId xmlns:a16="http://schemas.microsoft.com/office/drawing/2014/main" id="{E9A3DC14-3F5C-4181-9EC2-247F20A4AD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3" name="Elipse 10492">
          <a:extLst>
            <a:ext uri="{FF2B5EF4-FFF2-40B4-BE49-F238E27FC236}">
              <a16:creationId xmlns:a16="http://schemas.microsoft.com/office/drawing/2014/main" id="{0F3B1990-5010-4A8D-96CB-2D5FF60BC6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4" name="Elipse 10493">
          <a:extLst>
            <a:ext uri="{FF2B5EF4-FFF2-40B4-BE49-F238E27FC236}">
              <a16:creationId xmlns:a16="http://schemas.microsoft.com/office/drawing/2014/main" id="{6CE9AB34-A40D-47D3-8300-83CDEA1FEA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5" name="Elipse 10494">
          <a:extLst>
            <a:ext uri="{FF2B5EF4-FFF2-40B4-BE49-F238E27FC236}">
              <a16:creationId xmlns:a16="http://schemas.microsoft.com/office/drawing/2014/main" id="{7071C72D-2D80-4769-917B-2947667C02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6" name="Elipse 10495">
          <a:extLst>
            <a:ext uri="{FF2B5EF4-FFF2-40B4-BE49-F238E27FC236}">
              <a16:creationId xmlns:a16="http://schemas.microsoft.com/office/drawing/2014/main" id="{E668D76C-26FE-4F65-8272-3B18DDC789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7" name="Elipse 10496">
          <a:extLst>
            <a:ext uri="{FF2B5EF4-FFF2-40B4-BE49-F238E27FC236}">
              <a16:creationId xmlns:a16="http://schemas.microsoft.com/office/drawing/2014/main" id="{2C5433C4-D236-48A9-ADBE-7BC0BDA48A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8" name="Elipse 10497">
          <a:extLst>
            <a:ext uri="{FF2B5EF4-FFF2-40B4-BE49-F238E27FC236}">
              <a16:creationId xmlns:a16="http://schemas.microsoft.com/office/drawing/2014/main" id="{A81B74C5-98A3-4339-994A-20C94252A8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499" name="Elipse 10498">
          <a:extLst>
            <a:ext uri="{FF2B5EF4-FFF2-40B4-BE49-F238E27FC236}">
              <a16:creationId xmlns:a16="http://schemas.microsoft.com/office/drawing/2014/main" id="{ED67573D-CB65-46CD-B7F4-BD080EEE6A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0" name="Elipse 10499">
          <a:extLst>
            <a:ext uri="{FF2B5EF4-FFF2-40B4-BE49-F238E27FC236}">
              <a16:creationId xmlns:a16="http://schemas.microsoft.com/office/drawing/2014/main" id="{7DF71674-4B7B-4E00-9C0C-68360B7F98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1" name="Elipse 10500">
          <a:extLst>
            <a:ext uri="{FF2B5EF4-FFF2-40B4-BE49-F238E27FC236}">
              <a16:creationId xmlns:a16="http://schemas.microsoft.com/office/drawing/2014/main" id="{B8E5B2A1-0854-4676-A29B-C5A3BC2F09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2" name="Elipse 10501">
          <a:extLst>
            <a:ext uri="{FF2B5EF4-FFF2-40B4-BE49-F238E27FC236}">
              <a16:creationId xmlns:a16="http://schemas.microsoft.com/office/drawing/2014/main" id="{340DE69A-1A24-426D-A128-21B9EC6627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3" name="Elipse 10502">
          <a:extLst>
            <a:ext uri="{FF2B5EF4-FFF2-40B4-BE49-F238E27FC236}">
              <a16:creationId xmlns:a16="http://schemas.microsoft.com/office/drawing/2014/main" id="{A6EFDF76-A387-423C-835F-05DC828D5B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4" name="Elipse 10503">
          <a:extLst>
            <a:ext uri="{FF2B5EF4-FFF2-40B4-BE49-F238E27FC236}">
              <a16:creationId xmlns:a16="http://schemas.microsoft.com/office/drawing/2014/main" id="{89E0B51C-3447-4902-9BB7-F7A19B4A8F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5" name="Elipse 10504">
          <a:extLst>
            <a:ext uri="{FF2B5EF4-FFF2-40B4-BE49-F238E27FC236}">
              <a16:creationId xmlns:a16="http://schemas.microsoft.com/office/drawing/2014/main" id="{372D52E9-CFDC-490C-85CB-585F17B779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6" name="Elipse 10505">
          <a:extLst>
            <a:ext uri="{FF2B5EF4-FFF2-40B4-BE49-F238E27FC236}">
              <a16:creationId xmlns:a16="http://schemas.microsoft.com/office/drawing/2014/main" id="{B5CBC708-7776-415F-BC5B-AEC1AEE9BF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7" name="Elipse 10506">
          <a:extLst>
            <a:ext uri="{FF2B5EF4-FFF2-40B4-BE49-F238E27FC236}">
              <a16:creationId xmlns:a16="http://schemas.microsoft.com/office/drawing/2014/main" id="{2DDB7697-CE32-4F6F-B9E8-EC66B78026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8" name="Elipse 10507">
          <a:extLst>
            <a:ext uri="{FF2B5EF4-FFF2-40B4-BE49-F238E27FC236}">
              <a16:creationId xmlns:a16="http://schemas.microsoft.com/office/drawing/2014/main" id="{02316BE0-5962-418E-9D84-61F07BE963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09" name="Elipse 10508">
          <a:extLst>
            <a:ext uri="{FF2B5EF4-FFF2-40B4-BE49-F238E27FC236}">
              <a16:creationId xmlns:a16="http://schemas.microsoft.com/office/drawing/2014/main" id="{D1C929FC-53E6-4868-AC54-C2D6AD7FA2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0" name="Elipse 10509">
          <a:extLst>
            <a:ext uri="{FF2B5EF4-FFF2-40B4-BE49-F238E27FC236}">
              <a16:creationId xmlns:a16="http://schemas.microsoft.com/office/drawing/2014/main" id="{503B5D2B-7F24-4B17-A3BC-EC64E3665B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1" name="Elipse 10510">
          <a:extLst>
            <a:ext uri="{FF2B5EF4-FFF2-40B4-BE49-F238E27FC236}">
              <a16:creationId xmlns:a16="http://schemas.microsoft.com/office/drawing/2014/main" id="{E481C927-47B6-4FF0-A9E7-7F644C9080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2" name="Elipse 10511">
          <a:extLst>
            <a:ext uri="{FF2B5EF4-FFF2-40B4-BE49-F238E27FC236}">
              <a16:creationId xmlns:a16="http://schemas.microsoft.com/office/drawing/2014/main" id="{2F65D4CE-289E-4D81-B431-B494FD7E9B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3" name="Elipse 10512">
          <a:extLst>
            <a:ext uri="{FF2B5EF4-FFF2-40B4-BE49-F238E27FC236}">
              <a16:creationId xmlns:a16="http://schemas.microsoft.com/office/drawing/2014/main" id="{D3A491C6-9581-4D01-8834-DAFE270F3D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4" name="Elipse 10513">
          <a:extLst>
            <a:ext uri="{FF2B5EF4-FFF2-40B4-BE49-F238E27FC236}">
              <a16:creationId xmlns:a16="http://schemas.microsoft.com/office/drawing/2014/main" id="{C56449D7-7EA9-4BC1-9663-8D74F6E069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5" name="Elipse 10514">
          <a:extLst>
            <a:ext uri="{FF2B5EF4-FFF2-40B4-BE49-F238E27FC236}">
              <a16:creationId xmlns:a16="http://schemas.microsoft.com/office/drawing/2014/main" id="{C208DFF2-A490-4BE7-AE87-6C86EE07E7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6" name="Elipse 10515">
          <a:extLst>
            <a:ext uri="{FF2B5EF4-FFF2-40B4-BE49-F238E27FC236}">
              <a16:creationId xmlns:a16="http://schemas.microsoft.com/office/drawing/2014/main" id="{2CE34341-2A29-4DE7-9EF3-BAB47732EB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7" name="Elipse 10516">
          <a:extLst>
            <a:ext uri="{FF2B5EF4-FFF2-40B4-BE49-F238E27FC236}">
              <a16:creationId xmlns:a16="http://schemas.microsoft.com/office/drawing/2014/main" id="{E9507336-E96D-4DD7-82F8-4B98551CEA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8" name="Elipse 10517">
          <a:extLst>
            <a:ext uri="{FF2B5EF4-FFF2-40B4-BE49-F238E27FC236}">
              <a16:creationId xmlns:a16="http://schemas.microsoft.com/office/drawing/2014/main" id="{167A4A09-1159-4488-A4A1-D212467B00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19" name="Elipse 10518">
          <a:extLst>
            <a:ext uri="{FF2B5EF4-FFF2-40B4-BE49-F238E27FC236}">
              <a16:creationId xmlns:a16="http://schemas.microsoft.com/office/drawing/2014/main" id="{F231B31B-9A3E-4E17-82A2-B95EC6846A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0" name="Elipse 10519">
          <a:extLst>
            <a:ext uri="{FF2B5EF4-FFF2-40B4-BE49-F238E27FC236}">
              <a16:creationId xmlns:a16="http://schemas.microsoft.com/office/drawing/2014/main" id="{0BD199FB-4B6A-4C1E-A377-D17B86DD29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1" name="Elipse 10520">
          <a:extLst>
            <a:ext uri="{FF2B5EF4-FFF2-40B4-BE49-F238E27FC236}">
              <a16:creationId xmlns:a16="http://schemas.microsoft.com/office/drawing/2014/main" id="{8592C471-4208-482B-889F-4004296DDC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2" name="Elipse 10521">
          <a:extLst>
            <a:ext uri="{FF2B5EF4-FFF2-40B4-BE49-F238E27FC236}">
              <a16:creationId xmlns:a16="http://schemas.microsoft.com/office/drawing/2014/main" id="{BF7D44EA-AFF7-4575-9E1E-2D2E340D9B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3" name="Elipse 10522">
          <a:extLst>
            <a:ext uri="{FF2B5EF4-FFF2-40B4-BE49-F238E27FC236}">
              <a16:creationId xmlns:a16="http://schemas.microsoft.com/office/drawing/2014/main" id="{A29C3259-33E1-45BD-B38B-63CFA4BD16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4" name="Elipse 10523">
          <a:extLst>
            <a:ext uri="{FF2B5EF4-FFF2-40B4-BE49-F238E27FC236}">
              <a16:creationId xmlns:a16="http://schemas.microsoft.com/office/drawing/2014/main" id="{915A4EFA-46D4-4280-8DED-33C37A3F29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5" name="Elipse 10524">
          <a:extLst>
            <a:ext uri="{FF2B5EF4-FFF2-40B4-BE49-F238E27FC236}">
              <a16:creationId xmlns:a16="http://schemas.microsoft.com/office/drawing/2014/main" id="{FC937C34-F4CC-469B-8320-8057E82A3A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6" name="Elipse 10525">
          <a:extLst>
            <a:ext uri="{FF2B5EF4-FFF2-40B4-BE49-F238E27FC236}">
              <a16:creationId xmlns:a16="http://schemas.microsoft.com/office/drawing/2014/main" id="{59F1071B-E74C-4B74-A144-3217A52091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7" name="Elipse 10526">
          <a:extLst>
            <a:ext uri="{FF2B5EF4-FFF2-40B4-BE49-F238E27FC236}">
              <a16:creationId xmlns:a16="http://schemas.microsoft.com/office/drawing/2014/main" id="{4C9F6CDA-9DBC-4066-8DB3-DCF5D045BC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8" name="Elipse 10527">
          <a:extLst>
            <a:ext uri="{FF2B5EF4-FFF2-40B4-BE49-F238E27FC236}">
              <a16:creationId xmlns:a16="http://schemas.microsoft.com/office/drawing/2014/main" id="{8B33D5D1-2466-4ED6-A369-4199748B19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29" name="Elipse 10528">
          <a:extLst>
            <a:ext uri="{FF2B5EF4-FFF2-40B4-BE49-F238E27FC236}">
              <a16:creationId xmlns:a16="http://schemas.microsoft.com/office/drawing/2014/main" id="{AA6E0DC5-1894-4FBA-A3D9-BC140BA62B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0" name="Elipse 10529">
          <a:extLst>
            <a:ext uri="{FF2B5EF4-FFF2-40B4-BE49-F238E27FC236}">
              <a16:creationId xmlns:a16="http://schemas.microsoft.com/office/drawing/2014/main" id="{7900614D-C819-4874-90F1-3E15032D9C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1" name="Elipse 10530">
          <a:extLst>
            <a:ext uri="{FF2B5EF4-FFF2-40B4-BE49-F238E27FC236}">
              <a16:creationId xmlns:a16="http://schemas.microsoft.com/office/drawing/2014/main" id="{A2CB5751-0DBB-46F4-B1E1-B96FCB7F75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2" name="Elipse 10531">
          <a:extLst>
            <a:ext uri="{FF2B5EF4-FFF2-40B4-BE49-F238E27FC236}">
              <a16:creationId xmlns:a16="http://schemas.microsoft.com/office/drawing/2014/main" id="{1A1A1E98-58DB-4052-9FDF-4C32617D29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3" name="Elipse 10532">
          <a:extLst>
            <a:ext uri="{FF2B5EF4-FFF2-40B4-BE49-F238E27FC236}">
              <a16:creationId xmlns:a16="http://schemas.microsoft.com/office/drawing/2014/main" id="{8662B7AD-6379-4047-97A3-AC81413FE4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4" name="Elipse 10533">
          <a:extLst>
            <a:ext uri="{FF2B5EF4-FFF2-40B4-BE49-F238E27FC236}">
              <a16:creationId xmlns:a16="http://schemas.microsoft.com/office/drawing/2014/main" id="{5BE9322A-50A5-4F15-8567-35BACE2872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5" name="Elipse 10534">
          <a:extLst>
            <a:ext uri="{FF2B5EF4-FFF2-40B4-BE49-F238E27FC236}">
              <a16:creationId xmlns:a16="http://schemas.microsoft.com/office/drawing/2014/main" id="{17E0AA11-57D4-4EEA-AF11-379354A4F6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6" name="Elipse 10535">
          <a:extLst>
            <a:ext uri="{FF2B5EF4-FFF2-40B4-BE49-F238E27FC236}">
              <a16:creationId xmlns:a16="http://schemas.microsoft.com/office/drawing/2014/main" id="{B1CB0B7E-D7C5-4A86-96FB-93E90BA77B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7" name="Elipse 10536">
          <a:extLst>
            <a:ext uri="{FF2B5EF4-FFF2-40B4-BE49-F238E27FC236}">
              <a16:creationId xmlns:a16="http://schemas.microsoft.com/office/drawing/2014/main" id="{7C488701-DF5A-4D13-9A5E-BEA5A10117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8" name="Elipse 10537">
          <a:extLst>
            <a:ext uri="{FF2B5EF4-FFF2-40B4-BE49-F238E27FC236}">
              <a16:creationId xmlns:a16="http://schemas.microsoft.com/office/drawing/2014/main" id="{B0F62869-D1C3-4C57-B6E1-78D0313C8A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39" name="Elipse 10538">
          <a:extLst>
            <a:ext uri="{FF2B5EF4-FFF2-40B4-BE49-F238E27FC236}">
              <a16:creationId xmlns:a16="http://schemas.microsoft.com/office/drawing/2014/main" id="{C4E858B8-2856-4899-A7B6-21A67583F7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0" name="Elipse 10539">
          <a:extLst>
            <a:ext uri="{FF2B5EF4-FFF2-40B4-BE49-F238E27FC236}">
              <a16:creationId xmlns:a16="http://schemas.microsoft.com/office/drawing/2014/main" id="{A0FEBB94-A624-4F8E-AB47-5C9F1DA8C0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1" name="Elipse 10540">
          <a:extLst>
            <a:ext uri="{FF2B5EF4-FFF2-40B4-BE49-F238E27FC236}">
              <a16:creationId xmlns:a16="http://schemas.microsoft.com/office/drawing/2014/main" id="{52DACDA4-D1EF-4C49-B898-A033BA6345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2" name="Elipse 10541">
          <a:extLst>
            <a:ext uri="{FF2B5EF4-FFF2-40B4-BE49-F238E27FC236}">
              <a16:creationId xmlns:a16="http://schemas.microsoft.com/office/drawing/2014/main" id="{0A563F8C-94B2-49E5-953B-A1771B4E18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3" name="Elipse 10542">
          <a:extLst>
            <a:ext uri="{FF2B5EF4-FFF2-40B4-BE49-F238E27FC236}">
              <a16:creationId xmlns:a16="http://schemas.microsoft.com/office/drawing/2014/main" id="{F0EE3887-90BF-46E9-8A1A-BC58C73477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4" name="Elipse 10543">
          <a:extLst>
            <a:ext uri="{FF2B5EF4-FFF2-40B4-BE49-F238E27FC236}">
              <a16:creationId xmlns:a16="http://schemas.microsoft.com/office/drawing/2014/main" id="{1F212C05-BC51-4944-BDD8-EA6B0D35AF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5" name="Elipse 10544">
          <a:extLst>
            <a:ext uri="{FF2B5EF4-FFF2-40B4-BE49-F238E27FC236}">
              <a16:creationId xmlns:a16="http://schemas.microsoft.com/office/drawing/2014/main" id="{8FDFCF4C-276F-46BF-9044-0C46948749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6" name="Elipse 10545">
          <a:extLst>
            <a:ext uri="{FF2B5EF4-FFF2-40B4-BE49-F238E27FC236}">
              <a16:creationId xmlns:a16="http://schemas.microsoft.com/office/drawing/2014/main" id="{1EFD3596-94EB-4287-A492-2DE10F8CC0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7" name="Elipse 10546">
          <a:extLst>
            <a:ext uri="{FF2B5EF4-FFF2-40B4-BE49-F238E27FC236}">
              <a16:creationId xmlns:a16="http://schemas.microsoft.com/office/drawing/2014/main" id="{C069EA27-9274-41E4-8C87-CB74A505EC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8" name="Elipse 10547">
          <a:extLst>
            <a:ext uri="{FF2B5EF4-FFF2-40B4-BE49-F238E27FC236}">
              <a16:creationId xmlns:a16="http://schemas.microsoft.com/office/drawing/2014/main" id="{BEBEC23D-7D34-442E-A436-69A3A08132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49" name="Elipse 10548">
          <a:extLst>
            <a:ext uri="{FF2B5EF4-FFF2-40B4-BE49-F238E27FC236}">
              <a16:creationId xmlns:a16="http://schemas.microsoft.com/office/drawing/2014/main" id="{21BFD5CD-DCD1-4CE9-B2CC-A26FA56CF1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0" name="Elipse 10549">
          <a:extLst>
            <a:ext uri="{FF2B5EF4-FFF2-40B4-BE49-F238E27FC236}">
              <a16:creationId xmlns:a16="http://schemas.microsoft.com/office/drawing/2014/main" id="{55D8BD0C-B7BE-4EC4-9E66-C689D8856E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1" name="Elipse 10550">
          <a:extLst>
            <a:ext uri="{FF2B5EF4-FFF2-40B4-BE49-F238E27FC236}">
              <a16:creationId xmlns:a16="http://schemas.microsoft.com/office/drawing/2014/main" id="{8BED4842-47A2-4320-8660-3DE97F8E4C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2" name="Elipse 10551">
          <a:extLst>
            <a:ext uri="{FF2B5EF4-FFF2-40B4-BE49-F238E27FC236}">
              <a16:creationId xmlns:a16="http://schemas.microsoft.com/office/drawing/2014/main" id="{C87E7168-01C2-47A5-A668-C06A81E75D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3" name="Elipse 10552">
          <a:extLst>
            <a:ext uri="{FF2B5EF4-FFF2-40B4-BE49-F238E27FC236}">
              <a16:creationId xmlns:a16="http://schemas.microsoft.com/office/drawing/2014/main" id="{98697DD3-6469-4A3C-9881-90A23FDB76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4" name="Elipse 10553">
          <a:extLst>
            <a:ext uri="{FF2B5EF4-FFF2-40B4-BE49-F238E27FC236}">
              <a16:creationId xmlns:a16="http://schemas.microsoft.com/office/drawing/2014/main" id="{B8273E08-93CC-4033-ACC4-369EC05C7B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5" name="Elipse 10554">
          <a:extLst>
            <a:ext uri="{FF2B5EF4-FFF2-40B4-BE49-F238E27FC236}">
              <a16:creationId xmlns:a16="http://schemas.microsoft.com/office/drawing/2014/main" id="{55B3E9F3-2FCE-492D-A2CA-C5CC03AD23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6" name="Elipse 10555">
          <a:extLst>
            <a:ext uri="{FF2B5EF4-FFF2-40B4-BE49-F238E27FC236}">
              <a16:creationId xmlns:a16="http://schemas.microsoft.com/office/drawing/2014/main" id="{7BE945C3-8E20-4692-81F0-6A604368DF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7" name="Elipse 10556">
          <a:extLst>
            <a:ext uri="{FF2B5EF4-FFF2-40B4-BE49-F238E27FC236}">
              <a16:creationId xmlns:a16="http://schemas.microsoft.com/office/drawing/2014/main" id="{E4615D60-A8D1-4063-9C60-7B9FC94515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8" name="Elipse 10557">
          <a:extLst>
            <a:ext uri="{FF2B5EF4-FFF2-40B4-BE49-F238E27FC236}">
              <a16:creationId xmlns:a16="http://schemas.microsoft.com/office/drawing/2014/main" id="{DEAA77CF-9D53-4A4C-863C-0CE4415BD3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59" name="Elipse 10558">
          <a:extLst>
            <a:ext uri="{FF2B5EF4-FFF2-40B4-BE49-F238E27FC236}">
              <a16:creationId xmlns:a16="http://schemas.microsoft.com/office/drawing/2014/main" id="{5552BCAF-84F7-445D-A6F8-C31AAB8A89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0" name="Elipse 10559">
          <a:extLst>
            <a:ext uri="{FF2B5EF4-FFF2-40B4-BE49-F238E27FC236}">
              <a16:creationId xmlns:a16="http://schemas.microsoft.com/office/drawing/2014/main" id="{C0312DB9-3047-4DD9-90C6-91C2DBEF60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1" name="Elipse 10560">
          <a:extLst>
            <a:ext uri="{FF2B5EF4-FFF2-40B4-BE49-F238E27FC236}">
              <a16:creationId xmlns:a16="http://schemas.microsoft.com/office/drawing/2014/main" id="{B0F5A017-7A95-4257-AC3C-DAE731DF70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2" name="Elipse 10561">
          <a:extLst>
            <a:ext uri="{FF2B5EF4-FFF2-40B4-BE49-F238E27FC236}">
              <a16:creationId xmlns:a16="http://schemas.microsoft.com/office/drawing/2014/main" id="{118AF48D-4F1B-4A37-8244-B56B2030F0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3" name="Elipse 10562">
          <a:extLst>
            <a:ext uri="{FF2B5EF4-FFF2-40B4-BE49-F238E27FC236}">
              <a16:creationId xmlns:a16="http://schemas.microsoft.com/office/drawing/2014/main" id="{41BAA59E-F8B4-47F7-8462-6D70FA02DA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4" name="Elipse 10563">
          <a:extLst>
            <a:ext uri="{FF2B5EF4-FFF2-40B4-BE49-F238E27FC236}">
              <a16:creationId xmlns:a16="http://schemas.microsoft.com/office/drawing/2014/main" id="{91A2C925-820C-4F9C-90E9-D37110EE74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5" name="Elipse 10564">
          <a:extLst>
            <a:ext uri="{FF2B5EF4-FFF2-40B4-BE49-F238E27FC236}">
              <a16:creationId xmlns:a16="http://schemas.microsoft.com/office/drawing/2014/main" id="{5A3C2801-BBBD-472B-A5B0-6538D7086D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6" name="Elipse 10565">
          <a:extLst>
            <a:ext uri="{FF2B5EF4-FFF2-40B4-BE49-F238E27FC236}">
              <a16:creationId xmlns:a16="http://schemas.microsoft.com/office/drawing/2014/main" id="{33B9FDAA-B55B-4CB7-B4F9-A177C1E15A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7" name="Elipse 10566">
          <a:extLst>
            <a:ext uri="{FF2B5EF4-FFF2-40B4-BE49-F238E27FC236}">
              <a16:creationId xmlns:a16="http://schemas.microsoft.com/office/drawing/2014/main" id="{F61EA2E4-3AC1-43F7-956B-A2CD34F8A0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8" name="Elipse 10567">
          <a:extLst>
            <a:ext uri="{FF2B5EF4-FFF2-40B4-BE49-F238E27FC236}">
              <a16:creationId xmlns:a16="http://schemas.microsoft.com/office/drawing/2014/main" id="{D04DEA51-E30A-491D-BF45-C9C5187D60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69" name="Elipse 10568">
          <a:extLst>
            <a:ext uri="{FF2B5EF4-FFF2-40B4-BE49-F238E27FC236}">
              <a16:creationId xmlns:a16="http://schemas.microsoft.com/office/drawing/2014/main" id="{F2A057E7-DD7E-4AAD-A3FD-C1F5D32F51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0" name="Elipse 10569">
          <a:extLst>
            <a:ext uri="{FF2B5EF4-FFF2-40B4-BE49-F238E27FC236}">
              <a16:creationId xmlns:a16="http://schemas.microsoft.com/office/drawing/2014/main" id="{EA5BCA45-166D-4B40-961F-84204F68AF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1" name="Elipse 10570">
          <a:extLst>
            <a:ext uri="{FF2B5EF4-FFF2-40B4-BE49-F238E27FC236}">
              <a16:creationId xmlns:a16="http://schemas.microsoft.com/office/drawing/2014/main" id="{0A7D4CD0-496F-4FC6-8FA1-D06E9B84AF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2" name="Elipse 10571">
          <a:extLst>
            <a:ext uri="{FF2B5EF4-FFF2-40B4-BE49-F238E27FC236}">
              <a16:creationId xmlns:a16="http://schemas.microsoft.com/office/drawing/2014/main" id="{4029A54A-7E7E-4D3B-9BB9-5F5A381D50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3" name="Elipse 10572">
          <a:extLst>
            <a:ext uri="{FF2B5EF4-FFF2-40B4-BE49-F238E27FC236}">
              <a16:creationId xmlns:a16="http://schemas.microsoft.com/office/drawing/2014/main" id="{FD2658E6-DCED-4F0E-B241-58BA9DA287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4" name="Elipse 10573">
          <a:extLst>
            <a:ext uri="{FF2B5EF4-FFF2-40B4-BE49-F238E27FC236}">
              <a16:creationId xmlns:a16="http://schemas.microsoft.com/office/drawing/2014/main" id="{BD737C25-2446-439D-9EA2-3E62E097AB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5" name="Elipse 10574">
          <a:extLst>
            <a:ext uri="{FF2B5EF4-FFF2-40B4-BE49-F238E27FC236}">
              <a16:creationId xmlns:a16="http://schemas.microsoft.com/office/drawing/2014/main" id="{C8DE2EA5-2961-4FDC-B84A-F748930159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6" name="Elipse 10575">
          <a:extLst>
            <a:ext uri="{FF2B5EF4-FFF2-40B4-BE49-F238E27FC236}">
              <a16:creationId xmlns:a16="http://schemas.microsoft.com/office/drawing/2014/main" id="{18C4AD08-23AE-4F5C-965C-08EA5686A0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7" name="Elipse 10576">
          <a:extLst>
            <a:ext uri="{FF2B5EF4-FFF2-40B4-BE49-F238E27FC236}">
              <a16:creationId xmlns:a16="http://schemas.microsoft.com/office/drawing/2014/main" id="{FAE1EA66-3F21-4AD6-BFC6-F519657AB2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8" name="Elipse 10577">
          <a:extLst>
            <a:ext uri="{FF2B5EF4-FFF2-40B4-BE49-F238E27FC236}">
              <a16:creationId xmlns:a16="http://schemas.microsoft.com/office/drawing/2014/main" id="{BD4909E2-7169-431D-9656-CBB92435A1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79" name="Elipse 10578">
          <a:extLst>
            <a:ext uri="{FF2B5EF4-FFF2-40B4-BE49-F238E27FC236}">
              <a16:creationId xmlns:a16="http://schemas.microsoft.com/office/drawing/2014/main" id="{2AAB5829-B077-480D-8630-5C9F9AAEBF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0" name="Elipse 10579">
          <a:extLst>
            <a:ext uri="{FF2B5EF4-FFF2-40B4-BE49-F238E27FC236}">
              <a16:creationId xmlns:a16="http://schemas.microsoft.com/office/drawing/2014/main" id="{AE1B35A8-FCC9-4F61-8936-210ED5A0FE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1" name="Elipse 10580">
          <a:extLst>
            <a:ext uri="{FF2B5EF4-FFF2-40B4-BE49-F238E27FC236}">
              <a16:creationId xmlns:a16="http://schemas.microsoft.com/office/drawing/2014/main" id="{6596D28B-3479-4F93-B58C-E0F4A04813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2" name="Elipse 10581">
          <a:extLst>
            <a:ext uri="{FF2B5EF4-FFF2-40B4-BE49-F238E27FC236}">
              <a16:creationId xmlns:a16="http://schemas.microsoft.com/office/drawing/2014/main" id="{5A3A024B-98DB-458E-8352-04E18D3B8F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3" name="Elipse 10582">
          <a:extLst>
            <a:ext uri="{FF2B5EF4-FFF2-40B4-BE49-F238E27FC236}">
              <a16:creationId xmlns:a16="http://schemas.microsoft.com/office/drawing/2014/main" id="{901371FA-37F2-4BA7-AC58-08696CACEE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4" name="Elipse 10583">
          <a:extLst>
            <a:ext uri="{FF2B5EF4-FFF2-40B4-BE49-F238E27FC236}">
              <a16:creationId xmlns:a16="http://schemas.microsoft.com/office/drawing/2014/main" id="{E7184891-3362-4325-9ECA-DDFA799B71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5" name="Elipse 10584">
          <a:extLst>
            <a:ext uri="{FF2B5EF4-FFF2-40B4-BE49-F238E27FC236}">
              <a16:creationId xmlns:a16="http://schemas.microsoft.com/office/drawing/2014/main" id="{DC7AAEF4-56B1-4EA6-B4AB-2DBE4A1CD8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6" name="Elipse 10585">
          <a:extLst>
            <a:ext uri="{FF2B5EF4-FFF2-40B4-BE49-F238E27FC236}">
              <a16:creationId xmlns:a16="http://schemas.microsoft.com/office/drawing/2014/main" id="{B1BFF195-5250-4833-9CB0-073CE2A3B3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7" name="Elipse 10586">
          <a:extLst>
            <a:ext uri="{FF2B5EF4-FFF2-40B4-BE49-F238E27FC236}">
              <a16:creationId xmlns:a16="http://schemas.microsoft.com/office/drawing/2014/main" id="{587D8382-752B-463D-AD83-5C6F34A13D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8" name="Elipse 10587">
          <a:extLst>
            <a:ext uri="{FF2B5EF4-FFF2-40B4-BE49-F238E27FC236}">
              <a16:creationId xmlns:a16="http://schemas.microsoft.com/office/drawing/2014/main" id="{F89F678E-F0B6-4010-99C5-5CBAB2E1FA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89" name="Elipse 10588">
          <a:extLst>
            <a:ext uri="{FF2B5EF4-FFF2-40B4-BE49-F238E27FC236}">
              <a16:creationId xmlns:a16="http://schemas.microsoft.com/office/drawing/2014/main" id="{0105B542-33BC-40FC-91A1-7EAA05F6CF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0" name="Elipse 10589">
          <a:extLst>
            <a:ext uri="{FF2B5EF4-FFF2-40B4-BE49-F238E27FC236}">
              <a16:creationId xmlns:a16="http://schemas.microsoft.com/office/drawing/2014/main" id="{3DFE219C-BEB9-4619-94B9-03DC1320C6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1" name="Elipse 10590">
          <a:extLst>
            <a:ext uri="{FF2B5EF4-FFF2-40B4-BE49-F238E27FC236}">
              <a16:creationId xmlns:a16="http://schemas.microsoft.com/office/drawing/2014/main" id="{C190DC5C-3428-41C6-9E23-3579D2469F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2" name="Elipse 10591">
          <a:extLst>
            <a:ext uri="{FF2B5EF4-FFF2-40B4-BE49-F238E27FC236}">
              <a16:creationId xmlns:a16="http://schemas.microsoft.com/office/drawing/2014/main" id="{382CE34A-EBDF-44A4-B8AA-193BA1F37C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3" name="Elipse 10592">
          <a:extLst>
            <a:ext uri="{FF2B5EF4-FFF2-40B4-BE49-F238E27FC236}">
              <a16:creationId xmlns:a16="http://schemas.microsoft.com/office/drawing/2014/main" id="{14941756-4CA9-453E-82D0-253FF64677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4" name="Elipse 10593">
          <a:extLst>
            <a:ext uri="{FF2B5EF4-FFF2-40B4-BE49-F238E27FC236}">
              <a16:creationId xmlns:a16="http://schemas.microsoft.com/office/drawing/2014/main" id="{A8C1021B-A6A8-4ECA-9E1D-DEC473869A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5" name="Elipse 10594">
          <a:extLst>
            <a:ext uri="{FF2B5EF4-FFF2-40B4-BE49-F238E27FC236}">
              <a16:creationId xmlns:a16="http://schemas.microsoft.com/office/drawing/2014/main" id="{B6C67965-25A8-4449-B6F7-37D12122D5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6" name="Elipse 10595">
          <a:extLst>
            <a:ext uri="{FF2B5EF4-FFF2-40B4-BE49-F238E27FC236}">
              <a16:creationId xmlns:a16="http://schemas.microsoft.com/office/drawing/2014/main" id="{F489A5EB-D5E0-48A7-9933-C52B841CE0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7" name="Elipse 10596">
          <a:extLst>
            <a:ext uri="{FF2B5EF4-FFF2-40B4-BE49-F238E27FC236}">
              <a16:creationId xmlns:a16="http://schemas.microsoft.com/office/drawing/2014/main" id="{767E4281-090F-4853-944E-2ED36CE504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8" name="Elipse 10597">
          <a:extLst>
            <a:ext uri="{FF2B5EF4-FFF2-40B4-BE49-F238E27FC236}">
              <a16:creationId xmlns:a16="http://schemas.microsoft.com/office/drawing/2014/main" id="{DA4E8EF4-2727-4071-ACFE-07EB21A559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599" name="Elipse 10598">
          <a:extLst>
            <a:ext uri="{FF2B5EF4-FFF2-40B4-BE49-F238E27FC236}">
              <a16:creationId xmlns:a16="http://schemas.microsoft.com/office/drawing/2014/main" id="{83BC85AF-C34A-4C71-BB87-C10D29C392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0" name="Elipse 10599">
          <a:extLst>
            <a:ext uri="{FF2B5EF4-FFF2-40B4-BE49-F238E27FC236}">
              <a16:creationId xmlns:a16="http://schemas.microsoft.com/office/drawing/2014/main" id="{4A398DB5-7385-420C-B5E7-7D1088A4DF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1" name="Elipse 10600">
          <a:extLst>
            <a:ext uri="{FF2B5EF4-FFF2-40B4-BE49-F238E27FC236}">
              <a16:creationId xmlns:a16="http://schemas.microsoft.com/office/drawing/2014/main" id="{DB8B5B34-411C-4389-82C5-1C4C1B29BC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2" name="Elipse 10601">
          <a:extLst>
            <a:ext uri="{FF2B5EF4-FFF2-40B4-BE49-F238E27FC236}">
              <a16:creationId xmlns:a16="http://schemas.microsoft.com/office/drawing/2014/main" id="{FF135543-D4F2-4F49-8E5A-6762D0AC2D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3" name="Elipse 10602">
          <a:extLst>
            <a:ext uri="{FF2B5EF4-FFF2-40B4-BE49-F238E27FC236}">
              <a16:creationId xmlns:a16="http://schemas.microsoft.com/office/drawing/2014/main" id="{F327DE08-A2E5-49E5-B9F7-8A69AB2568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4" name="Elipse 10603">
          <a:extLst>
            <a:ext uri="{FF2B5EF4-FFF2-40B4-BE49-F238E27FC236}">
              <a16:creationId xmlns:a16="http://schemas.microsoft.com/office/drawing/2014/main" id="{BBE0131F-D538-48E2-9CE6-DE79F93CC7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5" name="Elipse 10604">
          <a:extLst>
            <a:ext uri="{FF2B5EF4-FFF2-40B4-BE49-F238E27FC236}">
              <a16:creationId xmlns:a16="http://schemas.microsoft.com/office/drawing/2014/main" id="{97264D4D-2434-478F-A1D4-CD4AF7B15D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6" name="Elipse 10605">
          <a:extLst>
            <a:ext uri="{FF2B5EF4-FFF2-40B4-BE49-F238E27FC236}">
              <a16:creationId xmlns:a16="http://schemas.microsoft.com/office/drawing/2014/main" id="{76EFA161-08B8-4FBE-BB9F-D1018E2B93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7" name="Elipse 10606">
          <a:extLst>
            <a:ext uri="{FF2B5EF4-FFF2-40B4-BE49-F238E27FC236}">
              <a16:creationId xmlns:a16="http://schemas.microsoft.com/office/drawing/2014/main" id="{7E38C832-E95C-4526-964C-56D78127AF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8" name="Elipse 10607">
          <a:extLst>
            <a:ext uri="{FF2B5EF4-FFF2-40B4-BE49-F238E27FC236}">
              <a16:creationId xmlns:a16="http://schemas.microsoft.com/office/drawing/2014/main" id="{A2A45966-7C69-4B97-BE93-DBCAE6F76C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09" name="Elipse 10608">
          <a:extLst>
            <a:ext uri="{FF2B5EF4-FFF2-40B4-BE49-F238E27FC236}">
              <a16:creationId xmlns:a16="http://schemas.microsoft.com/office/drawing/2014/main" id="{34F867F3-49CA-48E6-AE27-92AF2690FD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0" name="Elipse 10609">
          <a:extLst>
            <a:ext uri="{FF2B5EF4-FFF2-40B4-BE49-F238E27FC236}">
              <a16:creationId xmlns:a16="http://schemas.microsoft.com/office/drawing/2014/main" id="{D4349358-EEB0-4295-890B-07FC25DFE2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1" name="Elipse 10610">
          <a:extLst>
            <a:ext uri="{FF2B5EF4-FFF2-40B4-BE49-F238E27FC236}">
              <a16:creationId xmlns:a16="http://schemas.microsoft.com/office/drawing/2014/main" id="{A1BDDF04-3181-4EDC-A87C-F372092A78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2" name="Elipse 10611">
          <a:extLst>
            <a:ext uri="{FF2B5EF4-FFF2-40B4-BE49-F238E27FC236}">
              <a16:creationId xmlns:a16="http://schemas.microsoft.com/office/drawing/2014/main" id="{90A74F38-A907-4E92-B171-7CBAB0E209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3" name="Elipse 10612">
          <a:extLst>
            <a:ext uri="{FF2B5EF4-FFF2-40B4-BE49-F238E27FC236}">
              <a16:creationId xmlns:a16="http://schemas.microsoft.com/office/drawing/2014/main" id="{A86A2C46-8CD1-4466-8374-D6B5459D8C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4" name="Elipse 10613">
          <a:extLst>
            <a:ext uri="{FF2B5EF4-FFF2-40B4-BE49-F238E27FC236}">
              <a16:creationId xmlns:a16="http://schemas.microsoft.com/office/drawing/2014/main" id="{7973A19A-6430-4DA4-90B6-F261D1BF3F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5" name="Elipse 10614">
          <a:extLst>
            <a:ext uri="{FF2B5EF4-FFF2-40B4-BE49-F238E27FC236}">
              <a16:creationId xmlns:a16="http://schemas.microsoft.com/office/drawing/2014/main" id="{AD419CB3-A828-45C3-ACC7-A8849F3136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6" name="Elipse 10615">
          <a:extLst>
            <a:ext uri="{FF2B5EF4-FFF2-40B4-BE49-F238E27FC236}">
              <a16:creationId xmlns:a16="http://schemas.microsoft.com/office/drawing/2014/main" id="{DA205797-3FD7-4EAF-9996-7EBB4B6FB6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7" name="Elipse 10616">
          <a:extLst>
            <a:ext uri="{FF2B5EF4-FFF2-40B4-BE49-F238E27FC236}">
              <a16:creationId xmlns:a16="http://schemas.microsoft.com/office/drawing/2014/main" id="{3F0A3C2F-DA87-4F89-BC75-23B20742AE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8" name="Elipse 10617">
          <a:extLst>
            <a:ext uri="{FF2B5EF4-FFF2-40B4-BE49-F238E27FC236}">
              <a16:creationId xmlns:a16="http://schemas.microsoft.com/office/drawing/2014/main" id="{BEFF5AFF-0235-4D5D-B42E-7D1AA49EC2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19" name="Elipse 10618">
          <a:extLst>
            <a:ext uri="{FF2B5EF4-FFF2-40B4-BE49-F238E27FC236}">
              <a16:creationId xmlns:a16="http://schemas.microsoft.com/office/drawing/2014/main" id="{9B040020-2E25-4AAF-AB1A-D4A60FD025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0" name="Elipse 10619">
          <a:extLst>
            <a:ext uri="{FF2B5EF4-FFF2-40B4-BE49-F238E27FC236}">
              <a16:creationId xmlns:a16="http://schemas.microsoft.com/office/drawing/2014/main" id="{9C212B72-73FA-4041-9AB2-0800E7ABC2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1" name="Elipse 10620">
          <a:extLst>
            <a:ext uri="{FF2B5EF4-FFF2-40B4-BE49-F238E27FC236}">
              <a16:creationId xmlns:a16="http://schemas.microsoft.com/office/drawing/2014/main" id="{62D0512D-5EA1-49C5-9D52-49378B8AF0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2" name="Elipse 10621">
          <a:extLst>
            <a:ext uri="{FF2B5EF4-FFF2-40B4-BE49-F238E27FC236}">
              <a16:creationId xmlns:a16="http://schemas.microsoft.com/office/drawing/2014/main" id="{E333EB67-E3E6-42A5-9599-74B58C1FEF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3" name="Elipse 10622">
          <a:extLst>
            <a:ext uri="{FF2B5EF4-FFF2-40B4-BE49-F238E27FC236}">
              <a16:creationId xmlns:a16="http://schemas.microsoft.com/office/drawing/2014/main" id="{747F48EB-736A-498F-990B-EC4C4ABB92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4" name="Elipse 10623">
          <a:extLst>
            <a:ext uri="{FF2B5EF4-FFF2-40B4-BE49-F238E27FC236}">
              <a16:creationId xmlns:a16="http://schemas.microsoft.com/office/drawing/2014/main" id="{ECCE5D66-591E-4A05-BFA9-E1C085E9D9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5" name="Elipse 10624">
          <a:extLst>
            <a:ext uri="{FF2B5EF4-FFF2-40B4-BE49-F238E27FC236}">
              <a16:creationId xmlns:a16="http://schemas.microsoft.com/office/drawing/2014/main" id="{0CD64F76-2ED5-43CC-A028-A6B99614D8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6" name="Elipse 10625">
          <a:extLst>
            <a:ext uri="{FF2B5EF4-FFF2-40B4-BE49-F238E27FC236}">
              <a16:creationId xmlns:a16="http://schemas.microsoft.com/office/drawing/2014/main" id="{75F7198F-DB74-4CE7-9461-0BE38702AA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7" name="Elipse 10626">
          <a:extLst>
            <a:ext uri="{FF2B5EF4-FFF2-40B4-BE49-F238E27FC236}">
              <a16:creationId xmlns:a16="http://schemas.microsoft.com/office/drawing/2014/main" id="{2EC96214-EF44-4D7C-A36F-12BA5FA2F4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8" name="Elipse 10627">
          <a:extLst>
            <a:ext uri="{FF2B5EF4-FFF2-40B4-BE49-F238E27FC236}">
              <a16:creationId xmlns:a16="http://schemas.microsoft.com/office/drawing/2014/main" id="{8FF966FB-CE9E-4CEF-A16F-AFE9F74945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29" name="Elipse 10628">
          <a:extLst>
            <a:ext uri="{FF2B5EF4-FFF2-40B4-BE49-F238E27FC236}">
              <a16:creationId xmlns:a16="http://schemas.microsoft.com/office/drawing/2014/main" id="{79C05713-3A15-4937-845B-662E90761B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0" name="Elipse 10629">
          <a:extLst>
            <a:ext uri="{FF2B5EF4-FFF2-40B4-BE49-F238E27FC236}">
              <a16:creationId xmlns:a16="http://schemas.microsoft.com/office/drawing/2014/main" id="{9D346999-6D6F-4EC9-A605-132A1A3D7F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1" name="Elipse 10630">
          <a:extLst>
            <a:ext uri="{FF2B5EF4-FFF2-40B4-BE49-F238E27FC236}">
              <a16:creationId xmlns:a16="http://schemas.microsoft.com/office/drawing/2014/main" id="{D8282145-A7DA-430A-90DE-2F9E55D369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2" name="Elipse 10631">
          <a:extLst>
            <a:ext uri="{FF2B5EF4-FFF2-40B4-BE49-F238E27FC236}">
              <a16:creationId xmlns:a16="http://schemas.microsoft.com/office/drawing/2014/main" id="{B46D7CB8-A0F3-4B7B-BCD1-72B7A9941F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3" name="Elipse 10632">
          <a:extLst>
            <a:ext uri="{FF2B5EF4-FFF2-40B4-BE49-F238E27FC236}">
              <a16:creationId xmlns:a16="http://schemas.microsoft.com/office/drawing/2014/main" id="{E3E381C6-4471-463A-8324-5BA6BF143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4" name="Elipse 10633">
          <a:extLst>
            <a:ext uri="{FF2B5EF4-FFF2-40B4-BE49-F238E27FC236}">
              <a16:creationId xmlns:a16="http://schemas.microsoft.com/office/drawing/2014/main" id="{ADEAD60E-22CB-471F-8425-46155B5444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5" name="Elipse 10634">
          <a:extLst>
            <a:ext uri="{FF2B5EF4-FFF2-40B4-BE49-F238E27FC236}">
              <a16:creationId xmlns:a16="http://schemas.microsoft.com/office/drawing/2014/main" id="{5B1FB9D4-F778-4B97-B6D3-B1382681D4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6" name="Elipse 10635">
          <a:extLst>
            <a:ext uri="{FF2B5EF4-FFF2-40B4-BE49-F238E27FC236}">
              <a16:creationId xmlns:a16="http://schemas.microsoft.com/office/drawing/2014/main" id="{EDAEE658-6FE3-4191-9C77-7084E49DCC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7" name="Elipse 10636">
          <a:extLst>
            <a:ext uri="{FF2B5EF4-FFF2-40B4-BE49-F238E27FC236}">
              <a16:creationId xmlns:a16="http://schemas.microsoft.com/office/drawing/2014/main" id="{7A7931B5-7942-48F7-87C5-3EBD814A64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8" name="Elipse 10637">
          <a:extLst>
            <a:ext uri="{FF2B5EF4-FFF2-40B4-BE49-F238E27FC236}">
              <a16:creationId xmlns:a16="http://schemas.microsoft.com/office/drawing/2014/main" id="{3134F42A-81CF-4F7E-ABBF-42F507E85E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39" name="Elipse 10638">
          <a:extLst>
            <a:ext uri="{FF2B5EF4-FFF2-40B4-BE49-F238E27FC236}">
              <a16:creationId xmlns:a16="http://schemas.microsoft.com/office/drawing/2014/main" id="{25F424D4-3866-4230-9FCB-7ED24B1DF9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0" name="Elipse 10639">
          <a:extLst>
            <a:ext uri="{FF2B5EF4-FFF2-40B4-BE49-F238E27FC236}">
              <a16:creationId xmlns:a16="http://schemas.microsoft.com/office/drawing/2014/main" id="{10D036EA-96E8-4BBA-A0F9-F18F41E0FB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1" name="Elipse 10640">
          <a:extLst>
            <a:ext uri="{FF2B5EF4-FFF2-40B4-BE49-F238E27FC236}">
              <a16:creationId xmlns:a16="http://schemas.microsoft.com/office/drawing/2014/main" id="{7A8E4D68-B974-4C84-9109-D342ED869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2" name="Elipse 10641">
          <a:extLst>
            <a:ext uri="{FF2B5EF4-FFF2-40B4-BE49-F238E27FC236}">
              <a16:creationId xmlns:a16="http://schemas.microsoft.com/office/drawing/2014/main" id="{32B33B7E-532F-45F9-A99E-F050A58D3D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3" name="Elipse 10642">
          <a:extLst>
            <a:ext uri="{FF2B5EF4-FFF2-40B4-BE49-F238E27FC236}">
              <a16:creationId xmlns:a16="http://schemas.microsoft.com/office/drawing/2014/main" id="{D27279BF-0B36-4E2A-B08A-0ACF1D01EE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4" name="Elipse 10643">
          <a:extLst>
            <a:ext uri="{FF2B5EF4-FFF2-40B4-BE49-F238E27FC236}">
              <a16:creationId xmlns:a16="http://schemas.microsoft.com/office/drawing/2014/main" id="{34F6303A-8CC5-4FED-B50F-FDD8CBAB89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5" name="Elipse 10644">
          <a:extLst>
            <a:ext uri="{FF2B5EF4-FFF2-40B4-BE49-F238E27FC236}">
              <a16:creationId xmlns:a16="http://schemas.microsoft.com/office/drawing/2014/main" id="{39B59523-86ED-4B15-BE4A-61BF4E6886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6" name="Elipse 10645">
          <a:extLst>
            <a:ext uri="{FF2B5EF4-FFF2-40B4-BE49-F238E27FC236}">
              <a16:creationId xmlns:a16="http://schemas.microsoft.com/office/drawing/2014/main" id="{00885AF6-2D74-41DB-A660-5582B56E63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7" name="Elipse 10646">
          <a:extLst>
            <a:ext uri="{FF2B5EF4-FFF2-40B4-BE49-F238E27FC236}">
              <a16:creationId xmlns:a16="http://schemas.microsoft.com/office/drawing/2014/main" id="{DAC502C6-041B-4E06-9622-6676E67D80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8" name="Elipse 10647">
          <a:extLst>
            <a:ext uri="{FF2B5EF4-FFF2-40B4-BE49-F238E27FC236}">
              <a16:creationId xmlns:a16="http://schemas.microsoft.com/office/drawing/2014/main" id="{98B94FD7-ECA3-4633-89DD-5591D28417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49" name="Elipse 10648">
          <a:extLst>
            <a:ext uri="{FF2B5EF4-FFF2-40B4-BE49-F238E27FC236}">
              <a16:creationId xmlns:a16="http://schemas.microsoft.com/office/drawing/2014/main" id="{3DB0F961-1420-4775-9521-5C31532AC9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0" name="Elipse 10649">
          <a:extLst>
            <a:ext uri="{FF2B5EF4-FFF2-40B4-BE49-F238E27FC236}">
              <a16:creationId xmlns:a16="http://schemas.microsoft.com/office/drawing/2014/main" id="{C52C2169-F9E0-49BD-B552-0D9AB7C4FF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1" name="Elipse 10650">
          <a:extLst>
            <a:ext uri="{FF2B5EF4-FFF2-40B4-BE49-F238E27FC236}">
              <a16:creationId xmlns:a16="http://schemas.microsoft.com/office/drawing/2014/main" id="{5B70E646-8E33-461B-AB54-C42177FDD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2" name="Elipse 10651">
          <a:extLst>
            <a:ext uri="{FF2B5EF4-FFF2-40B4-BE49-F238E27FC236}">
              <a16:creationId xmlns:a16="http://schemas.microsoft.com/office/drawing/2014/main" id="{8908400C-2F97-48E5-B1E4-1C5AF9D053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3" name="Elipse 10652">
          <a:extLst>
            <a:ext uri="{FF2B5EF4-FFF2-40B4-BE49-F238E27FC236}">
              <a16:creationId xmlns:a16="http://schemas.microsoft.com/office/drawing/2014/main" id="{C611F6B0-60A9-422C-AA5A-8D08B6AD0C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4" name="Elipse 10653">
          <a:extLst>
            <a:ext uri="{FF2B5EF4-FFF2-40B4-BE49-F238E27FC236}">
              <a16:creationId xmlns:a16="http://schemas.microsoft.com/office/drawing/2014/main" id="{2CE4FE6F-B78F-489D-A7EA-6D92DC8A23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5" name="Elipse 10654">
          <a:extLst>
            <a:ext uri="{FF2B5EF4-FFF2-40B4-BE49-F238E27FC236}">
              <a16:creationId xmlns:a16="http://schemas.microsoft.com/office/drawing/2014/main" id="{AE6A887B-812A-4E39-9748-6142BD3E86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6" name="Elipse 10655">
          <a:extLst>
            <a:ext uri="{FF2B5EF4-FFF2-40B4-BE49-F238E27FC236}">
              <a16:creationId xmlns:a16="http://schemas.microsoft.com/office/drawing/2014/main" id="{2C67A7A8-FAF6-4107-AD85-61ACF8759E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7" name="Elipse 10656">
          <a:extLst>
            <a:ext uri="{FF2B5EF4-FFF2-40B4-BE49-F238E27FC236}">
              <a16:creationId xmlns:a16="http://schemas.microsoft.com/office/drawing/2014/main" id="{D545FCC1-8141-4B34-BD8D-243CD6081D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8" name="Elipse 10657">
          <a:extLst>
            <a:ext uri="{FF2B5EF4-FFF2-40B4-BE49-F238E27FC236}">
              <a16:creationId xmlns:a16="http://schemas.microsoft.com/office/drawing/2014/main" id="{80790163-7225-4AB9-9BD4-05215601B4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59" name="Elipse 10658">
          <a:extLst>
            <a:ext uri="{FF2B5EF4-FFF2-40B4-BE49-F238E27FC236}">
              <a16:creationId xmlns:a16="http://schemas.microsoft.com/office/drawing/2014/main" id="{EE8ECBD6-D31E-4260-9F78-5A8CD45DFC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0" name="Elipse 10659">
          <a:extLst>
            <a:ext uri="{FF2B5EF4-FFF2-40B4-BE49-F238E27FC236}">
              <a16:creationId xmlns:a16="http://schemas.microsoft.com/office/drawing/2014/main" id="{7B9AE5C2-523A-4B97-83F3-5C97209F82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1" name="Elipse 10660">
          <a:extLst>
            <a:ext uri="{FF2B5EF4-FFF2-40B4-BE49-F238E27FC236}">
              <a16:creationId xmlns:a16="http://schemas.microsoft.com/office/drawing/2014/main" id="{59CD6189-E6E8-4365-A9C9-4851D49FC6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2" name="Elipse 10661">
          <a:extLst>
            <a:ext uri="{FF2B5EF4-FFF2-40B4-BE49-F238E27FC236}">
              <a16:creationId xmlns:a16="http://schemas.microsoft.com/office/drawing/2014/main" id="{F98B7707-3077-4894-BA65-41C1F6932D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3" name="Elipse 10662">
          <a:extLst>
            <a:ext uri="{FF2B5EF4-FFF2-40B4-BE49-F238E27FC236}">
              <a16:creationId xmlns:a16="http://schemas.microsoft.com/office/drawing/2014/main" id="{83CE17B6-5D4F-42F6-A8A6-4EECECD747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4" name="Elipse 10663">
          <a:extLst>
            <a:ext uri="{FF2B5EF4-FFF2-40B4-BE49-F238E27FC236}">
              <a16:creationId xmlns:a16="http://schemas.microsoft.com/office/drawing/2014/main" id="{A3153904-CAB8-4DE0-B780-75706C4168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5" name="Elipse 10664">
          <a:extLst>
            <a:ext uri="{FF2B5EF4-FFF2-40B4-BE49-F238E27FC236}">
              <a16:creationId xmlns:a16="http://schemas.microsoft.com/office/drawing/2014/main" id="{354FF5F8-16EA-4AA1-BC7F-D0E2F0DDD2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6" name="Elipse 10665">
          <a:extLst>
            <a:ext uri="{FF2B5EF4-FFF2-40B4-BE49-F238E27FC236}">
              <a16:creationId xmlns:a16="http://schemas.microsoft.com/office/drawing/2014/main" id="{CA514080-99F5-4213-95F5-B5DB2C9E3F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7" name="Elipse 10666">
          <a:extLst>
            <a:ext uri="{FF2B5EF4-FFF2-40B4-BE49-F238E27FC236}">
              <a16:creationId xmlns:a16="http://schemas.microsoft.com/office/drawing/2014/main" id="{933857DE-F397-4906-8B6C-543E443F53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8" name="Elipse 10667">
          <a:extLst>
            <a:ext uri="{FF2B5EF4-FFF2-40B4-BE49-F238E27FC236}">
              <a16:creationId xmlns:a16="http://schemas.microsoft.com/office/drawing/2014/main" id="{B1BE7D53-ACE6-4C1A-B269-C1DC2B3B48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69" name="Elipse 10668">
          <a:extLst>
            <a:ext uri="{FF2B5EF4-FFF2-40B4-BE49-F238E27FC236}">
              <a16:creationId xmlns:a16="http://schemas.microsoft.com/office/drawing/2014/main" id="{796AC032-2E82-4176-A61A-338969A6D5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0" name="Elipse 10669">
          <a:extLst>
            <a:ext uri="{FF2B5EF4-FFF2-40B4-BE49-F238E27FC236}">
              <a16:creationId xmlns:a16="http://schemas.microsoft.com/office/drawing/2014/main" id="{12405DF6-8260-47B2-88F2-8C78B543E5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1" name="Elipse 10670">
          <a:extLst>
            <a:ext uri="{FF2B5EF4-FFF2-40B4-BE49-F238E27FC236}">
              <a16:creationId xmlns:a16="http://schemas.microsoft.com/office/drawing/2014/main" id="{87C237DF-E63D-41B1-9A8E-CDFBD660F7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2" name="Elipse 10671">
          <a:extLst>
            <a:ext uri="{FF2B5EF4-FFF2-40B4-BE49-F238E27FC236}">
              <a16:creationId xmlns:a16="http://schemas.microsoft.com/office/drawing/2014/main" id="{CF6F930A-4760-41DC-BD54-DB07B1A9EE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3" name="Elipse 10672">
          <a:extLst>
            <a:ext uri="{FF2B5EF4-FFF2-40B4-BE49-F238E27FC236}">
              <a16:creationId xmlns:a16="http://schemas.microsoft.com/office/drawing/2014/main" id="{70EA6109-D59D-411F-A0B9-26FA9B9167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4" name="Elipse 10673">
          <a:extLst>
            <a:ext uri="{FF2B5EF4-FFF2-40B4-BE49-F238E27FC236}">
              <a16:creationId xmlns:a16="http://schemas.microsoft.com/office/drawing/2014/main" id="{97D01050-2DB1-4712-AA21-E07838C439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5" name="Elipse 10674">
          <a:extLst>
            <a:ext uri="{FF2B5EF4-FFF2-40B4-BE49-F238E27FC236}">
              <a16:creationId xmlns:a16="http://schemas.microsoft.com/office/drawing/2014/main" id="{188C6634-52DA-403F-B399-B4248D692B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6" name="Elipse 10675">
          <a:extLst>
            <a:ext uri="{FF2B5EF4-FFF2-40B4-BE49-F238E27FC236}">
              <a16:creationId xmlns:a16="http://schemas.microsoft.com/office/drawing/2014/main" id="{5F95B0BB-3336-4758-BAB0-B9D912E6CA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7" name="Elipse 10676">
          <a:extLst>
            <a:ext uri="{FF2B5EF4-FFF2-40B4-BE49-F238E27FC236}">
              <a16:creationId xmlns:a16="http://schemas.microsoft.com/office/drawing/2014/main" id="{78B1085C-D32A-4B32-B2A1-9BA3A4BB40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8" name="Elipse 10677">
          <a:extLst>
            <a:ext uri="{FF2B5EF4-FFF2-40B4-BE49-F238E27FC236}">
              <a16:creationId xmlns:a16="http://schemas.microsoft.com/office/drawing/2014/main" id="{2A56FB6B-C95D-4D4B-8085-E65779CD4C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79" name="Elipse 10678">
          <a:extLst>
            <a:ext uri="{FF2B5EF4-FFF2-40B4-BE49-F238E27FC236}">
              <a16:creationId xmlns:a16="http://schemas.microsoft.com/office/drawing/2014/main" id="{F0407850-D7AE-4A04-8B56-064DE0E35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0" name="Elipse 10679">
          <a:extLst>
            <a:ext uri="{FF2B5EF4-FFF2-40B4-BE49-F238E27FC236}">
              <a16:creationId xmlns:a16="http://schemas.microsoft.com/office/drawing/2014/main" id="{70C5BE16-DFD7-4813-9A0B-83318FD62E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1" name="Elipse 10680">
          <a:extLst>
            <a:ext uri="{FF2B5EF4-FFF2-40B4-BE49-F238E27FC236}">
              <a16:creationId xmlns:a16="http://schemas.microsoft.com/office/drawing/2014/main" id="{58952397-3243-40AD-A6EF-52C8936C95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2" name="Elipse 10681">
          <a:extLst>
            <a:ext uri="{FF2B5EF4-FFF2-40B4-BE49-F238E27FC236}">
              <a16:creationId xmlns:a16="http://schemas.microsoft.com/office/drawing/2014/main" id="{D1317B76-A673-454B-967C-8945FF9A1A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3" name="Elipse 10682">
          <a:extLst>
            <a:ext uri="{FF2B5EF4-FFF2-40B4-BE49-F238E27FC236}">
              <a16:creationId xmlns:a16="http://schemas.microsoft.com/office/drawing/2014/main" id="{C79B6003-6CDF-4050-AB0C-A6A96F05D8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4" name="Elipse 10683">
          <a:extLst>
            <a:ext uri="{FF2B5EF4-FFF2-40B4-BE49-F238E27FC236}">
              <a16:creationId xmlns:a16="http://schemas.microsoft.com/office/drawing/2014/main" id="{C21DBC58-4CA1-413E-8E11-22AE900EF0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5" name="Elipse 10684">
          <a:extLst>
            <a:ext uri="{FF2B5EF4-FFF2-40B4-BE49-F238E27FC236}">
              <a16:creationId xmlns:a16="http://schemas.microsoft.com/office/drawing/2014/main" id="{73B96F80-567A-41FD-864E-D9A89BD78A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6" name="Elipse 10685">
          <a:extLst>
            <a:ext uri="{FF2B5EF4-FFF2-40B4-BE49-F238E27FC236}">
              <a16:creationId xmlns:a16="http://schemas.microsoft.com/office/drawing/2014/main" id="{D0B86BCB-7F35-4F4A-8630-B7E7F6E659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7" name="Elipse 10686">
          <a:extLst>
            <a:ext uri="{FF2B5EF4-FFF2-40B4-BE49-F238E27FC236}">
              <a16:creationId xmlns:a16="http://schemas.microsoft.com/office/drawing/2014/main" id="{9C144F64-B6BB-44D4-AA8A-BED0D6CEDB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8" name="Elipse 10687">
          <a:extLst>
            <a:ext uri="{FF2B5EF4-FFF2-40B4-BE49-F238E27FC236}">
              <a16:creationId xmlns:a16="http://schemas.microsoft.com/office/drawing/2014/main" id="{8CFF2563-D96E-4E30-8C47-50E7EF4C48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89" name="Elipse 10688">
          <a:extLst>
            <a:ext uri="{FF2B5EF4-FFF2-40B4-BE49-F238E27FC236}">
              <a16:creationId xmlns:a16="http://schemas.microsoft.com/office/drawing/2014/main" id="{59EE4764-6D71-4D02-99A5-9BE8DD1D96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0" name="Elipse 10689">
          <a:extLst>
            <a:ext uri="{FF2B5EF4-FFF2-40B4-BE49-F238E27FC236}">
              <a16:creationId xmlns:a16="http://schemas.microsoft.com/office/drawing/2014/main" id="{41A3F9A2-4470-4E15-A48F-B101823AF4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1" name="Elipse 10690">
          <a:extLst>
            <a:ext uri="{FF2B5EF4-FFF2-40B4-BE49-F238E27FC236}">
              <a16:creationId xmlns:a16="http://schemas.microsoft.com/office/drawing/2014/main" id="{BD7E4A57-5929-4350-9C3F-2837917364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2" name="Elipse 10691">
          <a:extLst>
            <a:ext uri="{FF2B5EF4-FFF2-40B4-BE49-F238E27FC236}">
              <a16:creationId xmlns:a16="http://schemas.microsoft.com/office/drawing/2014/main" id="{190AE77A-5F68-4E3A-B502-4001A9F066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3" name="Elipse 10692">
          <a:extLst>
            <a:ext uri="{FF2B5EF4-FFF2-40B4-BE49-F238E27FC236}">
              <a16:creationId xmlns:a16="http://schemas.microsoft.com/office/drawing/2014/main" id="{AB3B4886-F21E-4347-A94F-FBF6F203C8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4" name="Elipse 10693">
          <a:extLst>
            <a:ext uri="{FF2B5EF4-FFF2-40B4-BE49-F238E27FC236}">
              <a16:creationId xmlns:a16="http://schemas.microsoft.com/office/drawing/2014/main" id="{5B84B84E-A774-4271-A4B2-DC92F0EC45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5" name="Elipse 10694">
          <a:extLst>
            <a:ext uri="{FF2B5EF4-FFF2-40B4-BE49-F238E27FC236}">
              <a16:creationId xmlns:a16="http://schemas.microsoft.com/office/drawing/2014/main" id="{31AE90D4-5F1E-444B-B864-C4407974FD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6" name="Elipse 10695">
          <a:extLst>
            <a:ext uri="{FF2B5EF4-FFF2-40B4-BE49-F238E27FC236}">
              <a16:creationId xmlns:a16="http://schemas.microsoft.com/office/drawing/2014/main" id="{4D938DB0-8DAF-4981-9C23-1DE97A6F64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7" name="Elipse 10696">
          <a:extLst>
            <a:ext uri="{FF2B5EF4-FFF2-40B4-BE49-F238E27FC236}">
              <a16:creationId xmlns:a16="http://schemas.microsoft.com/office/drawing/2014/main" id="{D47C8260-F888-46FF-826C-C3D07699FA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8" name="Elipse 10697">
          <a:extLst>
            <a:ext uri="{FF2B5EF4-FFF2-40B4-BE49-F238E27FC236}">
              <a16:creationId xmlns:a16="http://schemas.microsoft.com/office/drawing/2014/main" id="{78BB3468-A431-4781-81CE-A60E061BF7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699" name="Elipse 10698">
          <a:extLst>
            <a:ext uri="{FF2B5EF4-FFF2-40B4-BE49-F238E27FC236}">
              <a16:creationId xmlns:a16="http://schemas.microsoft.com/office/drawing/2014/main" id="{467FC14E-F1D9-4EC6-8B59-0D759CCC79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0" name="Elipse 10699">
          <a:extLst>
            <a:ext uri="{FF2B5EF4-FFF2-40B4-BE49-F238E27FC236}">
              <a16:creationId xmlns:a16="http://schemas.microsoft.com/office/drawing/2014/main" id="{53FE7EA0-6CE4-439A-857E-634994105B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1" name="Elipse 10700">
          <a:extLst>
            <a:ext uri="{FF2B5EF4-FFF2-40B4-BE49-F238E27FC236}">
              <a16:creationId xmlns:a16="http://schemas.microsoft.com/office/drawing/2014/main" id="{1BDE0BD1-7338-43A8-9F04-B6371B14E9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2" name="Elipse 10701">
          <a:extLst>
            <a:ext uri="{FF2B5EF4-FFF2-40B4-BE49-F238E27FC236}">
              <a16:creationId xmlns:a16="http://schemas.microsoft.com/office/drawing/2014/main" id="{41F55237-FD37-4810-BA8E-87A756FAA0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3" name="Elipse 10702">
          <a:extLst>
            <a:ext uri="{FF2B5EF4-FFF2-40B4-BE49-F238E27FC236}">
              <a16:creationId xmlns:a16="http://schemas.microsoft.com/office/drawing/2014/main" id="{3334121E-3627-448B-B93A-FA4BD6F7BF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4" name="Elipse 10703">
          <a:extLst>
            <a:ext uri="{FF2B5EF4-FFF2-40B4-BE49-F238E27FC236}">
              <a16:creationId xmlns:a16="http://schemas.microsoft.com/office/drawing/2014/main" id="{7B2B1EDD-A4C3-4523-B5A9-4BBABBB7FD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5" name="Elipse 10704">
          <a:extLst>
            <a:ext uri="{FF2B5EF4-FFF2-40B4-BE49-F238E27FC236}">
              <a16:creationId xmlns:a16="http://schemas.microsoft.com/office/drawing/2014/main" id="{DB6E3F14-3018-4D84-AEFE-251A07B52A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6" name="Elipse 10705">
          <a:extLst>
            <a:ext uri="{FF2B5EF4-FFF2-40B4-BE49-F238E27FC236}">
              <a16:creationId xmlns:a16="http://schemas.microsoft.com/office/drawing/2014/main" id="{A1A46EB3-4EE1-4CD9-B318-C5F50ED5CB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7" name="Elipse 10706">
          <a:extLst>
            <a:ext uri="{FF2B5EF4-FFF2-40B4-BE49-F238E27FC236}">
              <a16:creationId xmlns:a16="http://schemas.microsoft.com/office/drawing/2014/main" id="{CDF79F86-7B9A-4870-8A44-66B19F1715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8" name="Elipse 10707">
          <a:extLst>
            <a:ext uri="{FF2B5EF4-FFF2-40B4-BE49-F238E27FC236}">
              <a16:creationId xmlns:a16="http://schemas.microsoft.com/office/drawing/2014/main" id="{DF83B682-DA98-4870-BA5E-D94F1D9EE0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09" name="Elipse 10708">
          <a:extLst>
            <a:ext uri="{FF2B5EF4-FFF2-40B4-BE49-F238E27FC236}">
              <a16:creationId xmlns:a16="http://schemas.microsoft.com/office/drawing/2014/main" id="{AED5C89A-C8B4-4303-B1D8-AA7D449D56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0" name="Elipse 10709">
          <a:extLst>
            <a:ext uri="{FF2B5EF4-FFF2-40B4-BE49-F238E27FC236}">
              <a16:creationId xmlns:a16="http://schemas.microsoft.com/office/drawing/2014/main" id="{8A0898E2-001F-4AAE-B420-EF79228CF4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1" name="Elipse 10710">
          <a:extLst>
            <a:ext uri="{FF2B5EF4-FFF2-40B4-BE49-F238E27FC236}">
              <a16:creationId xmlns:a16="http://schemas.microsoft.com/office/drawing/2014/main" id="{0E78D810-46B9-4077-B14D-05E57F2DFE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2" name="Elipse 10711">
          <a:extLst>
            <a:ext uri="{FF2B5EF4-FFF2-40B4-BE49-F238E27FC236}">
              <a16:creationId xmlns:a16="http://schemas.microsoft.com/office/drawing/2014/main" id="{A4369420-E393-45F1-883A-232D1637B5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3" name="Elipse 10712">
          <a:extLst>
            <a:ext uri="{FF2B5EF4-FFF2-40B4-BE49-F238E27FC236}">
              <a16:creationId xmlns:a16="http://schemas.microsoft.com/office/drawing/2014/main" id="{043952AC-B08C-473D-8BBC-A9B01C5D94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4" name="Elipse 10713">
          <a:extLst>
            <a:ext uri="{FF2B5EF4-FFF2-40B4-BE49-F238E27FC236}">
              <a16:creationId xmlns:a16="http://schemas.microsoft.com/office/drawing/2014/main" id="{4A59FB9E-4281-4ED7-933B-2035B14A3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5" name="Elipse 10714">
          <a:extLst>
            <a:ext uri="{FF2B5EF4-FFF2-40B4-BE49-F238E27FC236}">
              <a16:creationId xmlns:a16="http://schemas.microsoft.com/office/drawing/2014/main" id="{BB0BFA3C-F106-4DC6-A422-C4A7A59AC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6" name="Elipse 10715">
          <a:extLst>
            <a:ext uri="{FF2B5EF4-FFF2-40B4-BE49-F238E27FC236}">
              <a16:creationId xmlns:a16="http://schemas.microsoft.com/office/drawing/2014/main" id="{176A50E8-9FDB-442C-B7BC-1D2D132F89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7" name="Elipse 10716">
          <a:extLst>
            <a:ext uri="{FF2B5EF4-FFF2-40B4-BE49-F238E27FC236}">
              <a16:creationId xmlns:a16="http://schemas.microsoft.com/office/drawing/2014/main" id="{C9663109-F662-43C4-BE51-6513F7AD78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8" name="Elipse 10717">
          <a:extLst>
            <a:ext uri="{FF2B5EF4-FFF2-40B4-BE49-F238E27FC236}">
              <a16:creationId xmlns:a16="http://schemas.microsoft.com/office/drawing/2014/main" id="{E67D520E-CA35-4D90-B4E1-20E930E56F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19" name="Elipse 10718">
          <a:extLst>
            <a:ext uri="{FF2B5EF4-FFF2-40B4-BE49-F238E27FC236}">
              <a16:creationId xmlns:a16="http://schemas.microsoft.com/office/drawing/2014/main" id="{0F8DA667-363F-4077-9D62-CD9A866EAC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0" name="Elipse 10719">
          <a:extLst>
            <a:ext uri="{FF2B5EF4-FFF2-40B4-BE49-F238E27FC236}">
              <a16:creationId xmlns:a16="http://schemas.microsoft.com/office/drawing/2014/main" id="{66D88E3B-B0C5-404D-99E8-B0F95AA14B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1" name="Elipse 10720">
          <a:extLst>
            <a:ext uri="{FF2B5EF4-FFF2-40B4-BE49-F238E27FC236}">
              <a16:creationId xmlns:a16="http://schemas.microsoft.com/office/drawing/2014/main" id="{3F8DBA99-13E4-4B53-9C50-5D68B32A0A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2" name="Elipse 10721">
          <a:extLst>
            <a:ext uri="{FF2B5EF4-FFF2-40B4-BE49-F238E27FC236}">
              <a16:creationId xmlns:a16="http://schemas.microsoft.com/office/drawing/2014/main" id="{F3D9A09B-30D3-4A83-8CD8-597C1ECAD9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3" name="Elipse 10722">
          <a:extLst>
            <a:ext uri="{FF2B5EF4-FFF2-40B4-BE49-F238E27FC236}">
              <a16:creationId xmlns:a16="http://schemas.microsoft.com/office/drawing/2014/main" id="{3E3CBE0A-467C-4F15-9A40-AE8F211F98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4" name="Elipse 10723">
          <a:extLst>
            <a:ext uri="{FF2B5EF4-FFF2-40B4-BE49-F238E27FC236}">
              <a16:creationId xmlns:a16="http://schemas.microsoft.com/office/drawing/2014/main" id="{921C8DDB-D4B5-4B6A-BE8C-87E90099F2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5" name="Elipse 10724">
          <a:extLst>
            <a:ext uri="{FF2B5EF4-FFF2-40B4-BE49-F238E27FC236}">
              <a16:creationId xmlns:a16="http://schemas.microsoft.com/office/drawing/2014/main" id="{D454CDCC-EAC7-4011-A0E6-A145F13493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6" name="Elipse 10725">
          <a:extLst>
            <a:ext uri="{FF2B5EF4-FFF2-40B4-BE49-F238E27FC236}">
              <a16:creationId xmlns:a16="http://schemas.microsoft.com/office/drawing/2014/main" id="{6F263FD4-3E57-4242-86F0-FD077E2E9D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7" name="Elipse 10726">
          <a:extLst>
            <a:ext uri="{FF2B5EF4-FFF2-40B4-BE49-F238E27FC236}">
              <a16:creationId xmlns:a16="http://schemas.microsoft.com/office/drawing/2014/main" id="{C53D9BD1-175A-4B83-9B6A-31868EB219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8" name="Elipse 10727">
          <a:extLst>
            <a:ext uri="{FF2B5EF4-FFF2-40B4-BE49-F238E27FC236}">
              <a16:creationId xmlns:a16="http://schemas.microsoft.com/office/drawing/2014/main" id="{0A7F33AF-E199-424C-A208-18E5DCD37F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29" name="Elipse 10728">
          <a:extLst>
            <a:ext uri="{FF2B5EF4-FFF2-40B4-BE49-F238E27FC236}">
              <a16:creationId xmlns:a16="http://schemas.microsoft.com/office/drawing/2014/main" id="{D12E7322-8FC6-4415-9DD8-517EBF99C7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0" name="Elipse 10729">
          <a:extLst>
            <a:ext uri="{FF2B5EF4-FFF2-40B4-BE49-F238E27FC236}">
              <a16:creationId xmlns:a16="http://schemas.microsoft.com/office/drawing/2014/main" id="{02944209-B096-4F6D-9DF9-F919432FD8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1" name="Elipse 10730">
          <a:extLst>
            <a:ext uri="{FF2B5EF4-FFF2-40B4-BE49-F238E27FC236}">
              <a16:creationId xmlns:a16="http://schemas.microsoft.com/office/drawing/2014/main" id="{C9E26F98-1609-4F70-B0D9-C960EFE439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2" name="Elipse 10731">
          <a:extLst>
            <a:ext uri="{FF2B5EF4-FFF2-40B4-BE49-F238E27FC236}">
              <a16:creationId xmlns:a16="http://schemas.microsoft.com/office/drawing/2014/main" id="{628F416E-25FA-49F3-AA49-6E1130EF53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3" name="Elipse 10732">
          <a:extLst>
            <a:ext uri="{FF2B5EF4-FFF2-40B4-BE49-F238E27FC236}">
              <a16:creationId xmlns:a16="http://schemas.microsoft.com/office/drawing/2014/main" id="{66588F49-908B-4C7D-91AE-4AFC62D5C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4" name="Elipse 10733">
          <a:extLst>
            <a:ext uri="{FF2B5EF4-FFF2-40B4-BE49-F238E27FC236}">
              <a16:creationId xmlns:a16="http://schemas.microsoft.com/office/drawing/2014/main" id="{22C7A6DA-B403-4836-AAEB-201086C653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5" name="Elipse 10734">
          <a:extLst>
            <a:ext uri="{FF2B5EF4-FFF2-40B4-BE49-F238E27FC236}">
              <a16:creationId xmlns:a16="http://schemas.microsoft.com/office/drawing/2014/main" id="{B835276F-A335-4851-8A9E-6681F6AB43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6" name="Elipse 10735">
          <a:extLst>
            <a:ext uri="{FF2B5EF4-FFF2-40B4-BE49-F238E27FC236}">
              <a16:creationId xmlns:a16="http://schemas.microsoft.com/office/drawing/2014/main" id="{27E6D9CB-9AE2-4135-A7E6-666930A879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7" name="Elipse 10736">
          <a:extLst>
            <a:ext uri="{FF2B5EF4-FFF2-40B4-BE49-F238E27FC236}">
              <a16:creationId xmlns:a16="http://schemas.microsoft.com/office/drawing/2014/main" id="{B14C4313-FA8E-439B-B6A6-EDCDDF9F43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8" name="Elipse 10737">
          <a:extLst>
            <a:ext uri="{FF2B5EF4-FFF2-40B4-BE49-F238E27FC236}">
              <a16:creationId xmlns:a16="http://schemas.microsoft.com/office/drawing/2014/main" id="{570A0DBB-26E3-432E-9FDC-98CE0525CE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39" name="Elipse 10738">
          <a:extLst>
            <a:ext uri="{FF2B5EF4-FFF2-40B4-BE49-F238E27FC236}">
              <a16:creationId xmlns:a16="http://schemas.microsoft.com/office/drawing/2014/main" id="{DE21A247-79B9-4C06-A660-B12E50426F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0" name="Elipse 10739">
          <a:extLst>
            <a:ext uri="{FF2B5EF4-FFF2-40B4-BE49-F238E27FC236}">
              <a16:creationId xmlns:a16="http://schemas.microsoft.com/office/drawing/2014/main" id="{F0E31B8C-2F55-4597-B3F6-E7CA114F8F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1" name="Elipse 10740">
          <a:extLst>
            <a:ext uri="{FF2B5EF4-FFF2-40B4-BE49-F238E27FC236}">
              <a16:creationId xmlns:a16="http://schemas.microsoft.com/office/drawing/2014/main" id="{26EA6690-C7B4-4399-836C-DCBC82CFE1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2" name="Elipse 10741">
          <a:extLst>
            <a:ext uri="{FF2B5EF4-FFF2-40B4-BE49-F238E27FC236}">
              <a16:creationId xmlns:a16="http://schemas.microsoft.com/office/drawing/2014/main" id="{B7C53DDA-2CD2-4540-A7ED-7911429CAE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3" name="Elipse 10742">
          <a:extLst>
            <a:ext uri="{FF2B5EF4-FFF2-40B4-BE49-F238E27FC236}">
              <a16:creationId xmlns:a16="http://schemas.microsoft.com/office/drawing/2014/main" id="{874D4F56-D03C-4666-AABF-60A134D27E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4" name="Elipse 10743">
          <a:extLst>
            <a:ext uri="{FF2B5EF4-FFF2-40B4-BE49-F238E27FC236}">
              <a16:creationId xmlns:a16="http://schemas.microsoft.com/office/drawing/2014/main" id="{D1E766E4-A892-4D71-B0DB-4A9ABDE7B4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5" name="Elipse 10744">
          <a:extLst>
            <a:ext uri="{FF2B5EF4-FFF2-40B4-BE49-F238E27FC236}">
              <a16:creationId xmlns:a16="http://schemas.microsoft.com/office/drawing/2014/main" id="{7733C58B-9E7C-4412-AF4C-6503A572F0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6" name="Elipse 10745">
          <a:extLst>
            <a:ext uri="{FF2B5EF4-FFF2-40B4-BE49-F238E27FC236}">
              <a16:creationId xmlns:a16="http://schemas.microsoft.com/office/drawing/2014/main" id="{5BA52083-F25C-4426-9D1E-063439B71E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7" name="Elipse 10746">
          <a:extLst>
            <a:ext uri="{FF2B5EF4-FFF2-40B4-BE49-F238E27FC236}">
              <a16:creationId xmlns:a16="http://schemas.microsoft.com/office/drawing/2014/main" id="{C655E2DF-7CD4-48B4-A1C6-0946F97CAB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8" name="Elipse 10747">
          <a:extLst>
            <a:ext uri="{FF2B5EF4-FFF2-40B4-BE49-F238E27FC236}">
              <a16:creationId xmlns:a16="http://schemas.microsoft.com/office/drawing/2014/main" id="{76049490-8C95-43FD-9983-01042BA639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49" name="Elipse 10748">
          <a:extLst>
            <a:ext uri="{FF2B5EF4-FFF2-40B4-BE49-F238E27FC236}">
              <a16:creationId xmlns:a16="http://schemas.microsoft.com/office/drawing/2014/main" id="{E966EFEE-CDC7-4AB4-A253-54E5AC2B2A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0" name="Elipse 10749">
          <a:extLst>
            <a:ext uri="{FF2B5EF4-FFF2-40B4-BE49-F238E27FC236}">
              <a16:creationId xmlns:a16="http://schemas.microsoft.com/office/drawing/2014/main" id="{F4E3D992-D7D7-4FAB-8403-C0001392D2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1" name="Elipse 10750">
          <a:extLst>
            <a:ext uri="{FF2B5EF4-FFF2-40B4-BE49-F238E27FC236}">
              <a16:creationId xmlns:a16="http://schemas.microsoft.com/office/drawing/2014/main" id="{32415F54-C285-408A-AA2B-B3CFE50B87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2" name="Elipse 10751">
          <a:extLst>
            <a:ext uri="{FF2B5EF4-FFF2-40B4-BE49-F238E27FC236}">
              <a16:creationId xmlns:a16="http://schemas.microsoft.com/office/drawing/2014/main" id="{C19B0086-CA78-4FBD-95C7-C4120DD64B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3" name="Elipse 10752">
          <a:extLst>
            <a:ext uri="{FF2B5EF4-FFF2-40B4-BE49-F238E27FC236}">
              <a16:creationId xmlns:a16="http://schemas.microsoft.com/office/drawing/2014/main" id="{5137B330-EE9B-43D7-BFE4-E6AC8F9106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4" name="Elipse 10753">
          <a:extLst>
            <a:ext uri="{FF2B5EF4-FFF2-40B4-BE49-F238E27FC236}">
              <a16:creationId xmlns:a16="http://schemas.microsoft.com/office/drawing/2014/main" id="{ED2C00B1-16FA-43FC-AA80-3A8C61F6AC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5" name="Elipse 10754">
          <a:extLst>
            <a:ext uri="{FF2B5EF4-FFF2-40B4-BE49-F238E27FC236}">
              <a16:creationId xmlns:a16="http://schemas.microsoft.com/office/drawing/2014/main" id="{8BE099FF-173E-4FEA-B446-15EDCB169B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6" name="Elipse 10755">
          <a:extLst>
            <a:ext uri="{FF2B5EF4-FFF2-40B4-BE49-F238E27FC236}">
              <a16:creationId xmlns:a16="http://schemas.microsoft.com/office/drawing/2014/main" id="{6AEBBBDC-F17F-47C4-BE28-3F12C873C5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7" name="Elipse 10756">
          <a:extLst>
            <a:ext uri="{FF2B5EF4-FFF2-40B4-BE49-F238E27FC236}">
              <a16:creationId xmlns:a16="http://schemas.microsoft.com/office/drawing/2014/main" id="{4D063249-3A3F-4C6F-A312-1C6D6EFDCA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8" name="Elipse 10757">
          <a:extLst>
            <a:ext uri="{FF2B5EF4-FFF2-40B4-BE49-F238E27FC236}">
              <a16:creationId xmlns:a16="http://schemas.microsoft.com/office/drawing/2014/main" id="{C91A6711-B2C0-4AC5-9BF5-69D89E97DC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59" name="Elipse 10758">
          <a:extLst>
            <a:ext uri="{FF2B5EF4-FFF2-40B4-BE49-F238E27FC236}">
              <a16:creationId xmlns:a16="http://schemas.microsoft.com/office/drawing/2014/main" id="{3D4DE6AA-32D1-44DD-A7C3-5894C7A7EA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0" name="Elipse 10759">
          <a:extLst>
            <a:ext uri="{FF2B5EF4-FFF2-40B4-BE49-F238E27FC236}">
              <a16:creationId xmlns:a16="http://schemas.microsoft.com/office/drawing/2014/main" id="{F710FBCD-254C-45F9-B6B1-6464624B53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1" name="Elipse 10760">
          <a:extLst>
            <a:ext uri="{FF2B5EF4-FFF2-40B4-BE49-F238E27FC236}">
              <a16:creationId xmlns:a16="http://schemas.microsoft.com/office/drawing/2014/main" id="{67E2FC4E-06A9-471B-9DAB-3204488821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2" name="Elipse 10761">
          <a:extLst>
            <a:ext uri="{FF2B5EF4-FFF2-40B4-BE49-F238E27FC236}">
              <a16:creationId xmlns:a16="http://schemas.microsoft.com/office/drawing/2014/main" id="{2A10BE21-B41D-4E92-8D98-1D1B8D192B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3" name="Elipse 10762">
          <a:extLst>
            <a:ext uri="{FF2B5EF4-FFF2-40B4-BE49-F238E27FC236}">
              <a16:creationId xmlns:a16="http://schemas.microsoft.com/office/drawing/2014/main" id="{99AD01A8-B424-4656-B0CE-33D522A81B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4" name="Elipse 10763">
          <a:extLst>
            <a:ext uri="{FF2B5EF4-FFF2-40B4-BE49-F238E27FC236}">
              <a16:creationId xmlns:a16="http://schemas.microsoft.com/office/drawing/2014/main" id="{AB5FB6A3-60D7-4D1C-8670-F9B57FE68B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5" name="Elipse 10764">
          <a:extLst>
            <a:ext uri="{FF2B5EF4-FFF2-40B4-BE49-F238E27FC236}">
              <a16:creationId xmlns:a16="http://schemas.microsoft.com/office/drawing/2014/main" id="{4B69AD14-7829-4BC1-9449-4297E6F490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6" name="Elipse 10765">
          <a:extLst>
            <a:ext uri="{FF2B5EF4-FFF2-40B4-BE49-F238E27FC236}">
              <a16:creationId xmlns:a16="http://schemas.microsoft.com/office/drawing/2014/main" id="{18A6845E-F065-497C-846D-38A3C74710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7" name="Elipse 10766">
          <a:extLst>
            <a:ext uri="{FF2B5EF4-FFF2-40B4-BE49-F238E27FC236}">
              <a16:creationId xmlns:a16="http://schemas.microsoft.com/office/drawing/2014/main" id="{47EC00E6-E807-466D-B826-9923956FD2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8" name="Elipse 10767">
          <a:extLst>
            <a:ext uri="{FF2B5EF4-FFF2-40B4-BE49-F238E27FC236}">
              <a16:creationId xmlns:a16="http://schemas.microsoft.com/office/drawing/2014/main" id="{FE92A8B8-C2C6-4033-9ADA-D2BDB78F86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69" name="Elipse 10768">
          <a:extLst>
            <a:ext uri="{FF2B5EF4-FFF2-40B4-BE49-F238E27FC236}">
              <a16:creationId xmlns:a16="http://schemas.microsoft.com/office/drawing/2014/main" id="{53402859-F834-458E-9E06-DA64541A7E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0" name="Elipse 10769">
          <a:extLst>
            <a:ext uri="{FF2B5EF4-FFF2-40B4-BE49-F238E27FC236}">
              <a16:creationId xmlns:a16="http://schemas.microsoft.com/office/drawing/2014/main" id="{297EC5B4-E0D6-4FB5-886E-83FB3091CD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1" name="Elipse 10770">
          <a:extLst>
            <a:ext uri="{FF2B5EF4-FFF2-40B4-BE49-F238E27FC236}">
              <a16:creationId xmlns:a16="http://schemas.microsoft.com/office/drawing/2014/main" id="{EF756B5A-2E82-407A-8A82-CC704416FA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2" name="Elipse 10771">
          <a:extLst>
            <a:ext uri="{FF2B5EF4-FFF2-40B4-BE49-F238E27FC236}">
              <a16:creationId xmlns:a16="http://schemas.microsoft.com/office/drawing/2014/main" id="{DBE3AC3D-06F8-42FB-8124-FCA6283395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3" name="Elipse 10772">
          <a:extLst>
            <a:ext uri="{FF2B5EF4-FFF2-40B4-BE49-F238E27FC236}">
              <a16:creationId xmlns:a16="http://schemas.microsoft.com/office/drawing/2014/main" id="{EE00A141-BE4D-4FCC-B525-83A35DDD3D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4" name="Elipse 10773">
          <a:extLst>
            <a:ext uri="{FF2B5EF4-FFF2-40B4-BE49-F238E27FC236}">
              <a16:creationId xmlns:a16="http://schemas.microsoft.com/office/drawing/2014/main" id="{2788B092-C340-441A-9242-B52F69EE8A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5" name="Elipse 10774">
          <a:extLst>
            <a:ext uri="{FF2B5EF4-FFF2-40B4-BE49-F238E27FC236}">
              <a16:creationId xmlns:a16="http://schemas.microsoft.com/office/drawing/2014/main" id="{DD6A99A8-CA84-4299-B143-6C43A9126F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6" name="Elipse 10775">
          <a:extLst>
            <a:ext uri="{FF2B5EF4-FFF2-40B4-BE49-F238E27FC236}">
              <a16:creationId xmlns:a16="http://schemas.microsoft.com/office/drawing/2014/main" id="{1B2AF495-8BFE-47FF-B5BB-1D21A7507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7" name="Elipse 10776">
          <a:extLst>
            <a:ext uri="{FF2B5EF4-FFF2-40B4-BE49-F238E27FC236}">
              <a16:creationId xmlns:a16="http://schemas.microsoft.com/office/drawing/2014/main" id="{67290996-0680-4999-81E1-60DADC4BA2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8" name="Elipse 10777">
          <a:extLst>
            <a:ext uri="{FF2B5EF4-FFF2-40B4-BE49-F238E27FC236}">
              <a16:creationId xmlns:a16="http://schemas.microsoft.com/office/drawing/2014/main" id="{3D5A2315-9DF1-4EC9-BCCC-ADBC072B89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79" name="Elipse 10778">
          <a:extLst>
            <a:ext uri="{FF2B5EF4-FFF2-40B4-BE49-F238E27FC236}">
              <a16:creationId xmlns:a16="http://schemas.microsoft.com/office/drawing/2014/main" id="{D8631AAA-624D-4CF3-8162-7DE321D531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0" name="Elipse 10779">
          <a:extLst>
            <a:ext uri="{FF2B5EF4-FFF2-40B4-BE49-F238E27FC236}">
              <a16:creationId xmlns:a16="http://schemas.microsoft.com/office/drawing/2014/main" id="{00DBDF12-E327-4D1C-BB23-B15144C772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1" name="Elipse 10780">
          <a:extLst>
            <a:ext uri="{FF2B5EF4-FFF2-40B4-BE49-F238E27FC236}">
              <a16:creationId xmlns:a16="http://schemas.microsoft.com/office/drawing/2014/main" id="{617443A5-42F9-4166-A2BB-5EA620A2AC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2" name="Elipse 10781">
          <a:extLst>
            <a:ext uri="{FF2B5EF4-FFF2-40B4-BE49-F238E27FC236}">
              <a16:creationId xmlns:a16="http://schemas.microsoft.com/office/drawing/2014/main" id="{13AED55A-1C51-4FD5-B506-ED5FA33CB1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3" name="Elipse 10782">
          <a:extLst>
            <a:ext uri="{FF2B5EF4-FFF2-40B4-BE49-F238E27FC236}">
              <a16:creationId xmlns:a16="http://schemas.microsoft.com/office/drawing/2014/main" id="{C6718D92-2C1F-4AC2-AF9B-128CFECF15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4" name="Elipse 10783">
          <a:extLst>
            <a:ext uri="{FF2B5EF4-FFF2-40B4-BE49-F238E27FC236}">
              <a16:creationId xmlns:a16="http://schemas.microsoft.com/office/drawing/2014/main" id="{8F82FBD7-6D30-4611-9AC0-305A8ADCA1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5" name="Elipse 10784">
          <a:extLst>
            <a:ext uri="{FF2B5EF4-FFF2-40B4-BE49-F238E27FC236}">
              <a16:creationId xmlns:a16="http://schemas.microsoft.com/office/drawing/2014/main" id="{A2E00BD4-82AE-45B4-9FD8-609489BED2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6" name="Elipse 10785">
          <a:extLst>
            <a:ext uri="{FF2B5EF4-FFF2-40B4-BE49-F238E27FC236}">
              <a16:creationId xmlns:a16="http://schemas.microsoft.com/office/drawing/2014/main" id="{83A09EA3-6D50-4DAE-8B1B-730A6DB2FC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7" name="Elipse 10786">
          <a:extLst>
            <a:ext uri="{FF2B5EF4-FFF2-40B4-BE49-F238E27FC236}">
              <a16:creationId xmlns:a16="http://schemas.microsoft.com/office/drawing/2014/main" id="{2E5B486A-DA5C-43A2-80FD-6B0036B1EF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8" name="Elipse 10787">
          <a:extLst>
            <a:ext uri="{FF2B5EF4-FFF2-40B4-BE49-F238E27FC236}">
              <a16:creationId xmlns:a16="http://schemas.microsoft.com/office/drawing/2014/main" id="{4F2FD962-7B17-4EC7-81E4-E85FB5C1A6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89" name="Elipse 10788">
          <a:extLst>
            <a:ext uri="{FF2B5EF4-FFF2-40B4-BE49-F238E27FC236}">
              <a16:creationId xmlns:a16="http://schemas.microsoft.com/office/drawing/2014/main" id="{CE2E68AB-FEA1-41D9-A5E8-6CD0B24668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0" name="Elipse 10789">
          <a:extLst>
            <a:ext uri="{FF2B5EF4-FFF2-40B4-BE49-F238E27FC236}">
              <a16:creationId xmlns:a16="http://schemas.microsoft.com/office/drawing/2014/main" id="{E8410E44-D82B-485C-AD3E-4A6AFF2BCF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1" name="Elipse 10790">
          <a:extLst>
            <a:ext uri="{FF2B5EF4-FFF2-40B4-BE49-F238E27FC236}">
              <a16:creationId xmlns:a16="http://schemas.microsoft.com/office/drawing/2014/main" id="{EB41F5B8-2FE0-4537-9EFA-F301CD740D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2" name="Elipse 10791">
          <a:extLst>
            <a:ext uri="{FF2B5EF4-FFF2-40B4-BE49-F238E27FC236}">
              <a16:creationId xmlns:a16="http://schemas.microsoft.com/office/drawing/2014/main" id="{89E835AD-5BAD-4F19-82E3-72B86950BF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3" name="Elipse 10792">
          <a:extLst>
            <a:ext uri="{FF2B5EF4-FFF2-40B4-BE49-F238E27FC236}">
              <a16:creationId xmlns:a16="http://schemas.microsoft.com/office/drawing/2014/main" id="{AF04AFDD-10C5-4035-81C2-F9AA3A7F80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4" name="Elipse 10793">
          <a:extLst>
            <a:ext uri="{FF2B5EF4-FFF2-40B4-BE49-F238E27FC236}">
              <a16:creationId xmlns:a16="http://schemas.microsoft.com/office/drawing/2014/main" id="{97F7BED1-2056-41CD-87D1-8BE67D1485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5" name="Elipse 10794">
          <a:extLst>
            <a:ext uri="{FF2B5EF4-FFF2-40B4-BE49-F238E27FC236}">
              <a16:creationId xmlns:a16="http://schemas.microsoft.com/office/drawing/2014/main" id="{7CB50891-67E4-4CE0-8691-6B7B9FC9E1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6" name="Elipse 10795">
          <a:extLst>
            <a:ext uri="{FF2B5EF4-FFF2-40B4-BE49-F238E27FC236}">
              <a16:creationId xmlns:a16="http://schemas.microsoft.com/office/drawing/2014/main" id="{F7A3438D-8AA1-4F07-8778-A46B7EE4C9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7" name="Elipse 10796">
          <a:extLst>
            <a:ext uri="{FF2B5EF4-FFF2-40B4-BE49-F238E27FC236}">
              <a16:creationId xmlns:a16="http://schemas.microsoft.com/office/drawing/2014/main" id="{84F265BF-4038-4E4B-AD49-AB2087C00D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8" name="Elipse 10797">
          <a:extLst>
            <a:ext uri="{FF2B5EF4-FFF2-40B4-BE49-F238E27FC236}">
              <a16:creationId xmlns:a16="http://schemas.microsoft.com/office/drawing/2014/main" id="{6C677C12-8E84-4AA9-BF83-33A7BEB990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799" name="Elipse 10798">
          <a:extLst>
            <a:ext uri="{FF2B5EF4-FFF2-40B4-BE49-F238E27FC236}">
              <a16:creationId xmlns:a16="http://schemas.microsoft.com/office/drawing/2014/main" id="{64431A15-A5A8-416D-9579-E7C261F33F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0" name="Elipse 10799">
          <a:extLst>
            <a:ext uri="{FF2B5EF4-FFF2-40B4-BE49-F238E27FC236}">
              <a16:creationId xmlns:a16="http://schemas.microsoft.com/office/drawing/2014/main" id="{8CB8F8A5-0562-4087-AB6E-A127602D0A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1" name="Elipse 10800">
          <a:extLst>
            <a:ext uri="{FF2B5EF4-FFF2-40B4-BE49-F238E27FC236}">
              <a16:creationId xmlns:a16="http://schemas.microsoft.com/office/drawing/2014/main" id="{5343D542-C3D0-4B28-A729-66BE773C83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2" name="Elipse 10801">
          <a:extLst>
            <a:ext uri="{FF2B5EF4-FFF2-40B4-BE49-F238E27FC236}">
              <a16:creationId xmlns:a16="http://schemas.microsoft.com/office/drawing/2014/main" id="{D164348A-472E-40E4-9BFE-425C4B1799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3" name="Elipse 10802">
          <a:extLst>
            <a:ext uri="{FF2B5EF4-FFF2-40B4-BE49-F238E27FC236}">
              <a16:creationId xmlns:a16="http://schemas.microsoft.com/office/drawing/2014/main" id="{B358B3C7-8AF0-410C-B260-ABA7679AD2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4" name="Elipse 10803">
          <a:extLst>
            <a:ext uri="{FF2B5EF4-FFF2-40B4-BE49-F238E27FC236}">
              <a16:creationId xmlns:a16="http://schemas.microsoft.com/office/drawing/2014/main" id="{D34625A8-F85F-4707-8C71-4EB3073386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5" name="Elipse 10804">
          <a:extLst>
            <a:ext uri="{FF2B5EF4-FFF2-40B4-BE49-F238E27FC236}">
              <a16:creationId xmlns:a16="http://schemas.microsoft.com/office/drawing/2014/main" id="{D15E1240-5479-4095-AC69-7AF4557148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6" name="Elipse 10805">
          <a:extLst>
            <a:ext uri="{FF2B5EF4-FFF2-40B4-BE49-F238E27FC236}">
              <a16:creationId xmlns:a16="http://schemas.microsoft.com/office/drawing/2014/main" id="{57CAD6A8-F939-4542-95C2-F3AD0BAF20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7" name="Elipse 10806">
          <a:extLst>
            <a:ext uri="{FF2B5EF4-FFF2-40B4-BE49-F238E27FC236}">
              <a16:creationId xmlns:a16="http://schemas.microsoft.com/office/drawing/2014/main" id="{BE09A55A-1DA2-4E27-B943-BA17C4A30D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8" name="Elipse 10807">
          <a:extLst>
            <a:ext uri="{FF2B5EF4-FFF2-40B4-BE49-F238E27FC236}">
              <a16:creationId xmlns:a16="http://schemas.microsoft.com/office/drawing/2014/main" id="{97A9E6D6-D41C-4C44-A086-12F9BA7636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09" name="Elipse 10808">
          <a:extLst>
            <a:ext uri="{FF2B5EF4-FFF2-40B4-BE49-F238E27FC236}">
              <a16:creationId xmlns:a16="http://schemas.microsoft.com/office/drawing/2014/main" id="{24988903-E569-41B3-9174-EF8BD6D317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0" name="Elipse 10809">
          <a:extLst>
            <a:ext uri="{FF2B5EF4-FFF2-40B4-BE49-F238E27FC236}">
              <a16:creationId xmlns:a16="http://schemas.microsoft.com/office/drawing/2014/main" id="{1AFF88B3-95DC-4F51-A748-770F31F076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1" name="Elipse 10810">
          <a:extLst>
            <a:ext uri="{FF2B5EF4-FFF2-40B4-BE49-F238E27FC236}">
              <a16:creationId xmlns:a16="http://schemas.microsoft.com/office/drawing/2014/main" id="{9D1E10DC-4CF6-47C5-8F8F-58D16036BC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2" name="Elipse 10811">
          <a:extLst>
            <a:ext uri="{FF2B5EF4-FFF2-40B4-BE49-F238E27FC236}">
              <a16:creationId xmlns:a16="http://schemas.microsoft.com/office/drawing/2014/main" id="{8433210F-FED7-4B6F-A5AE-B8AF6BE5C3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3" name="Elipse 10812">
          <a:extLst>
            <a:ext uri="{FF2B5EF4-FFF2-40B4-BE49-F238E27FC236}">
              <a16:creationId xmlns:a16="http://schemas.microsoft.com/office/drawing/2014/main" id="{F3D97E7E-12ED-42AE-8DC5-C80DE26587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4" name="Elipse 10813">
          <a:extLst>
            <a:ext uri="{FF2B5EF4-FFF2-40B4-BE49-F238E27FC236}">
              <a16:creationId xmlns:a16="http://schemas.microsoft.com/office/drawing/2014/main" id="{4F513819-A56E-415F-85F6-E6F9F33E95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5" name="Elipse 10814">
          <a:extLst>
            <a:ext uri="{FF2B5EF4-FFF2-40B4-BE49-F238E27FC236}">
              <a16:creationId xmlns:a16="http://schemas.microsoft.com/office/drawing/2014/main" id="{E47DF0F4-91C8-43F8-8C31-04CFC9352D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6" name="Elipse 10815">
          <a:extLst>
            <a:ext uri="{FF2B5EF4-FFF2-40B4-BE49-F238E27FC236}">
              <a16:creationId xmlns:a16="http://schemas.microsoft.com/office/drawing/2014/main" id="{DE7DBE59-2DA3-4916-A194-27FC52BFDB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7" name="Elipse 10816">
          <a:extLst>
            <a:ext uri="{FF2B5EF4-FFF2-40B4-BE49-F238E27FC236}">
              <a16:creationId xmlns:a16="http://schemas.microsoft.com/office/drawing/2014/main" id="{E6FB7ADC-EE0B-4BE8-9DAD-1076DB4AFC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8" name="Elipse 10817">
          <a:extLst>
            <a:ext uri="{FF2B5EF4-FFF2-40B4-BE49-F238E27FC236}">
              <a16:creationId xmlns:a16="http://schemas.microsoft.com/office/drawing/2014/main" id="{F0277E50-DC17-4929-9785-F7B48DCA06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19" name="Elipse 10818">
          <a:extLst>
            <a:ext uri="{FF2B5EF4-FFF2-40B4-BE49-F238E27FC236}">
              <a16:creationId xmlns:a16="http://schemas.microsoft.com/office/drawing/2014/main" id="{7F5B460F-F88A-4356-B8F6-1353CD793D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0" name="Elipse 10819">
          <a:extLst>
            <a:ext uri="{FF2B5EF4-FFF2-40B4-BE49-F238E27FC236}">
              <a16:creationId xmlns:a16="http://schemas.microsoft.com/office/drawing/2014/main" id="{FE458469-EA2B-4931-9B5E-ABBCD500EE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1" name="Elipse 10820">
          <a:extLst>
            <a:ext uri="{FF2B5EF4-FFF2-40B4-BE49-F238E27FC236}">
              <a16:creationId xmlns:a16="http://schemas.microsoft.com/office/drawing/2014/main" id="{AF0E45AE-20FB-4686-8378-A5DB7BEBAD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2" name="Elipse 10821">
          <a:extLst>
            <a:ext uri="{FF2B5EF4-FFF2-40B4-BE49-F238E27FC236}">
              <a16:creationId xmlns:a16="http://schemas.microsoft.com/office/drawing/2014/main" id="{EBACEBC9-2B97-4AEE-94FC-50C8DBC8B9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3" name="Elipse 10822">
          <a:extLst>
            <a:ext uri="{FF2B5EF4-FFF2-40B4-BE49-F238E27FC236}">
              <a16:creationId xmlns:a16="http://schemas.microsoft.com/office/drawing/2014/main" id="{8D65CA57-F7FF-4557-A276-5C8C43D93B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4" name="Elipse 10823">
          <a:extLst>
            <a:ext uri="{FF2B5EF4-FFF2-40B4-BE49-F238E27FC236}">
              <a16:creationId xmlns:a16="http://schemas.microsoft.com/office/drawing/2014/main" id="{440D4FFD-0C16-45B5-A184-08D19EF572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5" name="Elipse 10824">
          <a:extLst>
            <a:ext uri="{FF2B5EF4-FFF2-40B4-BE49-F238E27FC236}">
              <a16:creationId xmlns:a16="http://schemas.microsoft.com/office/drawing/2014/main" id="{2B5D9792-FDB7-4311-B1DF-2F185380D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6" name="Elipse 10825">
          <a:extLst>
            <a:ext uri="{FF2B5EF4-FFF2-40B4-BE49-F238E27FC236}">
              <a16:creationId xmlns:a16="http://schemas.microsoft.com/office/drawing/2014/main" id="{DC6216D9-BA1E-41AD-A445-B13CCE3C71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7" name="Elipse 10826">
          <a:extLst>
            <a:ext uri="{FF2B5EF4-FFF2-40B4-BE49-F238E27FC236}">
              <a16:creationId xmlns:a16="http://schemas.microsoft.com/office/drawing/2014/main" id="{280E1769-B6D5-4D13-BD4F-8BC90EF8EA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8" name="Elipse 10827">
          <a:extLst>
            <a:ext uri="{FF2B5EF4-FFF2-40B4-BE49-F238E27FC236}">
              <a16:creationId xmlns:a16="http://schemas.microsoft.com/office/drawing/2014/main" id="{A1AFE4FF-AD40-4A4E-A69E-879C4C21C7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29" name="Elipse 10828">
          <a:extLst>
            <a:ext uri="{FF2B5EF4-FFF2-40B4-BE49-F238E27FC236}">
              <a16:creationId xmlns:a16="http://schemas.microsoft.com/office/drawing/2014/main" id="{186E9FAB-7E83-42A4-90A6-87799EEDA9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0" name="Elipse 10829">
          <a:extLst>
            <a:ext uri="{FF2B5EF4-FFF2-40B4-BE49-F238E27FC236}">
              <a16:creationId xmlns:a16="http://schemas.microsoft.com/office/drawing/2014/main" id="{A4D88314-AFFF-4957-9A3A-E69E05ECDF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1" name="Elipse 10830">
          <a:extLst>
            <a:ext uri="{FF2B5EF4-FFF2-40B4-BE49-F238E27FC236}">
              <a16:creationId xmlns:a16="http://schemas.microsoft.com/office/drawing/2014/main" id="{434E0F0E-AF5D-4AAB-BBEE-D0623CC556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2" name="Elipse 10831">
          <a:extLst>
            <a:ext uri="{FF2B5EF4-FFF2-40B4-BE49-F238E27FC236}">
              <a16:creationId xmlns:a16="http://schemas.microsoft.com/office/drawing/2014/main" id="{F4795601-3F8D-4272-A6D5-CEFD9584B0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3" name="Elipse 10832">
          <a:extLst>
            <a:ext uri="{FF2B5EF4-FFF2-40B4-BE49-F238E27FC236}">
              <a16:creationId xmlns:a16="http://schemas.microsoft.com/office/drawing/2014/main" id="{735C6BCF-4894-40A3-9A16-4C6A79DF2C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4" name="Elipse 10833">
          <a:extLst>
            <a:ext uri="{FF2B5EF4-FFF2-40B4-BE49-F238E27FC236}">
              <a16:creationId xmlns:a16="http://schemas.microsoft.com/office/drawing/2014/main" id="{E953B388-3118-4B31-93AF-A795C92AB9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5" name="Elipse 10834">
          <a:extLst>
            <a:ext uri="{FF2B5EF4-FFF2-40B4-BE49-F238E27FC236}">
              <a16:creationId xmlns:a16="http://schemas.microsoft.com/office/drawing/2014/main" id="{88A00679-1F8D-4376-8994-0594A222C0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6" name="Elipse 10835">
          <a:extLst>
            <a:ext uri="{FF2B5EF4-FFF2-40B4-BE49-F238E27FC236}">
              <a16:creationId xmlns:a16="http://schemas.microsoft.com/office/drawing/2014/main" id="{72623B78-DD31-4577-8826-F6D1D3DAE5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7" name="Elipse 10836">
          <a:extLst>
            <a:ext uri="{FF2B5EF4-FFF2-40B4-BE49-F238E27FC236}">
              <a16:creationId xmlns:a16="http://schemas.microsoft.com/office/drawing/2014/main" id="{7AA8B2AC-87E4-4D52-B51D-35473E0028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8" name="Elipse 10837">
          <a:extLst>
            <a:ext uri="{FF2B5EF4-FFF2-40B4-BE49-F238E27FC236}">
              <a16:creationId xmlns:a16="http://schemas.microsoft.com/office/drawing/2014/main" id="{82A8B29A-7BD6-470A-8E3E-E92792F084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39" name="Elipse 10838">
          <a:extLst>
            <a:ext uri="{FF2B5EF4-FFF2-40B4-BE49-F238E27FC236}">
              <a16:creationId xmlns:a16="http://schemas.microsoft.com/office/drawing/2014/main" id="{FE9E4A1D-8269-4614-8926-9341765DCE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0" name="Elipse 10839">
          <a:extLst>
            <a:ext uri="{FF2B5EF4-FFF2-40B4-BE49-F238E27FC236}">
              <a16:creationId xmlns:a16="http://schemas.microsoft.com/office/drawing/2014/main" id="{F71484A1-C079-429E-B5E7-42D315E7B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1" name="Elipse 10840">
          <a:extLst>
            <a:ext uri="{FF2B5EF4-FFF2-40B4-BE49-F238E27FC236}">
              <a16:creationId xmlns:a16="http://schemas.microsoft.com/office/drawing/2014/main" id="{90B4F068-C5B7-43FE-BB36-D88F99E9D0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2" name="Elipse 10841">
          <a:extLst>
            <a:ext uri="{FF2B5EF4-FFF2-40B4-BE49-F238E27FC236}">
              <a16:creationId xmlns:a16="http://schemas.microsoft.com/office/drawing/2014/main" id="{28DCEEB1-F985-44F0-A47C-EBAFF08DF9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3" name="Elipse 10842">
          <a:extLst>
            <a:ext uri="{FF2B5EF4-FFF2-40B4-BE49-F238E27FC236}">
              <a16:creationId xmlns:a16="http://schemas.microsoft.com/office/drawing/2014/main" id="{FEC5433A-8F53-47DF-8D1D-78CE8D8906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4" name="Elipse 10843">
          <a:extLst>
            <a:ext uri="{FF2B5EF4-FFF2-40B4-BE49-F238E27FC236}">
              <a16:creationId xmlns:a16="http://schemas.microsoft.com/office/drawing/2014/main" id="{03502D41-79AF-43FA-8FE2-0DCDD8E02E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5" name="Elipse 10844">
          <a:extLst>
            <a:ext uri="{FF2B5EF4-FFF2-40B4-BE49-F238E27FC236}">
              <a16:creationId xmlns:a16="http://schemas.microsoft.com/office/drawing/2014/main" id="{CE145F4A-0D9B-46FE-8A2F-53CE69DFDB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6" name="Elipse 10845">
          <a:extLst>
            <a:ext uri="{FF2B5EF4-FFF2-40B4-BE49-F238E27FC236}">
              <a16:creationId xmlns:a16="http://schemas.microsoft.com/office/drawing/2014/main" id="{B201DDCD-7843-4424-8473-D3E1ADDF95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7" name="Elipse 10846">
          <a:extLst>
            <a:ext uri="{FF2B5EF4-FFF2-40B4-BE49-F238E27FC236}">
              <a16:creationId xmlns:a16="http://schemas.microsoft.com/office/drawing/2014/main" id="{7B7EB1C8-7D72-4D6F-B02A-8D93B303A6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8" name="Elipse 10847">
          <a:extLst>
            <a:ext uri="{FF2B5EF4-FFF2-40B4-BE49-F238E27FC236}">
              <a16:creationId xmlns:a16="http://schemas.microsoft.com/office/drawing/2014/main" id="{47B55A45-ECA2-403A-A455-A6BF2A51F2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49" name="Elipse 10848">
          <a:extLst>
            <a:ext uri="{FF2B5EF4-FFF2-40B4-BE49-F238E27FC236}">
              <a16:creationId xmlns:a16="http://schemas.microsoft.com/office/drawing/2014/main" id="{7EB64664-C9F8-474C-ABB6-D48B0D8823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0" name="Elipse 10849">
          <a:extLst>
            <a:ext uri="{FF2B5EF4-FFF2-40B4-BE49-F238E27FC236}">
              <a16:creationId xmlns:a16="http://schemas.microsoft.com/office/drawing/2014/main" id="{85E27ECB-1F74-4913-9A40-0EE1BC3DDE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1" name="Elipse 10850">
          <a:extLst>
            <a:ext uri="{FF2B5EF4-FFF2-40B4-BE49-F238E27FC236}">
              <a16:creationId xmlns:a16="http://schemas.microsoft.com/office/drawing/2014/main" id="{44A1A79B-8E4D-4603-919F-F814154DF8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2" name="Elipse 10851">
          <a:extLst>
            <a:ext uri="{FF2B5EF4-FFF2-40B4-BE49-F238E27FC236}">
              <a16:creationId xmlns:a16="http://schemas.microsoft.com/office/drawing/2014/main" id="{F9610E3D-3937-4A74-9907-011EBF8FC4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3" name="Elipse 10852">
          <a:extLst>
            <a:ext uri="{FF2B5EF4-FFF2-40B4-BE49-F238E27FC236}">
              <a16:creationId xmlns:a16="http://schemas.microsoft.com/office/drawing/2014/main" id="{4004CE0A-E5B1-46BB-9D31-9FADEA8459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4" name="Elipse 10853">
          <a:extLst>
            <a:ext uri="{FF2B5EF4-FFF2-40B4-BE49-F238E27FC236}">
              <a16:creationId xmlns:a16="http://schemas.microsoft.com/office/drawing/2014/main" id="{455A2B2F-C740-45CE-8473-D82D40EEB2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5" name="Elipse 10854">
          <a:extLst>
            <a:ext uri="{FF2B5EF4-FFF2-40B4-BE49-F238E27FC236}">
              <a16:creationId xmlns:a16="http://schemas.microsoft.com/office/drawing/2014/main" id="{6DB707ED-41CE-47FE-9551-D74E3F2E5C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6" name="Elipse 10855">
          <a:extLst>
            <a:ext uri="{FF2B5EF4-FFF2-40B4-BE49-F238E27FC236}">
              <a16:creationId xmlns:a16="http://schemas.microsoft.com/office/drawing/2014/main" id="{C7A29132-AB0D-4AED-9588-1AF413D48E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7" name="Elipse 10856">
          <a:extLst>
            <a:ext uri="{FF2B5EF4-FFF2-40B4-BE49-F238E27FC236}">
              <a16:creationId xmlns:a16="http://schemas.microsoft.com/office/drawing/2014/main" id="{513C29C6-55BC-45CB-8358-507D2E85FE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8" name="Elipse 10857">
          <a:extLst>
            <a:ext uri="{FF2B5EF4-FFF2-40B4-BE49-F238E27FC236}">
              <a16:creationId xmlns:a16="http://schemas.microsoft.com/office/drawing/2014/main" id="{41BD5444-BDC6-4D9C-AC54-D76F4F1864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59" name="Elipse 10858">
          <a:extLst>
            <a:ext uri="{FF2B5EF4-FFF2-40B4-BE49-F238E27FC236}">
              <a16:creationId xmlns:a16="http://schemas.microsoft.com/office/drawing/2014/main" id="{4CC09DF9-51A4-4A11-9DCF-54F2696916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0" name="Elipse 10859">
          <a:extLst>
            <a:ext uri="{FF2B5EF4-FFF2-40B4-BE49-F238E27FC236}">
              <a16:creationId xmlns:a16="http://schemas.microsoft.com/office/drawing/2014/main" id="{B59215F7-217E-4730-8CD6-AB4603123E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1" name="Elipse 10860">
          <a:extLst>
            <a:ext uri="{FF2B5EF4-FFF2-40B4-BE49-F238E27FC236}">
              <a16:creationId xmlns:a16="http://schemas.microsoft.com/office/drawing/2014/main" id="{A2694543-1E83-4975-B7A4-4C891682A1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2" name="Elipse 10861">
          <a:extLst>
            <a:ext uri="{FF2B5EF4-FFF2-40B4-BE49-F238E27FC236}">
              <a16:creationId xmlns:a16="http://schemas.microsoft.com/office/drawing/2014/main" id="{03859969-0366-4769-886A-AFCF0491C4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3" name="Elipse 10862">
          <a:extLst>
            <a:ext uri="{FF2B5EF4-FFF2-40B4-BE49-F238E27FC236}">
              <a16:creationId xmlns:a16="http://schemas.microsoft.com/office/drawing/2014/main" id="{FCECE0AA-4485-477C-B195-114D5688D5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4" name="Elipse 10863">
          <a:extLst>
            <a:ext uri="{FF2B5EF4-FFF2-40B4-BE49-F238E27FC236}">
              <a16:creationId xmlns:a16="http://schemas.microsoft.com/office/drawing/2014/main" id="{69A1A046-EE0B-41D4-931E-F98BD76114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5" name="Elipse 10864">
          <a:extLst>
            <a:ext uri="{FF2B5EF4-FFF2-40B4-BE49-F238E27FC236}">
              <a16:creationId xmlns:a16="http://schemas.microsoft.com/office/drawing/2014/main" id="{F12B9FC9-6804-4F48-9E2D-F01DE82907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6" name="Elipse 10865">
          <a:extLst>
            <a:ext uri="{FF2B5EF4-FFF2-40B4-BE49-F238E27FC236}">
              <a16:creationId xmlns:a16="http://schemas.microsoft.com/office/drawing/2014/main" id="{7F290CF5-E268-46E0-B911-F15FE706E5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7" name="Elipse 10866">
          <a:extLst>
            <a:ext uri="{FF2B5EF4-FFF2-40B4-BE49-F238E27FC236}">
              <a16:creationId xmlns:a16="http://schemas.microsoft.com/office/drawing/2014/main" id="{11559613-A090-46B8-8A3C-AEC4A42C78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8" name="Elipse 10867">
          <a:extLst>
            <a:ext uri="{FF2B5EF4-FFF2-40B4-BE49-F238E27FC236}">
              <a16:creationId xmlns:a16="http://schemas.microsoft.com/office/drawing/2014/main" id="{85B449EB-FC73-4DDD-9CAC-63EBC3E093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69" name="Elipse 10868">
          <a:extLst>
            <a:ext uri="{FF2B5EF4-FFF2-40B4-BE49-F238E27FC236}">
              <a16:creationId xmlns:a16="http://schemas.microsoft.com/office/drawing/2014/main" id="{457502DC-F1A7-45A6-B82D-39DEAC8044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0" name="Elipse 10869">
          <a:extLst>
            <a:ext uri="{FF2B5EF4-FFF2-40B4-BE49-F238E27FC236}">
              <a16:creationId xmlns:a16="http://schemas.microsoft.com/office/drawing/2014/main" id="{17182089-6019-4A18-BBDD-8322750C8D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1" name="Elipse 10870">
          <a:extLst>
            <a:ext uri="{FF2B5EF4-FFF2-40B4-BE49-F238E27FC236}">
              <a16:creationId xmlns:a16="http://schemas.microsoft.com/office/drawing/2014/main" id="{73661A77-D23B-416C-B9C4-74C2800972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2" name="Elipse 10871">
          <a:extLst>
            <a:ext uri="{FF2B5EF4-FFF2-40B4-BE49-F238E27FC236}">
              <a16:creationId xmlns:a16="http://schemas.microsoft.com/office/drawing/2014/main" id="{88D2ABC8-A411-4768-977D-A2A1A79C36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3" name="Elipse 10872">
          <a:extLst>
            <a:ext uri="{FF2B5EF4-FFF2-40B4-BE49-F238E27FC236}">
              <a16:creationId xmlns:a16="http://schemas.microsoft.com/office/drawing/2014/main" id="{006FDCAD-1FD5-44A4-868E-8277917B73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4" name="Elipse 10873">
          <a:extLst>
            <a:ext uri="{FF2B5EF4-FFF2-40B4-BE49-F238E27FC236}">
              <a16:creationId xmlns:a16="http://schemas.microsoft.com/office/drawing/2014/main" id="{3CB95A60-670D-45E9-9CC2-5FFC6BC815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5" name="Elipse 10874">
          <a:extLst>
            <a:ext uri="{FF2B5EF4-FFF2-40B4-BE49-F238E27FC236}">
              <a16:creationId xmlns:a16="http://schemas.microsoft.com/office/drawing/2014/main" id="{948F0846-E9E4-4773-9968-7F2FA322AB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6" name="Elipse 10875">
          <a:extLst>
            <a:ext uri="{FF2B5EF4-FFF2-40B4-BE49-F238E27FC236}">
              <a16:creationId xmlns:a16="http://schemas.microsoft.com/office/drawing/2014/main" id="{BDAC368F-DE05-4E1C-AA4E-A90E4ADE69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7" name="Elipse 10876">
          <a:extLst>
            <a:ext uri="{FF2B5EF4-FFF2-40B4-BE49-F238E27FC236}">
              <a16:creationId xmlns:a16="http://schemas.microsoft.com/office/drawing/2014/main" id="{E58E357A-CE73-4423-9048-E474217B84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8" name="Elipse 10877">
          <a:extLst>
            <a:ext uri="{FF2B5EF4-FFF2-40B4-BE49-F238E27FC236}">
              <a16:creationId xmlns:a16="http://schemas.microsoft.com/office/drawing/2014/main" id="{4C287E34-A45F-4955-B022-96E2C1D8DD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79" name="Elipse 10878">
          <a:extLst>
            <a:ext uri="{FF2B5EF4-FFF2-40B4-BE49-F238E27FC236}">
              <a16:creationId xmlns:a16="http://schemas.microsoft.com/office/drawing/2014/main" id="{739FB4E4-9755-4BB7-8172-97C2C30E33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0" name="Elipse 10879">
          <a:extLst>
            <a:ext uri="{FF2B5EF4-FFF2-40B4-BE49-F238E27FC236}">
              <a16:creationId xmlns:a16="http://schemas.microsoft.com/office/drawing/2014/main" id="{403DDCED-3324-473B-BD89-9E1501C186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1" name="Elipse 10880">
          <a:extLst>
            <a:ext uri="{FF2B5EF4-FFF2-40B4-BE49-F238E27FC236}">
              <a16:creationId xmlns:a16="http://schemas.microsoft.com/office/drawing/2014/main" id="{5E933450-D070-4CF0-BF0C-82FA4E31D2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2" name="Elipse 10881">
          <a:extLst>
            <a:ext uri="{FF2B5EF4-FFF2-40B4-BE49-F238E27FC236}">
              <a16:creationId xmlns:a16="http://schemas.microsoft.com/office/drawing/2014/main" id="{4555AED8-5D49-429A-9338-579C411E82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3" name="Elipse 10882">
          <a:extLst>
            <a:ext uri="{FF2B5EF4-FFF2-40B4-BE49-F238E27FC236}">
              <a16:creationId xmlns:a16="http://schemas.microsoft.com/office/drawing/2014/main" id="{7C8F57B3-8845-4B31-8C4D-6EA0B52196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4" name="Elipse 10883">
          <a:extLst>
            <a:ext uri="{FF2B5EF4-FFF2-40B4-BE49-F238E27FC236}">
              <a16:creationId xmlns:a16="http://schemas.microsoft.com/office/drawing/2014/main" id="{4860DE37-2872-4D40-BB16-77CA6ECA47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5" name="Elipse 10884">
          <a:extLst>
            <a:ext uri="{FF2B5EF4-FFF2-40B4-BE49-F238E27FC236}">
              <a16:creationId xmlns:a16="http://schemas.microsoft.com/office/drawing/2014/main" id="{16DAF50E-E77E-4205-9885-975B53ACC9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6" name="Elipse 10885">
          <a:extLst>
            <a:ext uri="{FF2B5EF4-FFF2-40B4-BE49-F238E27FC236}">
              <a16:creationId xmlns:a16="http://schemas.microsoft.com/office/drawing/2014/main" id="{B3F3D07C-9911-46DD-848C-DF78F76774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7" name="Elipse 10886">
          <a:extLst>
            <a:ext uri="{FF2B5EF4-FFF2-40B4-BE49-F238E27FC236}">
              <a16:creationId xmlns:a16="http://schemas.microsoft.com/office/drawing/2014/main" id="{61A6461F-1CF5-446B-A41F-46A4D66AE7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8" name="Elipse 10887">
          <a:extLst>
            <a:ext uri="{FF2B5EF4-FFF2-40B4-BE49-F238E27FC236}">
              <a16:creationId xmlns:a16="http://schemas.microsoft.com/office/drawing/2014/main" id="{4F119457-A448-4359-AE3D-A5A5B5FCDC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89" name="Elipse 10888">
          <a:extLst>
            <a:ext uri="{FF2B5EF4-FFF2-40B4-BE49-F238E27FC236}">
              <a16:creationId xmlns:a16="http://schemas.microsoft.com/office/drawing/2014/main" id="{E5927844-571E-4B09-90FF-02C6ABCF1D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0" name="Elipse 10889">
          <a:extLst>
            <a:ext uri="{FF2B5EF4-FFF2-40B4-BE49-F238E27FC236}">
              <a16:creationId xmlns:a16="http://schemas.microsoft.com/office/drawing/2014/main" id="{5F9C9EA9-D103-45B7-BF53-CF7165A6FC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1" name="Elipse 10890">
          <a:extLst>
            <a:ext uri="{FF2B5EF4-FFF2-40B4-BE49-F238E27FC236}">
              <a16:creationId xmlns:a16="http://schemas.microsoft.com/office/drawing/2014/main" id="{E7E8E528-6CA8-4AC6-A8C2-878FDB7542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2" name="Elipse 10891">
          <a:extLst>
            <a:ext uri="{FF2B5EF4-FFF2-40B4-BE49-F238E27FC236}">
              <a16:creationId xmlns:a16="http://schemas.microsoft.com/office/drawing/2014/main" id="{7BCDA51F-A5F8-4D01-94D9-2BD826C8BC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3" name="Elipse 10892">
          <a:extLst>
            <a:ext uri="{FF2B5EF4-FFF2-40B4-BE49-F238E27FC236}">
              <a16:creationId xmlns:a16="http://schemas.microsoft.com/office/drawing/2014/main" id="{417D9120-C022-416F-9041-AEA427B312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4" name="Elipse 10893">
          <a:extLst>
            <a:ext uri="{FF2B5EF4-FFF2-40B4-BE49-F238E27FC236}">
              <a16:creationId xmlns:a16="http://schemas.microsoft.com/office/drawing/2014/main" id="{4E6153A4-4111-490D-B528-BB2D37D099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5" name="Elipse 10894">
          <a:extLst>
            <a:ext uri="{FF2B5EF4-FFF2-40B4-BE49-F238E27FC236}">
              <a16:creationId xmlns:a16="http://schemas.microsoft.com/office/drawing/2014/main" id="{B4CB5F93-2F3F-40C0-96A3-144A278F32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6" name="Elipse 10895">
          <a:extLst>
            <a:ext uri="{FF2B5EF4-FFF2-40B4-BE49-F238E27FC236}">
              <a16:creationId xmlns:a16="http://schemas.microsoft.com/office/drawing/2014/main" id="{4BCB8727-3EDA-484F-8408-2C5D16F84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7" name="Elipse 10896">
          <a:extLst>
            <a:ext uri="{FF2B5EF4-FFF2-40B4-BE49-F238E27FC236}">
              <a16:creationId xmlns:a16="http://schemas.microsoft.com/office/drawing/2014/main" id="{A014AA34-F031-4FEA-8FE8-305D88365F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8" name="Elipse 10897">
          <a:extLst>
            <a:ext uri="{FF2B5EF4-FFF2-40B4-BE49-F238E27FC236}">
              <a16:creationId xmlns:a16="http://schemas.microsoft.com/office/drawing/2014/main" id="{5E906616-0D66-47B2-AC6A-C711CD2C79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899" name="Elipse 10898">
          <a:extLst>
            <a:ext uri="{FF2B5EF4-FFF2-40B4-BE49-F238E27FC236}">
              <a16:creationId xmlns:a16="http://schemas.microsoft.com/office/drawing/2014/main" id="{3957FB5A-6EA7-4ECE-9FD3-D933520A11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0" name="Elipse 10899">
          <a:extLst>
            <a:ext uri="{FF2B5EF4-FFF2-40B4-BE49-F238E27FC236}">
              <a16:creationId xmlns:a16="http://schemas.microsoft.com/office/drawing/2014/main" id="{CA1AF061-06A1-4F98-AD3A-EC7310B97B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1" name="Elipse 10900">
          <a:extLst>
            <a:ext uri="{FF2B5EF4-FFF2-40B4-BE49-F238E27FC236}">
              <a16:creationId xmlns:a16="http://schemas.microsoft.com/office/drawing/2014/main" id="{D7A8CB42-1CC6-471D-9A12-4216A91DE9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2" name="Elipse 10901">
          <a:extLst>
            <a:ext uri="{FF2B5EF4-FFF2-40B4-BE49-F238E27FC236}">
              <a16:creationId xmlns:a16="http://schemas.microsoft.com/office/drawing/2014/main" id="{14A87663-0CC6-477D-9538-2784A86E18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3" name="Elipse 10902">
          <a:extLst>
            <a:ext uri="{FF2B5EF4-FFF2-40B4-BE49-F238E27FC236}">
              <a16:creationId xmlns:a16="http://schemas.microsoft.com/office/drawing/2014/main" id="{1EE07104-11DE-4E54-A300-2188F37812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4" name="Elipse 10903">
          <a:extLst>
            <a:ext uri="{FF2B5EF4-FFF2-40B4-BE49-F238E27FC236}">
              <a16:creationId xmlns:a16="http://schemas.microsoft.com/office/drawing/2014/main" id="{5CA1822D-BEF2-4DFF-966D-1D0025168B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5" name="Elipse 10904">
          <a:extLst>
            <a:ext uri="{FF2B5EF4-FFF2-40B4-BE49-F238E27FC236}">
              <a16:creationId xmlns:a16="http://schemas.microsoft.com/office/drawing/2014/main" id="{361D633E-8792-4AE3-ADD4-E68596CABC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6" name="Elipse 10905">
          <a:extLst>
            <a:ext uri="{FF2B5EF4-FFF2-40B4-BE49-F238E27FC236}">
              <a16:creationId xmlns:a16="http://schemas.microsoft.com/office/drawing/2014/main" id="{9A6198BB-895C-4668-A8E5-191C670D31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7" name="Elipse 10906">
          <a:extLst>
            <a:ext uri="{FF2B5EF4-FFF2-40B4-BE49-F238E27FC236}">
              <a16:creationId xmlns:a16="http://schemas.microsoft.com/office/drawing/2014/main" id="{92CDB8AB-11FA-4D3C-845D-09C8E155BC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8" name="Elipse 10907">
          <a:extLst>
            <a:ext uri="{FF2B5EF4-FFF2-40B4-BE49-F238E27FC236}">
              <a16:creationId xmlns:a16="http://schemas.microsoft.com/office/drawing/2014/main" id="{D902B706-C215-4FD3-A72C-21A663A04F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09" name="Elipse 10908">
          <a:extLst>
            <a:ext uri="{FF2B5EF4-FFF2-40B4-BE49-F238E27FC236}">
              <a16:creationId xmlns:a16="http://schemas.microsoft.com/office/drawing/2014/main" id="{CAAF654A-A6DF-45B8-B581-7C3B7469E4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0" name="Elipse 10909">
          <a:extLst>
            <a:ext uri="{FF2B5EF4-FFF2-40B4-BE49-F238E27FC236}">
              <a16:creationId xmlns:a16="http://schemas.microsoft.com/office/drawing/2014/main" id="{D0B0A0B7-9C02-4075-95FD-F7D9F8E44C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1" name="Elipse 10910">
          <a:extLst>
            <a:ext uri="{FF2B5EF4-FFF2-40B4-BE49-F238E27FC236}">
              <a16:creationId xmlns:a16="http://schemas.microsoft.com/office/drawing/2014/main" id="{CACF32DC-6B01-4168-B544-01CA099A63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2" name="Elipse 10911">
          <a:extLst>
            <a:ext uri="{FF2B5EF4-FFF2-40B4-BE49-F238E27FC236}">
              <a16:creationId xmlns:a16="http://schemas.microsoft.com/office/drawing/2014/main" id="{55F7C3B1-8BB9-425B-BEF2-3523DA2370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3" name="Elipse 10912">
          <a:extLst>
            <a:ext uri="{FF2B5EF4-FFF2-40B4-BE49-F238E27FC236}">
              <a16:creationId xmlns:a16="http://schemas.microsoft.com/office/drawing/2014/main" id="{87483D5B-2366-47CC-8C73-1025BFF343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4" name="Elipse 10913">
          <a:extLst>
            <a:ext uri="{FF2B5EF4-FFF2-40B4-BE49-F238E27FC236}">
              <a16:creationId xmlns:a16="http://schemas.microsoft.com/office/drawing/2014/main" id="{AE6E96E6-3CDB-44FF-8E81-66E7BF767D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5" name="Elipse 10914">
          <a:extLst>
            <a:ext uri="{FF2B5EF4-FFF2-40B4-BE49-F238E27FC236}">
              <a16:creationId xmlns:a16="http://schemas.microsoft.com/office/drawing/2014/main" id="{78494DD4-A8E9-4EE3-850F-E21F62BE0E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6" name="Elipse 10915">
          <a:extLst>
            <a:ext uri="{FF2B5EF4-FFF2-40B4-BE49-F238E27FC236}">
              <a16:creationId xmlns:a16="http://schemas.microsoft.com/office/drawing/2014/main" id="{24E8C1EA-3436-4D49-8DE6-995DFF9C94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7" name="Elipse 10916">
          <a:extLst>
            <a:ext uri="{FF2B5EF4-FFF2-40B4-BE49-F238E27FC236}">
              <a16:creationId xmlns:a16="http://schemas.microsoft.com/office/drawing/2014/main" id="{DAD560A1-642C-40D0-B692-B0BE83A902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8" name="Elipse 10917">
          <a:extLst>
            <a:ext uri="{FF2B5EF4-FFF2-40B4-BE49-F238E27FC236}">
              <a16:creationId xmlns:a16="http://schemas.microsoft.com/office/drawing/2014/main" id="{466FE325-E0AB-48BB-B2DA-1083AB2055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19" name="Elipse 10918">
          <a:extLst>
            <a:ext uri="{FF2B5EF4-FFF2-40B4-BE49-F238E27FC236}">
              <a16:creationId xmlns:a16="http://schemas.microsoft.com/office/drawing/2014/main" id="{CA9AE53D-0C03-4AB1-89EF-7BFCE7A515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0" name="Elipse 10919">
          <a:extLst>
            <a:ext uri="{FF2B5EF4-FFF2-40B4-BE49-F238E27FC236}">
              <a16:creationId xmlns:a16="http://schemas.microsoft.com/office/drawing/2014/main" id="{7CE61F40-3157-40DE-935E-483456B765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1" name="Elipse 10920">
          <a:extLst>
            <a:ext uri="{FF2B5EF4-FFF2-40B4-BE49-F238E27FC236}">
              <a16:creationId xmlns:a16="http://schemas.microsoft.com/office/drawing/2014/main" id="{2AC702A7-0BAE-4020-B004-95681DE34E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2" name="Elipse 10921">
          <a:extLst>
            <a:ext uri="{FF2B5EF4-FFF2-40B4-BE49-F238E27FC236}">
              <a16:creationId xmlns:a16="http://schemas.microsoft.com/office/drawing/2014/main" id="{9927C5E7-CB0A-4F76-BFA4-45FBA9708F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3" name="Elipse 10922">
          <a:extLst>
            <a:ext uri="{FF2B5EF4-FFF2-40B4-BE49-F238E27FC236}">
              <a16:creationId xmlns:a16="http://schemas.microsoft.com/office/drawing/2014/main" id="{2D0154BE-7C28-45B4-8051-16A5DF1BE2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4" name="Elipse 10923">
          <a:extLst>
            <a:ext uri="{FF2B5EF4-FFF2-40B4-BE49-F238E27FC236}">
              <a16:creationId xmlns:a16="http://schemas.microsoft.com/office/drawing/2014/main" id="{F17892B1-9A60-4479-A917-28045DCB17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5" name="Elipse 10924">
          <a:extLst>
            <a:ext uri="{FF2B5EF4-FFF2-40B4-BE49-F238E27FC236}">
              <a16:creationId xmlns:a16="http://schemas.microsoft.com/office/drawing/2014/main" id="{3D414AC9-6D84-4CBC-A7CD-E455DF5EEF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6" name="Elipse 10925">
          <a:extLst>
            <a:ext uri="{FF2B5EF4-FFF2-40B4-BE49-F238E27FC236}">
              <a16:creationId xmlns:a16="http://schemas.microsoft.com/office/drawing/2014/main" id="{7A107439-213B-44E6-A6D9-6E64ADFDEE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7" name="Elipse 10926">
          <a:extLst>
            <a:ext uri="{FF2B5EF4-FFF2-40B4-BE49-F238E27FC236}">
              <a16:creationId xmlns:a16="http://schemas.microsoft.com/office/drawing/2014/main" id="{A7EDFE0D-7CD4-480E-911E-56E65DC801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8" name="Elipse 10927">
          <a:extLst>
            <a:ext uri="{FF2B5EF4-FFF2-40B4-BE49-F238E27FC236}">
              <a16:creationId xmlns:a16="http://schemas.microsoft.com/office/drawing/2014/main" id="{874E1F93-6B17-4815-A538-FA6C2FD807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29" name="Elipse 10928">
          <a:extLst>
            <a:ext uri="{FF2B5EF4-FFF2-40B4-BE49-F238E27FC236}">
              <a16:creationId xmlns:a16="http://schemas.microsoft.com/office/drawing/2014/main" id="{DF783597-F428-4F45-B425-1E53B725FC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0" name="Elipse 10929">
          <a:extLst>
            <a:ext uri="{FF2B5EF4-FFF2-40B4-BE49-F238E27FC236}">
              <a16:creationId xmlns:a16="http://schemas.microsoft.com/office/drawing/2014/main" id="{A52FB9B4-8970-41EB-B8E6-7F70F9E1F5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1" name="Elipse 10930">
          <a:extLst>
            <a:ext uri="{FF2B5EF4-FFF2-40B4-BE49-F238E27FC236}">
              <a16:creationId xmlns:a16="http://schemas.microsoft.com/office/drawing/2014/main" id="{16949051-7666-4A8C-99A6-CADCCA1E53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2" name="Elipse 10931">
          <a:extLst>
            <a:ext uri="{FF2B5EF4-FFF2-40B4-BE49-F238E27FC236}">
              <a16:creationId xmlns:a16="http://schemas.microsoft.com/office/drawing/2014/main" id="{E281DC30-7984-4796-97AD-C5A9DB436B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3" name="Elipse 10932">
          <a:extLst>
            <a:ext uri="{FF2B5EF4-FFF2-40B4-BE49-F238E27FC236}">
              <a16:creationId xmlns:a16="http://schemas.microsoft.com/office/drawing/2014/main" id="{A1F9B405-65F7-4B92-89CE-2BDE9C7EE1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4" name="Elipse 10933">
          <a:extLst>
            <a:ext uri="{FF2B5EF4-FFF2-40B4-BE49-F238E27FC236}">
              <a16:creationId xmlns:a16="http://schemas.microsoft.com/office/drawing/2014/main" id="{06BF9BC0-2256-43D6-8ED3-2A1FE4D45D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5" name="Elipse 10934">
          <a:extLst>
            <a:ext uri="{FF2B5EF4-FFF2-40B4-BE49-F238E27FC236}">
              <a16:creationId xmlns:a16="http://schemas.microsoft.com/office/drawing/2014/main" id="{E630AE16-1014-4E9F-AD29-C5D118E69D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6" name="Elipse 10935">
          <a:extLst>
            <a:ext uri="{FF2B5EF4-FFF2-40B4-BE49-F238E27FC236}">
              <a16:creationId xmlns:a16="http://schemas.microsoft.com/office/drawing/2014/main" id="{4A667BD3-CCF7-4824-9696-952C6D91C8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7" name="Elipse 10936">
          <a:extLst>
            <a:ext uri="{FF2B5EF4-FFF2-40B4-BE49-F238E27FC236}">
              <a16:creationId xmlns:a16="http://schemas.microsoft.com/office/drawing/2014/main" id="{ECA4FB3D-8C09-4705-BD2E-292030076B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8" name="Elipse 10937">
          <a:extLst>
            <a:ext uri="{FF2B5EF4-FFF2-40B4-BE49-F238E27FC236}">
              <a16:creationId xmlns:a16="http://schemas.microsoft.com/office/drawing/2014/main" id="{2A36CF4C-2859-4B26-9F5E-49852A677F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39" name="Elipse 10938">
          <a:extLst>
            <a:ext uri="{FF2B5EF4-FFF2-40B4-BE49-F238E27FC236}">
              <a16:creationId xmlns:a16="http://schemas.microsoft.com/office/drawing/2014/main" id="{467D10D9-6204-47BD-BFB6-581378A070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0" name="Elipse 10939">
          <a:extLst>
            <a:ext uri="{FF2B5EF4-FFF2-40B4-BE49-F238E27FC236}">
              <a16:creationId xmlns:a16="http://schemas.microsoft.com/office/drawing/2014/main" id="{B2CC6982-76EB-4ADD-A4A4-E3F134EBF8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1" name="Elipse 10940">
          <a:extLst>
            <a:ext uri="{FF2B5EF4-FFF2-40B4-BE49-F238E27FC236}">
              <a16:creationId xmlns:a16="http://schemas.microsoft.com/office/drawing/2014/main" id="{4A2E6437-9081-4722-A980-D7F6827C0B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2" name="Elipse 10941">
          <a:extLst>
            <a:ext uri="{FF2B5EF4-FFF2-40B4-BE49-F238E27FC236}">
              <a16:creationId xmlns:a16="http://schemas.microsoft.com/office/drawing/2014/main" id="{61AEEF0F-D853-48F6-A119-5D49E08B31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3" name="Elipse 10942">
          <a:extLst>
            <a:ext uri="{FF2B5EF4-FFF2-40B4-BE49-F238E27FC236}">
              <a16:creationId xmlns:a16="http://schemas.microsoft.com/office/drawing/2014/main" id="{7AB7970E-23A7-41B0-98BE-47342EB714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4" name="Elipse 10943">
          <a:extLst>
            <a:ext uri="{FF2B5EF4-FFF2-40B4-BE49-F238E27FC236}">
              <a16:creationId xmlns:a16="http://schemas.microsoft.com/office/drawing/2014/main" id="{F7180FEB-6178-4784-BB1E-109A43D3A1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5" name="Elipse 10944">
          <a:extLst>
            <a:ext uri="{FF2B5EF4-FFF2-40B4-BE49-F238E27FC236}">
              <a16:creationId xmlns:a16="http://schemas.microsoft.com/office/drawing/2014/main" id="{62CAC2A6-DF21-4A31-B69E-4E42F4961E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6" name="Elipse 10945">
          <a:extLst>
            <a:ext uri="{FF2B5EF4-FFF2-40B4-BE49-F238E27FC236}">
              <a16:creationId xmlns:a16="http://schemas.microsoft.com/office/drawing/2014/main" id="{03925FC8-FEA0-485D-AFFA-FA1562A8A7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7" name="Elipse 10946">
          <a:extLst>
            <a:ext uri="{FF2B5EF4-FFF2-40B4-BE49-F238E27FC236}">
              <a16:creationId xmlns:a16="http://schemas.microsoft.com/office/drawing/2014/main" id="{40B4A8C8-7D9E-476F-B7EA-E3244B005A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8" name="Elipse 10947">
          <a:extLst>
            <a:ext uri="{FF2B5EF4-FFF2-40B4-BE49-F238E27FC236}">
              <a16:creationId xmlns:a16="http://schemas.microsoft.com/office/drawing/2014/main" id="{DE363894-0549-4AD7-9E44-0B223B572E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49" name="Elipse 10948">
          <a:extLst>
            <a:ext uri="{FF2B5EF4-FFF2-40B4-BE49-F238E27FC236}">
              <a16:creationId xmlns:a16="http://schemas.microsoft.com/office/drawing/2014/main" id="{F5F8B65A-A52E-4583-A94D-1C133BC545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0" name="Elipse 10949">
          <a:extLst>
            <a:ext uri="{FF2B5EF4-FFF2-40B4-BE49-F238E27FC236}">
              <a16:creationId xmlns:a16="http://schemas.microsoft.com/office/drawing/2014/main" id="{F5EF08DD-5DEB-4222-B8FD-3702DA34C4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1" name="Elipse 10950">
          <a:extLst>
            <a:ext uri="{FF2B5EF4-FFF2-40B4-BE49-F238E27FC236}">
              <a16:creationId xmlns:a16="http://schemas.microsoft.com/office/drawing/2014/main" id="{13C26780-BA19-4066-AE52-9BC06C99D9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2" name="Elipse 10951">
          <a:extLst>
            <a:ext uri="{FF2B5EF4-FFF2-40B4-BE49-F238E27FC236}">
              <a16:creationId xmlns:a16="http://schemas.microsoft.com/office/drawing/2014/main" id="{AB043A49-499A-4692-8FFE-C4D8BF65B3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3" name="Elipse 10952">
          <a:extLst>
            <a:ext uri="{FF2B5EF4-FFF2-40B4-BE49-F238E27FC236}">
              <a16:creationId xmlns:a16="http://schemas.microsoft.com/office/drawing/2014/main" id="{2F73F925-47A6-44E0-B5D7-90E7B4D217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4" name="Elipse 10953">
          <a:extLst>
            <a:ext uri="{FF2B5EF4-FFF2-40B4-BE49-F238E27FC236}">
              <a16:creationId xmlns:a16="http://schemas.microsoft.com/office/drawing/2014/main" id="{73672454-A508-4F67-BF1E-15E3A1C439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5" name="Elipse 10954">
          <a:extLst>
            <a:ext uri="{FF2B5EF4-FFF2-40B4-BE49-F238E27FC236}">
              <a16:creationId xmlns:a16="http://schemas.microsoft.com/office/drawing/2014/main" id="{53F68C3C-E70A-46A3-A8D6-150B857CAA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6" name="Elipse 10955">
          <a:extLst>
            <a:ext uri="{FF2B5EF4-FFF2-40B4-BE49-F238E27FC236}">
              <a16:creationId xmlns:a16="http://schemas.microsoft.com/office/drawing/2014/main" id="{FB26F131-3B39-4C02-AA5B-B976D323ED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7" name="Elipse 10956">
          <a:extLst>
            <a:ext uri="{FF2B5EF4-FFF2-40B4-BE49-F238E27FC236}">
              <a16:creationId xmlns:a16="http://schemas.microsoft.com/office/drawing/2014/main" id="{928B6A25-39F9-4974-BAAF-60AFF830D5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8" name="Elipse 10957">
          <a:extLst>
            <a:ext uri="{FF2B5EF4-FFF2-40B4-BE49-F238E27FC236}">
              <a16:creationId xmlns:a16="http://schemas.microsoft.com/office/drawing/2014/main" id="{D353DB9A-3F0F-4EC8-B824-5F20373CE7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59" name="Elipse 10958">
          <a:extLst>
            <a:ext uri="{FF2B5EF4-FFF2-40B4-BE49-F238E27FC236}">
              <a16:creationId xmlns:a16="http://schemas.microsoft.com/office/drawing/2014/main" id="{A6597ADF-B172-4B23-A962-DB044235C7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0" name="Elipse 10959">
          <a:extLst>
            <a:ext uri="{FF2B5EF4-FFF2-40B4-BE49-F238E27FC236}">
              <a16:creationId xmlns:a16="http://schemas.microsoft.com/office/drawing/2014/main" id="{6F92E598-5F28-4A32-8743-EEFC57E114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1" name="Elipse 10960">
          <a:extLst>
            <a:ext uri="{FF2B5EF4-FFF2-40B4-BE49-F238E27FC236}">
              <a16:creationId xmlns:a16="http://schemas.microsoft.com/office/drawing/2014/main" id="{CE3D0C47-85B7-4790-AC0C-F97B9EAA77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2" name="Elipse 10961">
          <a:extLst>
            <a:ext uri="{FF2B5EF4-FFF2-40B4-BE49-F238E27FC236}">
              <a16:creationId xmlns:a16="http://schemas.microsoft.com/office/drawing/2014/main" id="{9BC9A308-0F7E-4783-9E9C-C639C6CFB8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3" name="Elipse 10962">
          <a:extLst>
            <a:ext uri="{FF2B5EF4-FFF2-40B4-BE49-F238E27FC236}">
              <a16:creationId xmlns:a16="http://schemas.microsoft.com/office/drawing/2014/main" id="{712B1ACA-D085-4EE8-9C5A-F5C4A59EC4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4" name="Elipse 10963">
          <a:extLst>
            <a:ext uri="{FF2B5EF4-FFF2-40B4-BE49-F238E27FC236}">
              <a16:creationId xmlns:a16="http://schemas.microsoft.com/office/drawing/2014/main" id="{9C230F7A-D2E9-458C-A72C-AA1A0CB5FA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5" name="Elipse 10964">
          <a:extLst>
            <a:ext uri="{FF2B5EF4-FFF2-40B4-BE49-F238E27FC236}">
              <a16:creationId xmlns:a16="http://schemas.microsoft.com/office/drawing/2014/main" id="{757436EC-D8EA-415B-9763-5D9BC86771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6" name="Elipse 10965">
          <a:extLst>
            <a:ext uri="{FF2B5EF4-FFF2-40B4-BE49-F238E27FC236}">
              <a16:creationId xmlns:a16="http://schemas.microsoft.com/office/drawing/2014/main" id="{8FC934D8-47F1-421B-9140-3AED3893D1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7" name="Elipse 10966">
          <a:extLst>
            <a:ext uri="{FF2B5EF4-FFF2-40B4-BE49-F238E27FC236}">
              <a16:creationId xmlns:a16="http://schemas.microsoft.com/office/drawing/2014/main" id="{533AA214-B854-479D-A099-429720AFCC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8" name="Elipse 10967">
          <a:extLst>
            <a:ext uri="{FF2B5EF4-FFF2-40B4-BE49-F238E27FC236}">
              <a16:creationId xmlns:a16="http://schemas.microsoft.com/office/drawing/2014/main" id="{FC324048-BEAB-45D3-8F19-216CB2E8B3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69" name="Elipse 10968">
          <a:extLst>
            <a:ext uri="{FF2B5EF4-FFF2-40B4-BE49-F238E27FC236}">
              <a16:creationId xmlns:a16="http://schemas.microsoft.com/office/drawing/2014/main" id="{2EB99F87-E11F-401C-872E-BAEB9032D5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0" name="Elipse 10969">
          <a:extLst>
            <a:ext uri="{FF2B5EF4-FFF2-40B4-BE49-F238E27FC236}">
              <a16:creationId xmlns:a16="http://schemas.microsoft.com/office/drawing/2014/main" id="{5321802B-4559-4F41-B80B-4512ABB3E5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1" name="Elipse 10970">
          <a:extLst>
            <a:ext uri="{FF2B5EF4-FFF2-40B4-BE49-F238E27FC236}">
              <a16:creationId xmlns:a16="http://schemas.microsoft.com/office/drawing/2014/main" id="{3E5ED925-B6C8-4BD3-A86B-55FBB3ACF1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2" name="Elipse 10971">
          <a:extLst>
            <a:ext uri="{FF2B5EF4-FFF2-40B4-BE49-F238E27FC236}">
              <a16:creationId xmlns:a16="http://schemas.microsoft.com/office/drawing/2014/main" id="{7545A4B1-5AEC-4538-959F-4EC48AA0F5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3" name="Elipse 10972">
          <a:extLst>
            <a:ext uri="{FF2B5EF4-FFF2-40B4-BE49-F238E27FC236}">
              <a16:creationId xmlns:a16="http://schemas.microsoft.com/office/drawing/2014/main" id="{F7A553EA-E112-4F2E-9752-70FF064885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4" name="Elipse 10973">
          <a:extLst>
            <a:ext uri="{FF2B5EF4-FFF2-40B4-BE49-F238E27FC236}">
              <a16:creationId xmlns:a16="http://schemas.microsoft.com/office/drawing/2014/main" id="{28CEB744-4006-449E-8CB9-0EDD9F1B56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5" name="Elipse 10974">
          <a:extLst>
            <a:ext uri="{FF2B5EF4-FFF2-40B4-BE49-F238E27FC236}">
              <a16:creationId xmlns:a16="http://schemas.microsoft.com/office/drawing/2014/main" id="{949A6D7D-1788-46EE-8DC6-931CCF482B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6" name="Elipse 10975">
          <a:extLst>
            <a:ext uri="{FF2B5EF4-FFF2-40B4-BE49-F238E27FC236}">
              <a16:creationId xmlns:a16="http://schemas.microsoft.com/office/drawing/2014/main" id="{4FC70936-14CA-4858-A512-19F210806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7" name="Elipse 10976">
          <a:extLst>
            <a:ext uri="{FF2B5EF4-FFF2-40B4-BE49-F238E27FC236}">
              <a16:creationId xmlns:a16="http://schemas.microsoft.com/office/drawing/2014/main" id="{6654CF7A-4B06-4541-A4F2-619302BAB1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8" name="Elipse 10977">
          <a:extLst>
            <a:ext uri="{FF2B5EF4-FFF2-40B4-BE49-F238E27FC236}">
              <a16:creationId xmlns:a16="http://schemas.microsoft.com/office/drawing/2014/main" id="{63D175D7-2C90-4CA0-A86E-E753C2FB7D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79" name="Elipse 10978">
          <a:extLst>
            <a:ext uri="{FF2B5EF4-FFF2-40B4-BE49-F238E27FC236}">
              <a16:creationId xmlns:a16="http://schemas.microsoft.com/office/drawing/2014/main" id="{77073A68-A718-4650-9DE4-1E0D058D5E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0" name="Elipse 10979">
          <a:extLst>
            <a:ext uri="{FF2B5EF4-FFF2-40B4-BE49-F238E27FC236}">
              <a16:creationId xmlns:a16="http://schemas.microsoft.com/office/drawing/2014/main" id="{9CA088DE-C50E-4113-A3A6-E27618F983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1" name="Elipse 10980">
          <a:extLst>
            <a:ext uri="{FF2B5EF4-FFF2-40B4-BE49-F238E27FC236}">
              <a16:creationId xmlns:a16="http://schemas.microsoft.com/office/drawing/2014/main" id="{7FA25A03-EE23-4D39-837A-A26DF48342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2" name="Elipse 10981">
          <a:extLst>
            <a:ext uri="{FF2B5EF4-FFF2-40B4-BE49-F238E27FC236}">
              <a16:creationId xmlns:a16="http://schemas.microsoft.com/office/drawing/2014/main" id="{77EB0E0C-C3B3-42A2-B4F0-A647A25B44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3" name="Elipse 10982">
          <a:extLst>
            <a:ext uri="{FF2B5EF4-FFF2-40B4-BE49-F238E27FC236}">
              <a16:creationId xmlns:a16="http://schemas.microsoft.com/office/drawing/2014/main" id="{B31D1D93-58F1-4CC6-9AA9-0B03CCB0BB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4" name="Elipse 10983">
          <a:extLst>
            <a:ext uri="{FF2B5EF4-FFF2-40B4-BE49-F238E27FC236}">
              <a16:creationId xmlns:a16="http://schemas.microsoft.com/office/drawing/2014/main" id="{C0982A0C-A2B6-4305-9462-631D1E34D7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5" name="Elipse 10984">
          <a:extLst>
            <a:ext uri="{FF2B5EF4-FFF2-40B4-BE49-F238E27FC236}">
              <a16:creationId xmlns:a16="http://schemas.microsoft.com/office/drawing/2014/main" id="{E16D11EF-53E2-4596-9606-9682FFFF04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6" name="Elipse 10985">
          <a:extLst>
            <a:ext uri="{FF2B5EF4-FFF2-40B4-BE49-F238E27FC236}">
              <a16:creationId xmlns:a16="http://schemas.microsoft.com/office/drawing/2014/main" id="{BE5CEE87-7D87-4FD6-8246-4D83D33DB8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7" name="Elipse 10986">
          <a:extLst>
            <a:ext uri="{FF2B5EF4-FFF2-40B4-BE49-F238E27FC236}">
              <a16:creationId xmlns:a16="http://schemas.microsoft.com/office/drawing/2014/main" id="{F068F71A-DABE-42DD-A8D4-74F8D34D36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8" name="Elipse 10987">
          <a:extLst>
            <a:ext uri="{FF2B5EF4-FFF2-40B4-BE49-F238E27FC236}">
              <a16:creationId xmlns:a16="http://schemas.microsoft.com/office/drawing/2014/main" id="{40C53F39-293C-4BDC-AD11-71D1142646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89" name="Elipse 10988">
          <a:extLst>
            <a:ext uri="{FF2B5EF4-FFF2-40B4-BE49-F238E27FC236}">
              <a16:creationId xmlns:a16="http://schemas.microsoft.com/office/drawing/2014/main" id="{D1A7D97D-B0F0-4DCD-98A9-D51114D0F1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0" name="Elipse 10989">
          <a:extLst>
            <a:ext uri="{FF2B5EF4-FFF2-40B4-BE49-F238E27FC236}">
              <a16:creationId xmlns:a16="http://schemas.microsoft.com/office/drawing/2014/main" id="{D373C9E7-655B-42F6-BF0E-C27FBDD34A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1" name="Elipse 10990">
          <a:extLst>
            <a:ext uri="{FF2B5EF4-FFF2-40B4-BE49-F238E27FC236}">
              <a16:creationId xmlns:a16="http://schemas.microsoft.com/office/drawing/2014/main" id="{706BBD9D-F0C7-452E-A590-3FD658F7BF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2" name="Elipse 10991">
          <a:extLst>
            <a:ext uri="{FF2B5EF4-FFF2-40B4-BE49-F238E27FC236}">
              <a16:creationId xmlns:a16="http://schemas.microsoft.com/office/drawing/2014/main" id="{4E83A51D-69FC-4356-9105-DEB1FFF190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3" name="Elipse 10992">
          <a:extLst>
            <a:ext uri="{FF2B5EF4-FFF2-40B4-BE49-F238E27FC236}">
              <a16:creationId xmlns:a16="http://schemas.microsoft.com/office/drawing/2014/main" id="{AF7744B7-DFC8-43DC-B77E-94BDE483E9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4" name="Elipse 10993">
          <a:extLst>
            <a:ext uri="{FF2B5EF4-FFF2-40B4-BE49-F238E27FC236}">
              <a16:creationId xmlns:a16="http://schemas.microsoft.com/office/drawing/2014/main" id="{64AA3500-5849-468D-86DF-8D2B800ADD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5" name="Elipse 10994">
          <a:extLst>
            <a:ext uri="{FF2B5EF4-FFF2-40B4-BE49-F238E27FC236}">
              <a16:creationId xmlns:a16="http://schemas.microsoft.com/office/drawing/2014/main" id="{968232B3-2D43-401E-9511-2EF995D742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6" name="Elipse 10995">
          <a:extLst>
            <a:ext uri="{FF2B5EF4-FFF2-40B4-BE49-F238E27FC236}">
              <a16:creationId xmlns:a16="http://schemas.microsoft.com/office/drawing/2014/main" id="{4070D134-E691-4422-9A2E-C8DA12091D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7" name="Elipse 10996">
          <a:extLst>
            <a:ext uri="{FF2B5EF4-FFF2-40B4-BE49-F238E27FC236}">
              <a16:creationId xmlns:a16="http://schemas.microsoft.com/office/drawing/2014/main" id="{6F81623C-288F-4C8D-9909-C31713A471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8" name="Elipse 10997">
          <a:extLst>
            <a:ext uri="{FF2B5EF4-FFF2-40B4-BE49-F238E27FC236}">
              <a16:creationId xmlns:a16="http://schemas.microsoft.com/office/drawing/2014/main" id="{2CEE16B7-8616-45B2-9EAE-C6F5EA1763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999" name="Elipse 10998">
          <a:extLst>
            <a:ext uri="{FF2B5EF4-FFF2-40B4-BE49-F238E27FC236}">
              <a16:creationId xmlns:a16="http://schemas.microsoft.com/office/drawing/2014/main" id="{11A74AC1-2C84-413C-9EE9-6F8FFE235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0" name="Elipse 10999">
          <a:extLst>
            <a:ext uri="{FF2B5EF4-FFF2-40B4-BE49-F238E27FC236}">
              <a16:creationId xmlns:a16="http://schemas.microsoft.com/office/drawing/2014/main" id="{8F38C371-E012-4C50-955A-00C450E893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1" name="Elipse 11000">
          <a:extLst>
            <a:ext uri="{FF2B5EF4-FFF2-40B4-BE49-F238E27FC236}">
              <a16:creationId xmlns:a16="http://schemas.microsoft.com/office/drawing/2014/main" id="{46119A5F-717A-41D0-AC09-8E8EC02463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2" name="Elipse 11001">
          <a:extLst>
            <a:ext uri="{FF2B5EF4-FFF2-40B4-BE49-F238E27FC236}">
              <a16:creationId xmlns:a16="http://schemas.microsoft.com/office/drawing/2014/main" id="{C3C8F9EF-1310-4A07-B108-9ABBBD945B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3" name="Elipse 11002">
          <a:extLst>
            <a:ext uri="{FF2B5EF4-FFF2-40B4-BE49-F238E27FC236}">
              <a16:creationId xmlns:a16="http://schemas.microsoft.com/office/drawing/2014/main" id="{61EDB013-99BA-4B8B-8DBD-366C854D57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4" name="Elipse 11003">
          <a:extLst>
            <a:ext uri="{FF2B5EF4-FFF2-40B4-BE49-F238E27FC236}">
              <a16:creationId xmlns:a16="http://schemas.microsoft.com/office/drawing/2014/main" id="{BD076A0C-C728-4A82-9834-0D08BE233D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5" name="Elipse 11004">
          <a:extLst>
            <a:ext uri="{FF2B5EF4-FFF2-40B4-BE49-F238E27FC236}">
              <a16:creationId xmlns:a16="http://schemas.microsoft.com/office/drawing/2014/main" id="{06AF563D-CD6D-4AAB-BEA4-F9227B3C4B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6" name="Elipse 11005">
          <a:extLst>
            <a:ext uri="{FF2B5EF4-FFF2-40B4-BE49-F238E27FC236}">
              <a16:creationId xmlns:a16="http://schemas.microsoft.com/office/drawing/2014/main" id="{6F9FB4ED-75AA-4E73-A26A-9B8FCC2757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7" name="Elipse 11006">
          <a:extLst>
            <a:ext uri="{FF2B5EF4-FFF2-40B4-BE49-F238E27FC236}">
              <a16:creationId xmlns:a16="http://schemas.microsoft.com/office/drawing/2014/main" id="{40996243-2417-4911-AAEF-1913758C39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8" name="Elipse 11007">
          <a:extLst>
            <a:ext uri="{FF2B5EF4-FFF2-40B4-BE49-F238E27FC236}">
              <a16:creationId xmlns:a16="http://schemas.microsoft.com/office/drawing/2014/main" id="{463AC747-3E15-4467-9903-86C5497FCE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09" name="Elipse 11008">
          <a:extLst>
            <a:ext uri="{FF2B5EF4-FFF2-40B4-BE49-F238E27FC236}">
              <a16:creationId xmlns:a16="http://schemas.microsoft.com/office/drawing/2014/main" id="{08E904B0-5654-4E07-8FC4-68A611AC81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0" name="Elipse 11009">
          <a:extLst>
            <a:ext uri="{FF2B5EF4-FFF2-40B4-BE49-F238E27FC236}">
              <a16:creationId xmlns:a16="http://schemas.microsoft.com/office/drawing/2014/main" id="{9EFB718F-6BB7-4CEC-8690-E111DB09B0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1" name="Elipse 11010">
          <a:extLst>
            <a:ext uri="{FF2B5EF4-FFF2-40B4-BE49-F238E27FC236}">
              <a16:creationId xmlns:a16="http://schemas.microsoft.com/office/drawing/2014/main" id="{A50D1641-F273-4FB9-A90B-0B9066D20C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2" name="Elipse 11011">
          <a:extLst>
            <a:ext uri="{FF2B5EF4-FFF2-40B4-BE49-F238E27FC236}">
              <a16:creationId xmlns:a16="http://schemas.microsoft.com/office/drawing/2014/main" id="{2CC7F845-20C1-453C-966C-BFE3F1EF1A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3" name="Elipse 11012">
          <a:extLst>
            <a:ext uri="{FF2B5EF4-FFF2-40B4-BE49-F238E27FC236}">
              <a16:creationId xmlns:a16="http://schemas.microsoft.com/office/drawing/2014/main" id="{C9D40958-D2B1-42FC-928E-2D942C12C9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4" name="Elipse 11013">
          <a:extLst>
            <a:ext uri="{FF2B5EF4-FFF2-40B4-BE49-F238E27FC236}">
              <a16:creationId xmlns:a16="http://schemas.microsoft.com/office/drawing/2014/main" id="{BC600441-1B30-49A7-97FB-41D5F4BD67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5" name="Elipse 11014">
          <a:extLst>
            <a:ext uri="{FF2B5EF4-FFF2-40B4-BE49-F238E27FC236}">
              <a16:creationId xmlns:a16="http://schemas.microsoft.com/office/drawing/2014/main" id="{699B2168-3C7E-40DA-93B8-789CE2738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6" name="Elipse 11015">
          <a:extLst>
            <a:ext uri="{FF2B5EF4-FFF2-40B4-BE49-F238E27FC236}">
              <a16:creationId xmlns:a16="http://schemas.microsoft.com/office/drawing/2014/main" id="{17C19341-5C61-4BCA-AEC3-7AA3777212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7" name="Elipse 11016">
          <a:extLst>
            <a:ext uri="{FF2B5EF4-FFF2-40B4-BE49-F238E27FC236}">
              <a16:creationId xmlns:a16="http://schemas.microsoft.com/office/drawing/2014/main" id="{B84815AA-C097-4CC6-9BF5-64FE372417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8" name="Elipse 11017">
          <a:extLst>
            <a:ext uri="{FF2B5EF4-FFF2-40B4-BE49-F238E27FC236}">
              <a16:creationId xmlns:a16="http://schemas.microsoft.com/office/drawing/2014/main" id="{50E49D4B-1DD9-497F-94AC-2839A7D346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19" name="Elipse 11018">
          <a:extLst>
            <a:ext uri="{FF2B5EF4-FFF2-40B4-BE49-F238E27FC236}">
              <a16:creationId xmlns:a16="http://schemas.microsoft.com/office/drawing/2014/main" id="{53431E13-C2A7-46D4-ADB0-2207B93C79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0" name="Elipse 11019">
          <a:extLst>
            <a:ext uri="{FF2B5EF4-FFF2-40B4-BE49-F238E27FC236}">
              <a16:creationId xmlns:a16="http://schemas.microsoft.com/office/drawing/2014/main" id="{79B53132-A2E3-419B-B9C0-EA7D4AD589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1" name="Elipse 11020">
          <a:extLst>
            <a:ext uri="{FF2B5EF4-FFF2-40B4-BE49-F238E27FC236}">
              <a16:creationId xmlns:a16="http://schemas.microsoft.com/office/drawing/2014/main" id="{1CEBFA25-9161-4ECC-832C-E53F34ADC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2" name="Elipse 11021">
          <a:extLst>
            <a:ext uri="{FF2B5EF4-FFF2-40B4-BE49-F238E27FC236}">
              <a16:creationId xmlns:a16="http://schemas.microsoft.com/office/drawing/2014/main" id="{A259B166-E4E7-48AF-868B-19B0EAFE04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3" name="Elipse 11022">
          <a:extLst>
            <a:ext uri="{FF2B5EF4-FFF2-40B4-BE49-F238E27FC236}">
              <a16:creationId xmlns:a16="http://schemas.microsoft.com/office/drawing/2014/main" id="{EF42C803-C53B-4FC5-9BE4-8E8AA7048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4" name="Elipse 11023">
          <a:extLst>
            <a:ext uri="{FF2B5EF4-FFF2-40B4-BE49-F238E27FC236}">
              <a16:creationId xmlns:a16="http://schemas.microsoft.com/office/drawing/2014/main" id="{C7B3A7B4-2E14-4B17-85C0-3AB65B0DEF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5" name="Elipse 11024">
          <a:extLst>
            <a:ext uri="{FF2B5EF4-FFF2-40B4-BE49-F238E27FC236}">
              <a16:creationId xmlns:a16="http://schemas.microsoft.com/office/drawing/2014/main" id="{5EBBB477-3A42-45CA-BAFC-852208712C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6" name="Elipse 11025">
          <a:extLst>
            <a:ext uri="{FF2B5EF4-FFF2-40B4-BE49-F238E27FC236}">
              <a16:creationId xmlns:a16="http://schemas.microsoft.com/office/drawing/2014/main" id="{7C654A29-3A47-4EF0-BCEB-E57DFCC8B2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7" name="Elipse 11026">
          <a:extLst>
            <a:ext uri="{FF2B5EF4-FFF2-40B4-BE49-F238E27FC236}">
              <a16:creationId xmlns:a16="http://schemas.microsoft.com/office/drawing/2014/main" id="{CECA5017-73C5-4738-9C72-CAADC26E40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8" name="Elipse 11027">
          <a:extLst>
            <a:ext uri="{FF2B5EF4-FFF2-40B4-BE49-F238E27FC236}">
              <a16:creationId xmlns:a16="http://schemas.microsoft.com/office/drawing/2014/main" id="{AC791711-F9B9-4E20-BC04-9BEB55C977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29" name="Elipse 11028">
          <a:extLst>
            <a:ext uri="{FF2B5EF4-FFF2-40B4-BE49-F238E27FC236}">
              <a16:creationId xmlns:a16="http://schemas.microsoft.com/office/drawing/2014/main" id="{28774FB9-1AF9-4916-83FD-D863E422C5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0" name="Elipse 11029">
          <a:extLst>
            <a:ext uri="{FF2B5EF4-FFF2-40B4-BE49-F238E27FC236}">
              <a16:creationId xmlns:a16="http://schemas.microsoft.com/office/drawing/2014/main" id="{B76C8420-2A25-4D05-B781-76A5658BFF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1" name="Elipse 11030">
          <a:extLst>
            <a:ext uri="{FF2B5EF4-FFF2-40B4-BE49-F238E27FC236}">
              <a16:creationId xmlns:a16="http://schemas.microsoft.com/office/drawing/2014/main" id="{EF01BAF0-349C-487E-A420-D8B5FE2BB5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2" name="Elipse 11031">
          <a:extLst>
            <a:ext uri="{FF2B5EF4-FFF2-40B4-BE49-F238E27FC236}">
              <a16:creationId xmlns:a16="http://schemas.microsoft.com/office/drawing/2014/main" id="{948BC0F6-6AC8-49C5-8C58-6463D3D1AC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3" name="Elipse 11032">
          <a:extLst>
            <a:ext uri="{FF2B5EF4-FFF2-40B4-BE49-F238E27FC236}">
              <a16:creationId xmlns:a16="http://schemas.microsoft.com/office/drawing/2014/main" id="{002E1A65-A8F7-473F-9356-6E509D5B55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4" name="Elipse 11033">
          <a:extLst>
            <a:ext uri="{FF2B5EF4-FFF2-40B4-BE49-F238E27FC236}">
              <a16:creationId xmlns:a16="http://schemas.microsoft.com/office/drawing/2014/main" id="{78E8F7A5-82FB-4CE5-A531-03C092497D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5" name="Elipse 11034">
          <a:extLst>
            <a:ext uri="{FF2B5EF4-FFF2-40B4-BE49-F238E27FC236}">
              <a16:creationId xmlns:a16="http://schemas.microsoft.com/office/drawing/2014/main" id="{8740AAF5-DC76-4EBE-B055-725A564E87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6" name="Elipse 11035">
          <a:extLst>
            <a:ext uri="{FF2B5EF4-FFF2-40B4-BE49-F238E27FC236}">
              <a16:creationId xmlns:a16="http://schemas.microsoft.com/office/drawing/2014/main" id="{270D4603-1F15-49D3-8892-9EA9E0FA5F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7" name="Elipse 11036">
          <a:extLst>
            <a:ext uri="{FF2B5EF4-FFF2-40B4-BE49-F238E27FC236}">
              <a16:creationId xmlns:a16="http://schemas.microsoft.com/office/drawing/2014/main" id="{2AC0A7FD-9039-41A1-9368-073C716D2D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8" name="Elipse 11037">
          <a:extLst>
            <a:ext uri="{FF2B5EF4-FFF2-40B4-BE49-F238E27FC236}">
              <a16:creationId xmlns:a16="http://schemas.microsoft.com/office/drawing/2014/main" id="{A58F04FF-3B1E-4168-A75A-FE0328A302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39" name="Elipse 11038">
          <a:extLst>
            <a:ext uri="{FF2B5EF4-FFF2-40B4-BE49-F238E27FC236}">
              <a16:creationId xmlns:a16="http://schemas.microsoft.com/office/drawing/2014/main" id="{FA2F9158-8038-4942-8C36-5D929FFC2A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0" name="Elipse 11039">
          <a:extLst>
            <a:ext uri="{FF2B5EF4-FFF2-40B4-BE49-F238E27FC236}">
              <a16:creationId xmlns:a16="http://schemas.microsoft.com/office/drawing/2014/main" id="{B5A3E4D3-1667-4118-9336-35DCC7E67E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1" name="Elipse 11040">
          <a:extLst>
            <a:ext uri="{FF2B5EF4-FFF2-40B4-BE49-F238E27FC236}">
              <a16:creationId xmlns:a16="http://schemas.microsoft.com/office/drawing/2014/main" id="{25126945-D5B4-4D28-954D-FEF2ADC316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2" name="Elipse 11041">
          <a:extLst>
            <a:ext uri="{FF2B5EF4-FFF2-40B4-BE49-F238E27FC236}">
              <a16:creationId xmlns:a16="http://schemas.microsoft.com/office/drawing/2014/main" id="{5A9EA739-0AAC-42C3-BCEA-9ED3A0170E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3" name="Elipse 11042">
          <a:extLst>
            <a:ext uri="{FF2B5EF4-FFF2-40B4-BE49-F238E27FC236}">
              <a16:creationId xmlns:a16="http://schemas.microsoft.com/office/drawing/2014/main" id="{3CDCA5E3-27C2-4553-8201-00DF8FC10F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4" name="Elipse 11043">
          <a:extLst>
            <a:ext uri="{FF2B5EF4-FFF2-40B4-BE49-F238E27FC236}">
              <a16:creationId xmlns:a16="http://schemas.microsoft.com/office/drawing/2014/main" id="{BDD82C57-A6C9-49C6-B653-9548B21E9D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5" name="Elipse 11044">
          <a:extLst>
            <a:ext uri="{FF2B5EF4-FFF2-40B4-BE49-F238E27FC236}">
              <a16:creationId xmlns:a16="http://schemas.microsoft.com/office/drawing/2014/main" id="{7DAA52A3-2B65-4215-BB0D-455BA81D41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6" name="Elipse 11045">
          <a:extLst>
            <a:ext uri="{FF2B5EF4-FFF2-40B4-BE49-F238E27FC236}">
              <a16:creationId xmlns:a16="http://schemas.microsoft.com/office/drawing/2014/main" id="{416E8AA7-26F0-4FB0-A85C-21D7D54B21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7" name="Elipse 11046">
          <a:extLst>
            <a:ext uri="{FF2B5EF4-FFF2-40B4-BE49-F238E27FC236}">
              <a16:creationId xmlns:a16="http://schemas.microsoft.com/office/drawing/2014/main" id="{F597819E-0353-4540-995D-A1E6118622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8" name="Elipse 11047">
          <a:extLst>
            <a:ext uri="{FF2B5EF4-FFF2-40B4-BE49-F238E27FC236}">
              <a16:creationId xmlns:a16="http://schemas.microsoft.com/office/drawing/2014/main" id="{3BC45594-22BE-43F1-890D-F9AAF43323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49" name="Elipse 11048">
          <a:extLst>
            <a:ext uri="{FF2B5EF4-FFF2-40B4-BE49-F238E27FC236}">
              <a16:creationId xmlns:a16="http://schemas.microsoft.com/office/drawing/2014/main" id="{C48163F9-159B-424B-AEF4-3475C755E7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0" name="Elipse 11049">
          <a:extLst>
            <a:ext uri="{FF2B5EF4-FFF2-40B4-BE49-F238E27FC236}">
              <a16:creationId xmlns:a16="http://schemas.microsoft.com/office/drawing/2014/main" id="{1E5B5A1C-22FE-4290-BC09-7A368F16C7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1" name="Elipse 11050">
          <a:extLst>
            <a:ext uri="{FF2B5EF4-FFF2-40B4-BE49-F238E27FC236}">
              <a16:creationId xmlns:a16="http://schemas.microsoft.com/office/drawing/2014/main" id="{D9098A80-74EA-4330-8FC5-BAE9C55562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2" name="Elipse 11051">
          <a:extLst>
            <a:ext uri="{FF2B5EF4-FFF2-40B4-BE49-F238E27FC236}">
              <a16:creationId xmlns:a16="http://schemas.microsoft.com/office/drawing/2014/main" id="{DD3A9459-F1B0-4A3F-B4F6-37194D06EB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3" name="Elipse 11052">
          <a:extLst>
            <a:ext uri="{FF2B5EF4-FFF2-40B4-BE49-F238E27FC236}">
              <a16:creationId xmlns:a16="http://schemas.microsoft.com/office/drawing/2014/main" id="{0314814C-D206-41F1-B382-F2023EE9B0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4" name="Elipse 11053">
          <a:extLst>
            <a:ext uri="{FF2B5EF4-FFF2-40B4-BE49-F238E27FC236}">
              <a16:creationId xmlns:a16="http://schemas.microsoft.com/office/drawing/2014/main" id="{8ACA5D51-45D4-4453-AF69-CFEB2D883C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5" name="Elipse 11054">
          <a:extLst>
            <a:ext uri="{FF2B5EF4-FFF2-40B4-BE49-F238E27FC236}">
              <a16:creationId xmlns:a16="http://schemas.microsoft.com/office/drawing/2014/main" id="{1851E9B9-185B-4FDC-B42C-3A91715DDC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6" name="Elipse 11055">
          <a:extLst>
            <a:ext uri="{FF2B5EF4-FFF2-40B4-BE49-F238E27FC236}">
              <a16:creationId xmlns:a16="http://schemas.microsoft.com/office/drawing/2014/main" id="{6045131C-CF5F-4C05-95EA-E9BA637770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7" name="Elipse 11056">
          <a:extLst>
            <a:ext uri="{FF2B5EF4-FFF2-40B4-BE49-F238E27FC236}">
              <a16:creationId xmlns:a16="http://schemas.microsoft.com/office/drawing/2014/main" id="{77F09E89-E783-44C1-BEF4-8D986977D7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8" name="Elipse 11057">
          <a:extLst>
            <a:ext uri="{FF2B5EF4-FFF2-40B4-BE49-F238E27FC236}">
              <a16:creationId xmlns:a16="http://schemas.microsoft.com/office/drawing/2014/main" id="{4C777B1F-9CDC-4281-A962-FE2CD89F07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59" name="Elipse 11058">
          <a:extLst>
            <a:ext uri="{FF2B5EF4-FFF2-40B4-BE49-F238E27FC236}">
              <a16:creationId xmlns:a16="http://schemas.microsoft.com/office/drawing/2014/main" id="{C0A8FE37-E56D-48AA-84D0-10F77B32B9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0" name="Elipse 11059">
          <a:extLst>
            <a:ext uri="{FF2B5EF4-FFF2-40B4-BE49-F238E27FC236}">
              <a16:creationId xmlns:a16="http://schemas.microsoft.com/office/drawing/2014/main" id="{FF978CE2-3216-4ABD-9A24-980AE75E3A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1" name="Elipse 11060">
          <a:extLst>
            <a:ext uri="{FF2B5EF4-FFF2-40B4-BE49-F238E27FC236}">
              <a16:creationId xmlns:a16="http://schemas.microsoft.com/office/drawing/2014/main" id="{640B6212-3ECF-41B0-AB80-6953A2CF88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2" name="Elipse 11061">
          <a:extLst>
            <a:ext uri="{FF2B5EF4-FFF2-40B4-BE49-F238E27FC236}">
              <a16:creationId xmlns:a16="http://schemas.microsoft.com/office/drawing/2014/main" id="{F4F69857-7544-43C7-8FE8-A440C2FC27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3" name="Elipse 11062">
          <a:extLst>
            <a:ext uri="{FF2B5EF4-FFF2-40B4-BE49-F238E27FC236}">
              <a16:creationId xmlns:a16="http://schemas.microsoft.com/office/drawing/2014/main" id="{7075CF62-93D2-43DC-A1EA-4D2087583D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4" name="Elipse 11063">
          <a:extLst>
            <a:ext uri="{FF2B5EF4-FFF2-40B4-BE49-F238E27FC236}">
              <a16:creationId xmlns:a16="http://schemas.microsoft.com/office/drawing/2014/main" id="{BE1D0B3F-0F12-42CC-A553-12C0B0D83E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5" name="Elipse 11064">
          <a:extLst>
            <a:ext uri="{FF2B5EF4-FFF2-40B4-BE49-F238E27FC236}">
              <a16:creationId xmlns:a16="http://schemas.microsoft.com/office/drawing/2014/main" id="{EBFDF185-DF24-4D45-A58F-1E0E583292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6" name="Elipse 11065">
          <a:extLst>
            <a:ext uri="{FF2B5EF4-FFF2-40B4-BE49-F238E27FC236}">
              <a16:creationId xmlns:a16="http://schemas.microsoft.com/office/drawing/2014/main" id="{7F20C240-C64C-4313-8A2F-FB97BA656A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7" name="Elipse 11066">
          <a:extLst>
            <a:ext uri="{FF2B5EF4-FFF2-40B4-BE49-F238E27FC236}">
              <a16:creationId xmlns:a16="http://schemas.microsoft.com/office/drawing/2014/main" id="{BBBDD4BC-7C75-4BA4-B0A5-F9D1C44FC2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8" name="Elipse 11067">
          <a:extLst>
            <a:ext uri="{FF2B5EF4-FFF2-40B4-BE49-F238E27FC236}">
              <a16:creationId xmlns:a16="http://schemas.microsoft.com/office/drawing/2014/main" id="{B944DC28-EE60-4293-9D9D-AF5F8F3B91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69" name="Elipse 11068">
          <a:extLst>
            <a:ext uri="{FF2B5EF4-FFF2-40B4-BE49-F238E27FC236}">
              <a16:creationId xmlns:a16="http://schemas.microsoft.com/office/drawing/2014/main" id="{23116294-9685-4328-BC19-3D0DEBB076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0" name="Elipse 11069">
          <a:extLst>
            <a:ext uri="{FF2B5EF4-FFF2-40B4-BE49-F238E27FC236}">
              <a16:creationId xmlns:a16="http://schemas.microsoft.com/office/drawing/2014/main" id="{0B6E8DE1-9576-46D4-B535-A92D97E93D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1" name="Elipse 11070">
          <a:extLst>
            <a:ext uri="{FF2B5EF4-FFF2-40B4-BE49-F238E27FC236}">
              <a16:creationId xmlns:a16="http://schemas.microsoft.com/office/drawing/2014/main" id="{E9EE50C2-35BD-4BC3-B0BB-9E6676037D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2" name="Elipse 11071">
          <a:extLst>
            <a:ext uri="{FF2B5EF4-FFF2-40B4-BE49-F238E27FC236}">
              <a16:creationId xmlns:a16="http://schemas.microsoft.com/office/drawing/2014/main" id="{6BC10A72-E9D4-47AB-92BA-2144886131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3" name="Elipse 11072">
          <a:extLst>
            <a:ext uri="{FF2B5EF4-FFF2-40B4-BE49-F238E27FC236}">
              <a16:creationId xmlns:a16="http://schemas.microsoft.com/office/drawing/2014/main" id="{303FD31A-0235-4AC0-A0E4-8A96ED4D9B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4" name="Elipse 11073">
          <a:extLst>
            <a:ext uri="{FF2B5EF4-FFF2-40B4-BE49-F238E27FC236}">
              <a16:creationId xmlns:a16="http://schemas.microsoft.com/office/drawing/2014/main" id="{495B1704-7E6E-4102-A93A-F8CEF83292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5" name="Elipse 11074">
          <a:extLst>
            <a:ext uri="{FF2B5EF4-FFF2-40B4-BE49-F238E27FC236}">
              <a16:creationId xmlns:a16="http://schemas.microsoft.com/office/drawing/2014/main" id="{B19C6F3F-D3C8-4E62-AD0B-7D4E1560A2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6" name="Elipse 11075">
          <a:extLst>
            <a:ext uri="{FF2B5EF4-FFF2-40B4-BE49-F238E27FC236}">
              <a16:creationId xmlns:a16="http://schemas.microsoft.com/office/drawing/2014/main" id="{4D9E058D-03FB-467A-AB14-CBF3AEF0BC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7" name="Elipse 11076">
          <a:extLst>
            <a:ext uri="{FF2B5EF4-FFF2-40B4-BE49-F238E27FC236}">
              <a16:creationId xmlns:a16="http://schemas.microsoft.com/office/drawing/2014/main" id="{CA88085F-6D7E-46DD-914D-21FBB935F8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8" name="Elipse 11077">
          <a:extLst>
            <a:ext uri="{FF2B5EF4-FFF2-40B4-BE49-F238E27FC236}">
              <a16:creationId xmlns:a16="http://schemas.microsoft.com/office/drawing/2014/main" id="{F69BAFFD-EB76-4309-81A2-D71BE7DFAB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79" name="Elipse 11078">
          <a:extLst>
            <a:ext uri="{FF2B5EF4-FFF2-40B4-BE49-F238E27FC236}">
              <a16:creationId xmlns:a16="http://schemas.microsoft.com/office/drawing/2014/main" id="{7ABA9997-C93C-491B-AD70-A727BDBDBF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0" name="Elipse 11079">
          <a:extLst>
            <a:ext uri="{FF2B5EF4-FFF2-40B4-BE49-F238E27FC236}">
              <a16:creationId xmlns:a16="http://schemas.microsoft.com/office/drawing/2014/main" id="{4B59D5FD-A623-4B62-B82D-D397CF54AF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1" name="Elipse 11080">
          <a:extLst>
            <a:ext uri="{FF2B5EF4-FFF2-40B4-BE49-F238E27FC236}">
              <a16:creationId xmlns:a16="http://schemas.microsoft.com/office/drawing/2014/main" id="{011F5334-6122-4A11-BA4E-FF11D332CD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2" name="Elipse 11081">
          <a:extLst>
            <a:ext uri="{FF2B5EF4-FFF2-40B4-BE49-F238E27FC236}">
              <a16:creationId xmlns:a16="http://schemas.microsoft.com/office/drawing/2014/main" id="{DF926895-EB57-489C-BD84-8C8D76B485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3" name="Elipse 11082">
          <a:extLst>
            <a:ext uri="{FF2B5EF4-FFF2-40B4-BE49-F238E27FC236}">
              <a16:creationId xmlns:a16="http://schemas.microsoft.com/office/drawing/2014/main" id="{5AFED530-D4DC-441C-9D19-82E71A4EC2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4" name="Elipse 11083">
          <a:extLst>
            <a:ext uri="{FF2B5EF4-FFF2-40B4-BE49-F238E27FC236}">
              <a16:creationId xmlns:a16="http://schemas.microsoft.com/office/drawing/2014/main" id="{5D07C1F5-000A-4B08-B22D-0BA48A2437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5" name="Elipse 11084">
          <a:extLst>
            <a:ext uri="{FF2B5EF4-FFF2-40B4-BE49-F238E27FC236}">
              <a16:creationId xmlns:a16="http://schemas.microsoft.com/office/drawing/2014/main" id="{09959CF7-B4F5-4C0D-ADBA-61B0935F95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6" name="Elipse 11085">
          <a:extLst>
            <a:ext uri="{FF2B5EF4-FFF2-40B4-BE49-F238E27FC236}">
              <a16:creationId xmlns:a16="http://schemas.microsoft.com/office/drawing/2014/main" id="{ECA44C24-0A40-490F-8478-8EF2A34B96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7" name="Elipse 11086">
          <a:extLst>
            <a:ext uri="{FF2B5EF4-FFF2-40B4-BE49-F238E27FC236}">
              <a16:creationId xmlns:a16="http://schemas.microsoft.com/office/drawing/2014/main" id="{3C8C3285-2389-4ED1-8626-E2DD10C1D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8" name="Elipse 11087">
          <a:extLst>
            <a:ext uri="{FF2B5EF4-FFF2-40B4-BE49-F238E27FC236}">
              <a16:creationId xmlns:a16="http://schemas.microsoft.com/office/drawing/2014/main" id="{37E02F22-B4F2-4DDC-AEF4-5B3673E5E2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89" name="Elipse 11088">
          <a:extLst>
            <a:ext uri="{FF2B5EF4-FFF2-40B4-BE49-F238E27FC236}">
              <a16:creationId xmlns:a16="http://schemas.microsoft.com/office/drawing/2014/main" id="{57456470-3EF5-4C44-A790-E55387FEDA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0" name="Elipse 11089">
          <a:extLst>
            <a:ext uri="{FF2B5EF4-FFF2-40B4-BE49-F238E27FC236}">
              <a16:creationId xmlns:a16="http://schemas.microsoft.com/office/drawing/2014/main" id="{A6313444-433C-4D08-8AC7-5BA7F0E026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1" name="Elipse 11090">
          <a:extLst>
            <a:ext uri="{FF2B5EF4-FFF2-40B4-BE49-F238E27FC236}">
              <a16:creationId xmlns:a16="http://schemas.microsoft.com/office/drawing/2014/main" id="{7D4CDBEF-EFBA-4794-A516-5EF81D461A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2" name="Elipse 11091">
          <a:extLst>
            <a:ext uri="{FF2B5EF4-FFF2-40B4-BE49-F238E27FC236}">
              <a16:creationId xmlns:a16="http://schemas.microsoft.com/office/drawing/2014/main" id="{C58C2090-9BB7-4A8C-B7BD-3E9F6FC41C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3" name="Elipse 11092">
          <a:extLst>
            <a:ext uri="{FF2B5EF4-FFF2-40B4-BE49-F238E27FC236}">
              <a16:creationId xmlns:a16="http://schemas.microsoft.com/office/drawing/2014/main" id="{8F4F6CD5-72B6-4B33-A601-1F6ED76F25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4" name="Elipse 11093">
          <a:extLst>
            <a:ext uri="{FF2B5EF4-FFF2-40B4-BE49-F238E27FC236}">
              <a16:creationId xmlns:a16="http://schemas.microsoft.com/office/drawing/2014/main" id="{E4C0C9ED-D1BA-4F0C-B4AC-0E6849CF01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5" name="Elipse 11094">
          <a:extLst>
            <a:ext uri="{FF2B5EF4-FFF2-40B4-BE49-F238E27FC236}">
              <a16:creationId xmlns:a16="http://schemas.microsoft.com/office/drawing/2014/main" id="{550A80C7-84AD-44D3-A97E-8B14FE5B5B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6" name="Elipse 11095">
          <a:extLst>
            <a:ext uri="{FF2B5EF4-FFF2-40B4-BE49-F238E27FC236}">
              <a16:creationId xmlns:a16="http://schemas.microsoft.com/office/drawing/2014/main" id="{4B54377E-00EE-4E0B-853D-F23FD7F6A9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7" name="Elipse 11096">
          <a:extLst>
            <a:ext uri="{FF2B5EF4-FFF2-40B4-BE49-F238E27FC236}">
              <a16:creationId xmlns:a16="http://schemas.microsoft.com/office/drawing/2014/main" id="{2FD5E275-9CB8-461D-9814-2B669C6CB3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8" name="Elipse 11097">
          <a:extLst>
            <a:ext uri="{FF2B5EF4-FFF2-40B4-BE49-F238E27FC236}">
              <a16:creationId xmlns:a16="http://schemas.microsoft.com/office/drawing/2014/main" id="{5C630B79-DCA9-46AC-801C-88D8943EF5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099" name="Elipse 11098">
          <a:extLst>
            <a:ext uri="{FF2B5EF4-FFF2-40B4-BE49-F238E27FC236}">
              <a16:creationId xmlns:a16="http://schemas.microsoft.com/office/drawing/2014/main" id="{1B5DE236-A35C-43F6-A6D1-12FDF4768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0" name="Elipse 11099">
          <a:extLst>
            <a:ext uri="{FF2B5EF4-FFF2-40B4-BE49-F238E27FC236}">
              <a16:creationId xmlns:a16="http://schemas.microsoft.com/office/drawing/2014/main" id="{FB318AD8-5BC7-44ED-AD40-CBDF2FE2D0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1" name="Elipse 11100">
          <a:extLst>
            <a:ext uri="{FF2B5EF4-FFF2-40B4-BE49-F238E27FC236}">
              <a16:creationId xmlns:a16="http://schemas.microsoft.com/office/drawing/2014/main" id="{144FDAC8-BE8D-4881-BE8B-8D1BAD5664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2" name="Elipse 11101">
          <a:extLst>
            <a:ext uri="{FF2B5EF4-FFF2-40B4-BE49-F238E27FC236}">
              <a16:creationId xmlns:a16="http://schemas.microsoft.com/office/drawing/2014/main" id="{F802D2C3-A233-4156-B1B9-AEFED4DE1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3" name="Elipse 11102">
          <a:extLst>
            <a:ext uri="{FF2B5EF4-FFF2-40B4-BE49-F238E27FC236}">
              <a16:creationId xmlns:a16="http://schemas.microsoft.com/office/drawing/2014/main" id="{4107E51E-906D-4836-A71A-1F4C6A2A89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4" name="Elipse 11103">
          <a:extLst>
            <a:ext uri="{FF2B5EF4-FFF2-40B4-BE49-F238E27FC236}">
              <a16:creationId xmlns:a16="http://schemas.microsoft.com/office/drawing/2014/main" id="{8DA3CD85-2D5E-4BE6-96D3-C958D32836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5" name="Elipse 11104">
          <a:extLst>
            <a:ext uri="{FF2B5EF4-FFF2-40B4-BE49-F238E27FC236}">
              <a16:creationId xmlns:a16="http://schemas.microsoft.com/office/drawing/2014/main" id="{0BBA6ABA-5C81-48F2-9014-0040E8210B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6" name="Elipse 11105">
          <a:extLst>
            <a:ext uri="{FF2B5EF4-FFF2-40B4-BE49-F238E27FC236}">
              <a16:creationId xmlns:a16="http://schemas.microsoft.com/office/drawing/2014/main" id="{B4A3FFC2-A65E-4130-A89A-33FC6518A5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7" name="Elipse 11106">
          <a:extLst>
            <a:ext uri="{FF2B5EF4-FFF2-40B4-BE49-F238E27FC236}">
              <a16:creationId xmlns:a16="http://schemas.microsoft.com/office/drawing/2014/main" id="{F13FB068-D809-4266-AF5B-8F619D0534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8" name="Elipse 11107">
          <a:extLst>
            <a:ext uri="{FF2B5EF4-FFF2-40B4-BE49-F238E27FC236}">
              <a16:creationId xmlns:a16="http://schemas.microsoft.com/office/drawing/2014/main" id="{41397BF0-CA02-4550-88CB-0E54E70E4B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09" name="Elipse 11108">
          <a:extLst>
            <a:ext uri="{FF2B5EF4-FFF2-40B4-BE49-F238E27FC236}">
              <a16:creationId xmlns:a16="http://schemas.microsoft.com/office/drawing/2014/main" id="{ED412527-DAD5-4EAD-8C44-A26EF92336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0" name="Elipse 11109">
          <a:extLst>
            <a:ext uri="{FF2B5EF4-FFF2-40B4-BE49-F238E27FC236}">
              <a16:creationId xmlns:a16="http://schemas.microsoft.com/office/drawing/2014/main" id="{340B2471-E365-43E2-8DA1-4FE17E01C8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1" name="Elipse 11110">
          <a:extLst>
            <a:ext uri="{FF2B5EF4-FFF2-40B4-BE49-F238E27FC236}">
              <a16:creationId xmlns:a16="http://schemas.microsoft.com/office/drawing/2014/main" id="{51BD8335-F7A8-4673-8567-AB530CB2D4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2" name="Elipse 11111">
          <a:extLst>
            <a:ext uri="{FF2B5EF4-FFF2-40B4-BE49-F238E27FC236}">
              <a16:creationId xmlns:a16="http://schemas.microsoft.com/office/drawing/2014/main" id="{CA547BF4-812F-4010-97C6-FC403659E6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3" name="Elipse 11112">
          <a:extLst>
            <a:ext uri="{FF2B5EF4-FFF2-40B4-BE49-F238E27FC236}">
              <a16:creationId xmlns:a16="http://schemas.microsoft.com/office/drawing/2014/main" id="{1BD5950C-DD42-430E-829D-22EB625DE2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4" name="Elipse 11113">
          <a:extLst>
            <a:ext uri="{FF2B5EF4-FFF2-40B4-BE49-F238E27FC236}">
              <a16:creationId xmlns:a16="http://schemas.microsoft.com/office/drawing/2014/main" id="{C1A41F16-1C8A-4E2B-AF3B-DC3FC9CB3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5" name="Elipse 11114">
          <a:extLst>
            <a:ext uri="{FF2B5EF4-FFF2-40B4-BE49-F238E27FC236}">
              <a16:creationId xmlns:a16="http://schemas.microsoft.com/office/drawing/2014/main" id="{BF2303C7-2A0E-4E06-A883-0495C79565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6" name="Elipse 11115">
          <a:extLst>
            <a:ext uri="{FF2B5EF4-FFF2-40B4-BE49-F238E27FC236}">
              <a16:creationId xmlns:a16="http://schemas.microsoft.com/office/drawing/2014/main" id="{3DE1D8E0-14CB-49A9-A643-DDD68847DC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7" name="Elipse 11116">
          <a:extLst>
            <a:ext uri="{FF2B5EF4-FFF2-40B4-BE49-F238E27FC236}">
              <a16:creationId xmlns:a16="http://schemas.microsoft.com/office/drawing/2014/main" id="{C408B766-B608-47CD-A083-3E0E135E0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8" name="Elipse 11117">
          <a:extLst>
            <a:ext uri="{FF2B5EF4-FFF2-40B4-BE49-F238E27FC236}">
              <a16:creationId xmlns:a16="http://schemas.microsoft.com/office/drawing/2014/main" id="{825D3F4F-1CBD-4B14-8338-A6CF56D755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19" name="Elipse 11118">
          <a:extLst>
            <a:ext uri="{FF2B5EF4-FFF2-40B4-BE49-F238E27FC236}">
              <a16:creationId xmlns:a16="http://schemas.microsoft.com/office/drawing/2014/main" id="{584F0018-E532-4FB9-9A3A-97EA032931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0" name="Elipse 11119">
          <a:extLst>
            <a:ext uri="{FF2B5EF4-FFF2-40B4-BE49-F238E27FC236}">
              <a16:creationId xmlns:a16="http://schemas.microsoft.com/office/drawing/2014/main" id="{6319229A-BAC7-45D6-9286-10A04D74E7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1" name="Elipse 11120">
          <a:extLst>
            <a:ext uri="{FF2B5EF4-FFF2-40B4-BE49-F238E27FC236}">
              <a16:creationId xmlns:a16="http://schemas.microsoft.com/office/drawing/2014/main" id="{12DAC387-90D4-4748-935A-B20184CED4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2" name="Elipse 11121">
          <a:extLst>
            <a:ext uri="{FF2B5EF4-FFF2-40B4-BE49-F238E27FC236}">
              <a16:creationId xmlns:a16="http://schemas.microsoft.com/office/drawing/2014/main" id="{3E5094C9-3E35-4230-A63B-EF84F2967E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3" name="Elipse 11122">
          <a:extLst>
            <a:ext uri="{FF2B5EF4-FFF2-40B4-BE49-F238E27FC236}">
              <a16:creationId xmlns:a16="http://schemas.microsoft.com/office/drawing/2014/main" id="{B244D8A5-F4E9-44AC-9565-E7A62C0331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4" name="Elipse 11123">
          <a:extLst>
            <a:ext uri="{FF2B5EF4-FFF2-40B4-BE49-F238E27FC236}">
              <a16:creationId xmlns:a16="http://schemas.microsoft.com/office/drawing/2014/main" id="{88C82DE0-6FC4-41EF-86B7-CCA46F7AFE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5" name="Elipse 11124">
          <a:extLst>
            <a:ext uri="{FF2B5EF4-FFF2-40B4-BE49-F238E27FC236}">
              <a16:creationId xmlns:a16="http://schemas.microsoft.com/office/drawing/2014/main" id="{9AD3F69A-4570-48EB-9BA0-655AC007E0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6" name="Elipse 11125">
          <a:extLst>
            <a:ext uri="{FF2B5EF4-FFF2-40B4-BE49-F238E27FC236}">
              <a16:creationId xmlns:a16="http://schemas.microsoft.com/office/drawing/2014/main" id="{80BE1EA2-9503-4929-BEFE-21FC073978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7" name="Elipse 11126">
          <a:extLst>
            <a:ext uri="{FF2B5EF4-FFF2-40B4-BE49-F238E27FC236}">
              <a16:creationId xmlns:a16="http://schemas.microsoft.com/office/drawing/2014/main" id="{0D611FE5-0455-4681-9065-080A2047FA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8" name="Elipse 11127">
          <a:extLst>
            <a:ext uri="{FF2B5EF4-FFF2-40B4-BE49-F238E27FC236}">
              <a16:creationId xmlns:a16="http://schemas.microsoft.com/office/drawing/2014/main" id="{E8AAD0AB-2468-4A04-B6E6-8BB2E027BF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29" name="Elipse 11128">
          <a:extLst>
            <a:ext uri="{FF2B5EF4-FFF2-40B4-BE49-F238E27FC236}">
              <a16:creationId xmlns:a16="http://schemas.microsoft.com/office/drawing/2014/main" id="{1EEDDEDD-D914-4F78-9217-D5951591C9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0" name="Elipse 11129">
          <a:extLst>
            <a:ext uri="{FF2B5EF4-FFF2-40B4-BE49-F238E27FC236}">
              <a16:creationId xmlns:a16="http://schemas.microsoft.com/office/drawing/2014/main" id="{A5BF58D3-FA75-4EC0-8326-C9FB6573AB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1" name="Elipse 11130">
          <a:extLst>
            <a:ext uri="{FF2B5EF4-FFF2-40B4-BE49-F238E27FC236}">
              <a16:creationId xmlns:a16="http://schemas.microsoft.com/office/drawing/2014/main" id="{BD1112AC-7BA7-46FD-8FDC-12D5BBBFF3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2" name="Elipse 11131">
          <a:extLst>
            <a:ext uri="{FF2B5EF4-FFF2-40B4-BE49-F238E27FC236}">
              <a16:creationId xmlns:a16="http://schemas.microsoft.com/office/drawing/2014/main" id="{CB9305DB-0B1A-4EA0-861A-C01DF00E11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3" name="Elipse 11132">
          <a:extLst>
            <a:ext uri="{FF2B5EF4-FFF2-40B4-BE49-F238E27FC236}">
              <a16:creationId xmlns:a16="http://schemas.microsoft.com/office/drawing/2014/main" id="{3F15BC2A-A1E2-4E10-B41F-6B45B34573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4" name="Elipse 11133">
          <a:extLst>
            <a:ext uri="{FF2B5EF4-FFF2-40B4-BE49-F238E27FC236}">
              <a16:creationId xmlns:a16="http://schemas.microsoft.com/office/drawing/2014/main" id="{F8EFDFE4-C2A9-4014-9099-98C6F86933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5" name="Elipse 11134">
          <a:extLst>
            <a:ext uri="{FF2B5EF4-FFF2-40B4-BE49-F238E27FC236}">
              <a16:creationId xmlns:a16="http://schemas.microsoft.com/office/drawing/2014/main" id="{44F8D12E-FEFD-4735-BC18-2F30DC327A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6" name="Elipse 11135">
          <a:extLst>
            <a:ext uri="{FF2B5EF4-FFF2-40B4-BE49-F238E27FC236}">
              <a16:creationId xmlns:a16="http://schemas.microsoft.com/office/drawing/2014/main" id="{1C497EB9-84E1-467C-BC57-C9A9646997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7" name="Elipse 11136">
          <a:extLst>
            <a:ext uri="{FF2B5EF4-FFF2-40B4-BE49-F238E27FC236}">
              <a16:creationId xmlns:a16="http://schemas.microsoft.com/office/drawing/2014/main" id="{621111D5-2965-4D37-BE68-E73BA67CDB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8" name="Elipse 11137">
          <a:extLst>
            <a:ext uri="{FF2B5EF4-FFF2-40B4-BE49-F238E27FC236}">
              <a16:creationId xmlns:a16="http://schemas.microsoft.com/office/drawing/2014/main" id="{3F06A037-C6DB-4C94-BC01-17ADD25AFF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39" name="Elipse 11138">
          <a:extLst>
            <a:ext uri="{FF2B5EF4-FFF2-40B4-BE49-F238E27FC236}">
              <a16:creationId xmlns:a16="http://schemas.microsoft.com/office/drawing/2014/main" id="{49A11926-CFA7-497F-9945-0E9B4CF0B4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0" name="Elipse 11139">
          <a:extLst>
            <a:ext uri="{FF2B5EF4-FFF2-40B4-BE49-F238E27FC236}">
              <a16:creationId xmlns:a16="http://schemas.microsoft.com/office/drawing/2014/main" id="{60DB3100-26ED-451F-B092-3A431AFA11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1" name="Elipse 11140">
          <a:extLst>
            <a:ext uri="{FF2B5EF4-FFF2-40B4-BE49-F238E27FC236}">
              <a16:creationId xmlns:a16="http://schemas.microsoft.com/office/drawing/2014/main" id="{921F8B18-0B60-42EA-BA5C-0E02A30B91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2" name="Elipse 11141">
          <a:extLst>
            <a:ext uri="{FF2B5EF4-FFF2-40B4-BE49-F238E27FC236}">
              <a16:creationId xmlns:a16="http://schemas.microsoft.com/office/drawing/2014/main" id="{1B68A906-5607-4C2E-98AB-9D3C04D42F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3" name="Elipse 11142">
          <a:extLst>
            <a:ext uri="{FF2B5EF4-FFF2-40B4-BE49-F238E27FC236}">
              <a16:creationId xmlns:a16="http://schemas.microsoft.com/office/drawing/2014/main" id="{2A4F99EE-FCA6-4872-9832-FB945DB738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4" name="Elipse 11143">
          <a:extLst>
            <a:ext uri="{FF2B5EF4-FFF2-40B4-BE49-F238E27FC236}">
              <a16:creationId xmlns:a16="http://schemas.microsoft.com/office/drawing/2014/main" id="{309138EE-7F7F-4173-B105-8B77E5539F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5" name="Elipse 11144">
          <a:extLst>
            <a:ext uri="{FF2B5EF4-FFF2-40B4-BE49-F238E27FC236}">
              <a16:creationId xmlns:a16="http://schemas.microsoft.com/office/drawing/2014/main" id="{053104F3-C3DF-4C95-B3A2-C38B0FFC7A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6" name="Elipse 11145">
          <a:extLst>
            <a:ext uri="{FF2B5EF4-FFF2-40B4-BE49-F238E27FC236}">
              <a16:creationId xmlns:a16="http://schemas.microsoft.com/office/drawing/2014/main" id="{BF3BB48A-C3F0-4124-8CE3-8604D1EE90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7" name="Elipse 11146">
          <a:extLst>
            <a:ext uri="{FF2B5EF4-FFF2-40B4-BE49-F238E27FC236}">
              <a16:creationId xmlns:a16="http://schemas.microsoft.com/office/drawing/2014/main" id="{9899E515-BA6A-4B0E-8168-D399B076D2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8" name="Elipse 11147">
          <a:extLst>
            <a:ext uri="{FF2B5EF4-FFF2-40B4-BE49-F238E27FC236}">
              <a16:creationId xmlns:a16="http://schemas.microsoft.com/office/drawing/2014/main" id="{B23FC1D4-E1E9-43FD-9117-87F57447A5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49" name="Elipse 11148">
          <a:extLst>
            <a:ext uri="{FF2B5EF4-FFF2-40B4-BE49-F238E27FC236}">
              <a16:creationId xmlns:a16="http://schemas.microsoft.com/office/drawing/2014/main" id="{C0BA1D7B-0F9E-46B1-A598-982A412300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0" name="Elipse 11149">
          <a:extLst>
            <a:ext uri="{FF2B5EF4-FFF2-40B4-BE49-F238E27FC236}">
              <a16:creationId xmlns:a16="http://schemas.microsoft.com/office/drawing/2014/main" id="{A9A2186E-199D-4BB6-A957-5587512AA1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1" name="Elipse 11150">
          <a:extLst>
            <a:ext uri="{FF2B5EF4-FFF2-40B4-BE49-F238E27FC236}">
              <a16:creationId xmlns:a16="http://schemas.microsoft.com/office/drawing/2014/main" id="{1BFDB7DE-3B70-413E-96DF-B9C81A3E29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2" name="Elipse 11151">
          <a:extLst>
            <a:ext uri="{FF2B5EF4-FFF2-40B4-BE49-F238E27FC236}">
              <a16:creationId xmlns:a16="http://schemas.microsoft.com/office/drawing/2014/main" id="{09A18DC6-ABF5-4196-BC28-B6E7A4ECDC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3" name="Elipse 11152">
          <a:extLst>
            <a:ext uri="{FF2B5EF4-FFF2-40B4-BE49-F238E27FC236}">
              <a16:creationId xmlns:a16="http://schemas.microsoft.com/office/drawing/2014/main" id="{E06D915A-7BB4-4532-8A54-2F9C0170A2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4" name="Elipse 11153">
          <a:extLst>
            <a:ext uri="{FF2B5EF4-FFF2-40B4-BE49-F238E27FC236}">
              <a16:creationId xmlns:a16="http://schemas.microsoft.com/office/drawing/2014/main" id="{0978E4F1-2F9D-4CB4-9B6C-3D9D1F1016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5" name="Elipse 11154">
          <a:extLst>
            <a:ext uri="{FF2B5EF4-FFF2-40B4-BE49-F238E27FC236}">
              <a16:creationId xmlns:a16="http://schemas.microsoft.com/office/drawing/2014/main" id="{05AD0F1B-5C20-4502-9176-F9F2FEE6BB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6" name="Elipse 11155">
          <a:extLst>
            <a:ext uri="{FF2B5EF4-FFF2-40B4-BE49-F238E27FC236}">
              <a16:creationId xmlns:a16="http://schemas.microsoft.com/office/drawing/2014/main" id="{A432FBD1-3997-4566-AD64-55946F48C7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7" name="Elipse 11156">
          <a:extLst>
            <a:ext uri="{FF2B5EF4-FFF2-40B4-BE49-F238E27FC236}">
              <a16:creationId xmlns:a16="http://schemas.microsoft.com/office/drawing/2014/main" id="{25564EE7-8E31-492B-BA7F-26DFB0129D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8" name="Elipse 11157">
          <a:extLst>
            <a:ext uri="{FF2B5EF4-FFF2-40B4-BE49-F238E27FC236}">
              <a16:creationId xmlns:a16="http://schemas.microsoft.com/office/drawing/2014/main" id="{311DE958-8C1D-4AA6-94E5-E89EC6A3E7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59" name="Elipse 11158">
          <a:extLst>
            <a:ext uri="{FF2B5EF4-FFF2-40B4-BE49-F238E27FC236}">
              <a16:creationId xmlns:a16="http://schemas.microsoft.com/office/drawing/2014/main" id="{0C1342E4-110E-4523-8591-F9B3548469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0" name="Elipse 11159">
          <a:extLst>
            <a:ext uri="{FF2B5EF4-FFF2-40B4-BE49-F238E27FC236}">
              <a16:creationId xmlns:a16="http://schemas.microsoft.com/office/drawing/2014/main" id="{7A72223D-4255-416F-BE4E-3B5E57351F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1" name="Elipse 11160">
          <a:extLst>
            <a:ext uri="{FF2B5EF4-FFF2-40B4-BE49-F238E27FC236}">
              <a16:creationId xmlns:a16="http://schemas.microsoft.com/office/drawing/2014/main" id="{35AF6617-5EB7-4CBB-86BC-D4F3CE642D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2" name="Elipse 11161">
          <a:extLst>
            <a:ext uri="{FF2B5EF4-FFF2-40B4-BE49-F238E27FC236}">
              <a16:creationId xmlns:a16="http://schemas.microsoft.com/office/drawing/2014/main" id="{850F0992-9F66-4042-8934-B16DFEC09F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3" name="Elipse 11162">
          <a:extLst>
            <a:ext uri="{FF2B5EF4-FFF2-40B4-BE49-F238E27FC236}">
              <a16:creationId xmlns:a16="http://schemas.microsoft.com/office/drawing/2014/main" id="{DB5E12B2-3F8D-4413-93E8-F9912D3E8E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4" name="Elipse 11163">
          <a:extLst>
            <a:ext uri="{FF2B5EF4-FFF2-40B4-BE49-F238E27FC236}">
              <a16:creationId xmlns:a16="http://schemas.microsoft.com/office/drawing/2014/main" id="{3F623FCE-C98D-47C7-81A6-43D8C6DC06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5" name="Elipse 11164">
          <a:extLst>
            <a:ext uri="{FF2B5EF4-FFF2-40B4-BE49-F238E27FC236}">
              <a16:creationId xmlns:a16="http://schemas.microsoft.com/office/drawing/2014/main" id="{437BABBD-F716-4E0C-BE51-2216B08DB8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6" name="Elipse 11165">
          <a:extLst>
            <a:ext uri="{FF2B5EF4-FFF2-40B4-BE49-F238E27FC236}">
              <a16:creationId xmlns:a16="http://schemas.microsoft.com/office/drawing/2014/main" id="{D782471B-BABA-4803-9969-76DD0059E5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7" name="Elipse 11166">
          <a:extLst>
            <a:ext uri="{FF2B5EF4-FFF2-40B4-BE49-F238E27FC236}">
              <a16:creationId xmlns:a16="http://schemas.microsoft.com/office/drawing/2014/main" id="{1486B171-00BE-4947-B5AB-945B242545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8" name="Elipse 11167">
          <a:extLst>
            <a:ext uri="{FF2B5EF4-FFF2-40B4-BE49-F238E27FC236}">
              <a16:creationId xmlns:a16="http://schemas.microsoft.com/office/drawing/2014/main" id="{0B4068FA-9964-4ECB-B5B8-84298B6847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69" name="Elipse 11168">
          <a:extLst>
            <a:ext uri="{FF2B5EF4-FFF2-40B4-BE49-F238E27FC236}">
              <a16:creationId xmlns:a16="http://schemas.microsoft.com/office/drawing/2014/main" id="{DAAA63ED-68D5-4072-9326-147FDEF27C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0" name="Elipse 11169">
          <a:extLst>
            <a:ext uri="{FF2B5EF4-FFF2-40B4-BE49-F238E27FC236}">
              <a16:creationId xmlns:a16="http://schemas.microsoft.com/office/drawing/2014/main" id="{AA53D6A6-AEF9-4066-9469-57A68E7B7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1" name="Elipse 11170">
          <a:extLst>
            <a:ext uri="{FF2B5EF4-FFF2-40B4-BE49-F238E27FC236}">
              <a16:creationId xmlns:a16="http://schemas.microsoft.com/office/drawing/2014/main" id="{E31EE430-625D-4491-8C01-8F4945AFF1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2" name="Elipse 11171">
          <a:extLst>
            <a:ext uri="{FF2B5EF4-FFF2-40B4-BE49-F238E27FC236}">
              <a16:creationId xmlns:a16="http://schemas.microsoft.com/office/drawing/2014/main" id="{A6C397AF-EA59-4621-A4E4-EAE90CCC7C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3" name="Elipse 11172">
          <a:extLst>
            <a:ext uri="{FF2B5EF4-FFF2-40B4-BE49-F238E27FC236}">
              <a16:creationId xmlns:a16="http://schemas.microsoft.com/office/drawing/2014/main" id="{8CE9B779-F691-4B8B-9EB7-439F82FC1C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4" name="Elipse 11173">
          <a:extLst>
            <a:ext uri="{FF2B5EF4-FFF2-40B4-BE49-F238E27FC236}">
              <a16:creationId xmlns:a16="http://schemas.microsoft.com/office/drawing/2014/main" id="{ED582966-7125-45F1-A53B-3E6E25C0E5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5" name="Elipse 11174">
          <a:extLst>
            <a:ext uri="{FF2B5EF4-FFF2-40B4-BE49-F238E27FC236}">
              <a16:creationId xmlns:a16="http://schemas.microsoft.com/office/drawing/2014/main" id="{DD89ABEE-8B2D-4108-B811-82C01FD0C2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6" name="Elipse 11175">
          <a:extLst>
            <a:ext uri="{FF2B5EF4-FFF2-40B4-BE49-F238E27FC236}">
              <a16:creationId xmlns:a16="http://schemas.microsoft.com/office/drawing/2014/main" id="{030ED958-CB62-4165-9CB0-EFABEA872B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7" name="Elipse 11176">
          <a:extLst>
            <a:ext uri="{FF2B5EF4-FFF2-40B4-BE49-F238E27FC236}">
              <a16:creationId xmlns:a16="http://schemas.microsoft.com/office/drawing/2014/main" id="{FD6B9F6D-9CC0-4C9C-820D-0428D3F049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8" name="Elipse 11177">
          <a:extLst>
            <a:ext uri="{FF2B5EF4-FFF2-40B4-BE49-F238E27FC236}">
              <a16:creationId xmlns:a16="http://schemas.microsoft.com/office/drawing/2014/main" id="{66917EB4-C2F3-47F3-AF29-10FC51BBC0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79" name="Elipse 11178">
          <a:extLst>
            <a:ext uri="{FF2B5EF4-FFF2-40B4-BE49-F238E27FC236}">
              <a16:creationId xmlns:a16="http://schemas.microsoft.com/office/drawing/2014/main" id="{99EC8431-B4D2-4ED3-A97D-BD168A9B97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0" name="Elipse 11179">
          <a:extLst>
            <a:ext uri="{FF2B5EF4-FFF2-40B4-BE49-F238E27FC236}">
              <a16:creationId xmlns:a16="http://schemas.microsoft.com/office/drawing/2014/main" id="{709A8602-5CD2-4A8E-99BB-95F49EE6C5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1" name="Elipse 11180">
          <a:extLst>
            <a:ext uri="{FF2B5EF4-FFF2-40B4-BE49-F238E27FC236}">
              <a16:creationId xmlns:a16="http://schemas.microsoft.com/office/drawing/2014/main" id="{D6F83F20-1B3C-4DAD-834D-B626E133DA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2" name="Elipse 11181">
          <a:extLst>
            <a:ext uri="{FF2B5EF4-FFF2-40B4-BE49-F238E27FC236}">
              <a16:creationId xmlns:a16="http://schemas.microsoft.com/office/drawing/2014/main" id="{E3AB065A-AE33-439E-92BD-3E502B7DCA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3" name="Elipse 11182">
          <a:extLst>
            <a:ext uri="{FF2B5EF4-FFF2-40B4-BE49-F238E27FC236}">
              <a16:creationId xmlns:a16="http://schemas.microsoft.com/office/drawing/2014/main" id="{299D990B-EF53-4920-8B0D-AD851E2EC8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4" name="Elipse 11183">
          <a:extLst>
            <a:ext uri="{FF2B5EF4-FFF2-40B4-BE49-F238E27FC236}">
              <a16:creationId xmlns:a16="http://schemas.microsoft.com/office/drawing/2014/main" id="{C90D5D70-ECBA-4CDD-BAAA-A27602043F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5" name="Elipse 11184">
          <a:extLst>
            <a:ext uri="{FF2B5EF4-FFF2-40B4-BE49-F238E27FC236}">
              <a16:creationId xmlns:a16="http://schemas.microsoft.com/office/drawing/2014/main" id="{D47D4503-15E7-41BF-B726-CE7DB8F65B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6" name="Elipse 11185">
          <a:extLst>
            <a:ext uri="{FF2B5EF4-FFF2-40B4-BE49-F238E27FC236}">
              <a16:creationId xmlns:a16="http://schemas.microsoft.com/office/drawing/2014/main" id="{ECEEF6FE-2891-45F1-8BA1-91900CD1E6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7" name="Elipse 11186">
          <a:extLst>
            <a:ext uri="{FF2B5EF4-FFF2-40B4-BE49-F238E27FC236}">
              <a16:creationId xmlns:a16="http://schemas.microsoft.com/office/drawing/2014/main" id="{EFC2EA21-1FA2-48B9-A845-577CE5C4DA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8" name="Elipse 11187">
          <a:extLst>
            <a:ext uri="{FF2B5EF4-FFF2-40B4-BE49-F238E27FC236}">
              <a16:creationId xmlns:a16="http://schemas.microsoft.com/office/drawing/2014/main" id="{85394B3A-BA27-40D7-92B5-C10171E840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89" name="Elipse 11188">
          <a:extLst>
            <a:ext uri="{FF2B5EF4-FFF2-40B4-BE49-F238E27FC236}">
              <a16:creationId xmlns:a16="http://schemas.microsoft.com/office/drawing/2014/main" id="{EF9FC001-CB95-49B7-AD46-5CEEC757BD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0" name="Elipse 11189">
          <a:extLst>
            <a:ext uri="{FF2B5EF4-FFF2-40B4-BE49-F238E27FC236}">
              <a16:creationId xmlns:a16="http://schemas.microsoft.com/office/drawing/2014/main" id="{8CD1F7C7-0B97-4B4A-B480-62FC4E5953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1" name="Elipse 11190">
          <a:extLst>
            <a:ext uri="{FF2B5EF4-FFF2-40B4-BE49-F238E27FC236}">
              <a16:creationId xmlns:a16="http://schemas.microsoft.com/office/drawing/2014/main" id="{67AEEF46-281C-4535-9FBE-E9F0EB2CE9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2" name="Elipse 11191">
          <a:extLst>
            <a:ext uri="{FF2B5EF4-FFF2-40B4-BE49-F238E27FC236}">
              <a16:creationId xmlns:a16="http://schemas.microsoft.com/office/drawing/2014/main" id="{88630F26-C9AA-41F0-97D1-AD78A1010A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3" name="Elipse 11192">
          <a:extLst>
            <a:ext uri="{FF2B5EF4-FFF2-40B4-BE49-F238E27FC236}">
              <a16:creationId xmlns:a16="http://schemas.microsoft.com/office/drawing/2014/main" id="{4DFD4ABB-867B-4AEA-AEBE-A30F36D186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4" name="Elipse 11193">
          <a:extLst>
            <a:ext uri="{FF2B5EF4-FFF2-40B4-BE49-F238E27FC236}">
              <a16:creationId xmlns:a16="http://schemas.microsoft.com/office/drawing/2014/main" id="{974B975C-311D-49EB-A739-7B8CE153F1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5" name="Elipse 11194">
          <a:extLst>
            <a:ext uri="{FF2B5EF4-FFF2-40B4-BE49-F238E27FC236}">
              <a16:creationId xmlns:a16="http://schemas.microsoft.com/office/drawing/2014/main" id="{A57086D4-6669-4378-99AC-07E3EFC404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6" name="Elipse 11195">
          <a:extLst>
            <a:ext uri="{FF2B5EF4-FFF2-40B4-BE49-F238E27FC236}">
              <a16:creationId xmlns:a16="http://schemas.microsoft.com/office/drawing/2014/main" id="{3E779E8A-F144-4F85-9FBB-3A0C731AE2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7" name="Elipse 11196">
          <a:extLst>
            <a:ext uri="{FF2B5EF4-FFF2-40B4-BE49-F238E27FC236}">
              <a16:creationId xmlns:a16="http://schemas.microsoft.com/office/drawing/2014/main" id="{8D74BB3D-6C9F-4AA3-976C-5950122798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8" name="Elipse 11197">
          <a:extLst>
            <a:ext uri="{FF2B5EF4-FFF2-40B4-BE49-F238E27FC236}">
              <a16:creationId xmlns:a16="http://schemas.microsoft.com/office/drawing/2014/main" id="{CC6CFE70-1C76-4DFC-823B-04DA1ABB6E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199" name="Elipse 11198">
          <a:extLst>
            <a:ext uri="{FF2B5EF4-FFF2-40B4-BE49-F238E27FC236}">
              <a16:creationId xmlns:a16="http://schemas.microsoft.com/office/drawing/2014/main" id="{E5FA70CB-C875-40EF-88CC-5544F30B18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0" name="Elipse 11199">
          <a:extLst>
            <a:ext uri="{FF2B5EF4-FFF2-40B4-BE49-F238E27FC236}">
              <a16:creationId xmlns:a16="http://schemas.microsoft.com/office/drawing/2014/main" id="{CB7C2736-87CA-479C-99F3-15848A697E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1" name="Elipse 11200">
          <a:extLst>
            <a:ext uri="{FF2B5EF4-FFF2-40B4-BE49-F238E27FC236}">
              <a16:creationId xmlns:a16="http://schemas.microsoft.com/office/drawing/2014/main" id="{CF338ACB-7128-4F0E-B224-020035AA1D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2" name="Elipse 11201">
          <a:extLst>
            <a:ext uri="{FF2B5EF4-FFF2-40B4-BE49-F238E27FC236}">
              <a16:creationId xmlns:a16="http://schemas.microsoft.com/office/drawing/2014/main" id="{0BD6D1F8-81E5-43AC-8A03-0C91227CE2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3" name="Elipse 11202">
          <a:extLst>
            <a:ext uri="{FF2B5EF4-FFF2-40B4-BE49-F238E27FC236}">
              <a16:creationId xmlns:a16="http://schemas.microsoft.com/office/drawing/2014/main" id="{81D53121-42FF-419B-8997-C9B2409D45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4" name="Elipse 11203">
          <a:extLst>
            <a:ext uri="{FF2B5EF4-FFF2-40B4-BE49-F238E27FC236}">
              <a16:creationId xmlns:a16="http://schemas.microsoft.com/office/drawing/2014/main" id="{C0BB28FC-D74C-4DA1-BFE4-E9761FA6D2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5" name="Elipse 11204">
          <a:extLst>
            <a:ext uri="{FF2B5EF4-FFF2-40B4-BE49-F238E27FC236}">
              <a16:creationId xmlns:a16="http://schemas.microsoft.com/office/drawing/2014/main" id="{14CFCDB7-16DC-4325-9BB0-82D2476819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6" name="Elipse 11205">
          <a:extLst>
            <a:ext uri="{FF2B5EF4-FFF2-40B4-BE49-F238E27FC236}">
              <a16:creationId xmlns:a16="http://schemas.microsoft.com/office/drawing/2014/main" id="{BF0E9F48-6487-4E5A-8208-075B221345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7" name="Elipse 11206">
          <a:extLst>
            <a:ext uri="{FF2B5EF4-FFF2-40B4-BE49-F238E27FC236}">
              <a16:creationId xmlns:a16="http://schemas.microsoft.com/office/drawing/2014/main" id="{40BBEEC9-310B-4F32-AFC1-E38A103BFE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8" name="Elipse 11207">
          <a:extLst>
            <a:ext uri="{FF2B5EF4-FFF2-40B4-BE49-F238E27FC236}">
              <a16:creationId xmlns:a16="http://schemas.microsoft.com/office/drawing/2014/main" id="{18CC226F-4806-4772-8744-6041991D59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09" name="Elipse 11208">
          <a:extLst>
            <a:ext uri="{FF2B5EF4-FFF2-40B4-BE49-F238E27FC236}">
              <a16:creationId xmlns:a16="http://schemas.microsoft.com/office/drawing/2014/main" id="{1AD0BDC5-31EB-4261-8406-6673181BF6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0" name="Elipse 11209">
          <a:extLst>
            <a:ext uri="{FF2B5EF4-FFF2-40B4-BE49-F238E27FC236}">
              <a16:creationId xmlns:a16="http://schemas.microsoft.com/office/drawing/2014/main" id="{81D8F291-AB0A-48BB-B0D1-F52CD3A15F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1" name="Elipse 11210">
          <a:extLst>
            <a:ext uri="{FF2B5EF4-FFF2-40B4-BE49-F238E27FC236}">
              <a16:creationId xmlns:a16="http://schemas.microsoft.com/office/drawing/2014/main" id="{DF3A5ED1-2D67-4635-BE2D-FE8A7B11DB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2" name="Elipse 11211">
          <a:extLst>
            <a:ext uri="{FF2B5EF4-FFF2-40B4-BE49-F238E27FC236}">
              <a16:creationId xmlns:a16="http://schemas.microsoft.com/office/drawing/2014/main" id="{78BCA3AA-62BB-4038-8B18-09197FC0E0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3" name="Elipse 11212">
          <a:extLst>
            <a:ext uri="{FF2B5EF4-FFF2-40B4-BE49-F238E27FC236}">
              <a16:creationId xmlns:a16="http://schemas.microsoft.com/office/drawing/2014/main" id="{9123FAF1-FEFB-4827-8058-66879EE347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4" name="Elipse 11213">
          <a:extLst>
            <a:ext uri="{FF2B5EF4-FFF2-40B4-BE49-F238E27FC236}">
              <a16:creationId xmlns:a16="http://schemas.microsoft.com/office/drawing/2014/main" id="{544EC52B-EBB3-4E8A-8BE8-3E6600D0BC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5" name="Elipse 11214">
          <a:extLst>
            <a:ext uri="{FF2B5EF4-FFF2-40B4-BE49-F238E27FC236}">
              <a16:creationId xmlns:a16="http://schemas.microsoft.com/office/drawing/2014/main" id="{53DEC8A0-EC33-4E1C-8447-AA10DC90CE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6" name="Elipse 11215">
          <a:extLst>
            <a:ext uri="{FF2B5EF4-FFF2-40B4-BE49-F238E27FC236}">
              <a16:creationId xmlns:a16="http://schemas.microsoft.com/office/drawing/2014/main" id="{C8913C86-66FB-425A-8665-08EF1F4FEC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7" name="Elipse 11216">
          <a:extLst>
            <a:ext uri="{FF2B5EF4-FFF2-40B4-BE49-F238E27FC236}">
              <a16:creationId xmlns:a16="http://schemas.microsoft.com/office/drawing/2014/main" id="{6BBFE00F-F452-41FF-BF76-75F5D60012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8" name="Elipse 11217">
          <a:extLst>
            <a:ext uri="{FF2B5EF4-FFF2-40B4-BE49-F238E27FC236}">
              <a16:creationId xmlns:a16="http://schemas.microsoft.com/office/drawing/2014/main" id="{544C522A-677B-44A1-8FE4-2E15B85E48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19" name="Elipse 11218">
          <a:extLst>
            <a:ext uri="{FF2B5EF4-FFF2-40B4-BE49-F238E27FC236}">
              <a16:creationId xmlns:a16="http://schemas.microsoft.com/office/drawing/2014/main" id="{C46BB0D4-F204-402A-9320-CE464DECA7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0" name="Elipse 11219">
          <a:extLst>
            <a:ext uri="{FF2B5EF4-FFF2-40B4-BE49-F238E27FC236}">
              <a16:creationId xmlns:a16="http://schemas.microsoft.com/office/drawing/2014/main" id="{A4029597-2CAE-473D-969E-9F9A98F75F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1" name="Elipse 11220">
          <a:extLst>
            <a:ext uri="{FF2B5EF4-FFF2-40B4-BE49-F238E27FC236}">
              <a16:creationId xmlns:a16="http://schemas.microsoft.com/office/drawing/2014/main" id="{0D6CD6FD-53B1-4F32-9117-5E3453221D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2" name="Elipse 11221">
          <a:extLst>
            <a:ext uri="{FF2B5EF4-FFF2-40B4-BE49-F238E27FC236}">
              <a16:creationId xmlns:a16="http://schemas.microsoft.com/office/drawing/2014/main" id="{BFC02902-7E17-4F5B-9EDC-E840110712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3" name="Elipse 11222">
          <a:extLst>
            <a:ext uri="{FF2B5EF4-FFF2-40B4-BE49-F238E27FC236}">
              <a16:creationId xmlns:a16="http://schemas.microsoft.com/office/drawing/2014/main" id="{580AA9E2-A6DE-45C1-A525-C0E5DCF380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4" name="Elipse 11223">
          <a:extLst>
            <a:ext uri="{FF2B5EF4-FFF2-40B4-BE49-F238E27FC236}">
              <a16:creationId xmlns:a16="http://schemas.microsoft.com/office/drawing/2014/main" id="{F36150DE-BB0B-4946-BF61-8292F8B1C0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5" name="Elipse 11224">
          <a:extLst>
            <a:ext uri="{FF2B5EF4-FFF2-40B4-BE49-F238E27FC236}">
              <a16:creationId xmlns:a16="http://schemas.microsoft.com/office/drawing/2014/main" id="{024F6752-6FFE-4632-B15C-66C0E465A1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6" name="Elipse 11225">
          <a:extLst>
            <a:ext uri="{FF2B5EF4-FFF2-40B4-BE49-F238E27FC236}">
              <a16:creationId xmlns:a16="http://schemas.microsoft.com/office/drawing/2014/main" id="{EFAFF3CE-782E-4C4E-B1B2-301ED97800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7" name="Elipse 11226">
          <a:extLst>
            <a:ext uri="{FF2B5EF4-FFF2-40B4-BE49-F238E27FC236}">
              <a16:creationId xmlns:a16="http://schemas.microsoft.com/office/drawing/2014/main" id="{088EE8D1-2E8E-4659-8671-0D617854CF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8" name="Elipse 11227">
          <a:extLst>
            <a:ext uri="{FF2B5EF4-FFF2-40B4-BE49-F238E27FC236}">
              <a16:creationId xmlns:a16="http://schemas.microsoft.com/office/drawing/2014/main" id="{D570F624-A329-47F2-AA2B-730106D1AA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29" name="Elipse 11228">
          <a:extLst>
            <a:ext uri="{FF2B5EF4-FFF2-40B4-BE49-F238E27FC236}">
              <a16:creationId xmlns:a16="http://schemas.microsoft.com/office/drawing/2014/main" id="{E6C8580A-B582-4812-BE26-1D024CA2B7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0" name="Elipse 11229">
          <a:extLst>
            <a:ext uri="{FF2B5EF4-FFF2-40B4-BE49-F238E27FC236}">
              <a16:creationId xmlns:a16="http://schemas.microsoft.com/office/drawing/2014/main" id="{32AEBD92-D0C2-4528-988F-11705135C0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1" name="Elipse 11230">
          <a:extLst>
            <a:ext uri="{FF2B5EF4-FFF2-40B4-BE49-F238E27FC236}">
              <a16:creationId xmlns:a16="http://schemas.microsoft.com/office/drawing/2014/main" id="{75D7F2C0-3182-4611-B256-F8F388253D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2" name="Elipse 11231">
          <a:extLst>
            <a:ext uri="{FF2B5EF4-FFF2-40B4-BE49-F238E27FC236}">
              <a16:creationId xmlns:a16="http://schemas.microsoft.com/office/drawing/2014/main" id="{16826829-51B4-440E-A5B1-FD1FE569E5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3" name="Elipse 11232">
          <a:extLst>
            <a:ext uri="{FF2B5EF4-FFF2-40B4-BE49-F238E27FC236}">
              <a16:creationId xmlns:a16="http://schemas.microsoft.com/office/drawing/2014/main" id="{299C91A3-E240-4D1A-93E9-6755834EEF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4" name="Elipse 11233">
          <a:extLst>
            <a:ext uri="{FF2B5EF4-FFF2-40B4-BE49-F238E27FC236}">
              <a16:creationId xmlns:a16="http://schemas.microsoft.com/office/drawing/2014/main" id="{215D2371-B1EA-4D2F-8513-CCFC269944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5" name="Elipse 11234">
          <a:extLst>
            <a:ext uri="{FF2B5EF4-FFF2-40B4-BE49-F238E27FC236}">
              <a16:creationId xmlns:a16="http://schemas.microsoft.com/office/drawing/2014/main" id="{26BBE8E0-A12A-4D23-9BFD-E12B4E11BA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6" name="Elipse 11235">
          <a:extLst>
            <a:ext uri="{FF2B5EF4-FFF2-40B4-BE49-F238E27FC236}">
              <a16:creationId xmlns:a16="http://schemas.microsoft.com/office/drawing/2014/main" id="{20679A25-467B-4516-8D8E-1126D51A28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7" name="Elipse 11236">
          <a:extLst>
            <a:ext uri="{FF2B5EF4-FFF2-40B4-BE49-F238E27FC236}">
              <a16:creationId xmlns:a16="http://schemas.microsoft.com/office/drawing/2014/main" id="{E3AB5D0D-0651-41D5-B175-B62FA7912D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8" name="Elipse 11237">
          <a:extLst>
            <a:ext uri="{FF2B5EF4-FFF2-40B4-BE49-F238E27FC236}">
              <a16:creationId xmlns:a16="http://schemas.microsoft.com/office/drawing/2014/main" id="{296C3972-F4E4-4479-BD30-E8A70564DB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39" name="Elipse 11238">
          <a:extLst>
            <a:ext uri="{FF2B5EF4-FFF2-40B4-BE49-F238E27FC236}">
              <a16:creationId xmlns:a16="http://schemas.microsoft.com/office/drawing/2014/main" id="{722FD547-9D47-4426-B649-5BA4430296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0" name="Elipse 11239">
          <a:extLst>
            <a:ext uri="{FF2B5EF4-FFF2-40B4-BE49-F238E27FC236}">
              <a16:creationId xmlns:a16="http://schemas.microsoft.com/office/drawing/2014/main" id="{E4C91C4A-BB99-4AA2-85AC-2FB01E6C5E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1" name="Elipse 11240">
          <a:extLst>
            <a:ext uri="{FF2B5EF4-FFF2-40B4-BE49-F238E27FC236}">
              <a16:creationId xmlns:a16="http://schemas.microsoft.com/office/drawing/2014/main" id="{BA4F8046-A9A6-44AE-B3D4-BFD0DB41C0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2" name="Elipse 11241">
          <a:extLst>
            <a:ext uri="{FF2B5EF4-FFF2-40B4-BE49-F238E27FC236}">
              <a16:creationId xmlns:a16="http://schemas.microsoft.com/office/drawing/2014/main" id="{BFA4979F-16F2-42D7-B6DF-E7556FD867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3" name="Elipse 11242">
          <a:extLst>
            <a:ext uri="{FF2B5EF4-FFF2-40B4-BE49-F238E27FC236}">
              <a16:creationId xmlns:a16="http://schemas.microsoft.com/office/drawing/2014/main" id="{30A97430-7DCF-49B7-9936-97463551C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4" name="Elipse 11243">
          <a:extLst>
            <a:ext uri="{FF2B5EF4-FFF2-40B4-BE49-F238E27FC236}">
              <a16:creationId xmlns:a16="http://schemas.microsoft.com/office/drawing/2014/main" id="{8530E2EF-BADE-435A-ACF6-8D7E9BC0F4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5" name="Elipse 11244">
          <a:extLst>
            <a:ext uri="{FF2B5EF4-FFF2-40B4-BE49-F238E27FC236}">
              <a16:creationId xmlns:a16="http://schemas.microsoft.com/office/drawing/2014/main" id="{8CB4FA57-7A9E-4496-9D2F-DD14075D5E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6" name="Elipse 11245">
          <a:extLst>
            <a:ext uri="{FF2B5EF4-FFF2-40B4-BE49-F238E27FC236}">
              <a16:creationId xmlns:a16="http://schemas.microsoft.com/office/drawing/2014/main" id="{A7DB39A7-2C31-4712-8BC5-8AD8497CB1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7" name="Elipse 11246">
          <a:extLst>
            <a:ext uri="{FF2B5EF4-FFF2-40B4-BE49-F238E27FC236}">
              <a16:creationId xmlns:a16="http://schemas.microsoft.com/office/drawing/2014/main" id="{54C431B0-8267-4D87-8D74-457502129F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8" name="Elipse 11247">
          <a:extLst>
            <a:ext uri="{FF2B5EF4-FFF2-40B4-BE49-F238E27FC236}">
              <a16:creationId xmlns:a16="http://schemas.microsoft.com/office/drawing/2014/main" id="{5C05B0F6-9C9E-463E-BDF9-44AED60D59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49" name="Elipse 11248">
          <a:extLst>
            <a:ext uri="{FF2B5EF4-FFF2-40B4-BE49-F238E27FC236}">
              <a16:creationId xmlns:a16="http://schemas.microsoft.com/office/drawing/2014/main" id="{5F64A214-A52E-477D-81B8-39D8F8AB6C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0" name="Elipse 11249">
          <a:extLst>
            <a:ext uri="{FF2B5EF4-FFF2-40B4-BE49-F238E27FC236}">
              <a16:creationId xmlns:a16="http://schemas.microsoft.com/office/drawing/2014/main" id="{8B82EF7B-C66E-45FA-8055-BA7DD6D095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1" name="Elipse 11250">
          <a:extLst>
            <a:ext uri="{FF2B5EF4-FFF2-40B4-BE49-F238E27FC236}">
              <a16:creationId xmlns:a16="http://schemas.microsoft.com/office/drawing/2014/main" id="{369103B0-0CD5-4CD1-AE25-134662F85B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2" name="Elipse 11251">
          <a:extLst>
            <a:ext uri="{FF2B5EF4-FFF2-40B4-BE49-F238E27FC236}">
              <a16:creationId xmlns:a16="http://schemas.microsoft.com/office/drawing/2014/main" id="{1FB73184-0572-48DF-8C75-901BD67273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3" name="Elipse 11252">
          <a:extLst>
            <a:ext uri="{FF2B5EF4-FFF2-40B4-BE49-F238E27FC236}">
              <a16:creationId xmlns:a16="http://schemas.microsoft.com/office/drawing/2014/main" id="{AB7C8020-C494-4E2B-A53D-903E2BB21E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4" name="Elipse 11253">
          <a:extLst>
            <a:ext uri="{FF2B5EF4-FFF2-40B4-BE49-F238E27FC236}">
              <a16:creationId xmlns:a16="http://schemas.microsoft.com/office/drawing/2014/main" id="{327DF355-7BE0-4D54-9517-FBC64B600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5" name="Elipse 11254">
          <a:extLst>
            <a:ext uri="{FF2B5EF4-FFF2-40B4-BE49-F238E27FC236}">
              <a16:creationId xmlns:a16="http://schemas.microsoft.com/office/drawing/2014/main" id="{BF6FB0C8-8B4E-48DD-BD9D-83F0EF2561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6" name="Elipse 11255">
          <a:extLst>
            <a:ext uri="{FF2B5EF4-FFF2-40B4-BE49-F238E27FC236}">
              <a16:creationId xmlns:a16="http://schemas.microsoft.com/office/drawing/2014/main" id="{8593B8B0-5D4A-440F-AC97-D1DB233117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7" name="Elipse 11256">
          <a:extLst>
            <a:ext uri="{FF2B5EF4-FFF2-40B4-BE49-F238E27FC236}">
              <a16:creationId xmlns:a16="http://schemas.microsoft.com/office/drawing/2014/main" id="{20E69AA7-B811-4B97-9009-92278553BE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8" name="Elipse 11257">
          <a:extLst>
            <a:ext uri="{FF2B5EF4-FFF2-40B4-BE49-F238E27FC236}">
              <a16:creationId xmlns:a16="http://schemas.microsoft.com/office/drawing/2014/main" id="{4EBC7F11-C026-4946-A7C3-52CD10AB7D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59" name="Elipse 11258">
          <a:extLst>
            <a:ext uri="{FF2B5EF4-FFF2-40B4-BE49-F238E27FC236}">
              <a16:creationId xmlns:a16="http://schemas.microsoft.com/office/drawing/2014/main" id="{C9A050C1-2034-4BC8-B87E-8DFF681812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0" name="Elipse 11259">
          <a:extLst>
            <a:ext uri="{FF2B5EF4-FFF2-40B4-BE49-F238E27FC236}">
              <a16:creationId xmlns:a16="http://schemas.microsoft.com/office/drawing/2014/main" id="{C6CC5925-6F56-4C0C-9ACF-6B4A719A3E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1" name="Elipse 11260">
          <a:extLst>
            <a:ext uri="{FF2B5EF4-FFF2-40B4-BE49-F238E27FC236}">
              <a16:creationId xmlns:a16="http://schemas.microsoft.com/office/drawing/2014/main" id="{55DFB12D-E8D6-4912-A044-FE15D194DE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2" name="Elipse 11261">
          <a:extLst>
            <a:ext uri="{FF2B5EF4-FFF2-40B4-BE49-F238E27FC236}">
              <a16:creationId xmlns:a16="http://schemas.microsoft.com/office/drawing/2014/main" id="{295138B2-F308-4609-BA04-EB888A33DA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3" name="Elipse 11262">
          <a:extLst>
            <a:ext uri="{FF2B5EF4-FFF2-40B4-BE49-F238E27FC236}">
              <a16:creationId xmlns:a16="http://schemas.microsoft.com/office/drawing/2014/main" id="{1E938637-7505-4F14-8240-4D09C3A627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4" name="Elipse 11263">
          <a:extLst>
            <a:ext uri="{FF2B5EF4-FFF2-40B4-BE49-F238E27FC236}">
              <a16:creationId xmlns:a16="http://schemas.microsoft.com/office/drawing/2014/main" id="{23FF01CA-F130-4EFD-93D9-20DDF5DCDA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5" name="Elipse 11264">
          <a:extLst>
            <a:ext uri="{FF2B5EF4-FFF2-40B4-BE49-F238E27FC236}">
              <a16:creationId xmlns:a16="http://schemas.microsoft.com/office/drawing/2014/main" id="{23CFDE6D-A4A9-4738-86F0-DC6A97E00B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6" name="Elipse 11265">
          <a:extLst>
            <a:ext uri="{FF2B5EF4-FFF2-40B4-BE49-F238E27FC236}">
              <a16:creationId xmlns:a16="http://schemas.microsoft.com/office/drawing/2014/main" id="{58A02A83-29BA-431B-9026-FE0436A545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7" name="Elipse 11266">
          <a:extLst>
            <a:ext uri="{FF2B5EF4-FFF2-40B4-BE49-F238E27FC236}">
              <a16:creationId xmlns:a16="http://schemas.microsoft.com/office/drawing/2014/main" id="{FA7F0F6E-79A2-42EF-A26E-9588E8D7A2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8" name="Elipse 11267">
          <a:extLst>
            <a:ext uri="{FF2B5EF4-FFF2-40B4-BE49-F238E27FC236}">
              <a16:creationId xmlns:a16="http://schemas.microsoft.com/office/drawing/2014/main" id="{A2DE1D4E-5C1A-432C-AAD7-294FEC038F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69" name="Elipse 11268">
          <a:extLst>
            <a:ext uri="{FF2B5EF4-FFF2-40B4-BE49-F238E27FC236}">
              <a16:creationId xmlns:a16="http://schemas.microsoft.com/office/drawing/2014/main" id="{E2DF86A7-2ECB-4B86-9957-39535FD74F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0" name="Elipse 11269">
          <a:extLst>
            <a:ext uri="{FF2B5EF4-FFF2-40B4-BE49-F238E27FC236}">
              <a16:creationId xmlns:a16="http://schemas.microsoft.com/office/drawing/2014/main" id="{E665AF64-F80C-431A-A02E-40C2D2BA0D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1" name="Elipse 11270">
          <a:extLst>
            <a:ext uri="{FF2B5EF4-FFF2-40B4-BE49-F238E27FC236}">
              <a16:creationId xmlns:a16="http://schemas.microsoft.com/office/drawing/2014/main" id="{928EA37A-2793-40F1-B3B3-8202F56409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2" name="Elipse 11271">
          <a:extLst>
            <a:ext uri="{FF2B5EF4-FFF2-40B4-BE49-F238E27FC236}">
              <a16:creationId xmlns:a16="http://schemas.microsoft.com/office/drawing/2014/main" id="{65414779-9637-46EE-846F-EB6EAD26B4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3" name="Elipse 11272">
          <a:extLst>
            <a:ext uri="{FF2B5EF4-FFF2-40B4-BE49-F238E27FC236}">
              <a16:creationId xmlns:a16="http://schemas.microsoft.com/office/drawing/2014/main" id="{D236377D-4B08-46EA-A9E7-A23CBB2862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4" name="Elipse 11273">
          <a:extLst>
            <a:ext uri="{FF2B5EF4-FFF2-40B4-BE49-F238E27FC236}">
              <a16:creationId xmlns:a16="http://schemas.microsoft.com/office/drawing/2014/main" id="{DD39CD1B-8AA8-4479-9DB2-4742A2FB01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5" name="Elipse 11274">
          <a:extLst>
            <a:ext uri="{FF2B5EF4-FFF2-40B4-BE49-F238E27FC236}">
              <a16:creationId xmlns:a16="http://schemas.microsoft.com/office/drawing/2014/main" id="{4A9315B3-7D06-48BD-A85D-2E67A6071E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6" name="Elipse 11275">
          <a:extLst>
            <a:ext uri="{FF2B5EF4-FFF2-40B4-BE49-F238E27FC236}">
              <a16:creationId xmlns:a16="http://schemas.microsoft.com/office/drawing/2014/main" id="{98529DE8-A4C1-46DE-BB7C-7BF0083417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7" name="Elipse 11276">
          <a:extLst>
            <a:ext uri="{FF2B5EF4-FFF2-40B4-BE49-F238E27FC236}">
              <a16:creationId xmlns:a16="http://schemas.microsoft.com/office/drawing/2014/main" id="{0427B13D-63BB-4A72-B148-954C4432ED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8" name="Elipse 11277">
          <a:extLst>
            <a:ext uri="{FF2B5EF4-FFF2-40B4-BE49-F238E27FC236}">
              <a16:creationId xmlns:a16="http://schemas.microsoft.com/office/drawing/2014/main" id="{328113A6-8CB5-4CC3-B851-BADBD0B67F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79" name="Elipse 11278">
          <a:extLst>
            <a:ext uri="{FF2B5EF4-FFF2-40B4-BE49-F238E27FC236}">
              <a16:creationId xmlns:a16="http://schemas.microsoft.com/office/drawing/2014/main" id="{1B91DFC0-3353-4AB0-80CB-723B5BA591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0" name="Elipse 11279">
          <a:extLst>
            <a:ext uri="{FF2B5EF4-FFF2-40B4-BE49-F238E27FC236}">
              <a16:creationId xmlns:a16="http://schemas.microsoft.com/office/drawing/2014/main" id="{B481B2D2-F9E9-47C3-A207-892F2FF7B9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1" name="Elipse 11280">
          <a:extLst>
            <a:ext uri="{FF2B5EF4-FFF2-40B4-BE49-F238E27FC236}">
              <a16:creationId xmlns:a16="http://schemas.microsoft.com/office/drawing/2014/main" id="{D461DB1D-6928-4D4E-8E83-A3285B954B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2" name="Elipse 11281">
          <a:extLst>
            <a:ext uri="{FF2B5EF4-FFF2-40B4-BE49-F238E27FC236}">
              <a16:creationId xmlns:a16="http://schemas.microsoft.com/office/drawing/2014/main" id="{7E92D8FD-2277-4D02-94B9-26DE96AFA7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3" name="Elipse 11282">
          <a:extLst>
            <a:ext uri="{FF2B5EF4-FFF2-40B4-BE49-F238E27FC236}">
              <a16:creationId xmlns:a16="http://schemas.microsoft.com/office/drawing/2014/main" id="{614F6938-EC4A-4E1D-95A0-1058ED4ABE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4" name="Elipse 11283">
          <a:extLst>
            <a:ext uri="{FF2B5EF4-FFF2-40B4-BE49-F238E27FC236}">
              <a16:creationId xmlns:a16="http://schemas.microsoft.com/office/drawing/2014/main" id="{5A5D4D2A-3742-4AAD-AF9E-6AB8FDBB99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5" name="Elipse 11284">
          <a:extLst>
            <a:ext uri="{FF2B5EF4-FFF2-40B4-BE49-F238E27FC236}">
              <a16:creationId xmlns:a16="http://schemas.microsoft.com/office/drawing/2014/main" id="{A5481766-457B-4127-BC00-75A6AEAB68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6" name="Elipse 11285">
          <a:extLst>
            <a:ext uri="{FF2B5EF4-FFF2-40B4-BE49-F238E27FC236}">
              <a16:creationId xmlns:a16="http://schemas.microsoft.com/office/drawing/2014/main" id="{DE36B2B6-03C3-45FB-BB04-0EAFAD4B73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7" name="Elipse 11286">
          <a:extLst>
            <a:ext uri="{FF2B5EF4-FFF2-40B4-BE49-F238E27FC236}">
              <a16:creationId xmlns:a16="http://schemas.microsoft.com/office/drawing/2014/main" id="{4F0A7344-3D0B-4708-B302-B50ED911F7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8" name="Elipse 11287">
          <a:extLst>
            <a:ext uri="{FF2B5EF4-FFF2-40B4-BE49-F238E27FC236}">
              <a16:creationId xmlns:a16="http://schemas.microsoft.com/office/drawing/2014/main" id="{F8264A7A-440E-43C3-85CF-348A3831F5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89" name="Elipse 11288">
          <a:extLst>
            <a:ext uri="{FF2B5EF4-FFF2-40B4-BE49-F238E27FC236}">
              <a16:creationId xmlns:a16="http://schemas.microsoft.com/office/drawing/2014/main" id="{556F3220-57A1-4F35-A518-57E806F9FD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0" name="Elipse 11289">
          <a:extLst>
            <a:ext uri="{FF2B5EF4-FFF2-40B4-BE49-F238E27FC236}">
              <a16:creationId xmlns:a16="http://schemas.microsoft.com/office/drawing/2014/main" id="{F8856C90-0299-4029-A00D-D121956F43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1" name="Elipse 11290">
          <a:extLst>
            <a:ext uri="{FF2B5EF4-FFF2-40B4-BE49-F238E27FC236}">
              <a16:creationId xmlns:a16="http://schemas.microsoft.com/office/drawing/2014/main" id="{35AF16BB-B893-4F5D-BF9B-2784ACBB88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2" name="Elipse 11291">
          <a:extLst>
            <a:ext uri="{FF2B5EF4-FFF2-40B4-BE49-F238E27FC236}">
              <a16:creationId xmlns:a16="http://schemas.microsoft.com/office/drawing/2014/main" id="{0AAF8EC3-9E49-40C0-AE6F-D1995DAB64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3" name="Elipse 11292">
          <a:extLst>
            <a:ext uri="{FF2B5EF4-FFF2-40B4-BE49-F238E27FC236}">
              <a16:creationId xmlns:a16="http://schemas.microsoft.com/office/drawing/2014/main" id="{12CD0F3F-B067-4A82-B239-D9D89EAA49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4" name="Elipse 11293">
          <a:extLst>
            <a:ext uri="{FF2B5EF4-FFF2-40B4-BE49-F238E27FC236}">
              <a16:creationId xmlns:a16="http://schemas.microsoft.com/office/drawing/2014/main" id="{622E8D72-7E05-4BB4-98F8-29F4D6172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5" name="Elipse 11294">
          <a:extLst>
            <a:ext uri="{FF2B5EF4-FFF2-40B4-BE49-F238E27FC236}">
              <a16:creationId xmlns:a16="http://schemas.microsoft.com/office/drawing/2014/main" id="{798C0FB5-68AA-4986-8A87-0626C4CF6D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6" name="Elipse 11295">
          <a:extLst>
            <a:ext uri="{FF2B5EF4-FFF2-40B4-BE49-F238E27FC236}">
              <a16:creationId xmlns:a16="http://schemas.microsoft.com/office/drawing/2014/main" id="{8F029FA9-5BF7-4227-AE98-E641857661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7" name="Elipse 11296">
          <a:extLst>
            <a:ext uri="{FF2B5EF4-FFF2-40B4-BE49-F238E27FC236}">
              <a16:creationId xmlns:a16="http://schemas.microsoft.com/office/drawing/2014/main" id="{A3DD3E37-32AB-4D0B-ABA7-2757A59747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8" name="Elipse 11297">
          <a:extLst>
            <a:ext uri="{FF2B5EF4-FFF2-40B4-BE49-F238E27FC236}">
              <a16:creationId xmlns:a16="http://schemas.microsoft.com/office/drawing/2014/main" id="{A836E9A9-91B5-4F3C-B1F9-A1CBAFB706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299" name="Elipse 11298">
          <a:extLst>
            <a:ext uri="{FF2B5EF4-FFF2-40B4-BE49-F238E27FC236}">
              <a16:creationId xmlns:a16="http://schemas.microsoft.com/office/drawing/2014/main" id="{A22C6CA1-98ED-4F37-B617-3D376B14FE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0" name="Elipse 11299">
          <a:extLst>
            <a:ext uri="{FF2B5EF4-FFF2-40B4-BE49-F238E27FC236}">
              <a16:creationId xmlns:a16="http://schemas.microsoft.com/office/drawing/2014/main" id="{8FF3480D-EEA8-4C3F-B9B2-8758442C98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1" name="Elipse 11300">
          <a:extLst>
            <a:ext uri="{FF2B5EF4-FFF2-40B4-BE49-F238E27FC236}">
              <a16:creationId xmlns:a16="http://schemas.microsoft.com/office/drawing/2014/main" id="{B02D2074-1D46-44A5-8AEC-5C4584B295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2" name="Elipse 11301">
          <a:extLst>
            <a:ext uri="{FF2B5EF4-FFF2-40B4-BE49-F238E27FC236}">
              <a16:creationId xmlns:a16="http://schemas.microsoft.com/office/drawing/2014/main" id="{404E593B-5782-44A3-B5DB-22F036755F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3" name="Elipse 11302">
          <a:extLst>
            <a:ext uri="{FF2B5EF4-FFF2-40B4-BE49-F238E27FC236}">
              <a16:creationId xmlns:a16="http://schemas.microsoft.com/office/drawing/2014/main" id="{840FDE76-F635-4821-BC62-987FD21AC7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4" name="Elipse 11303">
          <a:extLst>
            <a:ext uri="{FF2B5EF4-FFF2-40B4-BE49-F238E27FC236}">
              <a16:creationId xmlns:a16="http://schemas.microsoft.com/office/drawing/2014/main" id="{E735AEA0-F07F-463A-B8F8-55EFF4FEAB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5" name="Elipse 11304">
          <a:extLst>
            <a:ext uri="{FF2B5EF4-FFF2-40B4-BE49-F238E27FC236}">
              <a16:creationId xmlns:a16="http://schemas.microsoft.com/office/drawing/2014/main" id="{2CB5C92B-BCEF-409A-878D-D75FC23F1F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6" name="Elipse 11305">
          <a:extLst>
            <a:ext uri="{FF2B5EF4-FFF2-40B4-BE49-F238E27FC236}">
              <a16:creationId xmlns:a16="http://schemas.microsoft.com/office/drawing/2014/main" id="{6DD66350-5C6B-4441-8882-C2507450EE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7" name="Elipse 11306">
          <a:extLst>
            <a:ext uri="{FF2B5EF4-FFF2-40B4-BE49-F238E27FC236}">
              <a16:creationId xmlns:a16="http://schemas.microsoft.com/office/drawing/2014/main" id="{444E19FD-0D69-4FAF-B195-4E8A6E94D7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8" name="Elipse 11307">
          <a:extLst>
            <a:ext uri="{FF2B5EF4-FFF2-40B4-BE49-F238E27FC236}">
              <a16:creationId xmlns:a16="http://schemas.microsoft.com/office/drawing/2014/main" id="{4ABAF9DC-7AE9-4247-B6AD-17131602B4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09" name="Elipse 11308">
          <a:extLst>
            <a:ext uri="{FF2B5EF4-FFF2-40B4-BE49-F238E27FC236}">
              <a16:creationId xmlns:a16="http://schemas.microsoft.com/office/drawing/2014/main" id="{04479504-C36D-49FC-BDE5-3208382437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0" name="Elipse 11309">
          <a:extLst>
            <a:ext uri="{FF2B5EF4-FFF2-40B4-BE49-F238E27FC236}">
              <a16:creationId xmlns:a16="http://schemas.microsoft.com/office/drawing/2014/main" id="{CCB03004-FC21-41A3-ABDC-C5F04638CE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1" name="Elipse 11310">
          <a:extLst>
            <a:ext uri="{FF2B5EF4-FFF2-40B4-BE49-F238E27FC236}">
              <a16:creationId xmlns:a16="http://schemas.microsoft.com/office/drawing/2014/main" id="{6AE7FCDC-8003-406C-BCEE-34A127B27A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2" name="Elipse 11311">
          <a:extLst>
            <a:ext uri="{FF2B5EF4-FFF2-40B4-BE49-F238E27FC236}">
              <a16:creationId xmlns:a16="http://schemas.microsoft.com/office/drawing/2014/main" id="{EC52F901-0507-48C5-BD11-43E9B240B7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3" name="Elipse 11312">
          <a:extLst>
            <a:ext uri="{FF2B5EF4-FFF2-40B4-BE49-F238E27FC236}">
              <a16:creationId xmlns:a16="http://schemas.microsoft.com/office/drawing/2014/main" id="{F1AF4963-2310-4F52-8AB8-1B7DBA24A2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4" name="Elipse 11313">
          <a:extLst>
            <a:ext uri="{FF2B5EF4-FFF2-40B4-BE49-F238E27FC236}">
              <a16:creationId xmlns:a16="http://schemas.microsoft.com/office/drawing/2014/main" id="{B8CE88DB-F718-4E7A-BDDC-37CBC8D2A7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5" name="Elipse 11314">
          <a:extLst>
            <a:ext uri="{FF2B5EF4-FFF2-40B4-BE49-F238E27FC236}">
              <a16:creationId xmlns:a16="http://schemas.microsoft.com/office/drawing/2014/main" id="{F7D92C22-AD81-43A6-B5B3-1726967F68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6" name="Elipse 11315">
          <a:extLst>
            <a:ext uri="{FF2B5EF4-FFF2-40B4-BE49-F238E27FC236}">
              <a16:creationId xmlns:a16="http://schemas.microsoft.com/office/drawing/2014/main" id="{DFF9C524-3676-4F36-A4A8-320D514486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7" name="Elipse 11316">
          <a:extLst>
            <a:ext uri="{FF2B5EF4-FFF2-40B4-BE49-F238E27FC236}">
              <a16:creationId xmlns:a16="http://schemas.microsoft.com/office/drawing/2014/main" id="{C1AAA3A6-111F-4764-9017-E9125065AD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8" name="Elipse 11317">
          <a:extLst>
            <a:ext uri="{FF2B5EF4-FFF2-40B4-BE49-F238E27FC236}">
              <a16:creationId xmlns:a16="http://schemas.microsoft.com/office/drawing/2014/main" id="{E1B8B1A0-FC7D-4375-8A4E-F06F5D83F2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19" name="Elipse 11318">
          <a:extLst>
            <a:ext uri="{FF2B5EF4-FFF2-40B4-BE49-F238E27FC236}">
              <a16:creationId xmlns:a16="http://schemas.microsoft.com/office/drawing/2014/main" id="{BE38A2EB-EC9A-4636-B11E-24A82A12E3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0" name="Elipse 11319">
          <a:extLst>
            <a:ext uri="{FF2B5EF4-FFF2-40B4-BE49-F238E27FC236}">
              <a16:creationId xmlns:a16="http://schemas.microsoft.com/office/drawing/2014/main" id="{1336C33B-D1C5-4CA1-AF25-5349D57741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1" name="Elipse 11320">
          <a:extLst>
            <a:ext uri="{FF2B5EF4-FFF2-40B4-BE49-F238E27FC236}">
              <a16:creationId xmlns:a16="http://schemas.microsoft.com/office/drawing/2014/main" id="{CF99958C-9DE1-440B-B639-939DA7C2E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2" name="Elipse 11321">
          <a:extLst>
            <a:ext uri="{FF2B5EF4-FFF2-40B4-BE49-F238E27FC236}">
              <a16:creationId xmlns:a16="http://schemas.microsoft.com/office/drawing/2014/main" id="{69A1787D-5F12-450E-A87A-0F0E31F7FB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3" name="Elipse 11322">
          <a:extLst>
            <a:ext uri="{FF2B5EF4-FFF2-40B4-BE49-F238E27FC236}">
              <a16:creationId xmlns:a16="http://schemas.microsoft.com/office/drawing/2014/main" id="{651163B9-38E6-4B86-B9FE-3DE709BA23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4" name="Elipse 11323">
          <a:extLst>
            <a:ext uri="{FF2B5EF4-FFF2-40B4-BE49-F238E27FC236}">
              <a16:creationId xmlns:a16="http://schemas.microsoft.com/office/drawing/2014/main" id="{17F65CEA-E1AF-410B-BABD-3685376569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5" name="Elipse 11324">
          <a:extLst>
            <a:ext uri="{FF2B5EF4-FFF2-40B4-BE49-F238E27FC236}">
              <a16:creationId xmlns:a16="http://schemas.microsoft.com/office/drawing/2014/main" id="{A224F0F0-20B6-4127-8B69-2C7BC4FB448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6" name="Elipse 11325">
          <a:extLst>
            <a:ext uri="{FF2B5EF4-FFF2-40B4-BE49-F238E27FC236}">
              <a16:creationId xmlns:a16="http://schemas.microsoft.com/office/drawing/2014/main" id="{51918C75-DD00-4B5D-9319-4A47830A61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7" name="Elipse 11326">
          <a:extLst>
            <a:ext uri="{FF2B5EF4-FFF2-40B4-BE49-F238E27FC236}">
              <a16:creationId xmlns:a16="http://schemas.microsoft.com/office/drawing/2014/main" id="{775D8D4A-C6EB-470A-912D-60FD772E4D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8" name="Elipse 11327">
          <a:extLst>
            <a:ext uri="{FF2B5EF4-FFF2-40B4-BE49-F238E27FC236}">
              <a16:creationId xmlns:a16="http://schemas.microsoft.com/office/drawing/2014/main" id="{3D251DCD-7A8D-472F-A797-A43D41A54A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29" name="Elipse 11328">
          <a:extLst>
            <a:ext uri="{FF2B5EF4-FFF2-40B4-BE49-F238E27FC236}">
              <a16:creationId xmlns:a16="http://schemas.microsoft.com/office/drawing/2014/main" id="{656AA9BC-5A52-41AC-ACE9-2E8879E7CF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0" name="Elipse 11329">
          <a:extLst>
            <a:ext uri="{FF2B5EF4-FFF2-40B4-BE49-F238E27FC236}">
              <a16:creationId xmlns:a16="http://schemas.microsoft.com/office/drawing/2014/main" id="{119EB708-131A-476F-8A97-FDDB7B5F22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1" name="Elipse 11330">
          <a:extLst>
            <a:ext uri="{FF2B5EF4-FFF2-40B4-BE49-F238E27FC236}">
              <a16:creationId xmlns:a16="http://schemas.microsoft.com/office/drawing/2014/main" id="{A01D234A-FBFB-4A3B-9AEB-018DE2B34B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2" name="Elipse 11331">
          <a:extLst>
            <a:ext uri="{FF2B5EF4-FFF2-40B4-BE49-F238E27FC236}">
              <a16:creationId xmlns:a16="http://schemas.microsoft.com/office/drawing/2014/main" id="{1A7FF91D-ECA1-4F5C-9956-917328A553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3" name="Elipse 11332">
          <a:extLst>
            <a:ext uri="{FF2B5EF4-FFF2-40B4-BE49-F238E27FC236}">
              <a16:creationId xmlns:a16="http://schemas.microsoft.com/office/drawing/2014/main" id="{46FE352E-BF20-4CDB-8BBB-4230355BC3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4" name="Elipse 11333">
          <a:extLst>
            <a:ext uri="{FF2B5EF4-FFF2-40B4-BE49-F238E27FC236}">
              <a16:creationId xmlns:a16="http://schemas.microsoft.com/office/drawing/2014/main" id="{F56918BA-CE40-4142-9ADC-4865AE6AA7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5" name="Elipse 11334">
          <a:extLst>
            <a:ext uri="{FF2B5EF4-FFF2-40B4-BE49-F238E27FC236}">
              <a16:creationId xmlns:a16="http://schemas.microsoft.com/office/drawing/2014/main" id="{6534E0F6-BD26-4EA7-80C3-72CF76B41B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6" name="Elipse 11335">
          <a:extLst>
            <a:ext uri="{FF2B5EF4-FFF2-40B4-BE49-F238E27FC236}">
              <a16:creationId xmlns:a16="http://schemas.microsoft.com/office/drawing/2014/main" id="{8AF942E4-A672-4A71-B761-F56DD00C1D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7" name="Elipse 11336">
          <a:extLst>
            <a:ext uri="{FF2B5EF4-FFF2-40B4-BE49-F238E27FC236}">
              <a16:creationId xmlns:a16="http://schemas.microsoft.com/office/drawing/2014/main" id="{7613F69D-A4C3-4444-9DB3-9D1734120D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8" name="Elipse 11337">
          <a:extLst>
            <a:ext uri="{FF2B5EF4-FFF2-40B4-BE49-F238E27FC236}">
              <a16:creationId xmlns:a16="http://schemas.microsoft.com/office/drawing/2014/main" id="{672F0CFF-9E0C-4AB0-AC42-C56681CFE7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39" name="Elipse 11338">
          <a:extLst>
            <a:ext uri="{FF2B5EF4-FFF2-40B4-BE49-F238E27FC236}">
              <a16:creationId xmlns:a16="http://schemas.microsoft.com/office/drawing/2014/main" id="{AA6E40B6-613F-4D06-9C80-1145BB94FF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0" name="Elipse 11339">
          <a:extLst>
            <a:ext uri="{FF2B5EF4-FFF2-40B4-BE49-F238E27FC236}">
              <a16:creationId xmlns:a16="http://schemas.microsoft.com/office/drawing/2014/main" id="{46C24EDE-987A-41BD-9061-7799D561F3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1" name="Elipse 11340">
          <a:extLst>
            <a:ext uri="{FF2B5EF4-FFF2-40B4-BE49-F238E27FC236}">
              <a16:creationId xmlns:a16="http://schemas.microsoft.com/office/drawing/2014/main" id="{81CF93B3-32AF-40D0-947A-D8E2633A37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2" name="Elipse 11341">
          <a:extLst>
            <a:ext uri="{FF2B5EF4-FFF2-40B4-BE49-F238E27FC236}">
              <a16:creationId xmlns:a16="http://schemas.microsoft.com/office/drawing/2014/main" id="{5407A1FC-A829-44D8-8565-28DAE0A66A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3" name="Elipse 11342">
          <a:extLst>
            <a:ext uri="{FF2B5EF4-FFF2-40B4-BE49-F238E27FC236}">
              <a16:creationId xmlns:a16="http://schemas.microsoft.com/office/drawing/2014/main" id="{33931707-6EA9-45AA-BF70-4B3177B99F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4" name="Elipse 11343">
          <a:extLst>
            <a:ext uri="{FF2B5EF4-FFF2-40B4-BE49-F238E27FC236}">
              <a16:creationId xmlns:a16="http://schemas.microsoft.com/office/drawing/2014/main" id="{0F7384EB-CCB4-4F89-8A56-65CE69615B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5" name="Elipse 11344">
          <a:extLst>
            <a:ext uri="{FF2B5EF4-FFF2-40B4-BE49-F238E27FC236}">
              <a16:creationId xmlns:a16="http://schemas.microsoft.com/office/drawing/2014/main" id="{CA18382D-12FC-4F99-891A-B1CA89AE0F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6" name="Elipse 11345">
          <a:extLst>
            <a:ext uri="{FF2B5EF4-FFF2-40B4-BE49-F238E27FC236}">
              <a16:creationId xmlns:a16="http://schemas.microsoft.com/office/drawing/2014/main" id="{98270383-9154-4E8F-9F5A-211CB20CA0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7" name="Elipse 11346">
          <a:extLst>
            <a:ext uri="{FF2B5EF4-FFF2-40B4-BE49-F238E27FC236}">
              <a16:creationId xmlns:a16="http://schemas.microsoft.com/office/drawing/2014/main" id="{359BEF1D-6726-492F-A445-27ED91B570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8" name="Elipse 11347">
          <a:extLst>
            <a:ext uri="{FF2B5EF4-FFF2-40B4-BE49-F238E27FC236}">
              <a16:creationId xmlns:a16="http://schemas.microsoft.com/office/drawing/2014/main" id="{A29E5CD8-A78F-4478-B8F7-0521E006A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49" name="Elipse 11348">
          <a:extLst>
            <a:ext uri="{FF2B5EF4-FFF2-40B4-BE49-F238E27FC236}">
              <a16:creationId xmlns:a16="http://schemas.microsoft.com/office/drawing/2014/main" id="{B55D1F2D-8209-46FC-8329-17D89A7F64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0" name="Elipse 11349">
          <a:extLst>
            <a:ext uri="{FF2B5EF4-FFF2-40B4-BE49-F238E27FC236}">
              <a16:creationId xmlns:a16="http://schemas.microsoft.com/office/drawing/2014/main" id="{77569691-05A0-4EE3-A17F-ACE13681EE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1" name="Elipse 11350">
          <a:extLst>
            <a:ext uri="{FF2B5EF4-FFF2-40B4-BE49-F238E27FC236}">
              <a16:creationId xmlns:a16="http://schemas.microsoft.com/office/drawing/2014/main" id="{6670AA63-0212-4493-A00A-55B6F0119E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2" name="Elipse 11351">
          <a:extLst>
            <a:ext uri="{FF2B5EF4-FFF2-40B4-BE49-F238E27FC236}">
              <a16:creationId xmlns:a16="http://schemas.microsoft.com/office/drawing/2014/main" id="{152E3632-A1C2-41AD-AA3C-F4D16EBC94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3" name="Elipse 11352">
          <a:extLst>
            <a:ext uri="{FF2B5EF4-FFF2-40B4-BE49-F238E27FC236}">
              <a16:creationId xmlns:a16="http://schemas.microsoft.com/office/drawing/2014/main" id="{5E16302C-5013-4C5A-A4CC-76BB84DF72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4" name="Elipse 11353">
          <a:extLst>
            <a:ext uri="{FF2B5EF4-FFF2-40B4-BE49-F238E27FC236}">
              <a16:creationId xmlns:a16="http://schemas.microsoft.com/office/drawing/2014/main" id="{F5476443-007B-46AE-B083-5DC29C8EC4E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5" name="Elipse 11354">
          <a:extLst>
            <a:ext uri="{FF2B5EF4-FFF2-40B4-BE49-F238E27FC236}">
              <a16:creationId xmlns:a16="http://schemas.microsoft.com/office/drawing/2014/main" id="{427246FF-AD69-4DDE-9482-919A0DABD2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6" name="Elipse 11355">
          <a:extLst>
            <a:ext uri="{FF2B5EF4-FFF2-40B4-BE49-F238E27FC236}">
              <a16:creationId xmlns:a16="http://schemas.microsoft.com/office/drawing/2014/main" id="{A387DD52-17B0-4C15-BF99-8541526F35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7" name="Elipse 11356">
          <a:extLst>
            <a:ext uri="{FF2B5EF4-FFF2-40B4-BE49-F238E27FC236}">
              <a16:creationId xmlns:a16="http://schemas.microsoft.com/office/drawing/2014/main" id="{D0710E3B-9A30-4E0F-862D-88FA5FD155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8" name="Elipse 11357">
          <a:extLst>
            <a:ext uri="{FF2B5EF4-FFF2-40B4-BE49-F238E27FC236}">
              <a16:creationId xmlns:a16="http://schemas.microsoft.com/office/drawing/2014/main" id="{A02524E0-105A-4A26-BD0C-DFDFEF8F11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59" name="Elipse 11358">
          <a:extLst>
            <a:ext uri="{FF2B5EF4-FFF2-40B4-BE49-F238E27FC236}">
              <a16:creationId xmlns:a16="http://schemas.microsoft.com/office/drawing/2014/main" id="{C9AAF882-939D-48E4-A38B-C652047BD9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0" name="Elipse 11359">
          <a:extLst>
            <a:ext uri="{FF2B5EF4-FFF2-40B4-BE49-F238E27FC236}">
              <a16:creationId xmlns:a16="http://schemas.microsoft.com/office/drawing/2014/main" id="{1929F8B7-B653-4A17-9B88-911381C5C9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1" name="Elipse 11360">
          <a:extLst>
            <a:ext uri="{FF2B5EF4-FFF2-40B4-BE49-F238E27FC236}">
              <a16:creationId xmlns:a16="http://schemas.microsoft.com/office/drawing/2014/main" id="{D7FC7286-3DFA-4F6E-B584-8C2FE94CC2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2" name="Elipse 11361">
          <a:extLst>
            <a:ext uri="{FF2B5EF4-FFF2-40B4-BE49-F238E27FC236}">
              <a16:creationId xmlns:a16="http://schemas.microsoft.com/office/drawing/2014/main" id="{096B6CCD-F182-48B2-98FE-1AF0BE0044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3" name="Elipse 11362">
          <a:extLst>
            <a:ext uri="{FF2B5EF4-FFF2-40B4-BE49-F238E27FC236}">
              <a16:creationId xmlns:a16="http://schemas.microsoft.com/office/drawing/2014/main" id="{AB913222-1676-4659-8B71-DE6BF29748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4" name="Elipse 11363">
          <a:extLst>
            <a:ext uri="{FF2B5EF4-FFF2-40B4-BE49-F238E27FC236}">
              <a16:creationId xmlns:a16="http://schemas.microsoft.com/office/drawing/2014/main" id="{F8171888-1EF0-4F80-8399-8EB85E4B4A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5" name="Elipse 11364">
          <a:extLst>
            <a:ext uri="{FF2B5EF4-FFF2-40B4-BE49-F238E27FC236}">
              <a16:creationId xmlns:a16="http://schemas.microsoft.com/office/drawing/2014/main" id="{0DD16483-FDC9-4D7E-AD56-D8612E3306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6" name="Elipse 11365">
          <a:extLst>
            <a:ext uri="{FF2B5EF4-FFF2-40B4-BE49-F238E27FC236}">
              <a16:creationId xmlns:a16="http://schemas.microsoft.com/office/drawing/2014/main" id="{3A401580-FB9D-4B02-BD18-1A7FC4E8B4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7" name="Elipse 11366">
          <a:extLst>
            <a:ext uri="{FF2B5EF4-FFF2-40B4-BE49-F238E27FC236}">
              <a16:creationId xmlns:a16="http://schemas.microsoft.com/office/drawing/2014/main" id="{5FBF86F8-741B-4D56-991B-402028D6DD5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8" name="Elipse 11367">
          <a:extLst>
            <a:ext uri="{FF2B5EF4-FFF2-40B4-BE49-F238E27FC236}">
              <a16:creationId xmlns:a16="http://schemas.microsoft.com/office/drawing/2014/main" id="{0DCE4EC4-29F2-47C4-A085-BF9EE48C14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69" name="Elipse 11368">
          <a:extLst>
            <a:ext uri="{FF2B5EF4-FFF2-40B4-BE49-F238E27FC236}">
              <a16:creationId xmlns:a16="http://schemas.microsoft.com/office/drawing/2014/main" id="{090B9F42-1354-4EFB-A434-ADCC80A8D5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0" name="Elipse 11369">
          <a:extLst>
            <a:ext uri="{FF2B5EF4-FFF2-40B4-BE49-F238E27FC236}">
              <a16:creationId xmlns:a16="http://schemas.microsoft.com/office/drawing/2014/main" id="{842D4063-9BB9-4B53-8485-4508F67627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1" name="Elipse 11370">
          <a:extLst>
            <a:ext uri="{FF2B5EF4-FFF2-40B4-BE49-F238E27FC236}">
              <a16:creationId xmlns:a16="http://schemas.microsoft.com/office/drawing/2014/main" id="{64AFFD8B-F7CF-494C-9A6B-BBCDBB72F8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2" name="Elipse 11371">
          <a:extLst>
            <a:ext uri="{FF2B5EF4-FFF2-40B4-BE49-F238E27FC236}">
              <a16:creationId xmlns:a16="http://schemas.microsoft.com/office/drawing/2014/main" id="{029AC69A-7191-4C64-AC46-69EA5BFEF7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3" name="Elipse 11372">
          <a:extLst>
            <a:ext uri="{FF2B5EF4-FFF2-40B4-BE49-F238E27FC236}">
              <a16:creationId xmlns:a16="http://schemas.microsoft.com/office/drawing/2014/main" id="{8179122A-E280-4BFD-AD6C-9FA7ABCF53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4" name="Elipse 11373">
          <a:extLst>
            <a:ext uri="{FF2B5EF4-FFF2-40B4-BE49-F238E27FC236}">
              <a16:creationId xmlns:a16="http://schemas.microsoft.com/office/drawing/2014/main" id="{BE39DF10-BFA2-4841-ABD6-887C4CBCB2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5" name="Elipse 11374">
          <a:extLst>
            <a:ext uri="{FF2B5EF4-FFF2-40B4-BE49-F238E27FC236}">
              <a16:creationId xmlns:a16="http://schemas.microsoft.com/office/drawing/2014/main" id="{264D70D0-5EC1-4048-BD3B-EB408FBAE1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6" name="Elipse 11375">
          <a:extLst>
            <a:ext uri="{FF2B5EF4-FFF2-40B4-BE49-F238E27FC236}">
              <a16:creationId xmlns:a16="http://schemas.microsoft.com/office/drawing/2014/main" id="{F37B4A36-7F94-4720-9545-CA695091C2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7" name="Elipse 11376">
          <a:extLst>
            <a:ext uri="{FF2B5EF4-FFF2-40B4-BE49-F238E27FC236}">
              <a16:creationId xmlns:a16="http://schemas.microsoft.com/office/drawing/2014/main" id="{0B1E5389-490B-4FA9-8445-FFE0FE0CC6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8" name="Elipse 11377">
          <a:extLst>
            <a:ext uri="{FF2B5EF4-FFF2-40B4-BE49-F238E27FC236}">
              <a16:creationId xmlns:a16="http://schemas.microsoft.com/office/drawing/2014/main" id="{392157E9-2684-4C92-BEEE-546F340E51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79" name="Elipse 11378">
          <a:extLst>
            <a:ext uri="{FF2B5EF4-FFF2-40B4-BE49-F238E27FC236}">
              <a16:creationId xmlns:a16="http://schemas.microsoft.com/office/drawing/2014/main" id="{303CEC1F-28F3-4EF8-8FDE-89726D1B0D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0" name="Elipse 11379">
          <a:extLst>
            <a:ext uri="{FF2B5EF4-FFF2-40B4-BE49-F238E27FC236}">
              <a16:creationId xmlns:a16="http://schemas.microsoft.com/office/drawing/2014/main" id="{633EB6E1-89BB-4A02-9D9E-0BFB006C65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1" name="Elipse 11380">
          <a:extLst>
            <a:ext uri="{FF2B5EF4-FFF2-40B4-BE49-F238E27FC236}">
              <a16:creationId xmlns:a16="http://schemas.microsoft.com/office/drawing/2014/main" id="{3D8826CF-849A-4612-BB1E-0A56C6AA53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2" name="Elipse 11381">
          <a:extLst>
            <a:ext uri="{FF2B5EF4-FFF2-40B4-BE49-F238E27FC236}">
              <a16:creationId xmlns:a16="http://schemas.microsoft.com/office/drawing/2014/main" id="{3B1C04B2-FA9A-4281-A1E5-73D94B6095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3" name="Elipse 11382">
          <a:extLst>
            <a:ext uri="{FF2B5EF4-FFF2-40B4-BE49-F238E27FC236}">
              <a16:creationId xmlns:a16="http://schemas.microsoft.com/office/drawing/2014/main" id="{241C3C1A-F908-42C4-9FE5-61B35B2E7B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4" name="Elipse 11383">
          <a:extLst>
            <a:ext uri="{FF2B5EF4-FFF2-40B4-BE49-F238E27FC236}">
              <a16:creationId xmlns:a16="http://schemas.microsoft.com/office/drawing/2014/main" id="{40A39B01-A74C-4FAE-B5C3-240B891D8C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5" name="Elipse 11384">
          <a:extLst>
            <a:ext uri="{FF2B5EF4-FFF2-40B4-BE49-F238E27FC236}">
              <a16:creationId xmlns:a16="http://schemas.microsoft.com/office/drawing/2014/main" id="{DC3DB9D8-253E-4819-BFAC-D6F08E32A0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6" name="Elipse 11385">
          <a:extLst>
            <a:ext uri="{FF2B5EF4-FFF2-40B4-BE49-F238E27FC236}">
              <a16:creationId xmlns:a16="http://schemas.microsoft.com/office/drawing/2014/main" id="{75D51E15-26CC-4337-BB85-9D69D5A767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7" name="Elipse 11386">
          <a:extLst>
            <a:ext uri="{FF2B5EF4-FFF2-40B4-BE49-F238E27FC236}">
              <a16:creationId xmlns:a16="http://schemas.microsoft.com/office/drawing/2014/main" id="{EF213477-36F5-47AF-A9F9-DB933FC005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8" name="Elipse 11387">
          <a:extLst>
            <a:ext uri="{FF2B5EF4-FFF2-40B4-BE49-F238E27FC236}">
              <a16:creationId xmlns:a16="http://schemas.microsoft.com/office/drawing/2014/main" id="{2D322B32-D1E5-4851-BD4D-251DD66863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89" name="Elipse 11388">
          <a:extLst>
            <a:ext uri="{FF2B5EF4-FFF2-40B4-BE49-F238E27FC236}">
              <a16:creationId xmlns:a16="http://schemas.microsoft.com/office/drawing/2014/main" id="{721DC030-6835-4791-9C7D-6A1591D731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0" name="Elipse 11389">
          <a:extLst>
            <a:ext uri="{FF2B5EF4-FFF2-40B4-BE49-F238E27FC236}">
              <a16:creationId xmlns:a16="http://schemas.microsoft.com/office/drawing/2014/main" id="{C4BFD32C-722A-4900-9AAD-DF38CFE5BA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1" name="Elipse 11390">
          <a:extLst>
            <a:ext uri="{FF2B5EF4-FFF2-40B4-BE49-F238E27FC236}">
              <a16:creationId xmlns:a16="http://schemas.microsoft.com/office/drawing/2014/main" id="{B50AD6D9-13A0-4FC3-9C34-DE9F993AF1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2" name="Elipse 11391">
          <a:extLst>
            <a:ext uri="{FF2B5EF4-FFF2-40B4-BE49-F238E27FC236}">
              <a16:creationId xmlns:a16="http://schemas.microsoft.com/office/drawing/2014/main" id="{6390BBA1-D137-4086-9919-00BB675E80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3" name="Elipse 11392">
          <a:extLst>
            <a:ext uri="{FF2B5EF4-FFF2-40B4-BE49-F238E27FC236}">
              <a16:creationId xmlns:a16="http://schemas.microsoft.com/office/drawing/2014/main" id="{5F742AA5-D73A-47DA-875F-B91DA454D6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4" name="Elipse 11393">
          <a:extLst>
            <a:ext uri="{FF2B5EF4-FFF2-40B4-BE49-F238E27FC236}">
              <a16:creationId xmlns:a16="http://schemas.microsoft.com/office/drawing/2014/main" id="{71F56504-D522-453A-95DC-7043D8305F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5" name="Elipse 11394">
          <a:extLst>
            <a:ext uri="{FF2B5EF4-FFF2-40B4-BE49-F238E27FC236}">
              <a16:creationId xmlns:a16="http://schemas.microsoft.com/office/drawing/2014/main" id="{551382D5-E197-4201-ACF4-DC96F41C86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6" name="Elipse 11395">
          <a:extLst>
            <a:ext uri="{FF2B5EF4-FFF2-40B4-BE49-F238E27FC236}">
              <a16:creationId xmlns:a16="http://schemas.microsoft.com/office/drawing/2014/main" id="{761B5944-6869-4A11-9B33-455AB013AC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7" name="Elipse 11396">
          <a:extLst>
            <a:ext uri="{FF2B5EF4-FFF2-40B4-BE49-F238E27FC236}">
              <a16:creationId xmlns:a16="http://schemas.microsoft.com/office/drawing/2014/main" id="{7CC941A4-4E39-4C1C-A5C5-A5842DE0C0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8" name="Elipse 11397">
          <a:extLst>
            <a:ext uri="{FF2B5EF4-FFF2-40B4-BE49-F238E27FC236}">
              <a16:creationId xmlns:a16="http://schemas.microsoft.com/office/drawing/2014/main" id="{B09B8F22-2135-4786-A3DE-C1467C78D1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399" name="Elipse 11398">
          <a:extLst>
            <a:ext uri="{FF2B5EF4-FFF2-40B4-BE49-F238E27FC236}">
              <a16:creationId xmlns:a16="http://schemas.microsoft.com/office/drawing/2014/main" id="{9B2AF556-E21A-4573-9D38-72E9CF1705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0" name="Elipse 11399">
          <a:extLst>
            <a:ext uri="{FF2B5EF4-FFF2-40B4-BE49-F238E27FC236}">
              <a16:creationId xmlns:a16="http://schemas.microsoft.com/office/drawing/2014/main" id="{63A85D56-475C-48ED-8F92-7D4CAD2C39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1" name="Elipse 11400">
          <a:extLst>
            <a:ext uri="{FF2B5EF4-FFF2-40B4-BE49-F238E27FC236}">
              <a16:creationId xmlns:a16="http://schemas.microsoft.com/office/drawing/2014/main" id="{4FD2D2E2-98FB-42CF-86A0-8404FCBB0D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2" name="Elipse 11401">
          <a:extLst>
            <a:ext uri="{FF2B5EF4-FFF2-40B4-BE49-F238E27FC236}">
              <a16:creationId xmlns:a16="http://schemas.microsoft.com/office/drawing/2014/main" id="{BD4CB182-F47D-4979-982B-D833F28DE1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3" name="Elipse 11402">
          <a:extLst>
            <a:ext uri="{FF2B5EF4-FFF2-40B4-BE49-F238E27FC236}">
              <a16:creationId xmlns:a16="http://schemas.microsoft.com/office/drawing/2014/main" id="{4196E0DC-2D4C-42D4-99E1-1B391124B1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4" name="Elipse 11403">
          <a:extLst>
            <a:ext uri="{FF2B5EF4-FFF2-40B4-BE49-F238E27FC236}">
              <a16:creationId xmlns:a16="http://schemas.microsoft.com/office/drawing/2014/main" id="{F33628B8-134F-43D9-B64E-7359C3FD9E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5" name="Elipse 11404">
          <a:extLst>
            <a:ext uri="{FF2B5EF4-FFF2-40B4-BE49-F238E27FC236}">
              <a16:creationId xmlns:a16="http://schemas.microsoft.com/office/drawing/2014/main" id="{EF09B8B2-3E28-46AF-B074-C95AF3277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6" name="Elipse 11405">
          <a:extLst>
            <a:ext uri="{FF2B5EF4-FFF2-40B4-BE49-F238E27FC236}">
              <a16:creationId xmlns:a16="http://schemas.microsoft.com/office/drawing/2014/main" id="{77BD944C-B6DB-4F0B-8ADA-E3EE9D3D7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7" name="Elipse 11406">
          <a:extLst>
            <a:ext uri="{FF2B5EF4-FFF2-40B4-BE49-F238E27FC236}">
              <a16:creationId xmlns:a16="http://schemas.microsoft.com/office/drawing/2014/main" id="{F5DDA89F-ED07-4E04-9ED1-66D1B04CE0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8" name="Elipse 11407">
          <a:extLst>
            <a:ext uri="{FF2B5EF4-FFF2-40B4-BE49-F238E27FC236}">
              <a16:creationId xmlns:a16="http://schemas.microsoft.com/office/drawing/2014/main" id="{F3BB5F6D-2917-4C4A-98DE-BA6DB4FDDAB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09" name="Elipse 11408">
          <a:extLst>
            <a:ext uri="{FF2B5EF4-FFF2-40B4-BE49-F238E27FC236}">
              <a16:creationId xmlns:a16="http://schemas.microsoft.com/office/drawing/2014/main" id="{41189083-A02A-49E8-8C74-F6F66C71A4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0" name="Elipse 11409">
          <a:extLst>
            <a:ext uri="{FF2B5EF4-FFF2-40B4-BE49-F238E27FC236}">
              <a16:creationId xmlns:a16="http://schemas.microsoft.com/office/drawing/2014/main" id="{DA26D5E6-FD0E-45D3-81F1-013876ADC0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1" name="Elipse 11410">
          <a:extLst>
            <a:ext uri="{FF2B5EF4-FFF2-40B4-BE49-F238E27FC236}">
              <a16:creationId xmlns:a16="http://schemas.microsoft.com/office/drawing/2014/main" id="{24FE3E50-344D-40B3-9EA5-1E64BB16A5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2" name="Elipse 11411">
          <a:extLst>
            <a:ext uri="{FF2B5EF4-FFF2-40B4-BE49-F238E27FC236}">
              <a16:creationId xmlns:a16="http://schemas.microsoft.com/office/drawing/2014/main" id="{B254317A-2637-4011-954A-0A833A7BCD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3" name="Elipse 11412">
          <a:extLst>
            <a:ext uri="{FF2B5EF4-FFF2-40B4-BE49-F238E27FC236}">
              <a16:creationId xmlns:a16="http://schemas.microsoft.com/office/drawing/2014/main" id="{06ECE679-5789-41E7-B985-82E5E8D5F8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4" name="Elipse 11413">
          <a:extLst>
            <a:ext uri="{FF2B5EF4-FFF2-40B4-BE49-F238E27FC236}">
              <a16:creationId xmlns:a16="http://schemas.microsoft.com/office/drawing/2014/main" id="{4AA18DDF-7A7F-4B54-A654-2A514618EC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5" name="Elipse 11414">
          <a:extLst>
            <a:ext uri="{FF2B5EF4-FFF2-40B4-BE49-F238E27FC236}">
              <a16:creationId xmlns:a16="http://schemas.microsoft.com/office/drawing/2014/main" id="{3959FF31-A09B-4D11-BA7E-E884A6DCAD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6" name="Elipse 11415">
          <a:extLst>
            <a:ext uri="{FF2B5EF4-FFF2-40B4-BE49-F238E27FC236}">
              <a16:creationId xmlns:a16="http://schemas.microsoft.com/office/drawing/2014/main" id="{D1556E25-DD1F-4D63-A3D6-76FBB0244B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7" name="Elipse 11416">
          <a:extLst>
            <a:ext uri="{FF2B5EF4-FFF2-40B4-BE49-F238E27FC236}">
              <a16:creationId xmlns:a16="http://schemas.microsoft.com/office/drawing/2014/main" id="{0A900917-51A5-4BED-94B8-294B6B15C8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8" name="Elipse 11417">
          <a:extLst>
            <a:ext uri="{FF2B5EF4-FFF2-40B4-BE49-F238E27FC236}">
              <a16:creationId xmlns:a16="http://schemas.microsoft.com/office/drawing/2014/main" id="{FC014D60-A397-4F75-AC8E-70770E844C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19" name="Elipse 11418">
          <a:extLst>
            <a:ext uri="{FF2B5EF4-FFF2-40B4-BE49-F238E27FC236}">
              <a16:creationId xmlns:a16="http://schemas.microsoft.com/office/drawing/2014/main" id="{552338C9-B805-4593-BAAA-5B850DE822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0" name="Elipse 11419">
          <a:extLst>
            <a:ext uri="{FF2B5EF4-FFF2-40B4-BE49-F238E27FC236}">
              <a16:creationId xmlns:a16="http://schemas.microsoft.com/office/drawing/2014/main" id="{5FC08A64-1747-4E8D-9E56-AD120B277E4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1" name="Elipse 11420">
          <a:extLst>
            <a:ext uri="{FF2B5EF4-FFF2-40B4-BE49-F238E27FC236}">
              <a16:creationId xmlns:a16="http://schemas.microsoft.com/office/drawing/2014/main" id="{50C22491-874B-449A-8140-107CD5ECB9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2" name="Elipse 11421">
          <a:extLst>
            <a:ext uri="{FF2B5EF4-FFF2-40B4-BE49-F238E27FC236}">
              <a16:creationId xmlns:a16="http://schemas.microsoft.com/office/drawing/2014/main" id="{239C5043-AC35-4218-9701-0D2F93FE20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3" name="Elipse 11422">
          <a:extLst>
            <a:ext uri="{FF2B5EF4-FFF2-40B4-BE49-F238E27FC236}">
              <a16:creationId xmlns:a16="http://schemas.microsoft.com/office/drawing/2014/main" id="{2FA48896-8AD3-4F72-9253-4ACBA5DC5D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4" name="Elipse 11423">
          <a:extLst>
            <a:ext uri="{FF2B5EF4-FFF2-40B4-BE49-F238E27FC236}">
              <a16:creationId xmlns:a16="http://schemas.microsoft.com/office/drawing/2014/main" id="{318656F0-A903-4CDB-B8F4-C361D5E419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5" name="Elipse 11424">
          <a:extLst>
            <a:ext uri="{FF2B5EF4-FFF2-40B4-BE49-F238E27FC236}">
              <a16:creationId xmlns:a16="http://schemas.microsoft.com/office/drawing/2014/main" id="{2CC68FCF-9F22-4968-8DCA-26364E52ED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6" name="Elipse 11425">
          <a:extLst>
            <a:ext uri="{FF2B5EF4-FFF2-40B4-BE49-F238E27FC236}">
              <a16:creationId xmlns:a16="http://schemas.microsoft.com/office/drawing/2014/main" id="{CE421D1B-FFB4-4C6B-92AB-6678E7EBFF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7" name="Elipse 11426">
          <a:extLst>
            <a:ext uri="{FF2B5EF4-FFF2-40B4-BE49-F238E27FC236}">
              <a16:creationId xmlns:a16="http://schemas.microsoft.com/office/drawing/2014/main" id="{4B1DDDE1-50B1-497B-8E1A-530A5B6963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8" name="Elipse 11427">
          <a:extLst>
            <a:ext uri="{FF2B5EF4-FFF2-40B4-BE49-F238E27FC236}">
              <a16:creationId xmlns:a16="http://schemas.microsoft.com/office/drawing/2014/main" id="{42F6A22C-06F4-4AF9-86E3-D2D42D8A65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29" name="Elipse 11428">
          <a:extLst>
            <a:ext uri="{FF2B5EF4-FFF2-40B4-BE49-F238E27FC236}">
              <a16:creationId xmlns:a16="http://schemas.microsoft.com/office/drawing/2014/main" id="{DC20AC6E-561D-44F5-99B4-D6C313918B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0" name="Elipse 11429">
          <a:extLst>
            <a:ext uri="{FF2B5EF4-FFF2-40B4-BE49-F238E27FC236}">
              <a16:creationId xmlns:a16="http://schemas.microsoft.com/office/drawing/2014/main" id="{0866CAD2-E38A-44E0-BA16-EB7ADB90B5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1" name="Elipse 11430">
          <a:extLst>
            <a:ext uri="{FF2B5EF4-FFF2-40B4-BE49-F238E27FC236}">
              <a16:creationId xmlns:a16="http://schemas.microsoft.com/office/drawing/2014/main" id="{C8C46045-B9C0-458D-A51A-7FAD22F8C8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2" name="Elipse 11431">
          <a:extLst>
            <a:ext uri="{FF2B5EF4-FFF2-40B4-BE49-F238E27FC236}">
              <a16:creationId xmlns:a16="http://schemas.microsoft.com/office/drawing/2014/main" id="{6843AB1B-6FA8-4E4C-8915-59E18BF115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3" name="Elipse 11432">
          <a:extLst>
            <a:ext uri="{FF2B5EF4-FFF2-40B4-BE49-F238E27FC236}">
              <a16:creationId xmlns:a16="http://schemas.microsoft.com/office/drawing/2014/main" id="{28E49DEC-AE09-4908-85D4-752026CC84F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4" name="Elipse 11433">
          <a:extLst>
            <a:ext uri="{FF2B5EF4-FFF2-40B4-BE49-F238E27FC236}">
              <a16:creationId xmlns:a16="http://schemas.microsoft.com/office/drawing/2014/main" id="{B41DCEF4-6A3A-468B-BB26-EA938B69F5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5" name="Elipse 11434">
          <a:extLst>
            <a:ext uri="{FF2B5EF4-FFF2-40B4-BE49-F238E27FC236}">
              <a16:creationId xmlns:a16="http://schemas.microsoft.com/office/drawing/2014/main" id="{32B81BEC-939C-43CC-B5B2-2E31528E0E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6" name="Elipse 11435">
          <a:extLst>
            <a:ext uri="{FF2B5EF4-FFF2-40B4-BE49-F238E27FC236}">
              <a16:creationId xmlns:a16="http://schemas.microsoft.com/office/drawing/2014/main" id="{3936BEBA-D7DC-4139-9570-9399A003C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7" name="Elipse 11436">
          <a:extLst>
            <a:ext uri="{FF2B5EF4-FFF2-40B4-BE49-F238E27FC236}">
              <a16:creationId xmlns:a16="http://schemas.microsoft.com/office/drawing/2014/main" id="{5B5422D2-F0DC-489C-961A-81F13F09AF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8" name="Elipse 11437">
          <a:extLst>
            <a:ext uri="{FF2B5EF4-FFF2-40B4-BE49-F238E27FC236}">
              <a16:creationId xmlns:a16="http://schemas.microsoft.com/office/drawing/2014/main" id="{035193B9-6375-423C-AD3D-F6FF625D2B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39" name="Elipse 11438">
          <a:extLst>
            <a:ext uri="{FF2B5EF4-FFF2-40B4-BE49-F238E27FC236}">
              <a16:creationId xmlns:a16="http://schemas.microsoft.com/office/drawing/2014/main" id="{4FDD2974-285A-43AD-B94E-9BAC68441E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0" name="Elipse 11439">
          <a:extLst>
            <a:ext uri="{FF2B5EF4-FFF2-40B4-BE49-F238E27FC236}">
              <a16:creationId xmlns:a16="http://schemas.microsoft.com/office/drawing/2014/main" id="{DC1865A8-F339-491A-B228-FEBEEC1343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1" name="Elipse 11440">
          <a:extLst>
            <a:ext uri="{FF2B5EF4-FFF2-40B4-BE49-F238E27FC236}">
              <a16:creationId xmlns:a16="http://schemas.microsoft.com/office/drawing/2014/main" id="{1C5DFA3D-998F-4D47-A20F-D4FF5B2B96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2" name="Elipse 11441">
          <a:extLst>
            <a:ext uri="{FF2B5EF4-FFF2-40B4-BE49-F238E27FC236}">
              <a16:creationId xmlns:a16="http://schemas.microsoft.com/office/drawing/2014/main" id="{01A65B04-C5D4-4A45-978D-2052A57A0E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3" name="Elipse 11442">
          <a:extLst>
            <a:ext uri="{FF2B5EF4-FFF2-40B4-BE49-F238E27FC236}">
              <a16:creationId xmlns:a16="http://schemas.microsoft.com/office/drawing/2014/main" id="{589D84D7-FB16-4953-BF39-850F2CEB6E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4" name="Elipse 11443">
          <a:extLst>
            <a:ext uri="{FF2B5EF4-FFF2-40B4-BE49-F238E27FC236}">
              <a16:creationId xmlns:a16="http://schemas.microsoft.com/office/drawing/2014/main" id="{E2C85CD6-1376-4D5F-A573-5E04CCFC44E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5" name="Elipse 11444">
          <a:extLst>
            <a:ext uri="{FF2B5EF4-FFF2-40B4-BE49-F238E27FC236}">
              <a16:creationId xmlns:a16="http://schemas.microsoft.com/office/drawing/2014/main" id="{CB3B36FF-FA5E-47A0-B0B8-29AA84DE7C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6" name="Elipse 11445">
          <a:extLst>
            <a:ext uri="{FF2B5EF4-FFF2-40B4-BE49-F238E27FC236}">
              <a16:creationId xmlns:a16="http://schemas.microsoft.com/office/drawing/2014/main" id="{7984100E-5226-4958-B7E7-9C93997CCD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7" name="Elipse 11446">
          <a:extLst>
            <a:ext uri="{FF2B5EF4-FFF2-40B4-BE49-F238E27FC236}">
              <a16:creationId xmlns:a16="http://schemas.microsoft.com/office/drawing/2014/main" id="{365B198C-E9EA-477D-82FD-4674336E18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8" name="Elipse 11447">
          <a:extLst>
            <a:ext uri="{FF2B5EF4-FFF2-40B4-BE49-F238E27FC236}">
              <a16:creationId xmlns:a16="http://schemas.microsoft.com/office/drawing/2014/main" id="{370799AE-D479-462D-8986-FB648450BB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49" name="Elipse 11448">
          <a:extLst>
            <a:ext uri="{FF2B5EF4-FFF2-40B4-BE49-F238E27FC236}">
              <a16:creationId xmlns:a16="http://schemas.microsoft.com/office/drawing/2014/main" id="{13E418A0-01B7-4B6E-B0DB-40EDFD56FE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0" name="Elipse 11449">
          <a:extLst>
            <a:ext uri="{FF2B5EF4-FFF2-40B4-BE49-F238E27FC236}">
              <a16:creationId xmlns:a16="http://schemas.microsoft.com/office/drawing/2014/main" id="{88C41082-DA24-4BB3-BFCA-B0FB078F10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1" name="Elipse 11450">
          <a:extLst>
            <a:ext uri="{FF2B5EF4-FFF2-40B4-BE49-F238E27FC236}">
              <a16:creationId xmlns:a16="http://schemas.microsoft.com/office/drawing/2014/main" id="{8142B644-E7EF-4FFE-95F5-5E4BF7B1DF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2" name="Elipse 11451">
          <a:extLst>
            <a:ext uri="{FF2B5EF4-FFF2-40B4-BE49-F238E27FC236}">
              <a16:creationId xmlns:a16="http://schemas.microsoft.com/office/drawing/2014/main" id="{12621F14-A4BA-4265-B638-774F0CFA37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3" name="Elipse 11452">
          <a:extLst>
            <a:ext uri="{FF2B5EF4-FFF2-40B4-BE49-F238E27FC236}">
              <a16:creationId xmlns:a16="http://schemas.microsoft.com/office/drawing/2014/main" id="{6247EBCC-A631-41C3-AA92-C0C8C7FAF4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4" name="Elipse 11453">
          <a:extLst>
            <a:ext uri="{FF2B5EF4-FFF2-40B4-BE49-F238E27FC236}">
              <a16:creationId xmlns:a16="http://schemas.microsoft.com/office/drawing/2014/main" id="{32DF4622-38C0-4886-BE62-CBB4AE9B15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5" name="Elipse 11454">
          <a:extLst>
            <a:ext uri="{FF2B5EF4-FFF2-40B4-BE49-F238E27FC236}">
              <a16:creationId xmlns:a16="http://schemas.microsoft.com/office/drawing/2014/main" id="{AFADE049-3B76-4900-90C7-AC6AEFE92A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6" name="Elipse 11455">
          <a:extLst>
            <a:ext uri="{FF2B5EF4-FFF2-40B4-BE49-F238E27FC236}">
              <a16:creationId xmlns:a16="http://schemas.microsoft.com/office/drawing/2014/main" id="{D8417AE3-248C-4B12-976D-284CECC8A6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7" name="Elipse 11456">
          <a:extLst>
            <a:ext uri="{FF2B5EF4-FFF2-40B4-BE49-F238E27FC236}">
              <a16:creationId xmlns:a16="http://schemas.microsoft.com/office/drawing/2014/main" id="{5088A1DD-BB78-4D77-9F47-2ED0D8053C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8" name="Elipse 11457">
          <a:extLst>
            <a:ext uri="{FF2B5EF4-FFF2-40B4-BE49-F238E27FC236}">
              <a16:creationId xmlns:a16="http://schemas.microsoft.com/office/drawing/2014/main" id="{FB7CA9FF-07A9-4967-94C9-663AC92FDC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59" name="Elipse 11458">
          <a:extLst>
            <a:ext uri="{FF2B5EF4-FFF2-40B4-BE49-F238E27FC236}">
              <a16:creationId xmlns:a16="http://schemas.microsoft.com/office/drawing/2014/main" id="{C4EC3CF0-E691-44D0-8C68-FA2BE99511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0" name="Elipse 11459">
          <a:extLst>
            <a:ext uri="{FF2B5EF4-FFF2-40B4-BE49-F238E27FC236}">
              <a16:creationId xmlns:a16="http://schemas.microsoft.com/office/drawing/2014/main" id="{E285D60F-7CFD-4790-94B5-B9650AD7C2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1" name="Elipse 11460">
          <a:extLst>
            <a:ext uri="{FF2B5EF4-FFF2-40B4-BE49-F238E27FC236}">
              <a16:creationId xmlns:a16="http://schemas.microsoft.com/office/drawing/2014/main" id="{525EE536-5F63-400A-95BB-3FA0BDCBE9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2" name="Elipse 11461">
          <a:extLst>
            <a:ext uri="{FF2B5EF4-FFF2-40B4-BE49-F238E27FC236}">
              <a16:creationId xmlns:a16="http://schemas.microsoft.com/office/drawing/2014/main" id="{0CBEBE5C-E891-45DA-AA39-5EE3EAA19B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3" name="Elipse 11462">
          <a:extLst>
            <a:ext uri="{FF2B5EF4-FFF2-40B4-BE49-F238E27FC236}">
              <a16:creationId xmlns:a16="http://schemas.microsoft.com/office/drawing/2014/main" id="{5F60B300-F91E-4404-946B-0BF571202B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4" name="Elipse 11463">
          <a:extLst>
            <a:ext uri="{FF2B5EF4-FFF2-40B4-BE49-F238E27FC236}">
              <a16:creationId xmlns:a16="http://schemas.microsoft.com/office/drawing/2014/main" id="{302578EB-2514-4881-9396-C818BF8A60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5" name="Elipse 11464">
          <a:extLst>
            <a:ext uri="{FF2B5EF4-FFF2-40B4-BE49-F238E27FC236}">
              <a16:creationId xmlns:a16="http://schemas.microsoft.com/office/drawing/2014/main" id="{7AB24E12-E13A-47C3-8A31-AAC61928FE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6" name="Elipse 11465">
          <a:extLst>
            <a:ext uri="{FF2B5EF4-FFF2-40B4-BE49-F238E27FC236}">
              <a16:creationId xmlns:a16="http://schemas.microsoft.com/office/drawing/2014/main" id="{36EE6F53-14DA-4C1C-869B-3B30DC5E85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7" name="Elipse 11466">
          <a:extLst>
            <a:ext uri="{FF2B5EF4-FFF2-40B4-BE49-F238E27FC236}">
              <a16:creationId xmlns:a16="http://schemas.microsoft.com/office/drawing/2014/main" id="{9F8A6DB6-D278-4620-8123-2FE88BE3B3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8" name="Elipse 11467">
          <a:extLst>
            <a:ext uri="{FF2B5EF4-FFF2-40B4-BE49-F238E27FC236}">
              <a16:creationId xmlns:a16="http://schemas.microsoft.com/office/drawing/2014/main" id="{30F81307-68B1-4831-BFDF-E69F769337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69" name="Elipse 11468">
          <a:extLst>
            <a:ext uri="{FF2B5EF4-FFF2-40B4-BE49-F238E27FC236}">
              <a16:creationId xmlns:a16="http://schemas.microsoft.com/office/drawing/2014/main" id="{19EBD3DD-AF65-4692-A36A-D937C1410A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0" name="Elipse 11469">
          <a:extLst>
            <a:ext uri="{FF2B5EF4-FFF2-40B4-BE49-F238E27FC236}">
              <a16:creationId xmlns:a16="http://schemas.microsoft.com/office/drawing/2014/main" id="{3387B833-AB05-452F-93BD-E43577A343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1" name="Elipse 11470">
          <a:extLst>
            <a:ext uri="{FF2B5EF4-FFF2-40B4-BE49-F238E27FC236}">
              <a16:creationId xmlns:a16="http://schemas.microsoft.com/office/drawing/2014/main" id="{F946D01B-7D2B-421F-81C3-E802734713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2" name="Elipse 11471">
          <a:extLst>
            <a:ext uri="{FF2B5EF4-FFF2-40B4-BE49-F238E27FC236}">
              <a16:creationId xmlns:a16="http://schemas.microsoft.com/office/drawing/2014/main" id="{0719D5B4-EA0C-47BA-90E2-901B9E76EE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3" name="Elipse 11472">
          <a:extLst>
            <a:ext uri="{FF2B5EF4-FFF2-40B4-BE49-F238E27FC236}">
              <a16:creationId xmlns:a16="http://schemas.microsoft.com/office/drawing/2014/main" id="{D96D96A8-101B-40FB-A025-AC5E1CFAF4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4" name="Elipse 11473">
          <a:extLst>
            <a:ext uri="{FF2B5EF4-FFF2-40B4-BE49-F238E27FC236}">
              <a16:creationId xmlns:a16="http://schemas.microsoft.com/office/drawing/2014/main" id="{5A0E0ACD-BCA0-4631-99A1-8FA30A055F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5" name="Elipse 11474">
          <a:extLst>
            <a:ext uri="{FF2B5EF4-FFF2-40B4-BE49-F238E27FC236}">
              <a16:creationId xmlns:a16="http://schemas.microsoft.com/office/drawing/2014/main" id="{C3BA91C9-8201-43E4-B2B2-797BAEA634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6" name="Elipse 11475">
          <a:extLst>
            <a:ext uri="{FF2B5EF4-FFF2-40B4-BE49-F238E27FC236}">
              <a16:creationId xmlns:a16="http://schemas.microsoft.com/office/drawing/2014/main" id="{D3D8EF5A-6E2D-4DC5-A328-44470FAC31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7" name="Elipse 11476">
          <a:extLst>
            <a:ext uri="{FF2B5EF4-FFF2-40B4-BE49-F238E27FC236}">
              <a16:creationId xmlns:a16="http://schemas.microsoft.com/office/drawing/2014/main" id="{B4DA0DB9-D7D5-455E-9073-EEAA4D01F0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8" name="Elipse 11477">
          <a:extLst>
            <a:ext uri="{FF2B5EF4-FFF2-40B4-BE49-F238E27FC236}">
              <a16:creationId xmlns:a16="http://schemas.microsoft.com/office/drawing/2014/main" id="{406F2870-D09A-425C-925E-2ABC7F3DDA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79" name="Elipse 11478">
          <a:extLst>
            <a:ext uri="{FF2B5EF4-FFF2-40B4-BE49-F238E27FC236}">
              <a16:creationId xmlns:a16="http://schemas.microsoft.com/office/drawing/2014/main" id="{7D4D0431-47BF-4E39-A3B7-5BC6667BA1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0" name="Elipse 11479">
          <a:extLst>
            <a:ext uri="{FF2B5EF4-FFF2-40B4-BE49-F238E27FC236}">
              <a16:creationId xmlns:a16="http://schemas.microsoft.com/office/drawing/2014/main" id="{C8CFF0E0-4367-492E-9524-2C800CD2FF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1" name="Elipse 11480">
          <a:extLst>
            <a:ext uri="{FF2B5EF4-FFF2-40B4-BE49-F238E27FC236}">
              <a16:creationId xmlns:a16="http://schemas.microsoft.com/office/drawing/2014/main" id="{3EAC42D0-66EA-48D3-9312-9E14F9F3A9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2" name="Elipse 11481">
          <a:extLst>
            <a:ext uri="{FF2B5EF4-FFF2-40B4-BE49-F238E27FC236}">
              <a16:creationId xmlns:a16="http://schemas.microsoft.com/office/drawing/2014/main" id="{8BD8518E-44B7-4799-8BC9-4AC1883CFE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3" name="Elipse 11482">
          <a:extLst>
            <a:ext uri="{FF2B5EF4-FFF2-40B4-BE49-F238E27FC236}">
              <a16:creationId xmlns:a16="http://schemas.microsoft.com/office/drawing/2014/main" id="{C774D678-736F-407A-897D-5C1E3D9B22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4" name="Elipse 11483">
          <a:extLst>
            <a:ext uri="{FF2B5EF4-FFF2-40B4-BE49-F238E27FC236}">
              <a16:creationId xmlns:a16="http://schemas.microsoft.com/office/drawing/2014/main" id="{72BAE7F5-A6AA-49B7-A10F-97CC9E330D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5" name="Elipse 11484">
          <a:extLst>
            <a:ext uri="{FF2B5EF4-FFF2-40B4-BE49-F238E27FC236}">
              <a16:creationId xmlns:a16="http://schemas.microsoft.com/office/drawing/2014/main" id="{045C10FD-3364-4C0E-9E75-52149D5D64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6" name="Elipse 11485">
          <a:extLst>
            <a:ext uri="{FF2B5EF4-FFF2-40B4-BE49-F238E27FC236}">
              <a16:creationId xmlns:a16="http://schemas.microsoft.com/office/drawing/2014/main" id="{7F23F406-BAB2-4D52-85AA-B6BD313400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7" name="Elipse 11486">
          <a:extLst>
            <a:ext uri="{FF2B5EF4-FFF2-40B4-BE49-F238E27FC236}">
              <a16:creationId xmlns:a16="http://schemas.microsoft.com/office/drawing/2014/main" id="{6573073D-B442-4A02-9FE6-7B442CB00B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8" name="Elipse 11487">
          <a:extLst>
            <a:ext uri="{FF2B5EF4-FFF2-40B4-BE49-F238E27FC236}">
              <a16:creationId xmlns:a16="http://schemas.microsoft.com/office/drawing/2014/main" id="{3A5DCD88-79F5-44E1-A9F8-FBB856AFFE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89" name="Elipse 11488">
          <a:extLst>
            <a:ext uri="{FF2B5EF4-FFF2-40B4-BE49-F238E27FC236}">
              <a16:creationId xmlns:a16="http://schemas.microsoft.com/office/drawing/2014/main" id="{94122C4B-BC4F-4006-8B78-552FBC78C2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0" name="Elipse 11489">
          <a:extLst>
            <a:ext uri="{FF2B5EF4-FFF2-40B4-BE49-F238E27FC236}">
              <a16:creationId xmlns:a16="http://schemas.microsoft.com/office/drawing/2014/main" id="{FDE82037-F4D6-4D3F-BF6D-C2930D8755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1" name="Elipse 11490">
          <a:extLst>
            <a:ext uri="{FF2B5EF4-FFF2-40B4-BE49-F238E27FC236}">
              <a16:creationId xmlns:a16="http://schemas.microsoft.com/office/drawing/2014/main" id="{86A49F78-AE8D-4C7C-9EFB-0169D649F8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2" name="Elipse 11491">
          <a:extLst>
            <a:ext uri="{FF2B5EF4-FFF2-40B4-BE49-F238E27FC236}">
              <a16:creationId xmlns:a16="http://schemas.microsoft.com/office/drawing/2014/main" id="{763D1063-815F-4280-B4A9-DA1D53B552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3" name="Elipse 11492">
          <a:extLst>
            <a:ext uri="{FF2B5EF4-FFF2-40B4-BE49-F238E27FC236}">
              <a16:creationId xmlns:a16="http://schemas.microsoft.com/office/drawing/2014/main" id="{D125D4C9-03A3-4A04-A31F-05E222E086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4" name="Elipse 11493">
          <a:extLst>
            <a:ext uri="{FF2B5EF4-FFF2-40B4-BE49-F238E27FC236}">
              <a16:creationId xmlns:a16="http://schemas.microsoft.com/office/drawing/2014/main" id="{2F64F6A6-A0B2-486B-8DB7-C6C2DD3516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5" name="Elipse 11494">
          <a:extLst>
            <a:ext uri="{FF2B5EF4-FFF2-40B4-BE49-F238E27FC236}">
              <a16:creationId xmlns:a16="http://schemas.microsoft.com/office/drawing/2014/main" id="{E6C5EF69-595E-424F-892A-8ED5945024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6" name="Elipse 11495">
          <a:extLst>
            <a:ext uri="{FF2B5EF4-FFF2-40B4-BE49-F238E27FC236}">
              <a16:creationId xmlns:a16="http://schemas.microsoft.com/office/drawing/2014/main" id="{08B08E29-C18B-46C1-AA03-4730C9C9D0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7" name="Elipse 11496">
          <a:extLst>
            <a:ext uri="{FF2B5EF4-FFF2-40B4-BE49-F238E27FC236}">
              <a16:creationId xmlns:a16="http://schemas.microsoft.com/office/drawing/2014/main" id="{CE8F9360-1598-40FD-983E-D6BAAFC158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8" name="Elipse 11497">
          <a:extLst>
            <a:ext uri="{FF2B5EF4-FFF2-40B4-BE49-F238E27FC236}">
              <a16:creationId xmlns:a16="http://schemas.microsoft.com/office/drawing/2014/main" id="{FD365CDE-D4DD-478D-AAC2-4C151F3E9D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499" name="Elipse 11498">
          <a:extLst>
            <a:ext uri="{FF2B5EF4-FFF2-40B4-BE49-F238E27FC236}">
              <a16:creationId xmlns:a16="http://schemas.microsoft.com/office/drawing/2014/main" id="{9C06E094-2EC7-4CF2-9577-91D4FEEACA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0" name="Elipse 11499">
          <a:extLst>
            <a:ext uri="{FF2B5EF4-FFF2-40B4-BE49-F238E27FC236}">
              <a16:creationId xmlns:a16="http://schemas.microsoft.com/office/drawing/2014/main" id="{AC11EB19-68CA-49E5-BB2A-3819B7E86E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1" name="Elipse 11500">
          <a:extLst>
            <a:ext uri="{FF2B5EF4-FFF2-40B4-BE49-F238E27FC236}">
              <a16:creationId xmlns:a16="http://schemas.microsoft.com/office/drawing/2014/main" id="{53871719-97B0-4CFD-A31D-6B9B86DCF8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2" name="Elipse 11501">
          <a:extLst>
            <a:ext uri="{FF2B5EF4-FFF2-40B4-BE49-F238E27FC236}">
              <a16:creationId xmlns:a16="http://schemas.microsoft.com/office/drawing/2014/main" id="{6298A440-67B9-4BDB-B56A-C1E94F6201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3" name="Elipse 11502">
          <a:extLst>
            <a:ext uri="{FF2B5EF4-FFF2-40B4-BE49-F238E27FC236}">
              <a16:creationId xmlns:a16="http://schemas.microsoft.com/office/drawing/2014/main" id="{7450A3D3-304B-449C-A0E6-2C29DF6F69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4" name="Elipse 11503">
          <a:extLst>
            <a:ext uri="{FF2B5EF4-FFF2-40B4-BE49-F238E27FC236}">
              <a16:creationId xmlns:a16="http://schemas.microsoft.com/office/drawing/2014/main" id="{63B11BC7-479F-48A6-A1BA-C64346E327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5" name="Elipse 11504">
          <a:extLst>
            <a:ext uri="{FF2B5EF4-FFF2-40B4-BE49-F238E27FC236}">
              <a16:creationId xmlns:a16="http://schemas.microsoft.com/office/drawing/2014/main" id="{438F8499-D826-4E2F-A992-3F56BC214F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6" name="Elipse 11505">
          <a:extLst>
            <a:ext uri="{FF2B5EF4-FFF2-40B4-BE49-F238E27FC236}">
              <a16:creationId xmlns:a16="http://schemas.microsoft.com/office/drawing/2014/main" id="{E8FC65EB-CDE2-4B5B-8761-9BCF0978AD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7" name="Elipse 11506">
          <a:extLst>
            <a:ext uri="{FF2B5EF4-FFF2-40B4-BE49-F238E27FC236}">
              <a16:creationId xmlns:a16="http://schemas.microsoft.com/office/drawing/2014/main" id="{417AA2CC-2501-45CF-B4FC-F9E4E8BB088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8" name="Elipse 11507">
          <a:extLst>
            <a:ext uri="{FF2B5EF4-FFF2-40B4-BE49-F238E27FC236}">
              <a16:creationId xmlns:a16="http://schemas.microsoft.com/office/drawing/2014/main" id="{9230B428-90A3-4561-8A07-C52339C580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09" name="Elipse 11508">
          <a:extLst>
            <a:ext uri="{FF2B5EF4-FFF2-40B4-BE49-F238E27FC236}">
              <a16:creationId xmlns:a16="http://schemas.microsoft.com/office/drawing/2014/main" id="{A89E44B1-2FBC-4D88-9B15-86C61A2637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0" name="Elipse 11509">
          <a:extLst>
            <a:ext uri="{FF2B5EF4-FFF2-40B4-BE49-F238E27FC236}">
              <a16:creationId xmlns:a16="http://schemas.microsoft.com/office/drawing/2014/main" id="{510DB26A-EB3F-4E60-9191-C0CF5D1CAA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1" name="Elipse 11510">
          <a:extLst>
            <a:ext uri="{FF2B5EF4-FFF2-40B4-BE49-F238E27FC236}">
              <a16:creationId xmlns:a16="http://schemas.microsoft.com/office/drawing/2014/main" id="{EBC7D4D0-2385-4F79-A0A6-478E2684C5C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2" name="Elipse 11511">
          <a:extLst>
            <a:ext uri="{FF2B5EF4-FFF2-40B4-BE49-F238E27FC236}">
              <a16:creationId xmlns:a16="http://schemas.microsoft.com/office/drawing/2014/main" id="{34E278C8-C606-4481-A5E1-63C8807722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3" name="Elipse 11512">
          <a:extLst>
            <a:ext uri="{FF2B5EF4-FFF2-40B4-BE49-F238E27FC236}">
              <a16:creationId xmlns:a16="http://schemas.microsoft.com/office/drawing/2014/main" id="{EA38D041-70A0-49F9-A0E5-A206CE466A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4" name="Elipse 11513">
          <a:extLst>
            <a:ext uri="{FF2B5EF4-FFF2-40B4-BE49-F238E27FC236}">
              <a16:creationId xmlns:a16="http://schemas.microsoft.com/office/drawing/2014/main" id="{507A3EF7-C50B-49BC-B2B3-463E62D4C6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5" name="Elipse 11514">
          <a:extLst>
            <a:ext uri="{FF2B5EF4-FFF2-40B4-BE49-F238E27FC236}">
              <a16:creationId xmlns:a16="http://schemas.microsoft.com/office/drawing/2014/main" id="{03210F9D-2BF0-4E35-ABFC-985DA2B4EA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6" name="Elipse 11515">
          <a:extLst>
            <a:ext uri="{FF2B5EF4-FFF2-40B4-BE49-F238E27FC236}">
              <a16:creationId xmlns:a16="http://schemas.microsoft.com/office/drawing/2014/main" id="{1A401221-76C6-4917-818E-887470A9B6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7" name="Elipse 11516">
          <a:extLst>
            <a:ext uri="{FF2B5EF4-FFF2-40B4-BE49-F238E27FC236}">
              <a16:creationId xmlns:a16="http://schemas.microsoft.com/office/drawing/2014/main" id="{692EB08E-1B36-419B-97B3-AE74A50DAB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8" name="Elipse 11517">
          <a:extLst>
            <a:ext uri="{FF2B5EF4-FFF2-40B4-BE49-F238E27FC236}">
              <a16:creationId xmlns:a16="http://schemas.microsoft.com/office/drawing/2014/main" id="{C9346CA1-4D4A-4DCC-A661-8C9FB7CBE6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19" name="Elipse 11518">
          <a:extLst>
            <a:ext uri="{FF2B5EF4-FFF2-40B4-BE49-F238E27FC236}">
              <a16:creationId xmlns:a16="http://schemas.microsoft.com/office/drawing/2014/main" id="{46404BAB-9D35-4F47-A4A0-C497614D35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0" name="Elipse 11519">
          <a:extLst>
            <a:ext uri="{FF2B5EF4-FFF2-40B4-BE49-F238E27FC236}">
              <a16:creationId xmlns:a16="http://schemas.microsoft.com/office/drawing/2014/main" id="{EF6C5DED-0E77-48B0-A9E5-671EB47D3F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1" name="Elipse 11520">
          <a:extLst>
            <a:ext uri="{FF2B5EF4-FFF2-40B4-BE49-F238E27FC236}">
              <a16:creationId xmlns:a16="http://schemas.microsoft.com/office/drawing/2014/main" id="{D03256CD-B6F2-4892-AF16-DBEE2A8313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2" name="Elipse 11521">
          <a:extLst>
            <a:ext uri="{FF2B5EF4-FFF2-40B4-BE49-F238E27FC236}">
              <a16:creationId xmlns:a16="http://schemas.microsoft.com/office/drawing/2014/main" id="{4CF87A59-8E59-4ACC-A6D1-FCED132E22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3" name="Elipse 11522">
          <a:extLst>
            <a:ext uri="{FF2B5EF4-FFF2-40B4-BE49-F238E27FC236}">
              <a16:creationId xmlns:a16="http://schemas.microsoft.com/office/drawing/2014/main" id="{744F63AF-3BBF-41F8-A3C4-1AA9A38AFD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4" name="Elipse 11523">
          <a:extLst>
            <a:ext uri="{FF2B5EF4-FFF2-40B4-BE49-F238E27FC236}">
              <a16:creationId xmlns:a16="http://schemas.microsoft.com/office/drawing/2014/main" id="{90E7287D-1CF6-4193-BA81-99C0398FA7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5" name="Elipse 11524">
          <a:extLst>
            <a:ext uri="{FF2B5EF4-FFF2-40B4-BE49-F238E27FC236}">
              <a16:creationId xmlns:a16="http://schemas.microsoft.com/office/drawing/2014/main" id="{2B6C78CD-4F82-4717-9DA5-C68EC54704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6" name="Elipse 11525">
          <a:extLst>
            <a:ext uri="{FF2B5EF4-FFF2-40B4-BE49-F238E27FC236}">
              <a16:creationId xmlns:a16="http://schemas.microsoft.com/office/drawing/2014/main" id="{97279E2F-33EA-487F-8FB4-85C8A777FE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7" name="Elipse 11526">
          <a:extLst>
            <a:ext uri="{FF2B5EF4-FFF2-40B4-BE49-F238E27FC236}">
              <a16:creationId xmlns:a16="http://schemas.microsoft.com/office/drawing/2014/main" id="{44424564-8553-4FA7-82E9-737E1EDB6C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8" name="Elipse 11527">
          <a:extLst>
            <a:ext uri="{FF2B5EF4-FFF2-40B4-BE49-F238E27FC236}">
              <a16:creationId xmlns:a16="http://schemas.microsoft.com/office/drawing/2014/main" id="{A15AC188-D1AA-4A21-9E34-15BC410454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29" name="Elipse 11528">
          <a:extLst>
            <a:ext uri="{FF2B5EF4-FFF2-40B4-BE49-F238E27FC236}">
              <a16:creationId xmlns:a16="http://schemas.microsoft.com/office/drawing/2014/main" id="{5109EE40-554D-4F26-9AF0-FA03DD4D7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0" name="Elipse 11529">
          <a:extLst>
            <a:ext uri="{FF2B5EF4-FFF2-40B4-BE49-F238E27FC236}">
              <a16:creationId xmlns:a16="http://schemas.microsoft.com/office/drawing/2014/main" id="{E66E28F3-FBFD-4556-80F7-7FDD5B3034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1" name="Elipse 11530">
          <a:extLst>
            <a:ext uri="{FF2B5EF4-FFF2-40B4-BE49-F238E27FC236}">
              <a16:creationId xmlns:a16="http://schemas.microsoft.com/office/drawing/2014/main" id="{A2FCEF8D-6D73-4BE8-A35A-F8A7FEAD5E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2" name="Elipse 11531">
          <a:extLst>
            <a:ext uri="{FF2B5EF4-FFF2-40B4-BE49-F238E27FC236}">
              <a16:creationId xmlns:a16="http://schemas.microsoft.com/office/drawing/2014/main" id="{12CBEC83-CC79-4A26-B02D-1FBED491F4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3" name="Elipse 11532">
          <a:extLst>
            <a:ext uri="{FF2B5EF4-FFF2-40B4-BE49-F238E27FC236}">
              <a16:creationId xmlns:a16="http://schemas.microsoft.com/office/drawing/2014/main" id="{D23560B8-EA06-4A56-9794-8F26481029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4" name="Elipse 11533">
          <a:extLst>
            <a:ext uri="{FF2B5EF4-FFF2-40B4-BE49-F238E27FC236}">
              <a16:creationId xmlns:a16="http://schemas.microsoft.com/office/drawing/2014/main" id="{43C25432-7457-418E-AB8A-98729A72ED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5" name="Elipse 11534">
          <a:extLst>
            <a:ext uri="{FF2B5EF4-FFF2-40B4-BE49-F238E27FC236}">
              <a16:creationId xmlns:a16="http://schemas.microsoft.com/office/drawing/2014/main" id="{3093AE04-E035-404E-A45A-7345AFA7D7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6" name="Elipse 11535">
          <a:extLst>
            <a:ext uri="{FF2B5EF4-FFF2-40B4-BE49-F238E27FC236}">
              <a16:creationId xmlns:a16="http://schemas.microsoft.com/office/drawing/2014/main" id="{F21D517D-1578-4356-97D8-C5CF8EF860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7" name="Elipse 11536">
          <a:extLst>
            <a:ext uri="{FF2B5EF4-FFF2-40B4-BE49-F238E27FC236}">
              <a16:creationId xmlns:a16="http://schemas.microsoft.com/office/drawing/2014/main" id="{49C47652-C7EA-45CC-A158-739EF600FB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8" name="Elipse 11537">
          <a:extLst>
            <a:ext uri="{FF2B5EF4-FFF2-40B4-BE49-F238E27FC236}">
              <a16:creationId xmlns:a16="http://schemas.microsoft.com/office/drawing/2014/main" id="{F5DF7F3E-74AB-4A48-8727-CA2531655D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39" name="Elipse 11538">
          <a:extLst>
            <a:ext uri="{FF2B5EF4-FFF2-40B4-BE49-F238E27FC236}">
              <a16:creationId xmlns:a16="http://schemas.microsoft.com/office/drawing/2014/main" id="{6CF51F28-8952-4D86-ABCF-FAD8A0DBEB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0" name="Elipse 11539">
          <a:extLst>
            <a:ext uri="{FF2B5EF4-FFF2-40B4-BE49-F238E27FC236}">
              <a16:creationId xmlns:a16="http://schemas.microsoft.com/office/drawing/2014/main" id="{F476E4E2-8E3A-427F-9FBF-8D6694E888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1" name="Elipse 11540">
          <a:extLst>
            <a:ext uri="{FF2B5EF4-FFF2-40B4-BE49-F238E27FC236}">
              <a16:creationId xmlns:a16="http://schemas.microsoft.com/office/drawing/2014/main" id="{1FE2C8D7-2B9E-493E-80B1-F4B576CD71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2" name="Elipse 11541">
          <a:extLst>
            <a:ext uri="{FF2B5EF4-FFF2-40B4-BE49-F238E27FC236}">
              <a16:creationId xmlns:a16="http://schemas.microsoft.com/office/drawing/2014/main" id="{F374324C-7120-407F-914B-784250A287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3" name="Elipse 11542">
          <a:extLst>
            <a:ext uri="{FF2B5EF4-FFF2-40B4-BE49-F238E27FC236}">
              <a16:creationId xmlns:a16="http://schemas.microsoft.com/office/drawing/2014/main" id="{45096886-EF32-438D-BABA-AEB8BEBF8B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4" name="Elipse 11543">
          <a:extLst>
            <a:ext uri="{FF2B5EF4-FFF2-40B4-BE49-F238E27FC236}">
              <a16:creationId xmlns:a16="http://schemas.microsoft.com/office/drawing/2014/main" id="{D2D6AB7A-5503-402D-8414-F842A84AF9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5" name="Elipse 11544">
          <a:extLst>
            <a:ext uri="{FF2B5EF4-FFF2-40B4-BE49-F238E27FC236}">
              <a16:creationId xmlns:a16="http://schemas.microsoft.com/office/drawing/2014/main" id="{A0DC090B-BB77-454C-B175-4059FC1C0B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6" name="Elipse 11545">
          <a:extLst>
            <a:ext uri="{FF2B5EF4-FFF2-40B4-BE49-F238E27FC236}">
              <a16:creationId xmlns:a16="http://schemas.microsoft.com/office/drawing/2014/main" id="{872F239C-DB86-4BF5-A2E1-FCDAA5A968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7" name="Elipse 11546">
          <a:extLst>
            <a:ext uri="{FF2B5EF4-FFF2-40B4-BE49-F238E27FC236}">
              <a16:creationId xmlns:a16="http://schemas.microsoft.com/office/drawing/2014/main" id="{091F5A38-C4DC-4354-90A6-2F8CDED4FD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8" name="Elipse 11547">
          <a:extLst>
            <a:ext uri="{FF2B5EF4-FFF2-40B4-BE49-F238E27FC236}">
              <a16:creationId xmlns:a16="http://schemas.microsoft.com/office/drawing/2014/main" id="{A4C74F5C-8FD0-4F21-AE0F-A212B30D57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49" name="Elipse 11548">
          <a:extLst>
            <a:ext uri="{FF2B5EF4-FFF2-40B4-BE49-F238E27FC236}">
              <a16:creationId xmlns:a16="http://schemas.microsoft.com/office/drawing/2014/main" id="{E6C9D285-AFF3-4DE1-BF65-13718751A8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0" name="Elipse 11549">
          <a:extLst>
            <a:ext uri="{FF2B5EF4-FFF2-40B4-BE49-F238E27FC236}">
              <a16:creationId xmlns:a16="http://schemas.microsoft.com/office/drawing/2014/main" id="{18F4139F-BF0F-452A-B5C2-9B8E23EEF1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1" name="Elipse 11550">
          <a:extLst>
            <a:ext uri="{FF2B5EF4-FFF2-40B4-BE49-F238E27FC236}">
              <a16:creationId xmlns:a16="http://schemas.microsoft.com/office/drawing/2014/main" id="{1753CB36-C81B-4045-99DD-1E6E00DD12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2" name="Elipse 11551">
          <a:extLst>
            <a:ext uri="{FF2B5EF4-FFF2-40B4-BE49-F238E27FC236}">
              <a16:creationId xmlns:a16="http://schemas.microsoft.com/office/drawing/2014/main" id="{643FF20E-7DB6-4B68-9C3F-4557CA6281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3" name="Elipse 11552">
          <a:extLst>
            <a:ext uri="{FF2B5EF4-FFF2-40B4-BE49-F238E27FC236}">
              <a16:creationId xmlns:a16="http://schemas.microsoft.com/office/drawing/2014/main" id="{6BA234B0-4316-4BF0-9DE5-D4615B80276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4" name="Elipse 11553">
          <a:extLst>
            <a:ext uri="{FF2B5EF4-FFF2-40B4-BE49-F238E27FC236}">
              <a16:creationId xmlns:a16="http://schemas.microsoft.com/office/drawing/2014/main" id="{790FD2C0-EB2A-4646-AB87-6733EAB931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5" name="Elipse 11554">
          <a:extLst>
            <a:ext uri="{FF2B5EF4-FFF2-40B4-BE49-F238E27FC236}">
              <a16:creationId xmlns:a16="http://schemas.microsoft.com/office/drawing/2014/main" id="{18018245-368B-4970-9024-DB4D80243B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6" name="Elipse 11555">
          <a:extLst>
            <a:ext uri="{FF2B5EF4-FFF2-40B4-BE49-F238E27FC236}">
              <a16:creationId xmlns:a16="http://schemas.microsoft.com/office/drawing/2014/main" id="{CA4F8F60-2962-4362-9C68-BCB42A7A87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7" name="Elipse 11556">
          <a:extLst>
            <a:ext uri="{FF2B5EF4-FFF2-40B4-BE49-F238E27FC236}">
              <a16:creationId xmlns:a16="http://schemas.microsoft.com/office/drawing/2014/main" id="{9D3C4EFA-1558-4A63-BBEE-87707C8FAD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8" name="Elipse 11557">
          <a:extLst>
            <a:ext uri="{FF2B5EF4-FFF2-40B4-BE49-F238E27FC236}">
              <a16:creationId xmlns:a16="http://schemas.microsoft.com/office/drawing/2014/main" id="{BF3E97CC-2F62-4135-A9F3-C77C8F9081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59" name="Elipse 11558">
          <a:extLst>
            <a:ext uri="{FF2B5EF4-FFF2-40B4-BE49-F238E27FC236}">
              <a16:creationId xmlns:a16="http://schemas.microsoft.com/office/drawing/2014/main" id="{65CAEF82-4861-47A4-9E22-7F5D066BF1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0" name="Elipse 11559">
          <a:extLst>
            <a:ext uri="{FF2B5EF4-FFF2-40B4-BE49-F238E27FC236}">
              <a16:creationId xmlns:a16="http://schemas.microsoft.com/office/drawing/2014/main" id="{48FB4D17-5313-44C1-8CD2-1564E0B667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1" name="Elipse 11560">
          <a:extLst>
            <a:ext uri="{FF2B5EF4-FFF2-40B4-BE49-F238E27FC236}">
              <a16:creationId xmlns:a16="http://schemas.microsoft.com/office/drawing/2014/main" id="{C7A915C3-7278-4922-BE6B-5D3902D440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2" name="Elipse 11561">
          <a:extLst>
            <a:ext uri="{FF2B5EF4-FFF2-40B4-BE49-F238E27FC236}">
              <a16:creationId xmlns:a16="http://schemas.microsoft.com/office/drawing/2014/main" id="{812656FC-EA9F-43AD-BE6D-43465444E1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3" name="Elipse 11562">
          <a:extLst>
            <a:ext uri="{FF2B5EF4-FFF2-40B4-BE49-F238E27FC236}">
              <a16:creationId xmlns:a16="http://schemas.microsoft.com/office/drawing/2014/main" id="{72A6FA85-D5F6-402B-9095-4D8AFDA0D2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4" name="Elipse 11563">
          <a:extLst>
            <a:ext uri="{FF2B5EF4-FFF2-40B4-BE49-F238E27FC236}">
              <a16:creationId xmlns:a16="http://schemas.microsoft.com/office/drawing/2014/main" id="{5813B48C-12CC-446C-AAAA-31716634B9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5" name="Elipse 11564">
          <a:extLst>
            <a:ext uri="{FF2B5EF4-FFF2-40B4-BE49-F238E27FC236}">
              <a16:creationId xmlns:a16="http://schemas.microsoft.com/office/drawing/2014/main" id="{48CB8AD8-ED61-4069-B90A-1D007AE8E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6" name="Elipse 11565">
          <a:extLst>
            <a:ext uri="{FF2B5EF4-FFF2-40B4-BE49-F238E27FC236}">
              <a16:creationId xmlns:a16="http://schemas.microsoft.com/office/drawing/2014/main" id="{75092618-1179-4236-9677-CD627A421F2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7" name="Elipse 11566">
          <a:extLst>
            <a:ext uri="{FF2B5EF4-FFF2-40B4-BE49-F238E27FC236}">
              <a16:creationId xmlns:a16="http://schemas.microsoft.com/office/drawing/2014/main" id="{2782678B-AA26-4CCB-8461-77A2D0DD16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8" name="Elipse 11567">
          <a:extLst>
            <a:ext uri="{FF2B5EF4-FFF2-40B4-BE49-F238E27FC236}">
              <a16:creationId xmlns:a16="http://schemas.microsoft.com/office/drawing/2014/main" id="{644CDE7F-A742-443E-A33F-80E721E928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69" name="Elipse 11568">
          <a:extLst>
            <a:ext uri="{FF2B5EF4-FFF2-40B4-BE49-F238E27FC236}">
              <a16:creationId xmlns:a16="http://schemas.microsoft.com/office/drawing/2014/main" id="{23DD149A-2C00-43CC-8022-36B62B111A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0" name="Elipse 11569">
          <a:extLst>
            <a:ext uri="{FF2B5EF4-FFF2-40B4-BE49-F238E27FC236}">
              <a16:creationId xmlns:a16="http://schemas.microsoft.com/office/drawing/2014/main" id="{12BDC772-46B8-4145-96B6-B8A75BEE6D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1" name="Elipse 11570">
          <a:extLst>
            <a:ext uri="{FF2B5EF4-FFF2-40B4-BE49-F238E27FC236}">
              <a16:creationId xmlns:a16="http://schemas.microsoft.com/office/drawing/2014/main" id="{6E3A3A2B-F254-474E-B6E3-F369365770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2" name="Elipse 11571">
          <a:extLst>
            <a:ext uri="{FF2B5EF4-FFF2-40B4-BE49-F238E27FC236}">
              <a16:creationId xmlns:a16="http://schemas.microsoft.com/office/drawing/2014/main" id="{B4EF2A49-420A-4A3C-972A-BB5288FE8F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3" name="Elipse 11572">
          <a:extLst>
            <a:ext uri="{FF2B5EF4-FFF2-40B4-BE49-F238E27FC236}">
              <a16:creationId xmlns:a16="http://schemas.microsoft.com/office/drawing/2014/main" id="{37A968EC-F7B2-4B47-9B54-0DB02DEA0F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4" name="Elipse 11573">
          <a:extLst>
            <a:ext uri="{FF2B5EF4-FFF2-40B4-BE49-F238E27FC236}">
              <a16:creationId xmlns:a16="http://schemas.microsoft.com/office/drawing/2014/main" id="{447A3271-2110-42B6-8BFE-B808DD4753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5" name="Elipse 11574">
          <a:extLst>
            <a:ext uri="{FF2B5EF4-FFF2-40B4-BE49-F238E27FC236}">
              <a16:creationId xmlns:a16="http://schemas.microsoft.com/office/drawing/2014/main" id="{5674FF36-5386-4E96-A78F-0F0766A982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6" name="Elipse 11575">
          <a:extLst>
            <a:ext uri="{FF2B5EF4-FFF2-40B4-BE49-F238E27FC236}">
              <a16:creationId xmlns:a16="http://schemas.microsoft.com/office/drawing/2014/main" id="{68379C7E-AECC-433C-9CED-60D50E1FFC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7" name="Elipse 11576">
          <a:extLst>
            <a:ext uri="{FF2B5EF4-FFF2-40B4-BE49-F238E27FC236}">
              <a16:creationId xmlns:a16="http://schemas.microsoft.com/office/drawing/2014/main" id="{64BEEBBB-436B-4EB3-B12D-AF5EFF35C9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8" name="Elipse 11577">
          <a:extLst>
            <a:ext uri="{FF2B5EF4-FFF2-40B4-BE49-F238E27FC236}">
              <a16:creationId xmlns:a16="http://schemas.microsoft.com/office/drawing/2014/main" id="{6BF570C0-2966-4AA0-B9C5-0DD406772E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79" name="Elipse 11578">
          <a:extLst>
            <a:ext uri="{FF2B5EF4-FFF2-40B4-BE49-F238E27FC236}">
              <a16:creationId xmlns:a16="http://schemas.microsoft.com/office/drawing/2014/main" id="{56182C6A-5E48-4DE8-A8A4-5B16AB6555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0" name="Elipse 11579">
          <a:extLst>
            <a:ext uri="{FF2B5EF4-FFF2-40B4-BE49-F238E27FC236}">
              <a16:creationId xmlns:a16="http://schemas.microsoft.com/office/drawing/2014/main" id="{BEA2DB97-A1B4-4866-A0FB-DA8EE154E6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1" name="Elipse 11580">
          <a:extLst>
            <a:ext uri="{FF2B5EF4-FFF2-40B4-BE49-F238E27FC236}">
              <a16:creationId xmlns:a16="http://schemas.microsoft.com/office/drawing/2014/main" id="{A2719418-B56B-437B-94D8-AA42F5581B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2" name="Elipse 11581">
          <a:extLst>
            <a:ext uri="{FF2B5EF4-FFF2-40B4-BE49-F238E27FC236}">
              <a16:creationId xmlns:a16="http://schemas.microsoft.com/office/drawing/2014/main" id="{4147ED73-ECC4-4B12-B4F8-762D6F20DA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3" name="Elipse 11582">
          <a:extLst>
            <a:ext uri="{FF2B5EF4-FFF2-40B4-BE49-F238E27FC236}">
              <a16:creationId xmlns:a16="http://schemas.microsoft.com/office/drawing/2014/main" id="{F6D44484-E3D6-4567-B075-2C5B481F92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4" name="Elipse 11583">
          <a:extLst>
            <a:ext uri="{FF2B5EF4-FFF2-40B4-BE49-F238E27FC236}">
              <a16:creationId xmlns:a16="http://schemas.microsoft.com/office/drawing/2014/main" id="{C323C91E-F84C-4725-9628-440CC33169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5" name="Elipse 11584">
          <a:extLst>
            <a:ext uri="{FF2B5EF4-FFF2-40B4-BE49-F238E27FC236}">
              <a16:creationId xmlns:a16="http://schemas.microsoft.com/office/drawing/2014/main" id="{D0059B24-B9B8-420B-B64C-8C86D4A4A7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6" name="Elipse 11585">
          <a:extLst>
            <a:ext uri="{FF2B5EF4-FFF2-40B4-BE49-F238E27FC236}">
              <a16:creationId xmlns:a16="http://schemas.microsoft.com/office/drawing/2014/main" id="{EBC20968-4BA4-4FA3-90BD-1B86038E12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7" name="Elipse 11586">
          <a:extLst>
            <a:ext uri="{FF2B5EF4-FFF2-40B4-BE49-F238E27FC236}">
              <a16:creationId xmlns:a16="http://schemas.microsoft.com/office/drawing/2014/main" id="{BCFBE84C-77AA-49EA-852C-AF28A7D5A9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8" name="Elipse 11587">
          <a:extLst>
            <a:ext uri="{FF2B5EF4-FFF2-40B4-BE49-F238E27FC236}">
              <a16:creationId xmlns:a16="http://schemas.microsoft.com/office/drawing/2014/main" id="{CF45D48E-2DE0-4D8E-A2B9-E2DF197482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89" name="Elipse 11588">
          <a:extLst>
            <a:ext uri="{FF2B5EF4-FFF2-40B4-BE49-F238E27FC236}">
              <a16:creationId xmlns:a16="http://schemas.microsoft.com/office/drawing/2014/main" id="{9D8022FA-9EFF-47AB-A17C-126D97E221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0" name="Elipse 11589">
          <a:extLst>
            <a:ext uri="{FF2B5EF4-FFF2-40B4-BE49-F238E27FC236}">
              <a16:creationId xmlns:a16="http://schemas.microsoft.com/office/drawing/2014/main" id="{7C126658-B77A-4870-93D1-6AEFE66695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1" name="Elipse 11590">
          <a:extLst>
            <a:ext uri="{FF2B5EF4-FFF2-40B4-BE49-F238E27FC236}">
              <a16:creationId xmlns:a16="http://schemas.microsoft.com/office/drawing/2014/main" id="{368E61FC-04AA-4FFA-B18D-237A0F285E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2" name="Elipse 11591">
          <a:extLst>
            <a:ext uri="{FF2B5EF4-FFF2-40B4-BE49-F238E27FC236}">
              <a16:creationId xmlns:a16="http://schemas.microsoft.com/office/drawing/2014/main" id="{DBF156B8-1CBA-4C65-BC39-5E466BE3D9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3" name="Elipse 11592">
          <a:extLst>
            <a:ext uri="{FF2B5EF4-FFF2-40B4-BE49-F238E27FC236}">
              <a16:creationId xmlns:a16="http://schemas.microsoft.com/office/drawing/2014/main" id="{1A3A8E23-E615-4182-846D-78A738B465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4" name="Elipse 11593">
          <a:extLst>
            <a:ext uri="{FF2B5EF4-FFF2-40B4-BE49-F238E27FC236}">
              <a16:creationId xmlns:a16="http://schemas.microsoft.com/office/drawing/2014/main" id="{602F1C7D-4442-494C-A545-5A22871E14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5" name="Elipse 11594">
          <a:extLst>
            <a:ext uri="{FF2B5EF4-FFF2-40B4-BE49-F238E27FC236}">
              <a16:creationId xmlns:a16="http://schemas.microsoft.com/office/drawing/2014/main" id="{BE590CD8-5A0A-4AA7-A3CB-5125A0DED9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6" name="Elipse 11595">
          <a:extLst>
            <a:ext uri="{FF2B5EF4-FFF2-40B4-BE49-F238E27FC236}">
              <a16:creationId xmlns:a16="http://schemas.microsoft.com/office/drawing/2014/main" id="{B846140F-D94D-494A-9B1E-4D58F6A616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7" name="Elipse 11596">
          <a:extLst>
            <a:ext uri="{FF2B5EF4-FFF2-40B4-BE49-F238E27FC236}">
              <a16:creationId xmlns:a16="http://schemas.microsoft.com/office/drawing/2014/main" id="{D09E1267-FBA6-47B2-99C2-230822FE71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8" name="Elipse 11597">
          <a:extLst>
            <a:ext uri="{FF2B5EF4-FFF2-40B4-BE49-F238E27FC236}">
              <a16:creationId xmlns:a16="http://schemas.microsoft.com/office/drawing/2014/main" id="{57AE14AF-D2F5-44C3-8D3B-4A572165EC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599" name="Elipse 11598">
          <a:extLst>
            <a:ext uri="{FF2B5EF4-FFF2-40B4-BE49-F238E27FC236}">
              <a16:creationId xmlns:a16="http://schemas.microsoft.com/office/drawing/2014/main" id="{A86D48E2-2095-4602-96ED-E012EBFF7D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0" name="Elipse 11599">
          <a:extLst>
            <a:ext uri="{FF2B5EF4-FFF2-40B4-BE49-F238E27FC236}">
              <a16:creationId xmlns:a16="http://schemas.microsoft.com/office/drawing/2014/main" id="{58149F0C-D55F-48DA-B9AF-BBCCCACD00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1" name="Elipse 11600">
          <a:extLst>
            <a:ext uri="{FF2B5EF4-FFF2-40B4-BE49-F238E27FC236}">
              <a16:creationId xmlns:a16="http://schemas.microsoft.com/office/drawing/2014/main" id="{58AFAE24-B5F1-49F4-846D-3370C08F91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2" name="Elipse 11601">
          <a:extLst>
            <a:ext uri="{FF2B5EF4-FFF2-40B4-BE49-F238E27FC236}">
              <a16:creationId xmlns:a16="http://schemas.microsoft.com/office/drawing/2014/main" id="{BE324A74-442B-494D-80C9-5166DD1CC4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3" name="Elipse 11602">
          <a:extLst>
            <a:ext uri="{FF2B5EF4-FFF2-40B4-BE49-F238E27FC236}">
              <a16:creationId xmlns:a16="http://schemas.microsoft.com/office/drawing/2014/main" id="{917AA94B-6A69-4A1D-AA2D-D55122A962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4" name="Elipse 11603">
          <a:extLst>
            <a:ext uri="{FF2B5EF4-FFF2-40B4-BE49-F238E27FC236}">
              <a16:creationId xmlns:a16="http://schemas.microsoft.com/office/drawing/2014/main" id="{FFDDABA3-0946-4EEB-AEDE-B31D3031F5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5" name="Elipse 11604">
          <a:extLst>
            <a:ext uri="{FF2B5EF4-FFF2-40B4-BE49-F238E27FC236}">
              <a16:creationId xmlns:a16="http://schemas.microsoft.com/office/drawing/2014/main" id="{33AAE9ED-D896-41FD-A382-61E3B64EC4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6" name="Elipse 11605">
          <a:extLst>
            <a:ext uri="{FF2B5EF4-FFF2-40B4-BE49-F238E27FC236}">
              <a16:creationId xmlns:a16="http://schemas.microsoft.com/office/drawing/2014/main" id="{6367BCB6-2F3C-405F-BBBB-6B4614E55E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7" name="Elipse 11606">
          <a:extLst>
            <a:ext uri="{FF2B5EF4-FFF2-40B4-BE49-F238E27FC236}">
              <a16:creationId xmlns:a16="http://schemas.microsoft.com/office/drawing/2014/main" id="{29E5410A-A507-478B-8F63-94B8519BCF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8" name="Elipse 11607">
          <a:extLst>
            <a:ext uri="{FF2B5EF4-FFF2-40B4-BE49-F238E27FC236}">
              <a16:creationId xmlns:a16="http://schemas.microsoft.com/office/drawing/2014/main" id="{1F8238A3-8768-479F-A58E-D51E8F514B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09" name="Elipse 11608">
          <a:extLst>
            <a:ext uri="{FF2B5EF4-FFF2-40B4-BE49-F238E27FC236}">
              <a16:creationId xmlns:a16="http://schemas.microsoft.com/office/drawing/2014/main" id="{7F29C98A-FB74-4E68-B985-2CEEFD0419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0" name="Elipse 11609">
          <a:extLst>
            <a:ext uri="{FF2B5EF4-FFF2-40B4-BE49-F238E27FC236}">
              <a16:creationId xmlns:a16="http://schemas.microsoft.com/office/drawing/2014/main" id="{F7B1B339-D2CC-45AB-A8A5-6A7FBDE0A7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1" name="Elipse 11610">
          <a:extLst>
            <a:ext uri="{FF2B5EF4-FFF2-40B4-BE49-F238E27FC236}">
              <a16:creationId xmlns:a16="http://schemas.microsoft.com/office/drawing/2014/main" id="{83D0ED5A-03E9-497F-9862-69177E10A0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2" name="Elipse 11611">
          <a:extLst>
            <a:ext uri="{FF2B5EF4-FFF2-40B4-BE49-F238E27FC236}">
              <a16:creationId xmlns:a16="http://schemas.microsoft.com/office/drawing/2014/main" id="{E63DB4C1-0315-45D1-BDE4-77C029CAD5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3" name="Elipse 11612">
          <a:extLst>
            <a:ext uri="{FF2B5EF4-FFF2-40B4-BE49-F238E27FC236}">
              <a16:creationId xmlns:a16="http://schemas.microsoft.com/office/drawing/2014/main" id="{0F7C5EB7-BE15-43DC-8619-14A6538077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4" name="Elipse 11613">
          <a:extLst>
            <a:ext uri="{FF2B5EF4-FFF2-40B4-BE49-F238E27FC236}">
              <a16:creationId xmlns:a16="http://schemas.microsoft.com/office/drawing/2014/main" id="{42B9D889-E1F0-4875-8AF6-A783F10124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5" name="Elipse 11614">
          <a:extLst>
            <a:ext uri="{FF2B5EF4-FFF2-40B4-BE49-F238E27FC236}">
              <a16:creationId xmlns:a16="http://schemas.microsoft.com/office/drawing/2014/main" id="{44890163-4F1C-4C40-BD43-FB6DE5020C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6" name="Elipse 11615">
          <a:extLst>
            <a:ext uri="{FF2B5EF4-FFF2-40B4-BE49-F238E27FC236}">
              <a16:creationId xmlns:a16="http://schemas.microsoft.com/office/drawing/2014/main" id="{29A0CA9C-209D-48D3-94E2-906D5C69D2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7" name="Elipse 11616">
          <a:extLst>
            <a:ext uri="{FF2B5EF4-FFF2-40B4-BE49-F238E27FC236}">
              <a16:creationId xmlns:a16="http://schemas.microsoft.com/office/drawing/2014/main" id="{E1F54D68-BA0C-4298-965D-7BD266D042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8" name="Elipse 11617">
          <a:extLst>
            <a:ext uri="{FF2B5EF4-FFF2-40B4-BE49-F238E27FC236}">
              <a16:creationId xmlns:a16="http://schemas.microsoft.com/office/drawing/2014/main" id="{DFAF95A6-EF95-45AD-9785-F7A607D5A8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19" name="Elipse 11618">
          <a:extLst>
            <a:ext uri="{FF2B5EF4-FFF2-40B4-BE49-F238E27FC236}">
              <a16:creationId xmlns:a16="http://schemas.microsoft.com/office/drawing/2014/main" id="{8DAAD7F9-B0B0-41C6-B131-FA1FA797A3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0" name="Elipse 11619">
          <a:extLst>
            <a:ext uri="{FF2B5EF4-FFF2-40B4-BE49-F238E27FC236}">
              <a16:creationId xmlns:a16="http://schemas.microsoft.com/office/drawing/2014/main" id="{78F4A542-F42B-4EFC-8FD0-73C45582C6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1" name="Elipse 11620">
          <a:extLst>
            <a:ext uri="{FF2B5EF4-FFF2-40B4-BE49-F238E27FC236}">
              <a16:creationId xmlns:a16="http://schemas.microsoft.com/office/drawing/2014/main" id="{18589F9E-133D-4506-A0FF-95701A4994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2" name="Elipse 11621">
          <a:extLst>
            <a:ext uri="{FF2B5EF4-FFF2-40B4-BE49-F238E27FC236}">
              <a16:creationId xmlns:a16="http://schemas.microsoft.com/office/drawing/2014/main" id="{A94E91A1-5603-4AA5-A8F3-E52AFF5D62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3" name="Elipse 11622">
          <a:extLst>
            <a:ext uri="{FF2B5EF4-FFF2-40B4-BE49-F238E27FC236}">
              <a16:creationId xmlns:a16="http://schemas.microsoft.com/office/drawing/2014/main" id="{3442553F-3B86-4DF2-ABB0-B2BD7E1A7E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4" name="Elipse 11623">
          <a:extLst>
            <a:ext uri="{FF2B5EF4-FFF2-40B4-BE49-F238E27FC236}">
              <a16:creationId xmlns:a16="http://schemas.microsoft.com/office/drawing/2014/main" id="{9339E7D5-0208-4BC2-B101-1016E6DBED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5" name="Elipse 11624">
          <a:extLst>
            <a:ext uri="{FF2B5EF4-FFF2-40B4-BE49-F238E27FC236}">
              <a16:creationId xmlns:a16="http://schemas.microsoft.com/office/drawing/2014/main" id="{01BDD5B1-A560-4FA5-AC60-C199192C4F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6" name="Elipse 11625">
          <a:extLst>
            <a:ext uri="{FF2B5EF4-FFF2-40B4-BE49-F238E27FC236}">
              <a16:creationId xmlns:a16="http://schemas.microsoft.com/office/drawing/2014/main" id="{3A51D1B7-25BC-42B6-8896-7FBB73634C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7" name="Elipse 11626">
          <a:extLst>
            <a:ext uri="{FF2B5EF4-FFF2-40B4-BE49-F238E27FC236}">
              <a16:creationId xmlns:a16="http://schemas.microsoft.com/office/drawing/2014/main" id="{D927D77E-E115-497E-8193-FA644EB90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8" name="Elipse 11627">
          <a:extLst>
            <a:ext uri="{FF2B5EF4-FFF2-40B4-BE49-F238E27FC236}">
              <a16:creationId xmlns:a16="http://schemas.microsoft.com/office/drawing/2014/main" id="{A3AA728F-E911-4ABE-9D20-43F9EE88BA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29" name="Elipse 11628">
          <a:extLst>
            <a:ext uri="{FF2B5EF4-FFF2-40B4-BE49-F238E27FC236}">
              <a16:creationId xmlns:a16="http://schemas.microsoft.com/office/drawing/2014/main" id="{33C79275-06BF-4859-A934-A7BC69B7D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0" name="Elipse 11629">
          <a:extLst>
            <a:ext uri="{FF2B5EF4-FFF2-40B4-BE49-F238E27FC236}">
              <a16:creationId xmlns:a16="http://schemas.microsoft.com/office/drawing/2014/main" id="{01C18EE7-D952-4DAA-A55F-0776A23620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1" name="Elipse 11630">
          <a:extLst>
            <a:ext uri="{FF2B5EF4-FFF2-40B4-BE49-F238E27FC236}">
              <a16:creationId xmlns:a16="http://schemas.microsoft.com/office/drawing/2014/main" id="{1CA9F2E5-A98C-450C-8C2E-CD83BC48B1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2" name="Elipse 11631">
          <a:extLst>
            <a:ext uri="{FF2B5EF4-FFF2-40B4-BE49-F238E27FC236}">
              <a16:creationId xmlns:a16="http://schemas.microsoft.com/office/drawing/2014/main" id="{3630C3D6-840C-4141-A5C7-8DE4C80BB5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3" name="Elipse 11632">
          <a:extLst>
            <a:ext uri="{FF2B5EF4-FFF2-40B4-BE49-F238E27FC236}">
              <a16:creationId xmlns:a16="http://schemas.microsoft.com/office/drawing/2014/main" id="{75659E8F-7542-4E10-A71A-36D7F93586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4" name="Elipse 11633">
          <a:extLst>
            <a:ext uri="{FF2B5EF4-FFF2-40B4-BE49-F238E27FC236}">
              <a16:creationId xmlns:a16="http://schemas.microsoft.com/office/drawing/2014/main" id="{C5131508-859C-45E5-B3CF-2013043701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5" name="Elipse 11634">
          <a:extLst>
            <a:ext uri="{FF2B5EF4-FFF2-40B4-BE49-F238E27FC236}">
              <a16:creationId xmlns:a16="http://schemas.microsoft.com/office/drawing/2014/main" id="{D3E29570-0C6E-4C3D-A874-9BB85B3A1CD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6" name="Elipse 11635">
          <a:extLst>
            <a:ext uri="{FF2B5EF4-FFF2-40B4-BE49-F238E27FC236}">
              <a16:creationId xmlns:a16="http://schemas.microsoft.com/office/drawing/2014/main" id="{649E8528-1446-482D-9456-879E9804EC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7" name="Elipse 11636">
          <a:extLst>
            <a:ext uri="{FF2B5EF4-FFF2-40B4-BE49-F238E27FC236}">
              <a16:creationId xmlns:a16="http://schemas.microsoft.com/office/drawing/2014/main" id="{31822D07-6E46-4D24-9652-AF546C4ED8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8" name="Elipse 11637">
          <a:extLst>
            <a:ext uri="{FF2B5EF4-FFF2-40B4-BE49-F238E27FC236}">
              <a16:creationId xmlns:a16="http://schemas.microsoft.com/office/drawing/2014/main" id="{05EB6AA6-7F84-40A7-8F9F-EB4BAF813C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39" name="Elipse 11638">
          <a:extLst>
            <a:ext uri="{FF2B5EF4-FFF2-40B4-BE49-F238E27FC236}">
              <a16:creationId xmlns:a16="http://schemas.microsoft.com/office/drawing/2014/main" id="{FDFCC94A-AB94-4070-B536-C6E9178C70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0" name="Elipse 11639">
          <a:extLst>
            <a:ext uri="{FF2B5EF4-FFF2-40B4-BE49-F238E27FC236}">
              <a16:creationId xmlns:a16="http://schemas.microsoft.com/office/drawing/2014/main" id="{999A1FBF-B218-443A-BF3A-CAFFBA0719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1" name="Elipse 11640">
          <a:extLst>
            <a:ext uri="{FF2B5EF4-FFF2-40B4-BE49-F238E27FC236}">
              <a16:creationId xmlns:a16="http://schemas.microsoft.com/office/drawing/2014/main" id="{B1594394-DC6D-4FED-B01C-A810D9CA36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2" name="Elipse 11641">
          <a:extLst>
            <a:ext uri="{FF2B5EF4-FFF2-40B4-BE49-F238E27FC236}">
              <a16:creationId xmlns:a16="http://schemas.microsoft.com/office/drawing/2014/main" id="{88651E5A-7A25-43D8-B87C-478B29AEE4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3" name="Elipse 11642">
          <a:extLst>
            <a:ext uri="{FF2B5EF4-FFF2-40B4-BE49-F238E27FC236}">
              <a16:creationId xmlns:a16="http://schemas.microsoft.com/office/drawing/2014/main" id="{67713595-767F-43E3-B072-86B7242996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4" name="Elipse 11643">
          <a:extLst>
            <a:ext uri="{FF2B5EF4-FFF2-40B4-BE49-F238E27FC236}">
              <a16:creationId xmlns:a16="http://schemas.microsoft.com/office/drawing/2014/main" id="{B53552E2-2090-4827-BF14-30DAD1D3CA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5" name="Elipse 11644">
          <a:extLst>
            <a:ext uri="{FF2B5EF4-FFF2-40B4-BE49-F238E27FC236}">
              <a16:creationId xmlns:a16="http://schemas.microsoft.com/office/drawing/2014/main" id="{710D73F9-87F8-4534-86A4-B5422D2DA6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6" name="Elipse 11645">
          <a:extLst>
            <a:ext uri="{FF2B5EF4-FFF2-40B4-BE49-F238E27FC236}">
              <a16:creationId xmlns:a16="http://schemas.microsoft.com/office/drawing/2014/main" id="{7EB7D849-3754-459B-A0B7-3C9BD85A00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7" name="Elipse 11646">
          <a:extLst>
            <a:ext uri="{FF2B5EF4-FFF2-40B4-BE49-F238E27FC236}">
              <a16:creationId xmlns:a16="http://schemas.microsoft.com/office/drawing/2014/main" id="{A4D946A5-3442-4691-A7F7-BBE915DA82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8" name="Elipse 11647">
          <a:extLst>
            <a:ext uri="{FF2B5EF4-FFF2-40B4-BE49-F238E27FC236}">
              <a16:creationId xmlns:a16="http://schemas.microsoft.com/office/drawing/2014/main" id="{880355CF-1FE2-41A1-9381-DF2A074AD7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49" name="Elipse 11648">
          <a:extLst>
            <a:ext uri="{FF2B5EF4-FFF2-40B4-BE49-F238E27FC236}">
              <a16:creationId xmlns:a16="http://schemas.microsoft.com/office/drawing/2014/main" id="{00FF365E-EBC2-4367-9A31-C0D6AC1F60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0" name="Elipse 11649">
          <a:extLst>
            <a:ext uri="{FF2B5EF4-FFF2-40B4-BE49-F238E27FC236}">
              <a16:creationId xmlns:a16="http://schemas.microsoft.com/office/drawing/2014/main" id="{9E6784DD-6558-4EBE-99FF-E9E23302C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1" name="Elipse 11650">
          <a:extLst>
            <a:ext uri="{FF2B5EF4-FFF2-40B4-BE49-F238E27FC236}">
              <a16:creationId xmlns:a16="http://schemas.microsoft.com/office/drawing/2014/main" id="{09717E3F-A7E5-48A6-9FAB-7668513BC2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2" name="Elipse 11651">
          <a:extLst>
            <a:ext uri="{FF2B5EF4-FFF2-40B4-BE49-F238E27FC236}">
              <a16:creationId xmlns:a16="http://schemas.microsoft.com/office/drawing/2014/main" id="{91C20F91-7255-426D-960B-E102EC9B58D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3" name="Elipse 11652">
          <a:extLst>
            <a:ext uri="{FF2B5EF4-FFF2-40B4-BE49-F238E27FC236}">
              <a16:creationId xmlns:a16="http://schemas.microsoft.com/office/drawing/2014/main" id="{6F0BCE98-C5E3-48BD-99C9-053FC02449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4" name="Elipse 11653">
          <a:extLst>
            <a:ext uri="{FF2B5EF4-FFF2-40B4-BE49-F238E27FC236}">
              <a16:creationId xmlns:a16="http://schemas.microsoft.com/office/drawing/2014/main" id="{71BF401F-477B-4157-A58E-0AC999976B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5" name="Elipse 11654">
          <a:extLst>
            <a:ext uri="{FF2B5EF4-FFF2-40B4-BE49-F238E27FC236}">
              <a16:creationId xmlns:a16="http://schemas.microsoft.com/office/drawing/2014/main" id="{023EE1E9-FC9E-4BF6-BD88-88008D20C0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6" name="Elipse 11655">
          <a:extLst>
            <a:ext uri="{FF2B5EF4-FFF2-40B4-BE49-F238E27FC236}">
              <a16:creationId xmlns:a16="http://schemas.microsoft.com/office/drawing/2014/main" id="{6B82FF22-9B82-498A-9195-62A7307697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7" name="Elipse 11656">
          <a:extLst>
            <a:ext uri="{FF2B5EF4-FFF2-40B4-BE49-F238E27FC236}">
              <a16:creationId xmlns:a16="http://schemas.microsoft.com/office/drawing/2014/main" id="{22290560-C6A1-4ABB-AEC5-C953F1AF19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8" name="Elipse 11657">
          <a:extLst>
            <a:ext uri="{FF2B5EF4-FFF2-40B4-BE49-F238E27FC236}">
              <a16:creationId xmlns:a16="http://schemas.microsoft.com/office/drawing/2014/main" id="{0AC38BC4-A145-4260-8136-923627A2CA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59" name="Elipse 11658">
          <a:extLst>
            <a:ext uri="{FF2B5EF4-FFF2-40B4-BE49-F238E27FC236}">
              <a16:creationId xmlns:a16="http://schemas.microsoft.com/office/drawing/2014/main" id="{E02B6F69-3595-4608-8B56-573BA796A1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0" name="Elipse 11659">
          <a:extLst>
            <a:ext uri="{FF2B5EF4-FFF2-40B4-BE49-F238E27FC236}">
              <a16:creationId xmlns:a16="http://schemas.microsoft.com/office/drawing/2014/main" id="{E388878E-FE25-4F66-9EF6-0CBD058A35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1" name="Elipse 11660">
          <a:extLst>
            <a:ext uri="{FF2B5EF4-FFF2-40B4-BE49-F238E27FC236}">
              <a16:creationId xmlns:a16="http://schemas.microsoft.com/office/drawing/2014/main" id="{F0363C1A-2DD3-4C00-9180-F44433433FD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2" name="Elipse 11661">
          <a:extLst>
            <a:ext uri="{FF2B5EF4-FFF2-40B4-BE49-F238E27FC236}">
              <a16:creationId xmlns:a16="http://schemas.microsoft.com/office/drawing/2014/main" id="{E0D26A00-D4BC-4B10-8214-0462B46AB1E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3" name="Elipse 11662">
          <a:extLst>
            <a:ext uri="{FF2B5EF4-FFF2-40B4-BE49-F238E27FC236}">
              <a16:creationId xmlns:a16="http://schemas.microsoft.com/office/drawing/2014/main" id="{EB7B6B6D-6C0F-42AB-90E6-BCD06732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4" name="Elipse 11663">
          <a:extLst>
            <a:ext uri="{FF2B5EF4-FFF2-40B4-BE49-F238E27FC236}">
              <a16:creationId xmlns:a16="http://schemas.microsoft.com/office/drawing/2014/main" id="{3D9BC05F-F8E8-4C7C-AF49-B76C6C2003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5" name="Elipse 11664">
          <a:extLst>
            <a:ext uri="{FF2B5EF4-FFF2-40B4-BE49-F238E27FC236}">
              <a16:creationId xmlns:a16="http://schemas.microsoft.com/office/drawing/2014/main" id="{63936F65-92CA-404C-B0D6-81E2511F2A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6" name="Elipse 11665">
          <a:extLst>
            <a:ext uri="{FF2B5EF4-FFF2-40B4-BE49-F238E27FC236}">
              <a16:creationId xmlns:a16="http://schemas.microsoft.com/office/drawing/2014/main" id="{F520484C-D91E-4CB3-BC62-43DF02BD55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7" name="Elipse 11666">
          <a:extLst>
            <a:ext uri="{FF2B5EF4-FFF2-40B4-BE49-F238E27FC236}">
              <a16:creationId xmlns:a16="http://schemas.microsoft.com/office/drawing/2014/main" id="{78F6B9F2-F6ED-4ACF-834F-7278E0AF09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8" name="Elipse 11667">
          <a:extLst>
            <a:ext uri="{FF2B5EF4-FFF2-40B4-BE49-F238E27FC236}">
              <a16:creationId xmlns:a16="http://schemas.microsoft.com/office/drawing/2014/main" id="{34F74793-3188-4B7F-B9E3-08F56D1DB0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69" name="Elipse 11668">
          <a:extLst>
            <a:ext uri="{FF2B5EF4-FFF2-40B4-BE49-F238E27FC236}">
              <a16:creationId xmlns:a16="http://schemas.microsoft.com/office/drawing/2014/main" id="{BC26C963-F846-4228-ADAD-3973ED4FD5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0" name="Elipse 11669">
          <a:extLst>
            <a:ext uri="{FF2B5EF4-FFF2-40B4-BE49-F238E27FC236}">
              <a16:creationId xmlns:a16="http://schemas.microsoft.com/office/drawing/2014/main" id="{BAE790CF-56E0-4B65-AC0A-A106E0A9F8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1" name="Elipse 11670">
          <a:extLst>
            <a:ext uri="{FF2B5EF4-FFF2-40B4-BE49-F238E27FC236}">
              <a16:creationId xmlns:a16="http://schemas.microsoft.com/office/drawing/2014/main" id="{7B7F0584-0114-4242-BF16-944A4346AE7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2" name="Elipse 11671">
          <a:extLst>
            <a:ext uri="{FF2B5EF4-FFF2-40B4-BE49-F238E27FC236}">
              <a16:creationId xmlns:a16="http://schemas.microsoft.com/office/drawing/2014/main" id="{E9297E2F-B522-4246-8EDC-6632B49818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3" name="Elipse 11672">
          <a:extLst>
            <a:ext uri="{FF2B5EF4-FFF2-40B4-BE49-F238E27FC236}">
              <a16:creationId xmlns:a16="http://schemas.microsoft.com/office/drawing/2014/main" id="{2FD18D67-87DF-4729-BE4B-59090CBA7BF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4" name="Elipse 11673">
          <a:extLst>
            <a:ext uri="{FF2B5EF4-FFF2-40B4-BE49-F238E27FC236}">
              <a16:creationId xmlns:a16="http://schemas.microsoft.com/office/drawing/2014/main" id="{E4E77A82-B441-4E57-805C-EC4DAFC1A7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5" name="Elipse 11674">
          <a:extLst>
            <a:ext uri="{FF2B5EF4-FFF2-40B4-BE49-F238E27FC236}">
              <a16:creationId xmlns:a16="http://schemas.microsoft.com/office/drawing/2014/main" id="{8BCC221A-059A-4065-884F-D344008C13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6" name="Elipse 11675">
          <a:extLst>
            <a:ext uri="{FF2B5EF4-FFF2-40B4-BE49-F238E27FC236}">
              <a16:creationId xmlns:a16="http://schemas.microsoft.com/office/drawing/2014/main" id="{649B0089-7F6A-4A87-9943-6D5A103270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7" name="Elipse 11676">
          <a:extLst>
            <a:ext uri="{FF2B5EF4-FFF2-40B4-BE49-F238E27FC236}">
              <a16:creationId xmlns:a16="http://schemas.microsoft.com/office/drawing/2014/main" id="{BA202A83-0D7E-49E5-B4DF-13391B3954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8" name="Elipse 11677">
          <a:extLst>
            <a:ext uri="{FF2B5EF4-FFF2-40B4-BE49-F238E27FC236}">
              <a16:creationId xmlns:a16="http://schemas.microsoft.com/office/drawing/2014/main" id="{9C607E6A-AEF8-4D52-8EF1-1AADF9E034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79" name="Elipse 11678">
          <a:extLst>
            <a:ext uri="{FF2B5EF4-FFF2-40B4-BE49-F238E27FC236}">
              <a16:creationId xmlns:a16="http://schemas.microsoft.com/office/drawing/2014/main" id="{3791A1D1-A887-4E8D-BC5A-3EA5AFD51EE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0" name="Elipse 11679">
          <a:extLst>
            <a:ext uri="{FF2B5EF4-FFF2-40B4-BE49-F238E27FC236}">
              <a16:creationId xmlns:a16="http://schemas.microsoft.com/office/drawing/2014/main" id="{5A911A7D-C15F-4E95-B9DA-8EC438EF5A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1" name="Elipse 11680">
          <a:extLst>
            <a:ext uri="{FF2B5EF4-FFF2-40B4-BE49-F238E27FC236}">
              <a16:creationId xmlns:a16="http://schemas.microsoft.com/office/drawing/2014/main" id="{9697A464-CA8E-4A23-8FCC-B5D7C0B8FB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2" name="Elipse 11681">
          <a:extLst>
            <a:ext uri="{FF2B5EF4-FFF2-40B4-BE49-F238E27FC236}">
              <a16:creationId xmlns:a16="http://schemas.microsoft.com/office/drawing/2014/main" id="{87049A48-C6AF-4B06-81A5-709A2CB1EC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3" name="Elipse 11682">
          <a:extLst>
            <a:ext uri="{FF2B5EF4-FFF2-40B4-BE49-F238E27FC236}">
              <a16:creationId xmlns:a16="http://schemas.microsoft.com/office/drawing/2014/main" id="{C0AC0337-7C52-481F-98F6-1E8244FED7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4" name="Elipse 11683">
          <a:extLst>
            <a:ext uri="{FF2B5EF4-FFF2-40B4-BE49-F238E27FC236}">
              <a16:creationId xmlns:a16="http://schemas.microsoft.com/office/drawing/2014/main" id="{6A13FEA2-B9E4-4AD2-B29B-32CB44737C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5" name="Elipse 11684">
          <a:extLst>
            <a:ext uri="{FF2B5EF4-FFF2-40B4-BE49-F238E27FC236}">
              <a16:creationId xmlns:a16="http://schemas.microsoft.com/office/drawing/2014/main" id="{B652C802-A552-4EB4-868B-3F26C99828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6" name="Elipse 11685">
          <a:extLst>
            <a:ext uri="{FF2B5EF4-FFF2-40B4-BE49-F238E27FC236}">
              <a16:creationId xmlns:a16="http://schemas.microsoft.com/office/drawing/2014/main" id="{0EFEF81E-E668-4465-B25E-8ED4043B04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7" name="Elipse 11686">
          <a:extLst>
            <a:ext uri="{FF2B5EF4-FFF2-40B4-BE49-F238E27FC236}">
              <a16:creationId xmlns:a16="http://schemas.microsoft.com/office/drawing/2014/main" id="{C9E7BE2E-24EF-4CC8-9E4B-1B1A0F4EEE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8" name="Elipse 11687">
          <a:extLst>
            <a:ext uri="{FF2B5EF4-FFF2-40B4-BE49-F238E27FC236}">
              <a16:creationId xmlns:a16="http://schemas.microsoft.com/office/drawing/2014/main" id="{ADC4A578-FAD8-451F-BF1D-A805062728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89" name="Elipse 11688">
          <a:extLst>
            <a:ext uri="{FF2B5EF4-FFF2-40B4-BE49-F238E27FC236}">
              <a16:creationId xmlns:a16="http://schemas.microsoft.com/office/drawing/2014/main" id="{9C758813-F96E-43AB-AEAB-EFB9FCBFB8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0" name="Elipse 11689">
          <a:extLst>
            <a:ext uri="{FF2B5EF4-FFF2-40B4-BE49-F238E27FC236}">
              <a16:creationId xmlns:a16="http://schemas.microsoft.com/office/drawing/2014/main" id="{C63CA0D9-5435-4EF5-AD30-ACBF1797D3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1" name="Elipse 11690">
          <a:extLst>
            <a:ext uri="{FF2B5EF4-FFF2-40B4-BE49-F238E27FC236}">
              <a16:creationId xmlns:a16="http://schemas.microsoft.com/office/drawing/2014/main" id="{AC20189B-628B-4527-A427-5B30A55452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2" name="Elipse 11691">
          <a:extLst>
            <a:ext uri="{FF2B5EF4-FFF2-40B4-BE49-F238E27FC236}">
              <a16:creationId xmlns:a16="http://schemas.microsoft.com/office/drawing/2014/main" id="{5CACAE04-1CA0-4958-BD4B-147A90C343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3" name="Elipse 11692">
          <a:extLst>
            <a:ext uri="{FF2B5EF4-FFF2-40B4-BE49-F238E27FC236}">
              <a16:creationId xmlns:a16="http://schemas.microsoft.com/office/drawing/2014/main" id="{3D0015E0-F1F2-4172-A034-1031DA3E0BB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4" name="Elipse 11693">
          <a:extLst>
            <a:ext uri="{FF2B5EF4-FFF2-40B4-BE49-F238E27FC236}">
              <a16:creationId xmlns:a16="http://schemas.microsoft.com/office/drawing/2014/main" id="{2526110C-EDE4-4BC4-AAE3-E47DB7A273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5" name="Elipse 11694">
          <a:extLst>
            <a:ext uri="{FF2B5EF4-FFF2-40B4-BE49-F238E27FC236}">
              <a16:creationId xmlns:a16="http://schemas.microsoft.com/office/drawing/2014/main" id="{DC0153D6-A73B-4CDF-87C4-2D299944D4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6" name="Elipse 11695">
          <a:extLst>
            <a:ext uri="{FF2B5EF4-FFF2-40B4-BE49-F238E27FC236}">
              <a16:creationId xmlns:a16="http://schemas.microsoft.com/office/drawing/2014/main" id="{3A22EBB1-B24C-4AB4-8367-FACC203A076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7" name="Elipse 11696">
          <a:extLst>
            <a:ext uri="{FF2B5EF4-FFF2-40B4-BE49-F238E27FC236}">
              <a16:creationId xmlns:a16="http://schemas.microsoft.com/office/drawing/2014/main" id="{A6A9A4EE-4365-4673-BABA-083AA545AE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8" name="Elipse 11697">
          <a:extLst>
            <a:ext uri="{FF2B5EF4-FFF2-40B4-BE49-F238E27FC236}">
              <a16:creationId xmlns:a16="http://schemas.microsoft.com/office/drawing/2014/main" id="{6F031272-77C0-469C-A747-48889EAE9F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699" name="Elipse 11698">
          <a:extLst>
            <a:ext uri="{FF2B5EF4-FFF2-40B4-BE49-F238E27FC236}">
              <a16:creationId xmlns:a16="http://schemas.microsoft.com/office/drawing/2014/main" id="{0B4627F4-F8A1-468D-B8FB-E5ADC616D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0" name="Elipse 11699">
          <a:extLst>
            <a:ext uri="{FF2B5EF4-FFF2-40B4-BE49-F238E27FC236}">
              <a16:creationId xmlns:a16="http://schemas.microsoft.com/office/drawing/2014/main" id="{A0523D63-56DD-48DA-9017-DA16048EDC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1" name="Elipse 11700">
          <a:extLst>
            <a:ext uri="{FF2B5EF4-FFF2-40B4-BE49-F238E27FC236}">
              <a16:creationId xmlns:a16="http://schemas.microsoft.com/office/drawing/2014/main" id="{1AB0EEEB-4033-4114-A1F7-EBD78AF62D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2" name="Elipse 11701">
          <a:extLst>
            <a:ext uri="{FF2B5EF4-FFF2-40B4-BE49-F238E27FC236}">
              <a16:creationId xmlns:a16="http://schemas.microsoft.com/office/drawing/2014/main" id="{52F28AAF-9598-42AF-8411-9735885D3E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3" name="Elipse 11702">
          <a:extLst>
            <a:ext uri="{FF2B5EF4-FFF2-40B4-BE49-F238E27FC236}">
              <a16:creationId xmlns:a16="http://schemas.microsoft.com/office/drawing/2014/main" id="{786EE21B-5256-4A3C-A856-E84083A275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4" name="Elipse 11703">
          <a:extLst>
            <a:ext uri="{FF2B5EF4-FFF2-40B4-BE49-F238E27FC236}">
              <a16:creationId xmlns:a16="http://schemas.microsoft.com/office/drawing/2014/main" id="{D8888DB1-D5B8-460A-B9FD-07AFDD616C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5" name="Elipse 11704">
          <a:extLst>
            <a:ext uri="{FF2B5EF4-FFF2-40B4-BE49-F238E27FC236}">
              <a16:creationId xmlns:a16="http://schemas.microsoft.com/office/drawing/2014/main" id="{930A632E-AEB6-4CE8-9E16-961852A85F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6" name="Elipse 11705">
          <a:extLst>
            <a:ext uri="{FF2B5EF4-FFF2-40B4-BE49-F238E27FC236}">
              <a16:creationId xmlns:a16="http://schemas.microsoft.com/office/drawing/2014/main" id="{B4797E49-1072-499F-B7BC-65912EE500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7" name="Elipse 11706">
          <a:extLst>
            <a:ext uri="{FF2B5EF4-FFF2-40B4-BE49-F238E27FC236}">
              <a16:creationId xmlns:a16="http://schemas.microsoft.com/office/drawing/2014/main" id="{867243D1-7721-45B8-AFDC-70DF5DABA0E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8" name="Elipse 11707">
          <a:extLst>
            <a:ext uri="{FF2B5EF4-FFF2-40B4-BE49-F238E27FC236}">
              <a16:creationId xmlns:a16="http://schemas.microsoft.com/office/drawing/2014/main" id="{B54B878F-5F4A-4B4B-9A99-55CD4929E0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09" name="Elipse 11708">
          <a:extLst>
            <a:ext uri="{FF2B5EF4-FFF2-40B4-BE49-F238E27FC236}">
              <a16:creationId xmlns:a16="http://schemas.microsoft.com/office/drawing/2014/main" id="{4555C35C-BEE3-472C-8F9D-627326108F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0" name="Elipse 11709">
          <a:extLst>
            <a:ext uri="{FF2B5EF4-FFF2-40B4-BE49-F238E27FC236}">
              <a16:creationId xmlns:a16="http://schemas.microsoft.com/office/drawing/2014/main" id="{331EE5C5-7E34-43F7-AC14-2FE0354277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1" name="Elipse 11710">
          <a:extLst>
            <a:ext uri="{FF2B5EF4-FFF2-40B4-BE49-F238E27FC236}">
              <a16:creationId xmlns:a16="http://schemas.microsoft.com/office/drawing/2014/main" id="{B4F139EC-D356-43A4-99B5-CE3DC98863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2" name="Elipse 11711">
          <a:extLst>
            <a:ext uri="{FF2B5EF4-FFF2-40B4-BE49-F238E27FC236}">
              <a16:creationId xmlns:a16="http://schemas.microsoft.com/office/drawing/2014/main" id="{ACBF1218-22FE-4469-97B4-4D50E27CBD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3" name="Elipse 11712">
          <a:extLst>
            <a:ext uri="{FF2B5EF4-FFF2-40B4-BE49-F238E27FC236}">
              <a16:creationId xmlns:a16="http://schemas.microsoft.com/office/drawing/2014/main" id="{DAA61275-7E4C-4CB8-ADC9-E54D6AD185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4" name="Elipse 11713">
          <a:extLst>
            <a:ext uri="{FF2B5EF4-FFF2-40B4-BE49-F238E27FC236}">
              <a16:creationId xmlns:a16="http://schemas.microsoft.com/office/drawing/2014/main" id="{966DA008-B7C8-4D7C-89A2-162935261D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5" name="Elipse 11714">
          <a:extLst>
            <a:ext uri="{FF2B5EF4-FFF2-40B4-BE49-F238E27FC236}">
              <a16:creationId xmlns:a16="http://schemas.microsoft.com/office/drawing/2014/main" id="{A320A243-F628-4F4E-AFCF-1B481D2FED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6" name="Elipse 11715">
          <a:extLst>
            <a:ext uri="{FF2B5EF4-FFF2-40B4-BE49-F238E27FC236}">
              <a16:creationId xmlns:a16="http://schemas.microsoft.com/office/drawing/2014/main" id="{18CDE19B-E7B3-47AC-B388-96CF4C6DB7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7" name="Elipse 11716">
          <a:extLst>
            <a:ext uri="{FF2B5EF4-FFF2-40B4-BE49-F238E27FC236}">
              <a16:creationId xmlns:a16="http://schemas.microsoft.com/office/drawing/2014/main" id="{04103035-8570-44B5-BE5D-E8CAD7FD58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8" name="Elipse 11717">
          <a:extLst>
            <a:ext uri="{FF2B5EF4-FFF2-40B4-BE49-F238E27FC236}">
              <a16:creationId xmlns:a16="http://schemas.microsoft.com/office/drawing/2014/main" id="{6E19DCC0-837F-4F77-A69D-F9132FCA73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19" name="Elipse 11718">
          <a:extLst>
            <a:ext uri="{FF2B5EF4-FFF2-40B4-BE49-F238E27FC236}">
              <a16:creationId xmlns:a16="http://schemas.microsoft.com/office/drawing/2014/main" id="{87A661F3-36DB-4CC8-82C8-908CFE8EA2F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0" name="Elipse 11719">
          <a:extLst>
            <a:ext uri="{FF2B5EF4-FFF2-40B4-BE49-F238E27FC236}">
              <a16:creationId xmlns:a16="http://schemas.microsoft.com/office/drawing/2014/main" id="{2F659505-BCA6-43BF-AF4E-57EA3D7015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1" name="Elipse 11720">
          <a:extLst>
            <a:ext uri="{FF2B5EF4-FFF2-40B4-BE49-F238E27FC236}">
              <a16:creationId xmlns:a16="http://schemas.microsoft.com/office/drawing/2014/main" id="{BD25C14C-9B55-4642-B147-676F0B47858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2" name="Elipse 11721">
          <a:extLst>
            <a:ext uri="{FF2B5EF4-FFF2-40B4-BE49-F238E27FC236}">
              <a16:creationId xmlns:a16="http://schemas.microsoft.com/office/drawing/2014/main" id="{ABAE3820-8F07-4D88-8696-9956B1FE63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3" name="Elipse 11722">
          <a:extLst>
            <a:ext uri="{FF2B5EF4-FFF2-40B4-BE49-F238E27FC236}">
              <a16:creationId xmlns:a16="http://schemas.microsoft.com/office/drawing/2014/main" id="{8C27E521-6651-41BD-9BE3-93D58C3BE8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4" name="Elipse 11723">
          <a:extLst>
            <a:ext uri="{FF2B5EF4-FFF2-40B4-BE49-F238E27FC236}">
              <a16:creationId xmlns:a16="http://schemas.microsoft.com/office/drawing/2014/main" id="{04B80B4D-F59B-4A0A-8CBF-36EE28E818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5" name="Elipse 11724">
          <a:extLst>
            <a:ext uri="{FF2B5EF4-FFF2-40B4-BE49-F238E27FC236}">
              <a16:creationId xmlns:a16="http://schemas.microsoft.com/office/drawing/2014/main" id="{795A765B-796D-4E2B-8233-4A5F1965DA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6" name="Elipse 11725">
          <a:extLst>
            <a:ext uri="{FF2B5EF4-FFF2-40B4-BE49-F238E27FC236}">
              <a16:creationId xmlns:a16="http://schemas.microsoft.com/office/drawing/2014/main" id="{E1CB219D-04C1-4E27-8AAE-12EC51C0CA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7" name="Elipse 11726">
          <a:extLst>
            <a:ext uri="{FF2B5EF4-FFF2-40B4-BE49-F238E27FC236}">
              <a16:creationId xmlns:a16="http://schemas.microsoft.com/office/drawing/2014/main" id="{111362AC-A131-4DE6-8DA8-6376D3157D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8" name="Elipse 11727">
          <a:extLst>
            <a:ext uri="{FF2B5EF4-FFF2-40B4-BE49-F238E27FC236}">
              <a16:creationId xmlns:a16="http://schemas.microsoft.com/office/drawing/2014/main" id="{EBC0FB10-138A-42C3-9148-896EAB269B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29" name="Elipse 11728">
          <a:extLst>
            <a:ext uri="{FF2B5EF4-FFF2-40B4-BE49-F238E27FC236}">
              <a16:creationId xmlns:a16="http://schemas.microsoft.com/office/drawing/2014/main" id="{68D69346-3727-476E-9588-A144CA55DE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0" name="Elipse 11729">
          <a:extLst>
            <a:ext uri="{FF2B5EF4-FFF2-40B4-BE49-F238E27FC236}">
              <a16:creationId xmlns:a16="http://schemas.microsoft.com/office/drawing/2014/main" id="{EDA30B5A-D300-4DA8-81AC-844ACD84BF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1" name="Elipse 11730">
          <a:extLst>
            <a:ext uri="{FF2B5EF4-FFF2-40B4-BE49-F238E27FC236}">
              <a16:creationId xmlns:a16="http://schemas.microsoft.com/office/drawing/2014/main" id="{E2ECF2AF-8237-437E-9F73-B3A9429DAEF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2" name="Elipse 11731">
          <a:extLst>
            <a:ext uri="{FF2B5EF4-FFF2-40B4-BE49-F238E27FC236}">
              <a16:creationId xmlns:a16="http://schemas.microsoft.com/office/drawing/2014/main" id="{A4B5D3C5-2C76-4140-802D-930EC006E4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3" name="Elipse 11732">
          <a:extLst>
            <a:ext uri="{FF2B5EF4-FFF2-40B4-BE49-F238E27FC236}">
              <a16:creationId xmlns:a16="http://schemas.microsoft.com/office/drawing/2014/main" id="{5A831B02-DBFA-406F-A94D-7B95EA0CC0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4" name="Elipse 11733">
          <a:extLst>
            <a:ext uri="{FF2B5EF4-FFF2-40B4-BE49-F238E27FC236}">
              <a16:creationId xmlns:a16="http://schemas.microsoft.com/office/drawing/2014/main" id="{9BEC2F03-A7B6-4084-9293-E5630405337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5" name="Elipse 11734">
          <a:extLst>
            <a:ext uri="{FF2B5EF4-FFF2-40B4-BE49-F238E27FC236}">
              <a16:creationId xmlns:a16="http://schemas.microsoft.com/office/drawing/2014/main" id="{11C1F193-1123-4994-AEEE-E973784962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6" name="Elipse 11735">
          <a:extLst>
            <a:ext uri="{FF2B5EF4-FFF2-40B4-BE49-F238E27FC236}">
              <a16:creationId xmlns:a16="http://schemas.microsoft.com/office/drawing/2014/main" id="{720D810B-DE9D-4F71-AB03-BD8DEEAF35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7" name="Elipse 11736">
          <a:extLst>
            <a:ext uri="{FF2B5EF4-FFF2-40B4-BE49-F238E27FC236}">
              <a16:creationId xmlns:a16="http://schemas.microsoft.com/office/drawing/2014/main" id="{85D703EE-5C33-4C18-B1C8-291C16822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8" name="Elipse 11737">
          <a:extLst>
            <a:ext uri="{FF2B5EF4-FFF2-40B4-BE49-F238E27FC236}">
              <a16:creationId xmlns:a16="http://schemas.microsoft.com/office/drawing/2014/main" id="{22E585CA-430D-4377-A174-F19ADB12FA3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39" name="Elipse 11738">
          <a:extLst>
            <a:ext uri="{FF2B5EF4-FFF2-40B4-BE49-F238E27FC236}">
              <a16:creationId xmlns:a16="http://schemas.microsoft.com/office/drawing/2014/main" id="{FA4E3A5E-01A0-48C8-94D2-AE173A0B01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0" name="Elipse 11739">
          <a:extLst>
            <a:ext uri="{FF2B5EF4-FFF2-40B4-BE49-F238E27FC236}">
              <a16:creationId xmlns:a16="http://schemas.microsoft.com/office/drawing/2014/main" id="{FAB242F2-8FB4-4958-AC9F-D0D60C8FC7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1" name="Elipse 11740">
          <a:extLst>
            <a:ext uri="{FF2B5EF4-FFF2-40B4-BE49-F238E27FC236}">
              <a16:creationId xmlns:a16="http://schemas.microsoft.com/office/drawing/2014/main" id="{2AED3CDB-D143-473E-B7DF-C04CD07AC1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2" name="Elipse 11741">
          <a:extLst>
            <a:ext uri="{FF2B5EF4-FFF2-40B4-BE49-F238E27FC236}">
              <a16:creationId xmlns:a16="http://schemas.microsoft.com/office/drawing/2014/main" id="{8D4D3D34-4D26-40C4-96C5-1B5957E122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3" name="Elipse 11742">
          <a:extLst>
            <a:ext uri="{FF2B5EF4-FFF2-40B4-BE49-F238E27FC236}">
              <a16:creationId xmlns:a16="http://schemas.microsoft.com/office/drawing/2014/main" id="{8F94545E-526E-4D7E-8768-FB0AA8C384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4" name="Elipse 11743">
          <a:extLst>
            <a:ext uri="{FF2B5EF4-FFF2-40B4-BE49-F238E27FC236}">
              <a16:creationId xmlns:a16="http://schemas.microsoft.com/office/drawing/2014/main" id="{29EB3451-9BCB-4FAD-8879-614A9C0536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5" name="Elipse 11744">
          <a:extLst>
            <a:ext uri="{FF2B5EF4-FFF2-40B4-BE49-F238E27FC236}">
              <a16:creationId xmlns:a16="http://schemas.microsoft.com/office/drawing/2014/main" id="{CF3A0381-0D4B-47E2-977B-455F5CFF17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6" name="Elipse 11745">
          <a:extLst>
            <a:ext uri="{FF2B5EF4-FFF2-40B4-BE49-F238E27FC236}">
              <a16:creationId xmlns:a16="http://schemas.microsoft.com/office/drawing/2014/main" id="{322A0B99-C194-44FB-BF22-114D9124B8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7" name="Elipse 11746">
          <a:extLst>
            <a:ext uri="{FF2B5EF4-FFF2-40B4-BE49-F238E27FC236}">
              <a16:creationId xmlns:a16="http://schemas.microsoft.com/office/drawing/2014/main" id="{3707D0E1-76FF-45A2-A75F-FC47EAB9BB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8" name="Elipse 11747">
          <a:extLst>
            <a:ext uri="{FF2B5EF4-FFF2-40B4-BE49-F238E27FC236}">
              <a16:creationId xmlns:a16="http://schemas.microsoft.com/office/drawing/2014/main" id="{3AC36CC4-5AFA-43F4-A999-6ECE7C461C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49" name="Elipse 11748">
          <a:extLst>
            <a:ext uri="{FF2B5EF4-FFF2-40B4-BE49-F238E27FC236}">
              <a16:creationId xmlns:a16="http://schemas.microsoft.com/office/drawing/2014/main" id="{EE9F1B28-A9F3-44E1-9556-97CDB76144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0" name="Elipse 11749">
          <a:extLst>
            <a:ext uri="{FF2B5EF4-FFF2-40B4-BE49-F238E27FC236}">
              <a16:creationId xmlns:a16="http://schemas.microsoft.com/office/drawing/2014/main" id="{99D0DBC2-6E6B-4989-8FB9-CE2BA680F5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1" name="Elipse 11750">
          <a:extLst>
            <a:ext uri="{FF2B5EF4-FFF2-40B4-BE49-F238E27FC236}">
              <a16:creationId xmlns:a16="http://schemas.microsoft.com/office/drawing/2014/main" id="{A0730D49-2286-4007-9D66-3EBADFC43C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2" name="Elipse 11751">
          <a:extLst>
            <a:ext uri="{FF2B5EF4-FFF2-40B4-BE49-F238E27FC236}">
              <a16:creationId xmlns:a16="http://schemas.microsoft.com/office/drawing/2014/main" id="{78F46B7B-E793-4049-A55A-09C086D62C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3" name="Elipse 11752">
          <a:extLst>
            <a:ext uri="{FF2B5EF4-FFF2-40B4-BE49-F238E27FC236}">
              <a16:creationId xmlns:a16="http://schemas.microsoft.com/office/drawing/2014/main" id="{987A1810-1751-433B-A984-E8D8B1461E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4" name="Elipse 11753">
          <a:extLst>
            <a:ext uri="{FF2B5EF4-FFF2-40B4-BE49-F238E27FC236}">
              <a16:creationId xmlns:a16="http://schemas.microsoft.com/office/drawing/2014/main" id="{E2D958DF-7FB0-4570-9FBF-06115C1663E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5" name="Elipse 11754">
          <a:extLst>
            <a:ext uri="{FF2B5EF4-FFF2-40B4-BE49-F238E27FC236}">
              <a16:creationId xmlns:a16="http://schemas.microsoft.com/office/drawing/2014/main" id="{BCD35475-67EB-44C9-885E-43F3A8647F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6" name="Elipse 11755">
          <a:extLst>
            <a:ext uri="{FF2B5EF4-FFF2-40B4-BE49-F238E27FC236}">
              <a16:creationId xmlns:a16="http://schemas.microsoft.com/office/drawing/2014/main" id="{98C808ED-E7DC-43F9-953F-06D58AD273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7" name="Elipse 11756">
          <a:extLst>
            <a:ext uri="{FF2B5EF4-FFF2-40B4-BE49-F238E27FC236}">
              <a16:creationId xmlns:a16="http://schemas.microsoft.com/office/drawing/2014/main" id="{9E7F713B-8A76-4138-BDEE-32A6F3D217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8" name="Elipse 11757">
          <a:extLst>
            <a:ext uri="{FF2B5EF4-FFF2-40B4-BE49-F238E27FC236}">
              <a16:creationId xmlns:a16="http://schemas.microsoft.com/office/drawing/2014/main" id="{6634C8E6-9E49-496F-A54E-25D22A2194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59" name="Elipse 11758">
          <a:extLst>
            <a:ext uri="{FF2B5EF4-FFF2-40B4-BE49-F238E27FC236}">
              <a16:creationId xmlns:a16="http://schemas.microsoft.com/office/drawing/2014/main" id="{9182C9AD-D322-459E-B6A5-5CE49C1BE0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0" name="Elipse 11759">
          <a:extLst>
            <a:ext uri="{FF2B5EF4-FFF2-40B4-BE49-F238E27FC236}">
              <a16:creationId xmlns:a16="http://schemas.microsoft.com/office/drawing/2014/main" id="{134751D5-CD20-400B-B5D7-0F8B91CF88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1" name="Elipse 11760">
          <a:extLst>
            <a:ext uri="{FF2B5EF4-FFF2-40B4-BE49-F238E27FC236}">
              <a16:creationId xmlns:a16="http://schemas.microsoft.com/office/drawing/2014/main" id="{5A6B2671-852C-4ECD-A781-F426B53143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2" name="Elipse 11761">
          <a:extLst>
            <a:ext uri="{FF2B5EF4-FFF2-40B4-BE49-F238E27FC236}">
              <a16:creationId xmlns:a16="http://schemas.microsoft.com/office/drawing/2014/main" id="{6B87C677-7510-47C8-BAB7-C2649AEA8A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3" name="Elipse 11762">
          <a:extLst>
            <a:ext uri="{FF2B5EF4-FFF2-40B4-BE49-F238E27FC236}">
              <a16:creationId xmlns:a16="http://schemas.microsoft.com/office/drawing/2014/main" id="{095DAC6D-43F9-45B5-BE0F-348379ED185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4" name="Elipse 11763">
          <a:extLst>
            <a:ext uri="{FF2B5EF4-FFF2-40B4-BE49-F238E27FC236}">
              <a16:creationId xmlns:a16="http://schemas.microsoft.com/office/drawing/2014/main" id="{91967D7C-AE9D-4EBF-9345-39FD7AE21C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5" name="Elipse 11764">
          <a:extLst>
            <a:ext uri="{FF2B5EF4-FFF2-40B4-BE49-F238E27FC236}">
              <a16:creationId xmlns:a16="http://schemas.microsoft.com/office/drawing/2014/main" id="{5ED6A474-5700-4C6B-AB28-CA42ED01C9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6" name="Elipse 11765">
          <a:extLst>
            <a:ext uri="{FF2B5EF4-FFF2-40B4-BE49-F238E27FC236}">
              <a16:creationId xmlns:a16="http://schemas.microsoft.com/office/drawing/2014/main" id="{33EB4B83-F35A-489C-8947-273693D466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7" name="Elipse 11766">
          <a:extLst>
            <a:ext uri="{FF2B5EF4-FFF2-40B4-BE49-F238E27FC236}">
              <a16:creationId xmlns:a16="http://schemas.microsoft.com/office/drawing/2014/main" id="{5B9B7778-6384-4CF4-8832-505A91A7C5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8" name="Elipse 11767">
          <a:extLst>
            <a:ext uri="{FF2B5EF4-FFF2-40B4-BE49-F238E27FC236}">
              <a16:creationId xmlns:a16="http://schemas.microsoft.com/office/drawing/2014/main" id="{56C8B038-0C6B-46D1-A978-38A86ACB18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69" name="Elipse 11768">
          <a:extLst>
            <a:ext uri="{FF2B5EF4-FFF2-40B4-BE49-F238E27FC236}">
              <a16:creationId xmlns:a16="http://schemas.microsoft.com/office/drawing/2014/main" id="{73BE2C84-18BB-42B2-B91F-7B3E53EC71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0" name="Elipse 11769">
          <a:extLst>
            <a:ext uri="{FF2B5EF4-FFF2-40B4-BE49-F238E27FC236}">
              <a16:creationId xmlns:a16="http://schemas.microsoft.com/office/drawing/2014/main" id="{D4ABB33A-286B-4EAE-9D59-BEF03C0FB1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1" name="Elipse 11770">
          <a:extLst>
            <a:ext uri="{FF2B5EF4-FFF2-40B4-BE49-F238E27FC236}">
              <a16:creationId xmlns:a16="http://schemas.microsoft.com/office/drawing/2014/main" id="{588B0E67-23A2-4D3F-A1F4-A2E6B3471A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2" name="Elipse 11771">
          <a:extLst>
            <a:ext uri="{FF2B5EF4-FFF2-40B4-BE49-F238E27FC236}">
              <a16:creationId xmlns:a16="http://schemas.microsoft.com/office/drawing/2014/main" id="{96FFA60D-B349-4AF0-A772-A6376E3C4A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3" name="Elipse 11772">
          <a:extLst>
            <a:ext uri="{FF2B5EF4-FFF2-40B4-BE49-F238E27FC236}">
              <a16:creationId xmlns:a16="http://schemas.microsoft.com/office/drawing/2014/main" id="{E0F5BFCF-C32F-4D50-AAC5-5E4780D61F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4" name="Elipse 11773">
          <a:extLst>
            <a:ext uri="{FF2B5EF4-FFF2-40B4-BE49-F238E27FC236}">
              <a16:creationId xmlns:a16="http://schemas.microsoft.com/office/drawing/2014/main" id="{7A8DB029-2319-4AEC-86E3-DFE1987B59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5" name="Elipse 11774">
          <a:extLst>
            <a:ext uri="{FF2B5EF4-FFF2-40B4-BE49-F238E27FC236}">
              <a16:creationId xmlns:a16="http://schemas.microsoft.com/office/drawing/2014/main" id="{11154118-5F7F-41E5-8319-AA272E7BF1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6" name="Elipse 11775">
          <a:extLst>
            <a:ext uri="{FF2B5EF4-FFF2-40B4-BE49-F238E27FC236}">
              <a16:creationId xmlns:a16="http://schemas.microsoft.com/office/drawing/2014/main" id="{B4EAE7F0-DDAB-4F84-8EB0-CC60325B44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7" name="Elipse 11776">
          <a:extLst>
            <a:ext uri="{FF2B5EF4-FFF2-40B4-BE49-F238E27FC236}">
              <a16:creationId xmlns:a16="http://schemas.microsoft.com/office/drawing/2014/main" id="{0A0559A5-6EF2-42DA-B7B2-02D7777A7C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8" name="Elipse 11777">
          <a:extLst>
            <a:ext uri="{FF2B5EF4-FFF2-40B4-BE49-F238E27FC236}">
              <a16:creationId xmlns:a16="http://schemas.microsoft.com/office/drawing/2014/main" id="{13E19B8A-93E7-4A8F-AA35-73627E5BE2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79" name="Elipse 11778">
          <a:extLst>
            <a:ext uri="{FF2B5EF4-FFF2-40B4-BE49-F238E27FC236}">
              <a16:creationId xmlns:a16="http://schemas.microsoft.com/office/drawing/2014/main" id="{ECD4614C-39C2-41C1-92B3-84CBBC785B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0" name="Elipse 11779">
          <a:extLst>
            <a:ext uri="{FF2B5EF4-FFF2-40B4-BE49-F238E27FC236}">
              <a16:creationId xmlns:a16="http://schemas.microsoft.com/office/drawing/2014/main" id="{C9DC64F8-680A-4C12-A484-DCE01536B3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1" name="Elipse 11780">
          <a:extLst>
            <a:ext uri="{FF2B5EF4-FFF2-40B4-BE49-F238E27FC236}">
              <a16:creationId xmlns:a16="http://schemas.microsoft.com/office/drawing/2014/main" id="{8FF2D38D-D4D2-4022-B6B7-D1F7389A6E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2" name="Elipse 11781">
          <a:extLst>
            <a:ext uri="{FF2B5EF4-FFF2-40B4-BE49-F238E27FC236}">
              <a16:creationId xmlns:a16="http://schemas.microsoft.com/office/drawing/2014/main" id="{D28F018C-4E55-4843-B725-4A73D6934E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3" name="Elipse 11782">
          <a:extLst>
            <a:ext uri="{FF2B5EF4-FFF2-40B4-BE49-F238E27FC236}">
              <a16:creationId xmlns:a16="http://schemas.microsoft.com/office/drawing/2014/main" id="{BDA19B57-B028-4B3D-810C-0BC3791D8A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4" name="Elipse 11783">
          <a:extLst>
            <a:ext uri="{FF2B5EF4-FFF2-40B4-BE49-F238E27FC236}">
              <a16:creationId xmlns:a16="http://schemas.microsoft.com/office/drawing/2014/main" id="{5B1EB38E-909E-4622-A522-64A66002E2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5" name="Elipse 11784">
          <a:extLst>
            <a:ext uri="{FF2B5EF4-FFF2-40B4-BE49-F238E27FC236}">
              <a16:creationId xmlns:a16="http://schemas.microsoft.com/office/drawing/2014/main" id="{39C61D05-8CFA-4317-B31B-75AA0E6F58E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6" name="Elipse 11785">
          <a:extLst>
            <a:ext uri="{FF2B5EF4-FFF2-40B4-BE49-F238E27FC236}">
              <a16:creationId xmlns:a16="http://schemas.microsoft.com/office/drawing/2014/main" id="{8BD4EF2F-3384-47B3-9EDD-A9C9790B7E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7" name="Elipse 11786">
          <a:extLst>
            <a:ext uri="{FF2B5EF4-FFF2-40B4-BE49-F238E27FC236}">
              <a16:creationId xmlns:a16="http://schemas.microsoft.com/office/drawing/2014/main" id="{59B2DE4B-073B-4030-A83D-305C4EB8AE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8" name="Elipse 11787">
          <a:extLst>
            <a:ext uri="{FF2B5EF4-FFF2-40B4-BE49-F238E27FC236}">
              <a16:creationId xmlns:a16="http://schemas.microsoft.com/office/drawing/2014/main" id="{32061FBB-4F9E-4E7B-8D02-C5875847C8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89" name="Elipse 11788">
          <a:extLst>
            <a:ext uri="{FF2B5EF4-FFF2-40B4-BE49-F238E27FC236}">
              <a16:creationId xmlns:a16="http://schemas.microsoft.com/office/drawing/2014/main" id="{D886DB2B-F618-4EFD-A91E-A208364EF74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0" name="Elipse 11789">
          <a:extLst>
            <a:ext uri="{FF2B5EF4-FFF2-40B4-BE49-F238E27FC236}">
              <a16:creationId xmlns:a16="http://schemas.microsoft.com/office/drawing/2014/main" id="{6DBB9DBA-13D2-45AD-9B34-D877215EA9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1" name="Elipse 11790">
          <a:extLst>
            <a:ext uri="{FF2B5EF4-FFF2-40B4-BE49-F238E27FC236}">
              <a16:creationId xmlns:a16="http://schemas.microsoft.com/office/drawing/2014/main" id="{5E80D9E5-F93E-4248-8EA8-717172780E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2" name="Elipse 11791">
          <a:extLst>
            <a:ext uri="{FF2B5EF4-FFF2-40B4-BE49-F238E27FC236}">
              <a16:creationId xmlns:a16="http://schemas.microsoft.com/office/drawing/2014/main" id="{2DDBD558-D62E-4521-ACDA-633CC0AFFF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3" name="Elipse 11792">
          <a:extLst>
            <a:ext uri="{FF2B5EF4-FFF2-40B4-BE49-F238E27FC236}">
              <a16:creationId xmlns:a16="http://schemas.microsoft.com/office/drawing/2014/main" id="{8C988C1D-CE47-4D59-AF75-F97883AC6C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4" name="Elipse 11793">
          <a:extLst>
            <a:ext uri="{FF2B5EF4-FFF2-40B4-BE49-F238E27FC236}">
              <a16:creationId xmlns:a16="http://schemas.microsoft.com/office/drawing/2014/main" id="{B5DC122A-4C75-46D2-948F-5412AB853F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5" name="Elipse 11794">
          <a:extLst>
            <a:ext uri="{FF2B5EF4-FFF2-40B4-BE49-F238E27FC236}">
              <a16:creationId xmlns:a16="http://schemas.microsoft.com/office/drawing/2014/main" id="{8CF283D8-BEFA-4A5B-B4C5-83B47F2707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6" name="Elipse 11795">
          <a:extLst>
            <a:ext uri="{FF2B5EF4-FFF2-40B4-BE49-F238E27FC236}">
              <a16:creationId xmlns:a16="http://schemas.microsoft.com/office/drawing/2014/main" id="{7C26DC95-FF97-4F1F-86A7-E3B85F0889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7" name="Elipse 11796">
          <a:extLst>
            <a:ext uri="{FF2B5EF4-FFF2-40B4-BE49-F238E27FC236}">
              <a16:creationId xmlns:a16="http://schemas.microsoft.com/office/drawing/2014/main" id="{4890A80E-E708-4D3B-A93A-6AF6933BAF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8" name="Elipse 11797">
          <a:extLst>
            <a:ext uri="{FF2B5EF4-FFF2-40B4-BE49-F238E27FC236}">
              <a16:creationId xmlns:a16="http://schemas.microsoft.com/office/drawing/2014/main" id="{CCE09072-5129-4B21-A631-89FB7D32BE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799" name="Elipse 11798">
          <a:extLst>
            <a:ext uri="{FF2B5EF4-FFF2-40B4-BE49-F238E27FC236}">
              <a16:creationId xmlns:a16="http://schemas.microsoft.com/office/drawing/2014/main" id="{466C975C-0DA1-4FB0-83F1-88F65CDA0D7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0" name="Elipse 11799">
          <a:extLst>
            <a:ext uri="{FF2B5EF4-FFF2-40B4-BE49-F238E27FC236}">
              <a16:creationId xmlns:a16="http://schemas.microsoft.com/office/drawing/2014/main" id="{F7B2BFCF-A397-4B87-9F65-94CD3DDCC1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1" name="Elipse 11800">
          <a:extLst>
            <a:ext uri="{FF2B5EF4-FFF2-40B4-BE49-F238E27FC236}">
              <a16:creationId xmlns:a16="http://schemas.microsoft.com/office/drawing/2014/main" id="{E1984E1B-2EE8-41FD-ACBE-0EE95C3C2E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2" name="Elipse 11801">
          <a:extLst>
            <a:ext uri="{FF2B5EF4-FFF2-40B4-BE49-F238E27FC236}">
              <a16:creationId xmlns:a16="http://schemas.microsoft.com/office/drawing/2014/main" id="{F7DC1C98-1958-40C0-BF93-89B1C9B0C6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3" name="Elipse 11802">
          <a:extLst>
            <a:ext uri="{FF2B5EF4-FFF2-40B4-BE49-F238E27FC236}">
              <a16:creationId xmlns:a16="http://schemas.microsoft.com/office/drawing/2014/main" id="{63D718B5-1D43-43B9-96BE-F798622A29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4" name="Elipse 11803">
          <a:extLst>
            <a:ext uri="{FF2B5EF4-FFF2-40B4-BE49-F238E27FC236}">
              <a16:creationId xmlns:a16="http://schemas.microsoft.com/office/drawing/2014/main" id="{95893A72-9FA9-4094-B71D-0644445047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5" name="Elipse 11804">
          <a:extLst>
            <a:ext uri="{FF2B5EF4-FFF2-40B4-BE49-F238E27FC236}">
              <a16:creationId xmlns:a16="http://schemas.microsoft.com/office/drawing/2014/main" id="{C50E5DA7-D79E-4788-972D-EDAE712E1A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6" name="Elipse 11805">
          <a:extLst>
            <a:ext uri="{FF2B5EF4-FFF2-40B4-BE49-F238E27FC236}">
              <a16:creationId xmlns:a16="http://schemas.microsoft.com/office/drawing/2014/main" id="{6E68670A-8677-4F41-B8F5-29F4EF84D53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7" name="Elipse 11806">
          <a:extLst>
            <a:ext uri="{FF2B5EF4-FFF2-40B4-BE49-F238E27FC236}">
              <a16:creationId xmlns:a16="http://schemas.microsoft.com/office/drawing/2014/main" id="{CD3D0E47-EFD2-4B0D-83FD-4F619A4354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8" name="Elipse 11807">
          <a:extLst>
            <a:ext uri="{FF2B5EF4-FFF2-40B4-BE49-F238E27FC236}">
              <a16:creationId xmlns:a16="http://schemas.microsoft.com/office/drawing/2014/main" id="{555F5386-190E-4AD5-B133-10F3FE1069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09" name="Elipse 11808">
          <a:extLst>
            <a:ext uri="{FF2B5EF4-FFF2-40B4-BE49-F238E27FC236}">
              <a16:creationId xmlns:a16="http://schemas.microsoft.com/office/drawing/2014/main" id="{F416F354-65FE-4E35-8B97-B261027EA01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0" name="Elipse 11809">
          <a:extLst>
            <a:ext uri="{FF2B5EF4-FFF2-40B4-BE49-F238E27FC236}">
              <a16:creationId xmlns:a16="http://schemas.microsoft.com/office/drawing/2014/main" id="{94637F2D-1729-4C85-98F4-3A3DF99D06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1" name="Elipse 11810">
          <a:extLst>
            <a:ext uri="{FF2B5EF4-FFF2-40B4-BE49-F238E27FC236}">
              <a16:creationId xmlns:a16="http://schemas.microsoft.com/office/drawing/2014/main" id="{5961C880-E008-49AF-A035-84874A9A2C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2" name="Elipse 11811">
          <a:extLst>
            <a:ext uri="{FF2B5EF4-FFF2-40B4-BE49-F238E27FC236}">
              <a16:creationId xmlns:a16="http://schemas.microsoft.com/office/drawing/2014/main" id="{C24E2FAF-AA65-402A-A072-93F5C9DAEF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3" name="Elipse 11812">
          <a:extLst>
            <a:ext uri="{FF2B5EF4-FFF2-40B4-BE49-F238E27FC236}">
              <a16:creationId xmlns:a16="http://schemas.microsoft.com/office/drawing/2014/main" id="{AB36B7F9-B104-494E-98F7-53F7628097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4" name="Elipse 11813">
          <a:extLst>
            <a:ext uri="{FF2B5EF4-FFF2-40B4-BE49-F238E27FC236}">
              <a16:creationId xmlns:a16="http://schemas.microsoft.com/office/drawing/2014/main" id="{867F3FEE-59C5-4022-B24F-47D917E5E4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5" name="Elipse 11814">
          <a:extLst>
            <a:ext uri="{FF2B5EF4-FFF2-40B4-BE49-F238E27FC236}">
              <a16:creationId xmlns:a16="http://schemas.microsoft.com/office/drawing/2014/main" id="{C582E781-9E13-4C59-B901-34A37F83671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6" name="Elipse 11815">
          <a:extLst>
            <a:ext uri="{FF2B5EF4-FFF2-40B4-BE49-F238E27FC236}">
              <a16:creationId xmlns:a16="http://schemas.microsoft.com/office/drawing/2014/main" id="{AB5F9D77-45C0-42F3-801C-13C854423A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7" name="Elipse 11816">
          <a:extLst>
            <a:ext uri="{FF2B5EF4-FFF2-40B4-BE49-F238E27FC236}">
              <a16:creationId xmlns:a16="http://schemas.microsoft.com/office/drawing/2014/main" id="{86B84B35-1C20-4504-B051-26C7E1ABAF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8" name="Elipse 11817">
          <a:extLst>
            <a:ext uri="{FF2B5EF4-FFF2-40B4-BE49-F238E27FC236}">
              <a16:creationId xmlns:a16="http://schemas.microsoft.com/office/drawing/2014/main" id="{341C0593-2B23-4EAB-A4FE-EBFD7417E9A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19" name="Elipse 11818">
          <a:extLst>
            <a:ext uri="{FF2B5EF4-FFF2-40B4-BE49-F238E27FC236}">
              <a16:creationId xmlns:a16="http://schemas.microsoft.com/office/drawing/2014/main" id="{4ABDA2BD-49E3-4D92-8BE8-EF98DE4543A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0" name="Elipse 11819">
          <a:extLst>
            <a:ext uri="{FF2B5EF4-FFF2-40B4-BE49-F238E27FC236}">
              <a16:creationId xmlns:a16="http://schemas.microsoft.com/office/drawing/2014/main" id="{A40BD40F-6B78-48B2-8D87-509A71DC56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1" name="Elipse 11820">
          <a:extLst>
            <a:ext uri="{FF2B5EF4-FFF2-40B4-BE49-F238E27FC236}">
              <a16:creationId xmlns:a16="http://schemas.microsoft.com/office/drawing/2014/main" id="{30BB41DB-77B6-4D5B-84EF-91FB5CCD9E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2" name="Elipse 11821">
          <a:extLst>
            <a:ext uri="{FF2B5EF4-FFF2-40B4-BE49-F238E27FC236}">
              <a16:creationId xmlns:a16="http://schemas.microsoft.com/office/drawing/2014/main" id="{51C808B4-7EEA-4BDD-BED8-CEDFCB8A13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3" name="Elipse 11822">
          <a:extLst>
            <a:ext uri="{FF2B5EF4-FFF2-40B4-BE49-F238E27FC236}">
              <a16:creationId xmlns:a16="http://schemas.microsoft.com/office/drawing/2014/main" id="{704F7FD0-2DE4-44B7-9A7A-AD2E0BB3A4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4" name="Elipse 11823">
          <a:extLst>
            <a:ext uri="{FF2B5EF4-FFF2-40B4-BE49-F238E27FC236}">
              <a16:creationId xmlns:a16="http://schemas.microsoft.com/office/drawing/2014/main" id="{C700E569-2F13-490B-898F-9BFBA66B41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5" name="Elipse 11824">
          <a:extLst>
            <a:ext uri="{FF2B5EF4-FFF2-40B4-BE49-F238E27FC236}">
              <a16:creationId xmlns:a16="http://schemas.microsoft.com/office/drawing/2014/main" id="{F73AAD64-9888-4BB6-A9DD-82B3EA1CCE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6" name="Elipse 11825">
          <a:extLst>
            <a:ext uri="{FF2B5EF4-FFF2-40B4-BE49-F238E27FC236}">
              <a16:creationId xmlns:a16="http://schemas.microsoft.com/office/drawing/2014/main" id="{BCBCAF34-9D23-40D5-A563-51D82FCE0C8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7" name="Elipse 11826">
          <a:extLst>
            <a:ext uri="{FF2B5EF4-FFF2-40B4-BE49-F238E27FC236}">
              <a16:creationId xmlns:a16="http://schemas.microsoft.com/office/drawing/2014/main" id="{71811CED-AA4D-4EED-A287-8EEF40D21D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8" name="Elipse 11827">
          <a:extLst>
            <a:ext uri="{FF2B5EF4-FFF2-40B4-BE49-F238E27FC236}">
              <a16:creationId xmlns:a16="http://schemas.microsoft.com/office/drawing/2014/main" id="{3602EA31-7315-42FA-A828-4E27C4DB94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29" name="Elipse 11828">
          <a:extLst>
            <a:ext uri="{FF2B5EF4-FFF2-40B4-BE49-F238E27FC236}">
              <a16:creationId xmlns:a16="http://schemas.microsoft.com/office/drawing/2014/main" id="{CADB8F98-C770-4A90-AC42-25A4DC70C5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0" name="Elipse 11829">
          <a:extLst>
            <a:ext uri="{FF2B5EF4-FFF2-40B4-BE49-F238E27FC236}">
              <a16:creationId xmlns:a16="http://schemas.microsoft.com/office/drawing/2014/main" id="{BC210A56-A08D-4231-85A7-6EDC7C1F54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1" name="Elipse 11830">
          <a:extLst>
            <a:ext uri="{FF2B5EF4-FFF2-40B4-BE49-F238E27FC236}">
              <a16:creationId xmlns:a16="http://schemas.microsoft.com/office/drawing/2014/main" id="{EE047491-3E15-428C-8222-D97BAB6706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2" name="Elipse 11831">
          <a:extLst>
            <a:ext uri="{FF2B5EF4-FFF2-40B4-BE49-F238E27FC236}">
              <a16:creationId xmlns:a16="http://schemas.microsoft.com/office/drawing/2014/main" id="{E89AC548-00C8-40ED-A01D-5C263F4306A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3" name="Elipse 11832">
          <a:extLst>
            <a:ext uri="{FF2B5EF4-FFF2-40B4-BE49-F238E27FC236}">
              <a16:creationId xmlns:a16="http://schemas.microsoft.com/office/drawing/2014/main" id="{02A2F30F-E186-4922-A242-ED85646108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4" name="Elipse 11833">
          <a:extLst>
            <a:ext uri="{FF2B5EF4-FFF2-40B4-BE49-F238E27FC236}">
              <a16:creationId xmlns:a16="http://schemas.microsoft.com/office/drawing/2014/main" id="{7C4673A4-BE7A-477E-8827-87F1D06C0C6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5" name="Elipse 11834">
          <a:extLst>
            <a:ext uri="{FF2B5EF4-FFF2-40B4-BE49-F238E27FC236}">
              <a16:creationId xmlns:a16="http://schemas.microsoft.com/office/drawing/2014/main" id="{85D2A9CD-8538-44C2-A9E6-5BDBEA269F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6" name="Elipse 11835">
          <a:extLst>
            <a:ext uri="{FF2B5EF4-FFF2-40B4-BE49-F238E27FC236}">
              <a16:creationId xmlns:a16="http://schemas.microsoft.com/office/drawing/2014/main" id="{E1AF7A8D-7ACD-4FF4-9293-A0A59E1DD3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7" name="Elipse 11836">
          <a:extLst>
            <a:ext uri="{FF2B5EF4-FFF2-40B4-BE49-F238E27FC236}">
              <a16:creationId xmlns:a16="http://schemas.microsoft.com/office/drawing/2014/main" id="{6B63605F-AFFD-44B3-8C02-F59B4E4333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8" name="Elipse 11837">
          <a:extLst>
            <a:ext uri="{FF2B5EF4-FFF2-40B4-BE49-F238E27FC236}">
              <a16:creationId xmlns:a16="http://schemas.microsoft.com/office/drawing/2014/main" id="{2CFC3E63-69D0-410C-8BE7-C91D1104DE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39" name="Elipse 11838">
          <a:extLst>
            <a:ext uri="{FF2B5EF4-FFF2-40B4-BE49-F238E27FC236}">
              <a16:creationId xmlns:a16="http://schemas.microsoft.com/office/drawing/2014/main" id="{4668C113-D05E-4EA2-A7BC-8C4C2FD733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0" name="Elipse 11839">
          <a:extLst>
            <a:ext uri="{FF2B5EF4-FFF2-40B4-BE49-F238E27FC236}">
              <a16:creationId xmlns:a16="http://schemas.microsoft.com/office/drawing/2014/main" id="{E42EF4E4-7FD7-4E88-893B-E6942FB1A7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1" name="Elipse 11840">
          <a:extLst>
            <a:ext uri="{FF2B5EF4-FFF2-40B4-BE49-F238E27FC236}">
              <a16:creationId xmlns:a16="http://schemas.microsoft.com/office/drawing/2014/main" id="{3C4D021D-F0C2-4229-B0B9-11A8EE605C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2" name="Elipse 11841">
          <a:extLst>
            <a:ext uri="{FF2B5EF4-FFF2-40B4-BE49-F238E27FC236}">
              <a16:creationId xmlns:a16="http://schemas.microsoft.com/office/drawing/2014/main" id="{084FDD9D-8DD4-4657-A53B-4960CB9F73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3" name="Elipse 11842">
          <a:extLst>
            <a:ext uri="{FF2B5EF4-FFF2-40B4-BE49-F238E27FC236}">
              <a16:creationId xmlns:a16="http://schemas.microsoft.com/office/drawing/2014/main" id="{D73B9B14-9C53-4D98-B73F-424494928E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4" name="Elipse 11843">
          <a:extLst>
            <a:ext uri="{FF2B5EF4-FFF2-40B4-BE49-F238E27FC236}">
              <a16:creationId xmlns:a16="http://schemas.microsoft.com/office/drawing/2014/main" id="{7C0B6086-6EA0-4AC6-8465-672A25F081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5" name="Elipse 11844">
          <a:extLst>
            <a:ext uri="{FF2B5EF4-FFF2-40B4-BE49-F238E27FC236}">
              <a16:creationId xmlns:a16="http://schemas.microsoft.com/office/drawing/2014/main" id="{62B406B6-FE70-4402-9C70-60785A6457D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6" name="Elipse 11845">
          <a:extLst>
            <a:ext uri="{FF2B5EF4-FFF2-40B4-BE49-F238E27FC236}">
              <a16:creationId xmlns:a16="http://schemas.microsoft.com/office/drawing/2014/main" id="{A45462CD-F03C-43D7-BCD9-28EC560320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7" name="Elipse 11846">
          <a:extLst>
            <a:ext uri="{FF2B5EF4-FFF2-40B4-BE49-F238E27FC236}">
              <a16:creationId xmlns:a16="http://schemas.microsoft.com/office/drawing/2014/main" id="{032AFE8A-AE66-4822-97FC-2439B81683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8" name="Elipse 11847">
          <a:extLst>
            <a:ext uri="{FF2B5EF4-FFF2-40B4-BE49-F238E27FC236}">
              <a16:creationId xmlns:a16="http://schemas.microsoft.com/office/drawing/2014/main" id="{C97DB0B6-4799-4B9F-91FF-975B788CF2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49" name="Elipse 11848">
          <a:extLst>
            <a:ext uri="{FF2B5EF4-FFF2-40B4-BE49-F238E27FC236}">
              <a16:creationId xmlns:a16="http://schemas.microsoft.com/office/drawing/2014/main" id="{A3C3FB3F-A6ED-4C22-BDF6-A11C2EA21E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0" name="Elipse 11849">
          <a:extLst>
            <a:ext uri="{FF2B5EF4-FFF2-40B4-BE49-F238E27FC236}">
              <a16:creationId xmlns:a16="http://schemas.microsoft.com/office/drawing/2014/main" id="{F262ADC0-3B7B-4813-BBFC-3606E85D2A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1" name="Elipse 11850">
          <a:extLst>
            <a:ext uri="{FF2B5EF4-FFF2-40B4-BE49-F238E27FC236}">
              <a16:creationId xmlns:a16="http://schemas.microsoft.com/office/drawing/2014/main" id="{594DC2DE-16E4-4224-A02F-F71E7B642C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2" name="Elipse 11851">
          <a:extLst>
            <a:ext uri="{FF2B5EF4-FFF2-40B4-BE49-F238E27FC236}">
              <a16:creationId xmlns:a16="http://schemas.microsoft.com/office/drawing/2014/main" id="{0B3AA5E5-1AD9-4CF8-AF12-753DAAA28E7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3" name="Elipse 11852">
          <a:extLst>
            <a:ext uri="{FF2B5EF4-FFF2-40B4-BE49-F238E27FC236}">
              <a16:creationId xmlns:a16="http://schemas.microsoft.com/office/drawing/2014/main" id="{D0A0A306-32B7-40C7-ADB6-78E15E7E40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4" name="Elipse 11853">
          <a:extLst>
            <a:ext uri="{FF2B5EF4-FFF2-40B4-BE49-F238E27FC236}">
              <a16:creationId xmlns:a16="http://schemas.microsoft.com/office/drawing/2014/main" id="{0716B36A-9D6C-44AB-B0EB-4EA991B7C0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5" name="Elipse 11854">
          <a:extLst>
            <a:ext uri="{FF2B5EF4-FFF2-40B4-BE49-F238E27FC236}">
              <a16:creationId xmlns:a16="http://schemas.microsoft.com/office/drawing/2014/main" id="{1C2F392B-D17A-4B3B-9B02-2C7049FA3D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6" name="Elipse 11855">
          <a:extLst>
            <a:ext uri="{FF2B5EF4-FFF2-40B4-BE49-F238E27FC236}">
              <a16:creationId xmlns:a16="http://schemas.microsoft.com/office/drawing/2014/main" id="{8E9059FE-97D0-4782-B314-1D9CFC0437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7" name="Elipse 11856">
          <a:extLst>
            <a:ext uri="{FF2B5EF4-FFF2-40B4-BE49-F238E27FC236}">
              <a16:creationId xmlns:a16="http://schemas.microsoft.com/office/drawing/2014/main" id="{0DC2DAEE-31D9-405A-934D-4BC713CFB0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8" name="Elipse 11857">
          <a:extLst>
            <a:ext uri="{FF2B5EF4-FFF2-40B4-BE49-F238E27FC236}">
              <a16:creationId xmlns:a16="http://schemas.microsoft.com/office/drawing/2014/main" id="{4560108A-63BA-480F-B1D4-155D8DE79F9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59" name="Elipse 11858">
          <a:extLst>
            <a:ext uri="{FF2B5EF4-FFF2-40B4-BE49-F238E27FC236}">
              <a16:creationId xmlns:a16="http://schemas.microsoft.com/office/drawing/2014/main" id="{36F9665F-DF93-4E10-B368-DE863B8EF5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0" name="Elipse 11859">
          <a:extLst>
            <a:ext uri="{FF2B5EF4-FFF2-40B4-BE49-F238E27FC236}">
              <a16:creationId xmlns:a16="http://schemas.microsoft.com/office/drawing/2014/main" id="{8E97A0E3-275D-444B-8670-683C22E8FD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1" name="Elipse 11860">
          <a:extLst>
            <a:ext uri="{FF2B5EF4-FFF2-40B4-BE49-F238E27FC236}">
              <a16:creationId xmlns:a16="http://schemas.microsoft.com/office/drawing/2014/main" id="{53205AE6-49BB-4B9A-846A-A9F2E6B30D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2" name="Elipse 11861">
          <a:extLst>
            <a:ext uri="{FF2B5EF4-FFF2-40B4-BE49-F238E27FC236}">
              <a16:creationId xmlns:a16="http://schemas.microsoft.com/office/drawing/2014/main" id="{AEB4F0CA-5A1F-48C2-BD6C-E53DCA9CEFA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3" name="Elipse 11862">
          <a:extLst>
            <a:ext uri="{FF2B5EF4-FFF2-40B4-BE49-F238E27FC236}">
              <a16:creationId xmlns:a16="http://schemas.microsoft.com/office/drawing/2014/main" id="{00106BF1-857C-473B-99E5-0E03E7F490B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4" name="Elipse 11863">
          <a:extLst>
            <a:ext uri="{FF2B5EF4-FFF2-40B4-BE49-F238E27FC236}">
              <a16:creationId xmlns:a16="http://schemas.microsoft.com/office/drawing/2014/main" id="{0DA3AA7A-FBD4-44D8-B949-ECB1A2B024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5" name="Elipse 11864">
          <a:extLst>
            <a:ext uri="{FF2B5EF4-FFF2-40B4-BE49-F238E27FC236}">
              <a16:creationId xmlns:a16="http://schemas.microsoft.com/office/drawing/2014/main" id="{EB115BA2-D26E-4900-8EAD-811561518A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6" name="Elipse 11865">
          <a:extLst>
            <a:ext uri="{FF2B5EF4-FFF2-40B4-BE49-F238E27FC236}">
              <a16:creationId xmlns:a16="http://schemas.microsoft.com/office/drawing/2014/main" id="{330E1B94-2F18-4F54-A3CB-6173F1F014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7" name="Elipse 11866">
          <a:extLst>
            <a:ext uri="{FF2B5EF4-FFF2-40B4-BE49-F238E27FC236}">
              <a16:creationId xmlns:a16="http://schemas.microsoft.com/office/drawing/2014/main" id="{6A8E4D2E-3E9C-407A-A0F8-6A2A13EB8D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8" name="Elipse 11867">
          <a:extLst>
            <a:ext uri="{FF2B5EF4-FFF2-40B4-BE49-F238E27FC236}">
              <a16:creationId xmlns:a16="http://schemas.microsoft.com/office/drawing/2014/main" id="{95F32265-123C-44B2-9C7B-0FEE669339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69" name="Elipse 11868">
          <a:extLst>
            <a:ext uri="{FF2B5EF4-FFF2-40B4-BE49-F238E27FC236}">
              <a16:creationId xmlns:a16="http://schemas.microsoft.com/office/drawing/2014/main" id="{128A7C3E-7088-472A-86E3-D1B30A283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0" name="Elipse 11869">
          <a:extLst>
            <a:ext uri="{FF2B5EF4-FFF2-40B4-BE49-F238E27FC236}">
              <a16:creationId xmlns:a16="http://schemas.microsoft.com/office/drawing/2014/main" id="{C3B58B42-F8BC-4DBA-98C3-AC9615A973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1" name="Elipse 11870">
          <a:extLst>
            <a:ext uri="{FF2B5EF4-FFF2-40B4-BE49-F238E27FC236}">
              <a16:creationId xmlns:a16="http://schemas.microsoft.com/office/drawing/2014/main" id="{BC58CF3D-979F-4930-BDE0-75D5AD73B7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2" name="Elipse 11871">
          <a:extLst>
            <a:ext uri="{FF2B5EF4-FFF2-40B4-BE49-F238E27FC236}">
              <a16:creationId xmlns:a16="http://schemas.microsoft.com/office/drawing/2014/main" id="{E82A39C8-0B4C-4390-8E8B-448D495255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3" name="Elipse 11872">
          <a:extLst>
            <a:ext uri="{FF2B5EF4-FFF2-40B4-BE49-F238E27FC236}">
              <a16:creationId xmlns:a16="http://schemas.microsoft.com/office/drawing/2014/main" id="{3A502EFE-DD19-4BAB-9B86-C4A399A53E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4" name="Elipse 11873">
          <a:extLst>
            <a:ext uri="{FF2B5EF4-FFF2-40B4-BE49-F238E27FC236}">
              <a16:creationId xmlns:a16="http://schemas.microsoft.com/office/drawing/2014/main" id="{D39CC949-9ED0-41F2-A586-A69204EEC8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5" name="Elipse 11874">
          <a:extLst>
            <a:ext uri="{FF2B5EF4-FFF2-40B4-BE49-F238E27FC236}">
              <a16:creationId xmlns:a16="http://schemas.microsoft.com/office/drawing/2014/main" id="{B250E7F1-FD49-4BE3-BCF1-3C7D96E946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6" name="Elipse 11875">
          <a:extLst>
            <a:ext uri="{FF2B5EF4-FFF2-40B4-BE49-F238E27FC236}">
              <a16:creationId xmlns:a16="http://schemas.microsoft.com/office/drawing/2014/main" id="{D8558B94-A813-4F23-B766-3A74153D4C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7" name="Elipse 11876">
          <a:extLst>
            <a:ext uri="{FF2B5EF4-FFF2-40B4-BE49-F238E27FC236}">
              <a16:creationId xmlns:a16="http://schemas.microsoft.com/office/drawing/2014/main" id="{B354A7B5-07E2-4810-951C-632B7F66520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8" name="Elipse 11877">
          <a:extLst>
            <a:ext uri="{FF2B5EF4-FFF2-40B4-BE49-F238E27FC236}">
              <a16:creationId xmlns:a16="http://schemas.microsoft.com/office/drawing/2014/main" id="{F4CC59DE-D73A-456B-8318-C327BF51DD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79" name="Elipse 11878">
          <a:extLst>
            <a:ext uri="{FF2B5EF4-FFF2-40B4-BE49-F238E27FC236}">
              <a16:creationId xmlns:a16="http://schemas.microsoft.com/office/drawing/2014/main" id="{55D17ED6-949F-4A34-81CC-720AFF266FD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0" name="Elipse 11879">
          <a:extLst>
            <a:ext uri="{FF2B5EF4-FFF2-40B4-BE49-F238E27FC236}">
              <a16:creationId xmlns:a16="http://schemas.microsoft.com/office/drawing/2014/main" id="{F87340A4-27AF-4869-90A2-F9FD334F5D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1" name="Elipse 11880">
          <a:extLst>
            <a:ext uri="{FF2B5EF4-FFF2-40B4-BE49-F238E27FC236}">
              <a16:creationId xmlns:a16="http://schemas.microsoft.com/office/drawing/2014/main" id="{99620AD0-05E1-4C2D-9843-996CAFC2A3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2" name="Elipse 11881">
          <a:extLst>
            <a:ext uri="{FF2B5EF4-FFF2-40B4-BE49-F238E27FC236}">
              <a16:creationId xmlns:a16="http://schemas.microsoft.com/office/drawing/2014/main" id="{2FACAF5D-6393-40FE-9AB1-386E02D913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3" name="Elipse 11882">
          <a:extLst>
            <a:ext uri="{FF2B5EF4-FFF2-40B4-BE49-F238E27FC236}">
              <a16:creationId xmlns:a16="http://schemas.microsoft.com/office/drawing/2014/main" id="{1C7DF68E-81A8-4774-AD0A-2BE91B0F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4" name="Elipse 11883">
          <a:extLst>
            <a:ext uri="{FF2B5EF4-FFF2-40B4-BE49-F238E27FC236}">
              <a16:creationId xmlns:a16="http://schemas.microsoft.com/office/drawing/2014/main" id="{8E6556F5-8606-4F1B-ACEE-AEB8312BDA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5" name="Elipse 11884">
          <a:extLst>
            <a:ext uri="{FF2B5EF4-FFF2-40B4-BE49-F238E27FC236}">
              <a16:creationId xmlns:a16="http://schemas.microsoft.com/office/drawing/2014/main" id="{4CAF95A4-A79A-4CF9-87BF-0990FA2BB46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6" name="Elipse 11885">
          <a:extLst>
            <a:ext uri="{FF2B5EF4-FFF2-40B4-BE49-F238E27FC236}">
              <a16:creationId xmlns:a16="http://schemas.microsoft.com/office/drawing/2014/main" id="{4E253255-7C53-4AA8-9971-34C9CC29ED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7" name="Elipse 11886">
          <a:extLst>
            <a:ext uri="{FF2B5EF4-FFF2-40B4-BE49-F238E27FC236}">
              <a16:creationId xmlns:a16="http://schemas.microsoft.com/office/drawing/2014/main" id="{7739EDFE-E1BB-4572-9E0B-ECE2F6A51C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8" name="Elipse 11887">
          <a:extLst>
            <a:ext uri="{FF2B5EF4-FFF2-40B4-BE49-F238E27FC236}">
              <a16:creationId xmlns:a16="http://schemas.microsoft.com/office/drawing/2014/main" id="{7922E601-D314-4D8E-A839-072E165766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89" name="Elipse 11888">
          <a:extLst>
            <a:ext uri="{FF2B5EF4-FFF2-40B4-BE49-F238E27FC236}">
              <a16:creationId xmlns:a16="http://schemas.microsoft.com/office/drawing/2014/main" id="{66933E93-9B90-4D67-A6AB-4C0AFDD698B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0" name="Elipse 11889">
          <a:extLst>
            <a:ext uri="{FF2B5EF4-FFF2-40B4-BE49-F238E27FC236}">
              <a16:creationId xmlns:a16="http://schemas.microsoft.com/office/drawing/2014/main" id="{D15E0DE3-264D-4C07-BB8D-2FA4F225AB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1" name="Elipse 11890">
          <a:extLst>
            <a:ext uri="{FF2B5EF4-FFF2-40B4-BE49-F238E27FC236}">
              <a16:creationId xmlns:a16="http://schemas.microsoft.com/office/drawing/2014/main" id="{556B27BA-9C06-400A-A085-EE9620CCC8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2" name="Elipse 11891">
          <a:extLst>
            <a:ext uri="{FF2B5EF4-FFF2-40B4-BE49-F238E27FC236}">
              <a16:creationId xmlns:a16="http://schemas.microsoft.com/office/drawing/2014/main" id="{2DFB320E-A2F5-4417-A450-C4B6EAF73B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3" name="Elipse 11892">
          <a:extLst>
            <a:ext uri="{FF2B5EF4-FFF2-40B4-BE49-F238E27FC236}">
              <a16:creationId xmlns:a16="http://schemas.microsoft.com/office/drawing/2014/main" id="{56E9ED61-7ED6-4677-995F-E3F435718F7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4" name="Elipse 11893">
          <a:extLst>
            <a:ext uri="{FF2B5EF4-FFF2-40B4-BE49-F238E27FC236}">
              <a16:creationId xmlns:a16="http://schemas.microsoft.com/office/drawing/2014/main" id="{3997E702-4972-4C97-AFD5-CCA3708599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5" name="Elipse 11894">
          <a:extLst>
            <a:ext uri="{FF2B5EF4-FFF2-40B4-BE49-F238E27FC236}">
              <a16:creationId xmlns:a16="http://schemas.microsoft.com/office/drawing/2014/main" id="{263A9405-B876-4223-8B33-264E0342B7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6" name="Elipse 11895">
          <a:extLst>
            <a:ext uri="{FF2B5EF4-FFF2-40B4-BE49-F238E27FC236}">
              <a16:creationId xmlns:a16="http://schemas.microsoft.com/office/drawing/2014/main" id="{6E380947-9A55-449A-BFF0-43B37445F4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7" name="Elipse 11896">
          <a:extLst>
            <a:ext uri="{FF2B5EF4-FFF2-40B4-BE49-F238E27FC236}">
              <a16:creationId xmlns:a16="http://schemas.microsoft.com/office/drawing/2014/main" id="{DF70ED57-9716-49DF-9D7A-717E095738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8" name="Elipse 11897">
          <a:extLst>
            <a:ext uri="{FF2B5EF4-FFF2-40B4-BE49-F238E27FC236}">
              <a16:creationId xmlns:a16="http://schemas.microsoft.com/office/drawing/2014/main" id="{73B4FED5-2240-4B7A-A599-2E09589D61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899" name="Elipse 11898">
          <a:extLst>
            <a:ext uri="{FF2B5EF4-FFF2-40B4-BE49-F238E27FC236}">
              <a16:creationId xmlns:a16="http://schemas.microsoft.com/office/drawing/2014/main" id="{60248486-E924-47FC-9D07-A11CDF588E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0" name="Elipse 11899">
          <a:extLst>
            <a:ext uri="{FF2B5EF4-FFF2-40B4-BE49-F238E27FC236}">
              <a16:creationId xmlns:a16="http://schemas.microsoft.com/office/drawing/2014/main" id="{3A6073A4-1C6F-4F47-8A33-657C2522A7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1" name="Elipse 11900">
          <a:extLst>
            <a:ext uri="{FF2B5EF4-FFF2-40B4-BE49-F238E27FC236}">
              <a16:creationId xmlns:a16="http://schemas.microsoft.com/office/drawing/2014/main" id="{DA755CC4-B5F3-47D6-98D9-F4E358E91A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2" name="Elipse 11901">
          <a:extLst>
            <a:ext uri="{FF2B5EF4-FFF2-40B4-BE49-F238E27FC236}">
              <a16:creationId xmlns:a16="http://schemas.microsoft.com/office/drawing/2014/main" id="{969D781B-F0CE-4FE7-AB64-6BFE834F63C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3" name="Elipse 11902">
          <a:extLst>
            <a:ext uri="{FF2B5EF4-FFF2-40B4-BE49-F238E27FC236}">
              <a16:creationId xmlns:a16="http://schemas.microsoft.com/office/drawing/2014/main" id="{7B88F992-E017-48DD-ABBC-92F7791D235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4" name="Elipse 11903">
          <a:extLst>
            <a:ext uri="{FF2B5EF4-FFF2-40B4-BE49-F238E27FC236}">
              <a16:creationId xmlns:a16="http://schemas.microsoft.com/office/drawing/2014/main" id="{ABB89447-A016-44E4-8EE8-3E2A9B081D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5" name="Elipse 11904">
          <a:extLst>
            <a:ext uri="{FF2B5EF4-FFF2-40B4-BE49-F238E27FC236}">
              <a16:creationId xmlns:a16="http://schemas.microsoft.com/office/drawing/2014/main" id="{30EDBE19-D873-4C7A-A4A3-A70983AC97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6" name="Elipse 11905">
          <a:extLst>
            <a:ext uri="{FF2B5EF4-FFF2-40B4-BE49-F238E27FC236}">
              <a16:creationId xmlns:a16="http://schemas.microsoft.com/office/drawing/2014/main" id="{504364CF-2753-40F7-B96B-2EB4ED58B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7" name="Elipse 11906">
          <a:extLst>
            <a:ext uri="{FF2B5EF4-FFF2-40B4-BE49-F238E27FC236}">
              <a16:creationId xmlns:a16="http://schemas.microsoft.com/office/drawing/2014/main" id="{CB46F075-3E70-48E9-BF03-12F43A2587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8" name="Elipse 11907">
          <a:extLst>
            <a:ext uri="{FF2B5EF4-FFF2-40B4-BE49-F238E27FC236}">
              <a16:creationId xmlns:a16="http://schemas.microsoft.com/office/drawing/2014/main" id="{12C83EDF-0D9F-4EA8-B17F-5E2DB423C1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09" name="Elipse 11908">
          <a:extLst>
            <a:ext uri="{FF2B5EF4-FFF2-40B4-BE49-F238E27FC236}">
              <a16:creationId xmlns:a16="http://schemas.microsoft.com/office/drawing/2014/main" id="{858537B3-DBDD-42D4-B2BB-0468EB98418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0" name="Elipse 11909">
          <a:extLst>
            <a:ext uri="{FF2B5EF4-FFF2-40B4-BE49-F238E27FC236}">
              <a16:creationId xmlns:a16="http://schemas.microsoft.com/office/drawing/2014/main" id="{B09AE0FD-F78A-499D-97CB-760333D856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1" name="Elipse 11910">
          <a:extLst>
            <a:ext uri="{FF2B5EF4-FFF2-40B4-BE49-F238E27FC236}">
              <a16:creationId xmlns:a16="http://schemas.microsoft.com/office/drawing/2014/main" id="{FA23FB07-B0BE-4E4D-B3BE-F77F5D74FF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2" name="Elipse 11911">
          <a:extLst>
            <a:ext uri="{FF2B5EF4-FFF2-40B4-BE49-F238E27FC236}">
              <a16:creationId xmlns:a16="http://schemas.microsoft.com/office/drawing/2014/main" id="{C34F8466-ED32-41E1-BAE2-B2929BF1D8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3" name="Elipse 11912">
          <a:extLst>
            <a:ext uri="{FF2B5EF4-FFF2-40B4-BE49-F238E27FC236}">
              <a16:creationId xmlns:a16="http://schemas.microsoft.com/office/drawing/2014/main" id="{BE8120DB-A366-481D-B15C-674A7D0FED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4" name="Elipse 11913">
          <a:extLst>
            <a:ext uri="{FF2B5EF4-FFF2-40B4-BE49-F238E27FC236}">
              <a16:creationId xmlns:a16="http://schemas.microsoft.com/office/drawing/2014/main" id="{D2E696F4-B4EC-4865-9FE4-CFD602E32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5" name="Elipse 11914">
          <a:extLst>
            <a:ext uri="{FF2B5EF4-FFF2-40B4-BE49-F238E27FC236}">
              <a16:creationId xmlns:a16="http://schemas.microsoft.com/office/drawing/2014/main" id="{E25B2FB3-1A87-4582-A9D7-34BA8EE17B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6" name="Elipse 11915">
          <a:extLst>
            <a:ext uri="{FF2B5EF4-FFF2-40B4-BE49-F238E27FC236}">
              <a16:creationId xmlns:a16="http://schemas.microsoft.com/office/drawing/2014/main" id="{5BB63A80-888F-460A-8EF6-8038C6E4F0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7" name="Elipse 11916">
          <a:extLst>
            <a:ext uri="{FF2B5EF4-FFF2-40B4-BE49-F238E27FC236}">
              <a16:creationId xmlns:a16="http://schemas.microsoft.com/office/drawing/2014/main" id="{67161E47-7234-4DDC-A5CC-CAE19071013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8" name="Elipse 11917">
          <a:extLst>
            <a:ext uri="{FF2B5EF4-FFF2-40B4-BE49-F238E27FC236}">
              <a16:creationId xmlns:a16="http://schemas.microsoft.com/office/drawing/2014/main" id="{FCBC9B2D-AEEC-42CE-B7D5-E0A3D88661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19" name="Elipse 11918">
          <a:extLst>
            <a:ext uri="{FF2B5EF4-FFF2-40B4-BE49-F238E27FC236}">
              <a16:creationId xmlns:a16="http://schemas.microsoft.com/office/drawing/2014/main" id="{165BF167-8BCB-497A-9348-2532DE2D563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0" name="Elipse 11919">
          <a:extLst>
            <a:ext uri="{FF2B5EF4-FFF2-40B4-BE49-F238E27FC236}">
              <a16:creationId xmlns:a16="http://schemas.microsoft.com/office/drawing/2014/main" id="{05FB5F7E-C248-4E7F-B060-AABC53A8A0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1" name="Elipse 11920">
          <a:extLst>
            <a:ext uri="{FF2B5EF4-FFF2-40B4-BE49-F238E27FC236}">
              <a16:creationId xmlns:a16="http://schemas.microsoft.com/office/drawing/2014/main" id="{FBD066FF-F82C-46E4-8400-14D137A652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2" name="Elipse 11921">
          <a:extLst>
            <a:ext uri="{FF2B5EF4-FFF2-40B4-BE49-F238E27FC236}">
              <a16:creationId xmlns:a16="http://schemas.microsoft.com/office/drawing/2014/main" id="{D036DB04-C952-4639-A02F-544520F343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3" name="Elipse 11922">
          <a:extLst>
            <a:ext uri="{FF2B5EF4-FFF2-40B4-BE49-F238E27FC236}">
              <a16:creationId xmlns:a16="http://schemas.microsoft.com/office/drawing/2014/main" id="{0F8927A5-239A-43D0-9C9B-75E77151DA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4" name="Elipse 11923">
          <a:extLst>
            <a:ext uri="{FF2B5EF4-FFF2-40B4-BE49-F238E27FC236}">
              <a16:creationId xmlns:a16="http://schemas.microsoft.com/office/drawing/2014/main" id="{5FF58F96-BCAF-4C90-BA15-22435CECAA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5" name="Elipse 11924">
          <a:extLst>
            <a:ext uri="{FF2B5EF4-FFF2-40B4-BE49-F238E27FC236}">
              <a16:creationId xmlns:a16="http://schemas.microsoft.com/office/drawing/2014/main" id="{A0040AA8-3B4D-4554-A99A-F45CFE6198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6" name="Elipse 11925">
          <a:extLst>
            <a:ext uri="{FF2B5EF4-FFF2-40B4-BE49-F238E27FC236}">
              <a16:creationId xmlns:a16="http://schemas.microsoft.com/office/drawing/2014/main" id="{93A53BF9-7CEF-45D7-9C4E-FA36F31370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7" name="Elipse 11926">
          <a:extLst>
            <a:ext uri="{FF2B5EF4-FFF2-40B4-BE49-F238E27FC236}">
              <a16:creationId xmlns:a16="http://schemas.microsoft.com/office/drawing/2014/main" id="{4C5227EF-0B47-4A97-A704-2C72EFA615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8" name="Elipse 11927">
          <a:extLst>
            <a:ext uri="{FF2B5EF4-FFF2-40B4-BE49-F238E27FC236}">
              <a16:creationId xmlns:a16="http://schemas.microsoft.com/office/drawing/2014/main" id="{A4ECDF54-761E-4A93-8703-961D3F7190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29" name="Elipse 11928">
          <a:extLst>
            <a:ext uri="{FF2B5EF4-FFF2-40B4-BE49-F238E27FC236}">
              <a16:creationId xmlns:a16="http://schemas.microsoft.com/office/drawing/2014/main" id="{C1DEBEE1-6CF2-444A-ABC8-56E8913795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0" name="Elipse 11929">
          <a:extLst>
            <a:ext uri="{FF2B5EF4-FFF2-40B4-BE49-F238E27FC236}">
              <a16:creationId xmlns:a16="http://schemas.microsoft.com/office/drawing/2014/main" id="{D9E816E1-6C0B-4490-9801-751B8B2659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1" name="Elipse 11930">
          <a:extLst>
            <a:ext uri="{FF2B5EF4-FFF2-40B4-BE49-F238E27FC236}">
              <a16:creationId xmlns:a16="http://schemas.microsoft.com/office/drawing/2014/main" id="{BC88BB17-6263-4449-BF05-0F20C5ECA1D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2" name="Elipse 11931">
          <a:extLst>
            <a:ext uri="{FF2B5EF4-FFF2-40B4-BE49-F238E27FC236}">
              <a16:creationId xmlns:a16="http://schemas.microsoft.com/office/drawing/2014/main" id="{03B78502-4635-42E8-91A6-6321917B77E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3" name="Elipse 11932">
          <a:extLst>
            <a:ext uri="{FF2B5EF4-FFF2-40B4-BE49-F238E27FC236}">
              <a16:creationId xmlns:a16="http://schemas.microsoft.com/office/drawing/2014/main" id="{4E2109B5-F34C-4805-9FEA-FDD12E7908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4" name="Elipse 11933">
          <a:extLst>
            <a:ext uri="{FF2B5EF4-FFF2-40B4-BE49-F238E27FC236}">
              <a16:creationId xmlns:a16="http://schemas.microsoft.com/office/drawing/2014/main" id="{9D183C53-B763-4D7C-9D4A-D3377FA04D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5" name="Elipse 11934">
          <a:extLst>
            <a:ext uri="{FF2B5EF4-FFF2-40B4-BE49-F238E27FC236}">
              <a16:creationId xmlns:a16="http://schemas.microsoft.com/office/drawing/2014/main" id="{02094313-B496-4088-9179-986B613684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6" name="Elipse 11935">
          <a:extLst>
            <a:ext uri="{FF2B5EF4-FFF2-40B4-BE49-F238E27FC236}">
              <a16:creationId xmlns:a16="http://schemas.microsoft.com/office/drawing/2014/main" id="{FF8593FC-AF6A-4F6B-A6B7-9F3762AF9F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7" name="Elipse 11936">
          <a:extLst>
            <a:ext uri="{FF2B5EF4-FFF2-40B4-BE49-F238E27FC236}">
              <a16:creationId xmlns:a16="http://schemas.microsoft.com/office/drawing/2014/main" id="{0FD799E0-4E3E-43AF-B60E-71DA44EF35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8" name="Elipse 11937">
          <a:extLst>
            <a:ext uri="{FF2B5EF4-FFF2-40B4-BE49-F238E27FC236}">
              <a16:creationId xmlns:a16="http://schemas.microsoft.com/office/drawing/2014/main" id="{EB9B99F7-8F23-47B5-B687-E7980A1E64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39" name="Elipse 11938">
          <a:extLst>
            <a:ext uri="{FF2B5EF4-FFF2-40B4-BE49-F238E27FC236}">
              <a16:creationId xmlns:a16="http://schemas.microsoft.com/office/drawing/2014/main" id="{08C1BC3E-31D4-40A9-AAB2-A225C9BCC1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0" name="Elipse 11939">
          <a:extLst>
            <a:ext uri="{FF2B5EF4-FFF2-40B4-BE49-F238E27FC236}">
              <a16:creationId xmlns:a16="http://schemas.microsoft.com/office/drawing/2014/main" id="{AB38DE4E-5E1F-4BB0-8261-87195031BC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1" name="Elipse 11940">
          <a:extLst>
            <a:ext uri="{FF2B5EF4-FFF2-40B4-BE49-F238E27FC236}">
              <a16:creationId xmlns:a16="http://schemas.microsoft.com/office/drawing/2014/main" id="{F3B7E465-A529-48B0-B126-27C8F1F17F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2" name="Elipse 11941">
          <a:extLst>
            <a:ext uri="{FF2B5EF4-FFF2-40B4-BE49-F238E27FC236}">
              <a16:creationId xmlns:a16="http://schemas.microsoft.com/office/drawing/2014/main" id="{CED5BECB-F19D-4A6B-8B27-12D4107C78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3" name="Elipse 11942">
          <a:extLst>
            <a:ext uri="{FF2B5EF4-FFF2-40B4-BE49-F238E27FC236}">
              <a16:creationId xmlns:a16="http://schemas.microsoft.com/office/drawing/2014/main" id="{B514093C-22D6-48F8-A5C8-A23810A6B3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4" name="Elipse 11943">
          <a:extLst>
            <a:ext uri="{FF2B5EF4-FFF2-40B4-BE49-F238E27FC236}">
              <a16:creationId xmlns:a16="http://schemas.microsoft.com/office/drawing/2014/main" id="{6EFB80E7-F45D-4BCE-9938-06B23C87D9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5" name="Elipse 11944">
          <a:extLst>
            <a:ext uri="{FF2B5EF4-FFF2-40B4-BE49-F238E27FC236}">
              <a16:creationId xmlns:a16="http://schemas.microsoft.com/office/drawing/2014/main" id="{656A3BF7-D5EC-42ED-9FD4-0CE7EE6BA3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6" name="Elipse 11945">
          <a:extLst>
            <a:ext uri="{FF2B5EF4-FFF2-40B4-BE49-F238E27FC236}">
              <a16:creationId xmlns:a16="http://schemas.microsoft.com/office/drawing/2014/main" id="{7525A79A-829F-4770-9392-3A6C041FF5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7" name="Elipse 11946">
          <a:extLst>
            <a:ext uri="{FF2B5EF4-FFF2-40B4-BE49-F238E27FC236}">
              <a16:creationId xmlns:a16="http://schemas.microsoft.com/office/drawing/2014/main" id="{DB75FCD6-9C90-460A-9ACB-D550957543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8" name="Elipse 11947">
          <a:extLst>
            <a:ext uri="{FF2B5EF4-FFF2-40B4-BE49-F238E27FC236}">
              <a16:creationId xmlns:a16="http://schemas.microsoft.com/office/drawing/2014/main" id="{F7C82515-3139-42A6-8643-53540953DC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49" name="Elipse 11948">
          <a:extLst>
            <a:ext uri="{FF2B5EF4-FFF2-40B4-BE49-F238E27FC236}">
              <a16:creationId xmlns:a16="http://schemas.microsoft.com/office/drawing/2014/main" id="{A489060D-251E-4827-AE3D-DB53F8CD60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0" name="Elipse 11949">
          <a:extLst>
            <a:ext uri="{FF2B5EF4-FFF2-40B4-BE49-F238E27FC236}">
              <a16:creationId xmlns:a16="http://schemas.microsoft.com/office/drawing/2014/main" id="{6D1D9C0F-6FD9-41B7-B278-B0D4AB999B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1" name="Elipse 11950">
          <a:extLst>
            <a:ext uri="{FF2B5EF4-FFF2-40B4-BE49-F238E27FC236}">
              <a16:creationId xmlns:a16="http://schemas.microsoft.com/office/drawing/2014/main" id="{E165A984-4F5B-41B7-BA22-D198E21DD2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2" name="Elipse 11951">
          <a:extLst>
            <a:ext uri="{FF2B5EF4-FFF2-40B4-BE49-F238E27FC236}">
              <a16:creationId xmlns:a16="http://schemas.microsoft.com/office/drawing/2014/main" id="{E6E5DF97-E558-470D-85B6-C982C1BEF59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3" name="Elipse 11952">
          <a:extLst>
            <a:ext uri="{FF2B5EF4-FFF2-40B4-BE49-F238E27FC236}">
              <a16:creationId xmlns:a16="http://schemas.microsoft.com/office/drawing/2014/main" id="{0E6A71E7-CC12-4CCB-B5F9-7E6E16B9B09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4" name="Elipse 11953">
          <a:extLst>
            <a:ext uri="{FF2B5EF4-FFF2-40B4-BE49-F238E27FC236}">
              <a16:creationId xmlns:a16="http://schemas.microsoft.com/office/drawing/2014/main" id="{7A023EF1-4B3E-45E7-9CF8-D5F38596AF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5" name="Elipse 11954">
          <a:extLst>
            <a:ext uri="{FF2B5EF4-FFF2-40B4-BE49-F238E27FC236}">
              <a16:creationId xmlns:a16="http://schemas.microsoft.com/office/drawing/2014/main" id="{0E478EE7-072B-4338-B253-3DE8E46E2B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6" name="Elipse 11955">
          <a:extLst>
            <a:ext uri="{FF2B5EF4-FFF2-40B4-BE49-F238E27FC236}">
              <a16:creationId xmlns:a16="http://schemas.microsoft.com/office/drawing/2014/main" id="{E80FF9F8-7B54-499F-8B57-F7F8D9A825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7" name="Elipse 11956">
          <a:extLst>
            <a:ext uri="{FF2B5EF4-FFF2-40B4-BE49-F238E27FC236}">
              <a16:creationId xmlns:a16="http://schemas.microsoft.com/office/drawing/2014/main" id="{B4A42788-3F4E-4E38-AA18-2E80F15FCD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8" name="Elipse 11957">
          <a:extLst>
            <a:ext uri="{FF2B5EF4-FFF2-40B4-BE49-F238E27FC236}">
              <a16:creationId xmlns:a16="http://schemas.microsoft.com/office/drawing/2014/main" id="{3A581F6A-3448-42BA-8004-E38DE1943F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59" name="Elipse 11958">
          <a:extLst>
            <a:ext uri="{FF2B5EF4-FFF2-40B4-BE49-F238E27FC236}">
              <a16:creationId xmlns:a16="http://schemas.microsoft.com/office/drawing/2014/main" id="{C02CAC26-110D-4950-BA5C-0B8645B602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0" name="Elipse 11959">
          <a:extLst>
            <a:ext uri="{FF2B5EF4-FFF2-40B4-BE49-F238E27FC236}">
              <a16:creationId xmlns:a16="http://schemas.microsoft.com/office/drawing/2014/main" id="{14658355-B72B-464B-8160-863B71C205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1" name="Elipse 11960">
          <a:extLst>
            <a:ext uri="{FF2B5EF4-FFF2-40B4-BE49-F238E27FC236}">
              <a16:creationId xmlns:a16="http://schemas.microsoft.com/office/drawing/2014/main" id="{F02E8457-E818-4C3B-B3EF-2F24FD2B0C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2" name="Elipse 11961">
          <a:extLst>
            <a:ext uri="{FF2B5EF4-FFF2-40B4-BE49-F238E27FC236}">
              <a16:creationId xmlns:a16="http://schemas.microsoft.com/office/drawing/2014/main" id="{ACF9316E-52DB-4453-A33C-D49B349D96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3" name="Elipse 11962">
          <a:extLst>
            <a:ext uri="{FF2B5EF4-FFF2-40B4-BE49-F238E27FC236}">
              <a16:creationId xmlns:a16="http://schemas.microsoft.com/office/drawing/2014/main" id="{B09D8719-8B53-4B17-9C11-E3705FF673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4" name="Elipse 11963">
          <a:extLst>
            <a:ext uri="{FF2B5EF4-FFF2-40B4-BE49-F238E27FC236}">
              <a16:creationId xmlns:a16="http://schemas.microsoft.com/office/drawing/2014/main" id="{E3F408B1-6E2F-4166-ABCA-A821F0F940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5" name="Elipse 11964">
          <a:extLst>
            <a:ext uri="{FF2B5EF4-FFF2-40B4-BE49-F238E27FC236}">
              <a16:creationId xmlns:a16="http://schemas.microsoft.com/office/drawing/2014/main" id="{B57BE75D-989E-40FF-8551-68FCA27DEB9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6" name="Elipse 11965">
          <a:extLst>
            <a:ext uri="{FF2B5EF4-FFF2-40B4-BE49-F238E27FC236}">
              <a16:creationId xmlns:a16="http://schemas.microsoft.com/office/drawing/2014/main" id="{B659054C-70EE-4E3C-8A9A-F51CBEC73A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7" name="Elipse 11966">
          <a:extLst>
            <a:ext uri="{FF2B5EF4-FFF2-40B4-BE49-F238E27FC236}">
              <a16:creationId xmlns:a16="http://schemas.microsoft.com/office/drawing/2014/main" id="{01047CB8-6C86-4504-91F6-BE60064F29B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8" name="Elipse 11967">
          <a:extLst>
            <a:ext uri="{FF2B5EF4-FFF2-40B4-BE49-F238E27FC236}">
              <a16:creationId xmlns:a16="http://schemas.microsoft.com/office/drawing/2014/main" id="{63844056-069A-4E2E-A2B9-B0F94C65A8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69" name="Elipse 11968">
          <a:extLst>
            <a:ext uri="{FF2B5EF4-FFF2-40B4-BE49-F238E27FC236}">
              <a16:creationId xmlns:a16="http://schemas.microsoft.com/office/drawing/2014/main" id="{B0042410-4722-4371-987D-D4143DCC0B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0" name="Elipse 11969">
          <a:extLst>
            <a:ext uri="{FF2B5EF4-FFF2-40B4-BE49-F238E27FC236}">
              <a16:creationId xmlns:a16="http://schemas.microsoft.com/office/drawing/2014/main" id="{13CE3CE1-977A-406D-847A-8B2E83AEDB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1" name="Elipse 11970">
          <a:extLst>
            <a:ext uri="{FF2B5EF4-FFF2-40B4-BE49-F238E27FC236}">
              <a16:creationId xmlns:a16="http://schemas.microsoft.com/office/drawing/2014/main" id="{34E06423-981B-46AF-B9F0-D66DF72F6A2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2" name="Elipse 11971">
          <a:extLst>
            <a:ext uri="{FF2B5EF4-FFF2-40B4-BE49-F238E27FC236}">
              <a16:creationId xmlns:a16="http://schemas.microsoft.com/office/drawing/2014/main" id="{B3DF617F-DD53-4FF3-A42D-36547BD838C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3" name="Elipse 11972">
          <a:extLst>
            <a:ext uri="{FF2B5EF4-FFF2-40B4-BE49-F238E27FC236}">
              <a16:creationId xmlns:a16="http://schemas.microsoft.com/office/drawing/2014/main" id="{B2B8BCE5-01A9-4D75-8F1F-61F29E4195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4" name="Elipse 11973">
          <a:extLst>
            <a:ext uri="{FF2B5EF4-FFF2-40B4-BE49-F238E27FC236}">
              <a16:creationId xmlns:a16="http://schemas.microsoft.com/office/drawing/2014/main" id="{C8A0DD4B-E8BB-4212-83C3-CCC8AA2BE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5" name="Elipse 11974">
          <a:extLst>
            <a:ext uri="{FF2B5EF4-FFF2-40B4-BE49-F238E27FC236}">
              <a16:creationId xmlns:a16="http://schemas.microsoft.com/office/drawing/2014/main" id="{B9CFCF66-CFDB-4958-8B22-D908DEE21C6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6" name="Elipse 11975">
          <a:extLst>
            <a:ext uri="{FF2B5EF4-FFF2-40B4-BE49-F238E27FC236}">
              <a16:creationId xmlns:a16="http://schemas.microsoft.com/office/drawing/2014/main" id="{EFDB1AE1-1095-4FD5-918F-2DE615C703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7" name="Elipse 11976">
          <a:extLst>
            <a:ext uri="{FF2B5EF4-FFF2-40B4-BE49-F238E27FC236}">
              <a16:creationId xmlns:a16="http://schemas.microsoft.com/office/drawing/2014/main" id="{703A151C-FE61-44CD-B9FB-555557DABE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8" name="Elipse 11977">
          <a:extLst>
            <a:ext uri="{FF2B5EF4-FFF2-40B4-BE49-F238E27FC236}">
              <a16:creationId xmlns:a16="http://schemas.microsoft.com/office/drawing/2014/main" id="{68D19424-C5BB-4F8F-93C0-5F3C1E9978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79" name="Elipse 11978">
          <a:extLst>
            <a:ext uri="{FF2B5EF4-FFF2-40B4-BE49-F238E27FC236}">
              <a16:creationId xmlns:a16="http://schemas.microsoft.com/office/drawing/2014/main" id="{3F59135A-8912-40C2-80B0-754BB5EA1B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0" name="Elipse 11979">
          <a:extLst>
            <a:ext uri="{FF2B5EF4-FFF2-40B4-BE49-F238E27FC236}">
              <a16:creationId xmlns:a16="http://schemas.microsoft.com/office/drawing/2014/main" id="{0D443AA9-5619-4F05-8CF4-0B9FD7B416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1" name="Elipse 11980">
          <a:extLst>
            <a:ext uri="{FF2B5EF4-FFF2-40B4-BE49-F238E27FC236}">
              <a16:creationId xmlns:a16="http://schemas.microsoft.com/office/drawing/2014/main" id="{97798660-4315-4B8B-8BB7-AB3C673744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2" name="Elipse 11981">
          <a:extLst>
            <a:ext uri="{FF2B5EF4-FFF2-40B4-BE49-F238E27FC236}">
              <a16:creationId xmlns:a16="http://schemas.microsoft.com/office/drawing/2014/main" id="{1F746CB3-3D72-43EA-9311-AD87DE942E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3" name="Elipse 11982">
          <a:extLst>
            <a:ext uri="{FF2B5EF4-FFF2-40B4-BE49-F238E27FC236}">
              <a16:creationId xmlns:a16="http://schemas.microsoft.com/office/drawing/2014/main" id="{4432861C-5FE6-4F09-B655-E6AFC8A202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4" name="Elipse 11983">
          <a:extLst>
            <a:ext uri="{FF2B5EF4-FFF2-40B4-BE49-F238E27FC236}">
              <a16:creationId xmlns:a16="http://schemas.microsoft.com/office/drawing/2014/main" id="{0A8938C5-7FBC-42EC-AF6D-06A6C8FFB8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5" name="Elipse 11984">
          <a:extLst>
            <a:ext uri="{FF2B5EF4-FFF2-40B4-BE49-F238E27FC236}">
              <a16:creationId xmlns:a16="http://schemas.microsoft.com/office/drawing/2014/main" id="{EE52DFB1-B470-4ED7-857A-21089123DE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6" name="Elipse 11985">
          <a:extLst>
            <a:ext uri="{FF2B5EF4-FFF2-40B4-BE49-F238E27FC236}">
              <a16:creationId xmlns:a16="http://schemas.microsoft.com/office/drawing/2014/main" id="{DD2743A5-74AE-4F7B-B1E6-7CE2CE4E18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7" name="Elipse 11986">
          <a:extLst>
            <a:ext uri="{FF2B5EF4-FFF2-40B4-BE49-F238E27FC236}">
              <a16:creationId xmlns:a16="http://schemas.microsoft.com/office/drawing/2014/main" id="{A814EB16-DF52-46D2-8990-625E1C8C3A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8" name="Elipse 11987">
          <a:extLst>
            <a:ext uri="{FF2B5EF4-FFF2-40B4-BE49-F238E27FC236}">
              <a16:creationId xmlns:a16="http://schemas.microsoft.com/office/drawing/2014/main" id="{1309DDDE-9C39-44A7-97D8-37ACE89ECC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89" name="Elipse 11988">
          <a:extLst>
            <a:ext uri="{FF2B5EF4-FFF2-40B4-BE49-F238E27FC236}">
              <a16:creationId xmlns:a16="http://schemas.microsoft.com/office/drawing/2014/main" id="{95799CCD-2118-4255-A7BA-FC3F2171AF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0" name="Elipse 11989">
          <a:extLst>
            <a:ext uri="{FF2B5EF4-FFF2-40B4-BE49-F238E27FC236}">
              <a16:creationId xmlns:a16="http://schemas.microsoft.com/office/drawing/2014/main" id="{C02F24DB-AB9C-4CFE-BDA7-389D2E3FC1F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1" name="Elipse 11990">
          <a:extLst>
            <a:ext uri="{FF2B5EF4-FFF2-40B4-BE49-F238E27FC236}">
              <a16:creationId xmlns:a16="http://schemas.microsoft.com/office/drawing/2014/main" id="{0C3E6A99-2030-4325-85FB-247B0D1FAD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2" name="Elipse 11991">
          <a:extLst>
            <a:ext uri="{FF2B5EF4-FFF2-40B4-BE49-F238E27FC236}">
              <a16:creationId xmlns:a16="http://schemas.microsoft.com/office/drawing/2014/main" id="{90F114E1-5E4A-4425-9A62-75053E2CFD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3" name="Elipse 11992">
          <a:extLst>
            <a:ext uri="{FF2B5EF4-FFF2-40B4-BE49-F238E27FC236}">
              <a16:creationId xmlns:a16="http://schemas.microsoft.com/office/drawing/2014/main" id="{BBBE38B5-FB2D-4E85-82C9-6D56B3C38C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4" name="Elipse 11993">
          <a:extLst>
            <a:ext uri="{FF2B5EF4-FFF2-40B4-BE49-F238E27FC236}">
              <a16:creationId xmlns:a16="http://schemas.microsoft.com/office/drawing/2014/main" id="{5E9D45D6-7F01-454D-BCCA-29980BF3BC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5" name="Elipse 11994">
          <a:extLst>
            <a:ext uri="{FF2B5EF4-FFF2-40B4-BE49-F238E27FC236}">
              <a16:creationId xmlns:a16="http://schemas.microsoft.com/office/drawing/2014/main" id="{6E0483CA-CF0F-4ADB-B49A-9E60F45675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6" name="Elipse 11995">
          <a:extLst>
            <a:ext uri="{FF2B5EF4-FFF2-40B4-BE49-F238E27FC236}">
              <a16:creationId xmlns:a16="http://schemas.microsoft.com/office/drawing/2014/main" id="{42087778-37A2-4C09-A83A-8DE5DF30A2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7" name="Elipse 11996">
          <a:extLst>
            <a:ext uri="{FF2B5EF4-FFF2-40B4-BE49-F238E27FC236}">
              <a16:creationId xmlns:a16="http://schemas.microsoft.com/office/drawing/2014/main" id="{89020869-A6DD-479E-AE99-440F3707D4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8" name="Elipse 11997">
          <a:extLst>
            <a:ext uri="{FF2B5EF4-FFF2-40B4-BE49-F238E27FC236}">
              <a16:creationId xmlns:a16="http://schemas.microsoft.com/office/drawing/2014/main" id="{9FC0A610-0373-464F-B344-44DDD7DD4E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999" name="Elipse 11998">
          <a:extLst>
            <a:ext uri="{FF2B5EF4-FFF2-40B4-BE49-F238E27FC236}">
              <a16:creationId xmlns:a16="http://schemas.microsoft.com/office/drawing/2014/main" id="{62E1FDA9-F4BD-44F3-BFD4-CFE8EF1DAA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0" name="Elipse 11999">
          <a:extLst>
            <a:ext uri="{FF2B5EF4-FFF2-40B4-BE49-F238E27FC236}">
              <a16:creationId xmlns:a16="http://schemas.microsoft.com/office/drawing/2014/main" id="{40AEF19E-8F64-4782-83BB-46E2380ADCC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1" name="Elipse 12000">
          <a:extLst>
            <a:ext uri="{FF2B5EF4-FFF2-40B4-BE49-F238E27FC236}">
              <a16:creationId xmlns:a16="http://schemas.microsoft.com/office/drawing/2014/main" id="{66E997BC-2EDB-440C-9FF6-656A56A5F2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2" name="Elipse 12001">
          <a:extLst>
            <a:ext uri="{FF2B5EF4-FFF2-40B4-BE49-F238E27FC236}">
              <a16:creationId xmlns:a16="http://schemas.microsoft.com/office/drawing/2014/main" id="{5A05C72A-4253-4657-9110-2514EB1A71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3" name="Elipse 12002">
          <a:extLst>
            <a:ext uri="{FF2B5EF4-FFF2-40B4-BE49-F238E27FC236}">
              <a16:creationId xmlns:a16="http://schemas.microsoft.com/office/drawing/2014/main" id="{9A2BF40D-8E05-43D2-BBB7-4BCE9203E2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4" name="Elipse 12003">
          <a:extLst>
            <a:ext uri="{FF2B5EF4-FFF2-40B4-BE49-F238E27FC236}">
              <a16:creationId xmlns:a16="http://schemas.microsoft.com/office/drawing/2014/main" id="{6A31488F-0D16-4FCA-BC72-2EC2CFA75A0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5" name="Elipse 12004">
          <a:extLst>
            <a:ext uri="{FF2B5EF4-FFF2-40B4-BE49-F238E27FC236}">
              <a16:creationId xmlns:a16="http://schemas.microsoft.com/office/drawing/2014/main" id="{71855A18-7357-40BE-B867-BDCA326C70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6" name="Elipse 12005">
          <a:extLst>
            <a:ext uri="{FF2B5EF4-FFF2-40B4-BE49-F238E27FC236}">
              <a16:creationId xmlns:a16="http://schemas.microsoft.com/office/drawing/2014/main" id="{019CB595-E85B-463D-91E9-316710270F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7" name="Elipse 12006">
          <a:extLst>
            <a:ext uri="{FF2B5EF4-FFF2-40B4-BE49-F238E27FC236}">
              <a16:creationId xmlns:a16="http://schemas.microsoft.com/office/drawing/2014/main" id="{E0FDFCD6-0AF6-42EB-8771-6CE3D5E702D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8" name="Elipse 12007">
          <a:extLst>
            <a:ext uri="{FF2B5EF4-FFF2-40B4-BE49-F238E27FC236}">
              <a16:creationId xmlns:a16="http://schemas.microsoft.com/office/drawing/2014/main" id="{15740424-A1FE-4F78-8D10-861EA862AA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09" name="Elipse 12008">
          <a:extLst>
            <a:ext uri="{FF2B5EF4-FFF2-40B4-BE49-F238E27FC236}">
              <a16:creationId xmlns:a16="http://schemas.microsoft.com/office/drawing/2014/main" id="{5F2D5BF8-5458-4E46-92EC-81DCD5CEF00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0" name="Elipse 12009">
          <a:extLst>
            <a:ext uri="{FF2B5EF4-FFF2-40B4-BE49-F238E27FC236}">
              <a16:creationId xmlns:a16="http://schemas.microsoft.com/office/drawing/2014/main" id="{E56CD0D0-C99A-4C6E-825D-5E7223B9C31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1" name="Elipse 12010">
          <a:extLst>
            <a:ext uri="{FF2B5EF4-FFF2-40B4-BE49-F238E27FC236}">
              <a16:creationId xmlns:a16="http://schemas.microsoft.com/office/drawing/2014/main" id="{424974AD-18E7-49BE-B50E-9C21A9E084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2" name="Elipse 12011">
          <a:extLst>
            <a:ext uri="{FF2B5EF4-FFF2-40B4-BE49-F238E27FC236}">
              <a16:creationId xmlns:a16="http://schemas.microsoft.com/office/drawing/2014/main" id="{CB9E96F5-F9F1-46E2-9B43-25A73EF4044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3" name="Elipse 12012">
          <a:extLst>
            <a:ext uri="{FF2B5EF4-FFF2-40B4-BE49-F238E27FC236}">
              <a16:creationId xmlns:a16="http://schemas.microsoft.com/office/drawing/2014/main" id="{74ACDE44-7482-4F5E-BB9F-C3CBB6E74F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4" name="Elipse 12013">
          <a:extLst>
            <a:ext uri="{FF2B5EF4-FFF2-40B4-BE49-F238E27FC236}">
              <a16:creationId xmlns:a16="http://schemas.microsoft.com/office/drawing/2014/main" id="{E244C73B-FD59-45F5-99BE-EC6330E82AF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5" name="Elipse 12014">
          <a:extLst>
            <a:ext uri="{FF2B5EF4-FFF2-40B4-BE49-F238E27FC236}">
              <a16:creationId xmlns:a16="http://schemas.microsoft.com/office/drawing/2014/main" id="{02EB3147-2C30-4342-9CD7-AD4331B283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6" name="Elipse 12015">
          <a:extLst>
            <a:ext uri="{FF2B5EF4-FFF2-40B4-BE49-F238E27FC236}">
              <a16:creationId xmlns:a16="http://schemas.microsoft.com/office/drawing/2014/main" id="{5AE07EF4-C8D8-469A-9167-CD0EB44390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7" name="Elipse 12016">
          <a:extLst>
            <a:ext uri="{FF2B5EF4-FFF2-40B4-BE49-F238E27FC236}">
              <a16:creationId xmlns:a16="http://schemas.microsoft.com/office/drawing/2014/main" id="{C22DC27E-D80E-4514-BFB0-2A5A9654FC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8" name="Elipse 12017">
          <a:extLst>
            <a:ext uri="{FF2B5EF4-FFF2-40B4-BE49-F238E27FC236}">
              <a16:creationId xmlns:a16="http://schemas.microsoft.com/office/drawing/2014/main" id="{D4BC091B-7C68-48FE-B05A-DC531F0F2E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19" name="Elipse 12018">
          <a:extLst>
            <a:ext uri="{FF2B5EF4-FFF2-40B4-BE49-F238E27FC236}">
              <a16:creationId xmlns:a16="http://schemas.microsoft.com/office/drawing/2014/main" id="{0ADCDFA3-D702-49C6-986E-A3AE3AF60C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0" name="Elipse 12019">
          <a:extLst>
            <a:ext uri="{FF2B5EF4-FFF2-40B4-BE49-F238E27FC236}">
              <a16:creationId xmlns:a16="http://schemas.microsoft.com/office/drawing/2014/main" id="{D300E58A-C7D2-47A0-B16C-2EFAE05FBE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1" name="Elipse 12020">
          <a:extLst>
            <a:ext uri="{FF2B5EF4-FFF2-40B4-BE49-F238E27FC236}">
              <a16:creationId xmlns:a16="http://schemas.microsoft.com/office/drawing/2014/main" id="{4C6CE332-88C3-4730-B0F3-A9728772FB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2" name="Elipse 12021">
          <a:extLst>
            <a:ext uri="{FF2B5EF4-FFF2-40B4-BE49-F238E27FC236}">
              <a16:creationId xmlns:a16="http://schemas.microsoft.com/office/drawing/2014/main" id="{D3D8E993-367F-40BF-9139-917A57EA934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3" name="Elipse 12022">
          <a:extLst>
            <a:ext uri="{FF2B5EF4-FFF2-40B4-BE49-F238E27FC236}">
              <a16:creationId xmlns:a16="http://schemas.microsoft.com/office/drawing/2014/main" id="{70C7E067-04C6-489B-80B3-4E9FB56B46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4" name="Elipse 12023">
          <a:extLst>
            <a:ext uri="{FF2B5EF4-FFF2-40B4-BE49-F238E27FC236}">
              <a16:creationId xmlns:a16="http://schemas.microsoft.com/office/drawing/2014/main" id="{6DB8D9B1-A9C9-4297-93DB-8121746E032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5" name="Elipse 12024">
          <a:extLst>
            <a:ext uri="{FF2B5EF4-FFF2-40B4-BE49-F238E27FC236}">
              <a16:creationId xmlns:a16="http://schemas.microsoft.com/office/drawing/2014/main" id="{FEBFCAB9-7D51-4218-9E32-62E15E29F3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6" name="Elipse 12025">
          <a:extLst>
            <a:ext uri="{FF2B5EF4-FFF2-40B4-BE49-F238E27FC236}">
              <a16:creationId xmlns:a16="http://schemas.microsoft.com/office/drawing/2014/main" id="{FA398883-8E37-4E4E-8087-281EA1F135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7" name="Elipse 12026">
          <a:extLst>
            <a:ext uri="{FF2B5EF4-FFF2-40B4-BE49-F238E27FC236}">
              <a16:creationId xmlns:a16="http://schemas.microsoft.com/office/drawing/2014/main" id="{340B8457-BE44-41D9-8535-73CCCBE54E6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8" name="Elipse 12027">
          <a:extLst>
            <a:ext uri="{FF2B5EF4-FFF2-40B4-BE49-F238E27FC236}">
              <a16:creationId xmlns:a16="http://schemas.microsoft.com/office/drawing/2014/main" id="{1697769D-39D6-4002-A046-CB2EA9A5AF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29" name="Elipse 12028">
          <a:extLst>
            <a:ext uri="{FF2B5EF4-FFF2-40B4-BE49-F238E27FC236}">
              <a16:creationId xmlns:a16="http://schemas.microsoft.com/office/drawing/2014/main" id="{129B8778-518E-4D07-B6D7-B3059518469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0" name="Elipse 12029">
          <a:extLst>
            <a:ext uri="{FF2B5EF4-FFF2-40B4-BE49-F238E27FC236}">
              <a16:creationId xmlns:a16="http://schemas.microsoft.com/office/drawing/2014/main" id="{E901B416-7F63-42D1-90AA-D828614754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1" name="Elipse 12030">
          <a:extLst>
            <a:ext uri="{FF2B5EF4-FFF2-40B4-BE49-F238E27FC236}">
              <a16:creationId xmlns:a16="http://schemas.microsoft.com/office/drawing/2014/main" id="{F836D600-3BA5-4EC0-BB22-5624C254AA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2" name="Elipse 12031">
          <a:extLst>
            <a:ext uri="{FF2B5EF4-FFF2-40B4-BE49-F238E27FC236}">
              <a16:creationId xmlns:a16="http://schemas.microsoft.com/office/drawing/2014/main" id="{BCD4D3C0-8842-484D-ACB8-05A969E0CB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3" name="Elipse 12032">
          <a:extLst>
            <a:ext uri="{FF2B5EF4-FFF2-40B4-BE49-F238E27FC236}">
              <a16:creationId xmlns:a16="http://schemas.microsoft.com/office/drawing/2014/main" id="{9A13D242-DC9F-4244-90EC-97626F55824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4" name="Elipse 12033">
          <a:extLst>
            <a:ext uri="{FF2B5EF4-FFF2-40B4-BE49-F238E27FC236}">
              <a16:creationId xmlns:a16="http://schemas.microsoft.com/office/drawing/2014/main" id="{E8FB59BC-9317-4B13-A583-44AE44641A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5" name="Elipse 12034">
          <a:extLst>
            <a:ext uri="{FF2B5EF4-FFF2-40B4-BE49-F238E27FC236}">
              <a16:creationId xmlns:a16="http://schemas.microsoft.com/office/drawing/2014/main" id="{E3E77E86-E926-441D-BED8-F8586DB42C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6" name="Elipse 12035">
          <a:extLst>
            <a:ext uri="{FF2B5EF4-FFF2-40B4-BE49-F238E27FC236}">
              <a16:creationId xmlns:a16="http://schemas.microsoft.com/office/drawing/2014/main" id="{EA634B62-0AAD-4E4D-8465-DC3BCE6D6B1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7" name="Elipse 12036">
          <a:extLst>
            <a:ext uri="{FF2B5EF4-FFF2-40B4-BE49-F238E27FC236}">
              <a16:creationId xmlns:a16="http://schemas.microsoft.com/office/drawing/2014/main" id="{18985F13-C296-4E8B-8F4D-704C5B83245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8" name="Elipse 12037">
          <a:extLst>
            <a:ext uri="{FF2B5EF4-FFF2-40B4-BE49-F238E27FC236}">
              <a16:creationId xmlns:a16="http://schemas.microsoft.com/office/drawing/2014/main" id="{A12BF15E-8F4C-4C1F-9D4E-F0824B4B2E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39" name="Elipse 12038">
          <a:extLst>
            <a:ext uri="{FF2B5EF4-FFF2-40B4-BE49-F238E27FC236}">
              <a16:creationId xmlns:a16="http://schemas.microsoft.com/office/drawing/2014/main" id="{7EE3F251-C817-475E-BF19-5A2D801168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0" name="Elipse 12039">
          <a:extLst>
            <a:ext uri="{FF2B5EF4-FFF2-40B4-BE49-F238E27FC236}">
              <a16:creationId xmlns:a16="http://schemas.microsoft.com/office/drawing/2014/main" id="{F466062B-743B-4011-AD02-416A4B4AF0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1" name="Elipse 12040">
          <a:extLst>
            <a:ext uri="{FF2B5EF4-FFF2-40B4-BE49-F238E27FC236}">
              <a16:creationId xmlns:a16="http://schemas.microsoft.com/office/drawing/2014/main" id="{36EBDF1F-E6D9-4934-AB23-E8E1D3A5D2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2" name="Elipse 12041">
          <a:extLst>
            <a:ext uri="{FF2B5EF4-FFF2-40B4-BE49-F238E27FC236}">
              <a16:creationId xmlns:a16="http://schemas.microsoft.com/office/drawing/2014/main" id="{FEFD9B81-D705-4898-9B6D-6FC02BF39D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3" name="Elipse 12042">
          <a:extLst>
            <a:ext uri="{FF2B5EF4-FFF2-40B4-BE49-F238E27FC236}">
              <a16:creationId xmlns:a16="http://schemas.microsoft.com/office/drawing/2014/main" id="{4F11A387-1760-4957-B286-9FDAC057B1D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4" name="Elipse 12043">
          <a:extLst>
            <a:ext uri="{FF2B5EF4-FFF2-40B4-BE49-F238E27FC236}">
              <a16:creationId xmlns:a16="http://schemas.microsoft.com/office/drawing/2014/main" id="{27174253-5D08-469B-8468-887576BDDA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5" name="Elipse 12044">
          <a:extLst>
            <a:ext uri="{FF2B5EF4-FFF2-40B4-BE49-F238E27FC236}">
              <a16:creationId xmlns:a16="http://schemas.microsoft.com/office/drawing/2014/main" id="{EFCDE675-BE4A-4385-B7FE-166AF05D1E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6" name="Elipse 12045">
          <a:extLst>
            <a:ext uri="{FF2B5EF4-FFF2-40B4-BE49-F238E27FC236}">
              <a16:creationId xmlns:a16="http://schemas.microsoft.com/office/drawing/2014/main" id="{4DE0065E-F24A-49F7-904B-6849F39485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7" name="Elipse 12046">
          <a:extLst>
            <a:ext uri="{FF2B5EF4-FFF2-40B4-BE49-F238E27FC236}">
              <a16:creationId xmlns:a16="http://schemas.microsoft.com/office/drawing/2014/main" id="{14CBBDDC-9547-4E7B-9878-9CC73434A50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8" name="Elipse 12047">
          <a:extLst>
            <a:ext uri="{FF2B5EF4-FFF2-40B4-BE49-F238E27FC236}">
              <a16:creationId xmlns:a16="http://schemas.microsoft.com/office/drawing/2014/main" id="{7ACC854D-FBD1-4020-9895-64893E22C6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49" name="Elipse 12048">
          <a:extLst>
            <a:ext uri="{FF2B5EF4-FFF2-40B4-BE49-F238E27FC236}">
              <a16:creationId xmlns:a16="http://schemas.microsoft.com/office/drawing/2014/main" id="{778C7D06-96B4-447B-B265-35D7541EBD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0" name="Elipse 12049">
          <a:extLst>
            <a:ext uri="{FF2B5EF4-FFF2-40B4-BE49-F238E27FC236}">
              <a16:creationId xmlns:a16="http://schemas.microsoft.com/office/drawing/2014/main" id="{8C597CCB-7207-4105-A4C4-8519EB2B73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1" name="Elipse 12050">
          <a:extLst>
            <a:ext uri="{FF2B5EF4-FFF2-40B4-BE49-F238E27FC236}">
              <a16:creationId xmlns:a16="http://schemas.microsoft.com/office/drawing/2014/main" id="{F4008973-4624-428A-B2EB-9904236DC1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2" name="Elipse 12051">
          <a:extLst>
            <a:ext uri="{FF2B5EF4-FFF2-40B4-BE49-F238E27FC236}">
              <a16:creationId xmlns:a16="http://schemas.microsoft.com/office/drawing/2014/main" id="{717F99EC-5AFF-48D0-A184-AE4A1E2A93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3" name="Elipse 12052">
          <a:extLst>
            <a:ext uri="{FF2B5EF4-FFF2-40B4-BE49-F238E27FC236}">
              <a16:creationId xmlns:a16="http://schemas.microsoft.com/office/drawing/2014/main" id="{226B4373-4F5B-4EDD-983B-90BD6C6AA3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4" name="Elipse 12053">
          <a:extLst>
            <a:ext uri="{FF2B5EF4-FFF2-40B4-BE49-F238E27FC236}">
              <a16:creationId xmlns:a16="http://schemas.microsoft.com/office/drawing/2014/main" id="{AFE5C20D-719F-4F66-837F-532661CD9F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5" name="Elipse 12054">
          <a:extLst>
            <a:ext uri="{FF2B5EF4-FFF2-40B4-BE49-F238E27FC236}">
              <a16:creationId xmlns:a16="http://schemas.microsoft.com/office/drawing/2014/main" id="{903B0CF7-380B-4C75-8FC5-60F056026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6" name="Elipse 12055">
          <a:extLst>
            <a:ext uri="{FF2B5EF4-FFF2-40B4-BE49-F238E27FC236}">
              <a16:creationId xmlns:a16="http://schemas.microsoft.com/office/drawing/2014/main" id="{518477BF-A6BB-422E-8571-1ECB6A194F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7" name="Elipse 12056">
          <a:extLst>
            <a:ext uri="{FF2B5EF4-FFF2-40B4-BE49-F238E27FC236}">
              <a16:creationId xmlns:a16="http://schemas.microsoft.com/office/drawing/2014/main" id="{918B6B88-28A0-4311-87A0-8261FD2BB70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8" name="Elipse 12057">
          <a:extLst>
            <a:ext uri="{FF2B5EF4-FFF2-40B4-BE49-F238E27FC236}">
              <a16:creationId xmlns:a16="http://schemas.microsoft.com/office/drawing/2014/main" id="{51CCBCA5-4DDF-4D00-99E9-1A682D5438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59" name="Elipse 12058">
          <a:extLst>
            <a:ext uri="{FF2B5EF4-FFF2-40B4-BE49-F238E27FC236}">
              <a16:creationId xmlns:a16="http://schemas.microsoft.com/office/drawing/2014/main" id="{54E0186A-8F6E-4B1F-BF89-C621B5634B0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0" name="Elipse 12059">
          <a:extLst>
            <a:ext uri="{FF2B5EF4-FFF2-40B4-BE49-F238E27FC236}">
              <a16:creationId xmlns:a16="http://schemas.microsoft.com/office/drawing/2014/main" id="{2FB6E094-6E96-49D2-B641-8C61A4A3FD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1" name="Elipse 12060">
          <a:extLst>
            <a:ext uri="{FF2B5EF4-FFF2-40B4-BE49-F238E27FC236}">
              <a16:creationId xmlns:a16="http://schemas.microsoft.com/office/drawing/2014/main" id="{5A44F5DE-6377-4386-A1F5-01295D4ED1E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2" name="Elipse 12061">
          <a:extLst>
            <a:ext uri="{FF2B5EF4-FFF2-40B4-BE49-F238E27FC236}">
              <a16:creationId xmlns:a16="http://schemas.microsoft.com/office/drawing/2014/main" id="{1C354C86-26F1-4EB7-B753-3E08FBF1A8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3" name="Elipse 12062">
          <a:extLst>
            <a:ext uri="{FF2B5EF4-FFF2-40B4-BE49-F238E27FC236}">
              <a16:creationId xmlns:a16="http://schemas.microsoft.com/office/drawing/2014/main" id="{BD8915C8-2B9F-41F4-AB39-CDA24D8967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4" name="Elipse 12063">
          <a:extLst>
            <a:ext uri="{FF2B5EF4-FFF2-40B4-BE49-F238E27FC236}">
              <a16:creationId xmlns:a16="http://schemas.microsoft.com/office/drawing/2014/main" id="{787AD0C8-CC38-4256-8AA4-DC9FC5F0E15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5" name="Elipse 12064">
          <a:extLst>
            <a:ext uri="{FF2B5EF4-FFF2-40B4-BE49-F238E27FC236}">
              <a16:creationId xmlns:a16="http://schemas.microsoft.com/office/drawing/2014/main" id="{A4F7A8C9-8CB3-45DF-A2DB-A309D606229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6" name="Elipse 12065">
          <a:extLst>
            <a:ext uri="{FF2B5EF4-FFF2-40B4-BE49-F238E27FC236}">
              <a16:creationId xmlns:a16="http://schemas.microsoft.com/office/drawing/2014/main" id="{F1744FB8-4CD6-4338-B761-D62ACCBAFB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7" name="Elipse 12066">
          <a:extLst>
            <a:ext uri="{FF2B5EF4-FFF2-40B4-BE49-F238E27FC236}">
              <a16:creationId xmlns:a16="http://schemas.microsoft.com/office/drawing/2014/main" id="{3A6CB175-C255-46E0-8F7B-0549C33C2F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8" name="Elipse 12067">
          <a:extLst>
            <a:ext uri="{FF2B5EF4-FFF2-40B4-BE49-F238E27FC236}">
              <a16:creationId xmlns:a16="http://schemas.microsoft.com/office/drawing/2014/main" id="{C7711B3B-B205-413D-A989-B7B9BAF94A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69" name="Elipse 12068">
          <a:extLst>
            <a:ext uri="{FF2B5EF4-FFF2-40B4-BE49-F238E27FC236}">
              <a16:creationId xmlns:a16="http://schemas.microsoft.com/office/drawing/2014/main" id="{3B11BF62-C760-4515-B9E6-E8C1FFDD0A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0" name="Elipse 12069">
          <a:extLst>
            <a:ext uri="{FF2B5EF4-FFF2-40B4-BE49-F238E27FC236}">
              <a16:creationId xmlns:a16="http://schemas.microsoft.com/office/drawing/2014/main" id="{888FDCF5-888D-4CEC-9D95-DFA6205F97C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1" name="Elipse 12070">
          <a:extLst>
            <a:ext uri="{FF2B5EF4-FFF2-40B4-BE49-F238E27FC236}">
              <a16:creationId xmlns:a16="http://schemas.microsoft.com/office/drawing/2014/main" id="{7C02C38C-D271-4918-8EC3-C34C100D7FD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2" name="Elipse 12071">
          <a:extLst>
            <a:ext uri="{FF2B5EF4-FFF2-40B4-BE49-F238E27FC236}">
              <a16:creationId xmlns:a16="http://schemas.microsoft.com/office/drawing/2014/main" id="{EEA3CEF8-4E1E-4D50-B833-F1E9F61960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3" name="Elipse 12072">
          <a:extLst>
            <a:ext uri="{FF2B5EF4-FFF2-40B4-BE49-F238E27FC236}">
              <a16:creationId xmlns:a16="http://schemas.microsoft.com/office/drawing/2014/main" id="{2210EE51-8585-4311-B928-6F659E0DDC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4" name="Elipse 12073">
          <a:extLst>
            <a:ext uri="{FF2B5EF4-FFF2-40B4-BE49-F238E27FC236}">
              <a16:creationId xmlns:a16="http://schemas.microsoft.com/office/drawing/2014/main" id="{B093D580-E6D8-42CC-A231-F29379ACB7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5" name="Elipse 12074">
          <a:extLst>
            <a:ext uri="{FF2B5EF4-FFF2-40B4-BE49-F238E27FC236}">
              <a16:creationId xmlns:a16="http://schemas.microsoft.com/office/drawing/2014/main" id="{BE8899CB-4EBF-4D2F-9F13-FA84333DA82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6" name="Elipse 12075">
          <a:extLst>
            <a:ext uri="{FF2B5EF4-FFF2-40B4-BE49-F238E27FC236}">
              <a16:creationId xmlns:a16="http://schemas.microsoft.com/office/drawing/2014/main" id="{5E07F0EB-2331-4FB7-9A15-EBE1A1D84F8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7" name="Elipse 12076">
          <a:extLst>
            <a:ext uri="{FF2B5EF4-FFF2-40B4-BE49-F238E27FC236}">
              <a16:creationId xmlns:a16="http://schemas.microsoft.com/office/drawing/2014/main" id="{C31299B4-229E-4C00-8A1B-4D364D15262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8" name="Elipse 12077">
          <a:extLst>
            <a:ext uri="{FF2B5EF4-FFF2-40B4-BE49-F238E27FC236}">
              <a16:creationId xmlns:a16="http://schemas.microsoft.com/office/drawing/2014/main" id="{32A446B9-84D3-4870-8689-E9233DDA24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79" name="Elipse 12078">
          <a:extLst>
            <a:ext uri="{FF2B5EF4-FFF2-40B4-BE49-F238E27FC236}">
              <a16:creationId xmlns:a16="http://schemas.microsoft.com/office/drawing/2014/main" id="{C9F86275-0A91-4392-9C15-A48F707B2CA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0" name="Elipse 12079">
          <a:extLst>
            <a:ext uri="{FF2B5EF4-FFF2-40B4-BE49-F238E27FC236}">
              <a16:creationId xmlns:a16="http://schemas.microsoft.com/office/drawing/2014/main" id="{DB81A7D5-8052-4F6B-94E7-43796FCDF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1" name="Elipse 12080">
          <a:extLst>
            <a:ext uri="{FF2B5EF4-FFF2-40B4-BE49-F238E27FC236}">
              <a16:creationId xmlns:a16="http://schemas.microsoft.com/office/drawing/2014/main" id="{C23D8B97-8F97-4673-AE68-3243C6C2FA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2" name="Elipse 12081">
          <a:extLst>
            <a:ext uri="{FF2B5EF4-FFF2-40B4-BE49-F238E27FC236}">
              <a16:creationId xmlns:a16="http://schemas.microsoft.com/office/drawing/2014/main" id="{2423C562-2ED2-4248-84B2-53BC60420C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3" name="Elipse 12082">
          <a:extLst>
            <a:ext uri="{FF2B5EF4-FFF2-40B4-BE49-F238E27FC236}">
              <a16:creationId xmlns:a16="http://schemas.microsoft.com/office/drawing/2014/main" id="{32EB6303-13C6-4E1D-8265-920AA8E168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4" name="Elipse 12083">
          <a:extLst>
            <a:ext uri="{FF2B5EF4-FFF2-40B4-BE49-F238E27FC236}">
              <a16:creationId xmlns:a16="http://schemas.microsoft.com/office/drawing/2014/main" id="{A0915AC3-95AD-44EB-8179-10B64C453AF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5" name="Elipse 12084">
          <a:extLst>
            <a:ext uri="{FF2B5EF4-FFF2-40B4-BE49-F238E27FC236}">
              <a16:creationId xmlns:a16="http://schemas.microsoft.com/office/drawing/2014/main" id="{B2BB1B29-CA3D-42C1-954F-7E232FEE3D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6" name="Elipse 12085">
          <a:extLst>
            <a:ext uri="{FF2B5EF4-FFF2-40B4-BE49-F238E27FC236}">
              <a16:creationId xmlns:a16="http://schemas.microsoft.com/office/drawing/2014/main" id="{2188CEA5-747A-43A9-8991-377A01576E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7" name="Elipse 12086">
          <a:extLst>
            <a:ext uri="{FF2B5EF4-FFF2-40B4-BE49-F238E27FC236}">
              <a16:creationId xmlns:a16="http://schemas.microsoft.com/office/drawing/2014/main" id="{5AE540C7-5EC2-4DB3-8CD6-5D7740B07A4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8" name="Elipse 12087">
          <a:extLst>
            <a:ext uri="{FF2B5EF4-FFF2-40B4-BE49-F238E27FC236}">
              <a16:creationId xmlns:a16="http://schemas.microsoft.com/office/drawing/2014/main" id="{D371A407-D913-4388-A11C-EB1E446785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89" name="Elipse 12088">
          <a:extLst>
            <a:ext uri="{FF2B5EF4-FFF2-40B4-BE49-F238E27FC236}">
              <a16:creationId xmlns:a16="http://schemas.microsoft.com/office/drawing/2014/main" id="{5454093A-CD87-4D6A-95E0-B5C7C72693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0" name="Elipse 12089">
          <a:extLst>
            <a:ext uri="{FF2B5EF4-FFF2-40B4-BE49-F238E27FC236}">
              <a16:creationId xmlns:a16="http://schemas.microsoft.com/office/drawing/2014/main" id="{A8EE60CA-539E-4201-B16E-14F56FF8D0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1" name="Elipse 12090">
          <a:extLst>
            <a:ext uri="{FF2B5EF4-FFF2-40B4-BE49-F238E27FC236}">
              <a16:creationId xmlns:a16="http://schemas.microsoft.com/office/drawing/2014/main" id="{3E6AA5FC-E085-45E2-9432-D6F2D4DD1E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2" name="Elipse 12091">
          <a:extLst>
            <a:ext uri="{FF2B5EF4-FFF2-40B4-BE49-F238E27FC236}">
              <a16:creationId xmlns:a16="http://schemas.microsoft.com/office/drawing/2014/main" id="{2193951E-785F-448F-9FF1-C00A1E48DE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3" name="Elipse 12092">
          <a:extLst>
            <a:ext uri="{FF2B5EF4-FFF2-40B4-BE49-F238E27FC236}">
              <a16:creationId xmlns:a16="http://schemas.microsoft.com/office/drawing/2014/main" id="{4217940F-E95E-460E-BC67-919D325A308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4" name="Elipse 12093">
          <a:extLst>
            <a:ext uri="{FF2B5EF4-FFF2-40B4-BE49-F238E27FC236}">
              <a16:creationId xmlns:a16="http://schemas.microsoft.com/office/drawing/2014/main" id="{25634DB6-3B45-4327-A22C-AEE292D7CA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5" name="Elipse 12094">
          <a:extLst>
            <a:ext uri="{FF2B5EF4-FFF2-40B4-BE49-F238E27FC236}">
              <a16:creationId xmlns:a16="http://schemas.microsoft.com/office/drawing/2014/main" id="{EFA1FA72-6C32-4FD9-BBF8-516B215C53E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6" name="Elipse 12095">
          <a:extLst>
            <a:ext uri="{FF2B5EF4-FFF2-40B4-BE49-F238E27FC236}">
              <a16:creationId xmlns:a16="http://schemas.microsoft.com/office/drawing/2014/main" id="{01C24CAD-0A22-417D-BE01-1E9B6AFFCC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7" name="Elipse 12096">
          <a:extLst>
            <a:ext uri="{FF2B5EF4-FFF2-40B4-BE49-F238E27FC236}">
              <a16:creationId xmlns:a16="http://schemas.microsoft.com/office/drawing/2014/main" id="{26B19510-3E2F-4135-ABF0-DF57B62D3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8" name="Elipse 12097">
          <a:extLst>
            <a:ext uri="{FF2B5EF4-FFF2-40B4-BE49-F238E27FC236}">
              <a16:creationId xmlns:a16="http://schemas.microsoft.com/office/drawing/2014/main" id="{1B2831D4-3AF8-4389-9325-E52A7BE451A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099" name="Elipse 12098">
          <a:extLst>
            <a:ext uri="{FF2B5EF4-FFF2-40B4-BE49-F238E27FC236}">
              <a16:creationId xmlns:a16="http://schemas.microsoft.com/office/drawing/2014/main" id="{3CF19665-D157-4C30-BD69-B9233076A47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0" name="Elipse 12099">
          <a:extLst>
            <a:ext uri="{FF2B5EF4-FFF2-40B4-BE49-F238E27FC236}">
              <a16:creationId xmlns:a16="http://schemas.microsoft.com/office/drawing/2014/main" id="{62E8051A-C797-49D8-B26E-08D82CF3305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1" name="Elipse 12100">
          <a:extLst>
            <a:ext uri="{FF2B5EF4-FFF2-40B4-BE49-F238E27FC236}">
              <a16:creationId xmlns:a16="http://schemas.microsoft.com/office/drawing/2014/main" id="{9FC52BB7-564D-42B7-908C-7C15940F947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2" name="Elipse 12101">
          <a:extLst>
            <a:ext uri="{FF2B5EF4-FFF2-40B4-BE49-F238E27FC236}">
              <a16:creationId xmlns:a16="http://schemas.microsoft.com/office/drawing/2014/main" id="{C758F124-BF5D-466A-A9B3-56F39A6AD94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3" name="Elipse 12102">
          <a:extLst>
            <a:ext uri="{FF2B5EF4-FFF2-40B4-BE49-F238E27FC236}">
              <a16:creationId xmlns:a16="http://schemas.microsoft.com/office/drawing/2014/main" id="{DBF37D75-B54E-4B41-A829-A93C467908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4" name="Elipse 12103">
          <a:extLst>
            <a:ext uri="{FF2B5EF4-FFF2-40B4-BE49-F238E27FC236}">
              <a16:creationId xmlns:a16="http://schemas.microsoft.com/office/drawing/2014/main" id="{311B5FDA-DC27-454E-88CF-92C537FC5DE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5" name="Elipse 12104">
          <a:extLst>
            <a:ext uri="{FF2B5EF4-FFF2-40B4-BE49-F238E27FC236}">
              <a16:creationId xmlns:a16="http://schemas.microsoft.com/office/drawing/2014/main" id="{D142F2C3-4847-478B-A414-AE56C5D3446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6" name="Elipse 12105">
          <a:extLst>
            <a:ext uri="{FF2B5EF4-FFF2-40B4-BE49-F238E27FC236}">
              <a16:creationId xmlns:a16="http://schemas.microsoft.com/office/drawing/2014/main" id="{567D27D4-3C27-4FEF-8B45-E4261C148B5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7" name="Elipse 12106">
          <a:extLst>
            <a:ext uri="{FF2B5EF4-FFF2-40B4-BE49-F238E27FC236}">
              <a16:creationId xmlns:a16="http://schemas.microsoft.com/office/drawing/2014/main" id="{A03BF62A-EC7C-483E-BD00-36D767B400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8" name="Elipse 12107">
          <a:extLst>
            <a:ext uri="{FF2B5EF4-FFF2-40B4-BE49-F238E27FC236}">
              <a16:creationId xmlns:a16="http://schemas.microsoft.com/office/drawing/2014/main" id="{D277C522-1320-4771-A1C9-C6966E43F2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09" name="Elipse 12108">
          <a:extLst>
            <a:ext uri="{FF2B5EF4-FFF2-40B4-BE49-F238E27FC236}">
              <a16:creationId xmlns:a16="http://schemas.microsoft.com/office/drawing/2014/main" id="{2F4B37D4-D96A-4468-B46F-6FD9356E14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0" name="Elipse 12109">
          <a:extLst>
            <a:ext uri="{FF2B5EF4-FFF2-40B4-BE49-F238E27FC236}">
              <a16:creationId xmlns:a16="http://schemas.microsoft.com/office/drawing/2014/main" id="{E420D9F5-014D-4A40-9FC1-2A3B1B7277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1" name="Elipse 12110">
          <a:extLst>
            <a:ext uri="{FF2B5EF4-FFF2-40B4-BE49-F238E27FC236}">
              <a16:creationId xmlns:a16="http://schemas.microsoft.com/office/drawing/2014/main" id="{D2B8371B-1446-4E84-BD4E-17955A94C12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2" name="Elipse 12111">
          <a:extLst>
            <a:ext uri="{FF2B5EF4-FFF2-40B4-BE49-F238E27FC236}">
              <a16:creationId xmlns:a16="http://schemas.microsoft.com/office/drawing/2014/main" id="{C706658C-2A4E-4B2D-959E-87317856FF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3" name="Elipse 12112">
          <a:extLst>
            <a:ext uri="{FF2B5EF4-FFF2-40B4-BE49-F238E27FC236}">
              <a16:creationId xmlns:a16="http://schemas.microsoft.com/office/drawing/2014/main" id="{62FC7C75-AE74-4B0D-9A0F-4B3BC8F0FE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4" name="Elipse 12113">
          <a:extLst>
            <a:ext uri="{FF2B5EF4-FFF2-40B4-BE49-F238E27FC236}">
              <a16:creationId xmlns:a16="http://schemas.microsoft.com/office/drawing/2014/main" id="{BACD9A89-2D5B-416B-8CF9-77C67CC36B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5" name="Elipse 12114">
          <a:extLst>
            <a:ext uri="{FF2B5EF4-FFF2-40B4-BE49-F238E27FC236}">
              <a16:creationId xmlns:a16="http://schemas.microsoft.com/office/drawing/2014/main" id="{B9DF3511-DE28-4CB2-9FCB-4717BAF8656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6" name="Elipse 12115">
          <a:extLst>
            <a:ext uri="{FF2B5EF4-FFF2-40B4-BE49-F238E27FC236}">
              <a16:creationId xmlns:a16="http://schemas.microsoft.com/office/drawing/2014/main" id="{1D018D58-F984-4FC2-8783-BFBC343BFF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7" name="Elipse 12116">
          <a:extLst>
            <a:ext uri="{FF2B5EF4-FFF2-40B4-BE49-F238E27FC236}">
              <a16:creationId xmlns:a16="http://schemas.microsoft.com/office/drawing/2014/main" id="{B2C7281F-81F7-4E86-98F0-2326117DD8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8" name="Elipse 12117">
          <a:extLst>
            <a:ext uri="{FF2B5EF4-FFF2-40B4-BE49-F238E27FC236}">
              <a16:creationId xmlns:a16="http://schemas.microsoft.com/office/drawing/2014/main" id="{9A425DC0-6287-408F-B3DB-15F392B1C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19" name="Elipse 12118">
          <a:extLst>
            <a:ext uri="{FF2B5EF4-FFF2-40B4-BE49-F238E27FC236}">
              <a16:creationId xmlns:a16="http://schemas.microsoft.com/office/drawing/2014/main" id="{5C1ED381-D5AE-48E3-8FA3-E4F5B7BA75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0" name="Elipse 12119">
          <a:extLst>
            <a:ext uri="{FF2B5EF4-FFF2-40B4-BE49-F238E27FC236}">
              <a16:creationId xmlns:a16="http://schemas.microsoft.com/office/drawing/2014/main" id="{79C2AC5A-B99A-4584-917D-0E29E465087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1" name="Elipse 12120">
          <a:extLst>
            <a:ext uri="{FF2B5EF4-FFF2-40B4-BE49-F238E27FC236}">
              <a16:creationId xmlns:a16="http://schemas.microsoft.com/office/drawing/2014/main" id="{7CAA438E-E36E-46F9-8B30-EB9D4DFBF5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2" name="Elipse 12121">
          <a:extLst>
            <a:ext uri="{FF2B5EF4-FFF2-40B4-BE49-F238E27FC236}">
              <a16:creationId xmlns:a16="http://schemas.microsoft.com/office/drawing/2014/main" id="{ECA4A139-1534-43C2-88F9-E275AF50AC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3" name="Elipse 12122">
          <a:extLst>
            <a:ext uri="{FF2B5EF4-FFF2-40B4-BE49-F238E27FC236}">
              <a16:creationId xmlns:a16="http://schemas.microsoft.com/office/drawing/2014/main" id="{B411CA78-BF67-44C5-9D3F-0896BC4081F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4" name="Elipse 12123">
          <a:extLst>
            <a:ext uri="{FF2B5EF4-FFF2-40B4-BE49-F238E27FC236}">
              <a16:creationId xmlns:a16="http://schemas.microsoft.com/office/drawing/2014/main" id="{32543569-EB1C-4038-AB5A-7E5AAC15973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5" name="Elipse 12124">
          <a:extLst>
            <a:ext uri="{FF2B5EF4-FFF2-40B4-BE49-F238E27FC236}">
              <a16:creationId xmlns:a16="http://schemas.microsoft.com/office/drawing/2014/main" id="{0443B697-8097-4562-BAE5-ABE955AF122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6" name="Elipse 12125">
          <a:extLst>
            <a:ext uri="{FF2B5EF4-FFF2-40B4-BE49-F238E27FC236}">
              <a16:creationId xmlns:a16="http://schemas.microsoft.com/office/drawing/2014/main" id="{E49C9196-A0A7-4C13-BDE0-7F4ADC53E2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7" name="Elipse 12126">
          <a:extLst>
            <a:ext uri="{FF2B5EF4-FFF2-40B4-BE49-F238E27FC236}">
              <a16:creationId xmlns:a16="http://schemas.microsoft.com/office/drawing/2014/main" id="{26EDACE3-0516-4F41-8318-1FBD0ACE76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8" name="Elipse 12127">
          <a:extLst>
            <a:ext uri="{FF2B5EF4-FFF2-40B4-BE49-F238E27FC236}">
              <a16:creationId xmlns:a16="http://schemas.microsoft.com/office/drawing/2014/main" id="{4D2CB728-10A6-414B-B13C-CCA6D039F2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29" name="Elipse 12128">
          <a:extLst>
            <a:ext uri="{FF2B5EF4-FFF2-40B4-BE49-F238E27FC236}">
              <a16:creationId xmlns:a16="http://schemas.microsoft.com/office/drawing/2014/main" id="{4E96D9BE-E991-447A-945D-EC6B556666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0" name="Elipse 12129">
          <a:extLst>
            <a:ext uri="{FF2B5EF4-FFF2-40B4-BE49-F238E27FC236}">
              <a16:creationId xmlns:a16="http://schemas.microsoft.com/office/drawing/2014/main" id="{603BB31F-4363-469D-8D92-5C4EE253BCB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1" name="Elipse 12130">
          <a:extLst>
            <a:ext uri="{FF2B5EF4-FFF2-40B4-BE49-F238E27FC236}">
              <a16:creationId xmlns:a16="http://schemas.microsoft.com/office/drawing/2014/main" id="{C2116409-661D-4BDF-BAF4-36026C97D5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2" name="Elipse 12131">
          <a:extLst>
            <a:ext uri="{FF2B5EF4-FFF2-40B4-BE49-F238E27FC236}">
              <a16:creationId xmlns:a16="http://schemas.microsoft.com/office/drawing/2014/main" id="{EAA4E4C6-D4B1-4565-8D77-EAF22BE51B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3" name="Elipse 12132">
          <a:extLst>
            <a:ext uri="{FF2B5EF4-FFF2-40B4-BE49-F238E27FC236}">
              <a16:creationId xmlns:a16="http://schemas.microsoft.com/office/drawing/2014/main" id="{1D5C3F8B-BB64-43CD-A3E6-BA70FED8C2C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4" name="Elipse 12133">
          <a:extLst>
            <a:ext uri="{FF2B5EF4-FFF2-40B4-BE49-F238E27FC236}">
              <a16:creationId xmlns:a16="http://schemas.microsoft.com/office/drawing/2014/main" id="{0C0A0BA0-3258-477B-A02A-EA2C6179E96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5" name="Elipse 12134">
          <a:extLst>
            <a:ext uri="{FF2B5EF4-FFF2-40B4-BE49-F238E27FC236}">
              <a16:creationId xmlns:a16="http://schemas.microsoft.com/office/drawing/2014/main" id="{039FBEE3-7972-4983-AE40-44C7AFE063B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6" name="Elipse 12135">
          <a:extLst>
            <a:ext uri="{FF2B5EF4-FFF2-40B4-BE49-F238E27FC236}">
              <a16:creationId xmlns:a16="http://schemas.microsoft.com/office/drawing/2014/main" id="{9D4152A8-7F57-4309-BF31-868CC37D692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7" name="Elipse 12136">
          <a:extLst>
            <a:ext uri="{FF2B5EF4-FFF2-40B4-BE49-F238E27FC236}">
              <a16:creationId xmlns:a16="http://schemas.microsoft.com/office/drawing/2014/main" id="{9B8548DD-1B99-4C57-A25B-5E4113C82F4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8" name="Elipse 12137">
          <a:extLst>
            <a:ext uri="{FF2B5EF4-FFF2-40B4-BE49-F238E27FC236}">
              <a16:creationId xmlns:a16="http://schemas.microsoft.com/office/drawing/2014/main" id="{9EE34C91-0750-4F82-8F2F-385647443D4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39" name="Elipse 12138">
          <a:extLst>
            <a:ext uri="{FF2B5EF4-FFF2-40B4-BE49-F238E27FC236}">
              <a16:creationId xmlns:a16="http://schemas.microsoft.com/office/drawing/2014/main" id="{95C0ADC9-F41D-4E38-AD9B-BFF48885A5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0" name="Elipse 12139">
          <a:extLst>
            <a:ext uri="{FF2B5EF4-FFF2-40B4-BE49-F238E27FC236}">
              <a16:creationId xmlns:a16="http://schemas.microsoft.com/office/drawing/2014/main" id="{692F5415-4135-492F-B780-7DC7607A11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1" name="Elipse 12140">
          <a:extLst>
            <a:ext uri="{FF2B5EF4-FFF2-40B4-BE49-F238E27FC236}">
              <a16:creationId xmlns:a16="http://schemas.microsoft.com/office/drawing/2014/main" id="{C4835DF2-84B1-4963-87EE-E48402F9E48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2" name="Elipse 12141">
          <a:extLst>
            <a:ext uri="{FF2B5EF4-FFF2-40B4-BE49-F238E27FC236}">
              <a16:creationId xmlns:a16="http://schemas.microsoft.com/office/drawing/2014/main" id="{4050C60C-A48A-422E-8531-F085827B38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3" name="Elipse 12142">
          <a:extLst>
            <a:ext uri="{FF2B5EF4-FFF2-40B4-BE49-F238E27FC236}">
              <a16:creationId xmlns:a16="http://schemas.microsoft.com/office/drawing/2014/main" id="{D5F235A9-CBF3-4B9C-9200-8FBC8B385CF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4" name="Elipse 12143">
          <a:extLst>
            <a:ext uri="{FF2B5EF4-FFF2-40B4-BE49-F238E27FC236}">
              <a16:creationId xmlns:a16="http://schemas.microsoft.com/office/drawing/2014/main" id="{D37C51AF-DAFC-42D2-A755-0194AD3CDA1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5" name="Elipse 12144">
          <a:extLst>
            <a:ext uri="{FF2B5EF4-FFF2-40B4-BE49-F238E27FC236}">
              <a16:creationId xmlns:a16="http://schemas.microsoft.com/office/drawing/2014/main" id="{6B11E8D0-46C5-4D75-B43A-C5A77F69340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6" name="Elipse 12145">
          <a:extLst>
            <a:ext uri="{FF2B5EF4-FFF2-40B4-BE49-F238E27FC236}">
              <a16:creationId xmlns:a16="http://schemas.microsoft.com/office/drawing/2014/main" id="{87FBD0F4-3381-4F2F-8EED-064A8FC3A9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7" name="Elipse 12146">
          <a:extLst>
            <a:ext uri="{FF2B5EF4-FFF2-40B4-BE49-F238E27FC236}">
              <a16:creationId xmlns:a16="http://schemas.microsoft.com/office/drawing/2014/main" id="{C6C3FA2E-5774-4722-8D0F-A52CA163B31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8" name="Elipse 12147">
          <a:extLst>
            <a:ext uri="{FF2B5EF4-FFF2-40B4-BE49-F238E27FC236}">
              <a16:creationId xmlns:a16="http://schemas.microsoft.com/office/drawing/2014/main" id="{6179C3FE-B90B-4B39-B11A-B824B89531E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49" name="Elipse 12148">
          <a:extLst>
            <a:ext uri="{FF2B5EF4-FFF2-40B4-BE49-F238E27FC236}">
              <a16:creationId xmlns:a16="http://schemas.microsoft.com/office/drawing/2014/main" id="{7B4593D1-A332-4738-941D-A2CF688179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0" name="Elipse 12149">
          <a:extLst>
            <a:ext uri="{FF2B5EF4-FFF2-40B4-BE49-F238E27FC236}">
              <a16:creationId xmlns:a16="http://schemas.microsoft.com/office/drawing/2014/main" id="{E0EF9A17-E5AC-4343-8008-CED7BF25F6A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1" name="Elipse 12150">
          <a:extLst>
            <a:ext uri="{FF2B5EF4-FFF2-40B4-BE49-F238E27FC236}">
              <a16:creationId xmlns:a16="http://schemas.microsoft.com/office/drawing/2014/main" id="{997A931F-05CB-4CBA-9B49-5CC52E18CA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2" name="Elipse 12151">
          <a:extLst>
            <a:ext uri="{FF2B5EF4-FFF2-40B4-BE49-F238E27FC236}">
              <a16:creationId xmlns:a16="http://schemas.microsoft.com/office/drawing/2014/main" id="{B7BE25E0-DDEB-43A0-B8C5-5893F98AD3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3" name="Elipse 12152">
          <a:extLst>
            <a:ext uri="{FF2B5EF4-FFF2-40B4-BE49-F238E27FC236}">
              <a16:creationId xmlns:a16="http://schemas.microsoft.com/office/drawing/2014/main" id="{4FC37AE2-218E-4943-914A-3C6EEA13D5A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4" name="Elipse 12153">
          <a:extLst>
            <a:ext uri="{FF2B5EF4-FFF2-40B4-BE49-F238E27FC236}">
              <a16:creationId xmlns:a16="http://schemas.microsoft.com/office/drawing/2014/main" id="{C7F0679D-C67A-457D-B516-A1D8D38E61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5" name="Elipse 12154">
          <a:extLst>
            <a:ext uri="{FF2B5EF4-FFF2-40B4-BE49-F238E27FC236}">
              <a16:creationId xmlns:a16="http://schemas.microsoft.com/office/drawing/2014/main" id="{34DD6CDB-50D9-464E-8C3D-B0301BBAA2F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6" name="Elipse 12155">
          <a:extLst>
            <a:ext uri="{FF2B5EF4-FFF2-40B4-BE49-F238E27FC236}">
              <a16:creationId xmlns:a16="http://schemas.microsoft.com/office/drawing/2014/main" id="{3BC49319-F16D-427D-8455-EF3CA9EDB2E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7" name="Elipse 12156">
          <a:extLst>
            <a:ext uri="{FF2B5EF4-FFF2-40B4-BE49-F238E27FC236}">
              <a16:creationId xmlns:a16="http://schemas.microsoft.com/office/drawing/2014/main" id="{4CAF053C-F67E-4424-915A-6A310B82809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8" name="Elipse 12157">
          <a:extLst>
            <a:ext uri="{FF2B5EF4-FFF2-40B4-BE49-F238E27FC236}">
              <a16:creationId xmlns:a16="http://schemas.microsoft.com/office/drawing/2014/main" id="{EAB934AF-7F9F-4A1F-8946-498C8EE372C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59" name="Elipse 12158">
          <a:extLst>
            <a:ext uri="{FF2B5EF4-FFF2-40B4-BE49-F238E27FC236}">
              <a16:creationId xmlns:a16="http://schemas.microsoft.com/office/drawing/2014/main" id="{8EED84C1-D22D-4328-9ADF-9F48FB60B2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0" name="Elipse 12159">
          <a:extLst>
            <a:ext uri="{FF2B5EF4-FFF2-40B4-BE49-F238E27FC236}">
              <a16:creationId xmlns:a16="http://schemas.microsoft.com/office/drawing/2014/main" id="{2568E13C-60AE-4270-AFAC-D8D8E8CA2BA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1" name="Elipse 12160">
          <a:extLst>
            <a:ext uri="{FF2B5EF4-FFF2-40B4-BE49-F238E27FC236}">
              <a16:creationId xmlns:a16="http://schemas.microsoft.com/office/drawing/2014/main" id="{A4D3E858-FADD-4C10-9889-177586E523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2" name="Elipse 12161">
          <a:extLst>
            <a:ext uri="{FF2B5EF4-FFF2-40B4-BE49-F238E27FC236}">
              <a16:creationId xmlns:a16="http://schemas.microsoft.com/office/drawing/2014/main" id="{A9E5A056-C864-4FDF-ACC1-247E1DA6B67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3" name="Elipse 12162">
          <a:extLst>
            <a:ext uri="{FF2B5EF4-FFF2-40B4-BE49-F238E27FC236}">
              <a16:creationId xmlns:a16="http://schemas.microsoft.com/office/drawing/2014/main" id="{E8EB45F5-3396-45EE-A9DC-BA0E9A8DB29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4" name="Elipse 12163">
          <a:extLst>
            <a:ext uri="{FF2B5EF4-FFF2-40B4-BE49-F238E27FC236}">
              <a16:creationId xmlns:a16="http://schemas.microsoft.com/office/drawing/2014/main" id="{F33E3E5B-FD5E-4043-BB2D-9E49D651DD5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5" name="Elipse 12164">
          <a:extLst>
            <a:ext uri="{FF2B5EF4-FFF2-40B4-BE49-F238E27FC236}">
              <a16:creationId xmlns:a16="http://schemas.microsoft.com/office/drawing/2014/main" id="{89998072-1560-43D5-9C62-549F4B65D47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6" name="Elipse 12165">
          <a:extLst>
            <a:ext uri="{FF2B5EF4-FFF2-40B4-BE49-F238E27FC236}">
              <a16:creationId xmlns:a16="http://schemas.microsoft.com/office/drawing/2014/main" id="{86DA69F0-98DD-4F5F-8E2C-B5426719688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7" name="Elipse 12166">
          <a:extLst>
            <a:ext uri="{FF2B5EF4-FFF2-40B4-BE49-F238E27FC236}">
              <a16:creationId xmlns:a16="http://schemas.microsoft.com/office/drawing/2014/main" id="{D95455B9-F128-4D8F-9C79-6C470BA89E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8" name="Elipse 12167">
          <a:extLst>
            <a:ext uri="{FF2B5EF4-FFF2-40B4-BE49-F238E27FC236}">
              <a16:creationId xmlns:a16="http://schemas.microsoft.com/office/drawing/2014/main" id="{571D3F6E-596F-4043-9EDE-AC5831C02B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69" name="Elipse 12168">
          <a:extLst>
            <a:ext uri="{FF2B5EF4-FFF2-40B4-BE49-F238E27FC236}">
              <a16:creationId xmlns:a16="http://schemas.microsoft.com/office/drawing/2014/main" id="{B318CFCA-2351-46B7-B69E-1DF9C64C7ED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0" name="Elipse 12169">
          <a:extLst>
            <a:ext uri="{FF2B5EF4-FFF2-40B4-BE49-F238E27FC236}">
              <a16:creationId xmlns:a16="http://schemas.microsoft.com/office/drawing/2014/main" id="{421147EA-E0DA-422D-ACC7-F3AE26C0F1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1" name="Elipse 12170">
          <a:extLst>
            <a:ext uri="{FF2B5EF4-FFF2-40B4-BE49-F238E27FC236}">
              <a16:creationId xmlns:a16="http://schemas.microsoft.com/office/drawing/2014/main" id="{E2A096A2-8D0D-41F3-9773-F4969DD99A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2" name="Elipse 12171">
          <a:extLst>
            <a:ext uri="{FF2B5EF4-FFF2-40B4-BE49-F238E27FC236}">
              <a16:creationId xmlns:a16="http://schemas.microsoft.com/office/drawing/2014/main" id="{AFE1678F-E8AF-4721-867E-3517CDCF9B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3" name="Elipse 12172">
          <a:extLst>
            <a:ext uri="{FF2B5EF4-FFF2-40B4-BE49-F238E27FC236}">
              <a16:creationId xmlns:a16="http://schemas.microsoft.com/office/drawing/2014/main" id="{9C61B8A4-0E47-4DE7-8B47-21104E7FD4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4" name="Elipse 12173">
          <a:extLst>
            <a:ext uri="{FF2B5EF4-FFF2-40B4-BE49-F238E27FC236}">
              <a16:creationId xmlns:a16="http://schemas.microsoft.com/office/drawing/2014/main" id="{A585E9CC-DFB8-43A8-9E57-A1B141235A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5" name="Elipse 12174">
          <a:extLst>
            <a:ext uri="{FF2B5EF4-FFF2-40B4-BE49-F238E27FC236}">
              <a16:creationId xmlns:a16="http://schemas.microsoft.com/office/drawing/2014/main" id="{97E6EB86-9A40-427D-9C57-20A1E2FF650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6" name="Elipse 12175">
          <a:extLst>
            <a:ext uri="{FF2B5EF4-FFF2-40B4-BE49-F238E27FC236}">
              <a16:creationId xmlns:a16="http://schemas.microsoft.com/office/drawing/2014/main" id="{E43B6EC8-6354-4F44-A055-EC5AE92B47F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7" name="Elipse 12176">
          <a:extLst>
            <a:ext uri="{FF2B5EF4-FFF2-40B4-BE49-F238E27FC236}">
              <a16:creationId xmlns:a16="http://schemas.microsoft.com/office/drawing/2014/main" id="{EB4ED037-92BF-4CA0-B43E-3CA7A0C635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8" name="Elipse 12177">
          <a:extLst>
            <a:ext uri="{FF2B5EF4-FFF2-40B4-BE49-F238E27FC236}">
              <a16:creationId xmlns:a16="http://schemas.microsoft.com/office/drawing/2014/main" id="{2BA6A60F-50AA-495B-A706-AC69674901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79" name="Elipse 12178">
          <a:extLst>
            <a:ext uri="{FF2B5EF4-FFF2-40B4-BE49-F238E27FC236}">
              <a16:creationId xmlns:a16="http://schemas.microsoft.com/office/drawing/2014/main" id="{E6F97005-5FDE-4525-B5A2-BDBBB237D12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0" name="Elipse 12179">
          <a:extLst>
            <a:ext uri="{FF2B5EF4-FFF2-40B4-BE49-F238E27FC236}">
              <a16:creationId xmlns:a16="http://schemas.microsoft.com/office/drawing/2014/main" id="{EF2965D8-E5AF-4E23-83E1-E453D9EEFFA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1" name="Elipse 12180">
          <a:extLst>
            <a:ext uri="{FF2B5EF4-FFF2-40B4-BE49-F238E27FC236}">
              <a16:creationId xmlns:a16="http://schemas.microsoft.com/office/drawing/2014/main" id="{0034218E-7FC4-4F52-B1CE-8BA17A3C44C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2" name="Elipse 12181">
          <a:extLst>
            <a:ext uri="{FF2B5EF4-FFF2-40B4-BE49-F238E27FC236}">
              <a16:creationId xmlns:a16="http://schemas.microsoft.com/office/drawing/2014/main" id="{67CCB2CD-0B73-4CD5-8D58-D0F29AF959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3" name="Elipse 12182">
          <a:extLst>
            <a:ext uri="{FF2B5EF4-FFF2-40B4-BE49-F238E27FC236}">
              <a16:creationId xmlns:a16="http://schemas.microsoft.com/office/drawing/2014/main" id="{B43C0886-8AF8-402D-9AEA-F7F84E7FCA2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4" name="Elipse 12183">
          <a:extLst>
            <a:ext uri="{FF2B5EF4-FFF2-40B4-BE49-F238E27FC236}">
              <a16:creationId xmlns:a16="http://schemas.microsoft.com/office/drawing/2014/main" id="{919F2E4B-2981-4F18-BA18-D16129500AC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5" name="Elipse 12184">
          <a:extLst>
            <a:ext uri="{FF2B5EF4-FFF2-40B4-BE49-F238E27FC236}">
              <a16:creationId xmlns:a16="http://schemas.microsoft.com/office/drawing/2014/main" id="{6F7FF31C-54B5-43A4-8C7D-6EB32D5F4ED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6" name="Elipse 12185">
          <a:extLst>
            <a:ext uri="{FF2B5EF4-FFF2-40B4-BE49-F238E27FC236}">
              <a16:creationId xmlns:a16="http://schemas.microsoft.com/office/drawing/2014/main" id="{5F055A4C-033C-46AC-A113-62FDEA41403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7" name="Elipse 12186">
          <a:extLst>
            <a:ext uri="{FF2B5EF4-FFF2-40B4-BE49-F238E27FC236}">
              <a16:creationId xmlns:a16="http://schemas.microsoft.com/office/drawing/2014/main" id="{E09E040B-F3AF-4DFD-AF96-09243CD28C4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8" name="Elipse 12187">
          <a:extLst>
            <a:ext uri="{FF2B5EF4-FFF2-40B4-BE49-F238E27FC236}">
              <a16:creationId xmlns:a16="http://schemas.microsoft.com/office/drawing/2014/main" id="{0390F5CD-A7AC-4F7C-AFF3-8887F64B320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89" name="Elipse 12188">
          <a:extLst>
            <a:ext uri="{FF2B5EF4-FFF2-40B4-BE49-F238E27FC236}">
              <a16:creationId xmlns:a16="http://schemas.microsoft.com/office/drawing/2014/main" id="{9391951C-7B21-4363-8207-DEE08B93156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0" name="Elipse 12189">
          <a:extLst>
            <a:ext uri="{FF2B5EF4-FFF2-40B4-BE49-F238E27FC236}">
              <a16:creationId xmlns:a16="http://schemas.microsoft.com/office/drawing/2014/main" id="{4F9FC8E2-293A-481B-B0FB-47271C7FD3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1" name="Elipse 12190">
          <a:extLst>
            <a:ext uri="{FF2B5EF4-FFF2-40B4-BE49-F238E27FC236}">
              <a16:creationId xmlns:a16="http://schemas.microsoft.com/office/drawing/2014/main" id="{7925B2CA-8170-4120-8E59-27028F14D11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2" name="Elipse 12191">
          <a:extLst>
            <a:ext uri="{FF2B5EF4-FFF2-40B4-BE49-F238E27FC236}">
              <a16:creationId xmlns:a16="http://schemas.microsoft.com/office/drawing/2014/main" id="{12C56A8A-EF59-4091-BD77-FD0B9E51621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3" name="Elipse 12192">
          <a:extLst>
            <a:ext uri="{FF2B5EF4-FFF2-40B4-BE49-F238E27FC236}">
              <a16:creationId xmlns:a16="http://schemas.microsoft.com/office/drawing/2014/main" id="{D131E774-E2EB-4AB2-837E-152F5D170D5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4" name="Elipse 12193">
          <a:extLst>
            <a:ext uri="{FF2B5EF4-FFF2-40B4-BE49-F238E27FC236}">
              <a16:creationId xmlns:a16="http://schemas.microsoft.com/office/drawing/2014/main" id="{0E8A8EF3-9854-421E-A9C7-A35EFE19BB2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5" name="Elipse 12194">
          <a:extLst>
            <a:ext uri="{FF2B5EF4-FFF2-40B4-BE49-F238E27FC236}">
              <a16:creationId xmlns:a16="http://schemas.microsoft.com/office/drawing/2014/main" id="{85C2ADAC-5592-4D51-AB34-D1A18E3F889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6" name="Elipse 12195">
          <a:extLst>
            <a:ext uri="{FF2B5EF4-FFF2-40B4-BE49-F238E27FC236}">
              <a16:creationId xmlns:a16="http://schemas.microsoft.com/office/drawing/2014/main" id="{3D70EE82-57B3-4691-8C3E-B6BD079258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7" name="Elipse 12196">
          <a:extLst>
            <a:ext uri="{FF2B5EF4-FFF2-40B4-BE49-F238E27FC236}">
              <a16:creationId xmlns:a16="http://schemas.microsoft.com/office/drawing/2014/main" id="{C0789B53-5A3E-4DDB-9BB1-6EE3178256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8" name="Elipse 12197">
          <a:extLst>
            <a:ext uri="{FF2B5EF4-FFF2-40B4-BE49-F238E27FC236}">
              <a16:creationId xmlns:a16="http://schemas.microsoft.com/office/drawing/2014/main" id="{A07A42FF-B0B2-4CA4-8953-94992A92345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199" name="Elipse 12198">
          <a:extLst>
            <a:ext uri="{FF2B5EF4-FFF2-40B4-BE49-F238E27FC236}">
              <a16:creationId xmlns:a16="http://schemas.microsoft.com/office/drawing/2014/main" id="{1A0B05C4-D416-45E9-A807-D9FCE9B7F1C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0" name="Elipse 12199">
          <a:extLst>
            <a:ext uri="{FF2B5EF4-FFF2-40B4-BE49-F238E27FC236}">
              <a16:creationId xmlns:a16="http://schemas.microsoft.com/office/drawing/2014/main" id="{37624897-3A7A-40F1-AB72-FB9928846E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1" name="Elipse 12200">
          <a:extLst>
            <a:ext uri="{FF2B5EF4-FFF2-40B4-BE49-F238E27FC236}">
              <a16:creationId xmlns:a16="http://schemas.microsoft.com/office/drawing/2014/main" id="{02B19554-F57E-4151-8BD0-F588CC3F65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2" name="Elipse 12201">
          <a:extLst>
            <a:ext uri="{FF2B5EF4-FFF2-40B4-BE49-F238E27FC236}">
              <a16:creationId xmlns:a16="http://schemas.microsoft.com/office/drawing/2014/main" id="{526928A0-FDD1-4CC8-B098-98CD30A74E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3" name="Elipse 12202">
          <a:extLst>
            <a:ext uri="{FF2B5EF4-FFF2-40B4-BE49-F238E27FC236}">
              <a16:creationId xmlns:a16="http://schemas.microsoft.com/office/drawing/2014/main" id="{6D6135AB-5D76-4D16-8CC0-D1C24236B61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4" name="Elipse 12203">
          <a:extLst>
            <a:ext uri="{FF2B5EF4-FFF2-40B4-BE49-F238E27FC236}">
              <a16:creationId xmlns:a16="http://schemas.microsoft.com/office/drawing/2014/main" id="{D5EC4696-1C68-4CF7-B641-4C0D20B4294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5" name="Elipse 12204">
          <a:extLst>
            <a:ext uri="{FF2B5EF4-FFF2-40B4-BE49-F238E27FC236}">
              <a16:creationId xmlns:a16="http://schemas.microsoft.com/office/drawing/2014/main" id="{C03814DA-02D8-42BE-B6F3-8AE5981E363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6" name="Elipse 12205">
          <a:extLst>
            <a:ext uri="{FF2B5EF4-FFF2-40B4-BE49-F238E27FC236}">
              <a16:creationId xmlns:a16="http://schemas.microsoft.com/office/drawing/2014/main" id="{7CC02809-F628-407A-B377-FEF8C5057EA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7" name="Elipse 12206">
          <a:extLst>
            <a:ext uri="{FF2B5EF4-FFF2-40B4-BE49-F238E27FC236}">
              <a16:creationId xmlns:a16="http://schemas.microsoft.com/office/drawing/2014/main" id="{ABF90D7E-4586-41CB-AD7D-6218B9E987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8" name="Elipse 12207">
          <a:extLst>
            <a:ext uri="{FF2B5EF4-FFF2-40B4-BE49-F238E27FC236}">
              <a16:creationId xmlns:a16="http://schemas.microsoft.com/office/drawing/2014/main" id="{3280F4AA-0FEF-4B36-B416-E2D96869309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09" name="Elipse 12208">
          <a:extLst>
            <a:ext uri="{FF2B5EF4-FFF2-40B4-BE49-F238E27FC236}">
              <a16:creationId xmlns:a16="http://schemas.microsoft.com/office/drawing/2014/main" id="{61A4AC67-74C7-4B1F-BF35-459BC797641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0" name="Elipse 12209">
          <a:extLst>
            <a:ext uri="{FF2B5EF4-FFF2-40B4-BE49-F238E27FC236}">
              <a16:creationId xmlns:a16="http://schemas.microsoft.com/office/drawing/2014/main" id="{6DB11764-A6B0-4C2A-A104-666471AA172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1" name="Elipse 12210">
          <a:extLst>
            <a:ext uri="{FF2B5EF4-FFF2-40B4-BE49-F238E27FC236}">
              <a16:creationId xmlns:a16="http://schemas.microsoft.com/office/drawing/2014/main" id="{984ED023-1E2F-42DD-B6D4-68C188A50E9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2" name="Elipse 12211">
          <a:extLst>
            <a:ext uri="{FF2B5EF4-FFF2-40B4-BE49-F238E27FC236}">
              <a16:creationId xmlns:a16="http://schemas.microsoft.com/office/drawing/2014/main" id="{663DE62D-B4F0-4B9C-8246-1B8859C85A0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3" name="Elipse 12212">
          <a:extLst>
            <a:ext uri="{FF2B5EF4-FFF2-40B4-BE49-F238E27FC236}">
              <a16:creationId xmlns:a16="http://schemas.microsoft.com/office/drawing/2014/main" id="{963E5D6F-39D6-411C-B75D-E6397B51D9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4" name="Elipse 12213">
          <a:extLst>
            <a:ext uri="{FF2B5EF4-FFF2-40B4-BE49-F238E27FC236}">
              <a16:creationId xmlns:a16="http://schemas.microsoft.com/office/drawing/2014/main" id="{92798697-CF78-4909-8015-1BFB4E870D1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5" name="Elipse 12214">
          <a:extLst>
            <a:ext uri="{FF2B5EF4-FFF2-40B4-BE49-F238E27FC236}">
              <a16:creationId xmlns:a16="http://schemas.microsoft.com/office/drawing/2014/main" id="{F9D9A2EF-B6B7-4DAC-A9B0-49890A2D3AC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6" name="Elipse 12215">
          <a:extLst>
            <a:ext uri="{FF2B5EF4-FFF2-40B4-BE49-F238E27FC236}">
              <a16:creationId xmlns:a16="http://schemas.microsoft.com/office/drawing/2014/main" id="{2D5FB70A-BBAE-42C5-B2F5-CC28BFE53E2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7" name="Elipse 12216">
          <a:extLst>
            <a:ext uri="{FF2B5EF4-FFF2-40B4-BE49-F238E27FC236}">
              <a16:creationId xmlns:a16="http://schemas.microsoft.com/office/drawing/2014/main" id="{6AFDE4E7-915D-4316-A720-C2374A3A260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8" name="Elipse 12217">
          <a:extLst>
            <a:ext uri="{FF2B5EF4-FFF2-40B4-BE49-F238E27FC236}">
              <a16:creationId xmlns:a16="http://schemas.microsoft.com/office/drawing/2014/main" id="{EFE6CC75-6854-4696-94D5-5845650D1C5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19" name="Elipse 12218">
          <a:extLst>
            <a:ext uri="{FF2B5EF4-FFF2-40B4-BE49-F238E27FC236}">
              <a16:creationId xmlns:a16="http://schemas.microsoft.com/office/drawing/2014/main" id="{B1FEA2CC-5B2A-470C-B09A-92494F37E8F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0" name="Elipse 12219">
          <a:extLst>
            <a:ext uri="{FF2B5EF4-FFF2-40B4-BE49-F238E27FC236}">
              <a16:creationId xmlns:a16="http://schemas.microsoft.com/office/drawing/2014/main" id="{C00DEF80-92C3-48CF-AF10-EC6EF581AB3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1" name="Elipse 12220">
          <a:extLst>
            <a:ext uri="{FF2B5EF4-FFF2-40B4-BE49-F238E27FC236}">
              <a16:creationId xmlns:a16="http://schemas.microsoft.com/office/drawing/2014/main" id="{047EB5AA-0C1C-43A4-9FCB-C03987F43B6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2" name="Elipse 12221">
          <a:extLst>
            <a:ext uri="{FF2B5EF4-FFF2-40B4-BE49-F238E27FC236}">
              <a16:creationId xmlns:a16="http://schemas.microsoft.com/office/drawing/2014/main" id="{9E403695-52BE-44BF-BFA9-5D7F64A9CC7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3" name="Elipse 12222">
          <a:extLst>
            <a:ext uri="{FF2B5EF4-FFF2-40B4-BE49-F238E27FC236}">
              <a16:creationId xmlns:a16="http://schemas.microsoft.com/office/drawing/2014/main" id="{E883BB56-7042-4974-8D31-FD180CCA134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4" name="Elipse 12223">
          <a:extLst>
            <a:ext uri="{FF2B5EF4-FFF2-40B4-BE49-F238E27FC236}">
              <a16:creationId xmlns:a16="http://schemas.microsoft.com/office/drawing/2014/main" id="{FF322D5A-0462-4FDB-806E-F5321B7C29E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5" name="Elipse 12224">
          <a:extLst>
            <a:ext uri="{FF2B5EF4-FFF2-40B4-BE49-F238E27FC236}">
              <a16:creationId xmlns:a16="http://schemas.microsoft.com/office/drawing/2014/main" id="{BD482FD8-9CD3-47D3-86BB-E1C80B3E1A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6" name="Elipse 12225">
          <a:extLst>
            <a:ext uri="{FF2B5EF4-FFF2-40B4-BE49-F238E27FC236}">
              <a16:creationId xmlns:a16="http://schemas.microsoft.com/office/drawing/2014/main" id="{9A73573F-DE90-44A3-AF17-147A8B858FB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7" name="Elipse 12226">
          <a:extLst>
            <a:ext uri="{FF2B5EF4-FFF2-40B4-BE49-F238E27FC236}">
              <a16:creationId xmlns:a16="http://schemas.microsoft.com/office/drawing/2014/main" id="{459AC730-AA9F-49DF-A5BB-E576CD3F8C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8" name="Elipse 12227">
          <a:extLst>
            <a:ext uri="{FF2B5EF4-FFF2-40B4-BE49-F238E27FC236}">
              <a16:creationId xmlns:a16="http://schemas.microsoft.com/office/drawing/2014/main" id="{A050B166-E38A-430B-8565-8E4E9805016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29" name="Elipse 12228">
          <a:extLst>
            <a:ext uri="{FF2B5EF4-FFF2-40B4-BE49-F238E27FC236}">
              <a16:creationId xmlns:a16="http://schemas.microsoft.com/office/drawing/2014/main" id="{99CE1B42-E5C4-46E2-BB95-9AC37081B8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0" name="Elipse 12229">
          <a:extLst>
            <a:ext uri="{FF2B5EF4-FFF2-40B4-BE49-F238E27FC236}">
              <a16:creationId xmlns:a16="http://schemas.microsoft.com/office/drawing/2014/main" id="{3A0BFA36-FF84-4B03-9111-26A0F4490D2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1" name="Elipse 12230">
          <a:extLst>
            <a:ext uri="{FF2B5EF4-FFF2-40B4-BE49-F238E27FC236}">
              <a16:creationId xmlns:a16="http://schemas.microsoft.com/office/drawing/2014/main" id="{33F66704-29E1-401B-955E-05B83F35E5B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2" name="Elipse 12231">
          <a:extLst>
            <a:ext uri="{FF2B5EF4-FFF2-40B4-BE49-F238E27FC236}">
              <a16:creationId xmlns:a16="http://schemas.microsoft.com/office/drawing/2014/main" id="{9B18C8C1-B19F-454D-A653-01413BD9941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3" name="Elipse 12232">
          <a:extLst>
            <a:ext uri="{FF2B5EF4-FFF2-40B4-BE49-F238E27FC236}">
              <a16:creationId xmlns:a16="http://schemas.microsoft.com/office/drawing/2014/main" id="{10AFB021-1F90-4D6A-96DB-BF8CC039C3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4" name="Elipse 12233">
          <a:extLst>
            <a:ext uri="{FF2B5EF4-FFF2-40B4-BE49-F238E27FC236}">
              <a16:creationId xmlns:a16="http://schemas.microsoft.com/office/drawing/2014/main" id="{15B5AB22-C8AB-4AF9-9A00-24B726D94DC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5" name="Elipse 12234">
          <a:extLst>
            <a:ext uri="{FF2B5EF4-FFF2-40B4-BE49-F238E27FC236}">
              <a16:creationId xmlns:a16="http://schemas.microsoft.com/office/drawing/2014/main" id="{C910DBF9-8E0E-4CD4-A056-05A03DC147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6" name="Elipse 12235">
          <a:extLst>
            <a:ext uri="{FF2B5EF4-FFF2-40B4-BE49-F238E27FC236}">
              <a16:creationId xmlns:a16="http://schemas.microsoft.com/office/drawing/2014/main" id="{D214A90A-5177-4188-A2EE-EFD95ED9E29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7" name="Elipse 12236">
          <a:extLst>
            <a:ext uri="{FF2B5EF4-FFF2-40B4-BE49-F238E27FC236}">
              <a16:creationId xmlns:a16="http://schemas.microsoft.com/office/drawing/2014/main" id="{CEB08F1C-43A5-4D4E-844D-1C716AC4A05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8" name="Elipse 12237">
          <a:extLst>
            <a:ext uri="{FF2B5EF4-FFF2-40B4-BE49-F238E27FC236}">
              <a16:creationId xmlns:a16="http://schemas.microsoft.com/office/drawing/2014/main" id="{3C70C7A8-CD1C-4F24-94DF-30BF07A47C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39" name="Elipse 12238">
          <a:extLst>
            <a:ext uri="{FF2B5EF4-FFF2-40B4-BE49-F238E27FC236}">
              <a16:creationId xmlns:a16="http://schemas.microsoft.com/office/drawing/2014/main" id="{34C7F591-2367-478E-AD83-C50AC08E6D9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0" name="Elipse 12239">
          <a:extLst>
            <a:ext uri="{FF2B5EF4-FFF2-40B4-BE49-F238E27FC236}">
              <a16:creationId xmlns:a16="http://schemas.microsoft.com/office/drawing/2014/main" id="{E00235FB-79FB-446A-9E13-045F51BA470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1" name="Elipse 12240">
          <a:extLst>
            <a:ext uri="{FF2B5EF4-FFF2-40B4-BE49-F238E27FC236}">
              <a16:creationId xmlns:a16="http://schemas.microsoft.com/office/drawing/2014/main" id="{09903508-8935-4365-A76A-FFCE919CA13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2" name="Elipse 12241">
          <a:extLst>
            <a:ext uri="{FF2B5EF4-FFF2-40B4-BE49-F238E27FC236}">
              <a16:creationId xmlns:a16="http://schemas.microsoft.com/office/drawing/2014/main" id="{467A02D4-6B28-47C5-AE3F-9564AB8CE1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3" name="Elipse 12242">
          <a:extLst>
            <a:ext uri="{FF2B5EF4-FFF2-40B4-BE49-F238E27FC236}">
              <a16:creationId xmlns:a16="http://schemas.microsoft.com/office/drawing/2014/main" id="{05CE1583-CA25-4197-BA30-A09274EE4D7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4" name="Elipse 12243">
          <a:extLst>
            <a:ext uri="{FF2B5EF4-FFF2-40B4-BE49-F238E27FC236}">
              <a16:creationId xmlns:a16="http://schemas.microsoft.com/office/drawing/2014/main" id="{207C8779-472E-4918-85E9-003CDACC9F5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5" name="Elipse 12244">
          <a:extLst>
            <a:ext uri="{FF2B5EF4-FFF2-40B4-BE49-F238E27FC236}">
              <a16:creationId xmlns:a16="http://schemas.microsoft.com/office/drawing/2014/main" id="{9205FD7E-0598-4DD1-8201-866209F49BF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6" name="Elipse 12245">
          <a:extLst>
            <a:ext uri="{FF2B5EF4-FFF2-40B4-BE49-F238E27FC236}">
              <a16:creationId xmlns:a16="http://schemas.microsoft.com/office/drawing/2014/main" id="{51EDF0B2-9B39-4357-887B-BDD7FD1101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7" name="Elipse 12246">
          <a:extLst>
            <a:ext uri="{FF2B5EF4-FFF2-40B4-BE49-F238E27FC236}">
              <a16:creationId xmlns:a16="http://schemas.microsoft.com/office/drawing/2014/main" id="{2E797008-5A76-403F-9DAA-C96FC1B54E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8" name="Elipse 12247">
          <a:extLst>
            <a:ext uri="{FF2B5EF4-FFF2-40B4-BE49-F238E27FC236}">
              <a16:creationId xmlns:a16="http://schemas.microsoft.com/office/drawing/2014/main" id="{0B740813-0B06-4B76-B610-5FF23201D5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49" name="Elipse 12248">
          <a:extLst>
            <a:ext uri="{FF2B5EF4-FFF2-40B4-BE49-F238E27FC236}">
              <a16:creationId xmlns:a16="http://schemas.microsoft.com/office/drawing/2014/main" id="{6793F06B-EAB0-4D04-AB2A-BE466BB03CB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0" name="Elipse 12249">
          <a:extLst>
            <a:ext uri="{FF2B5EF4-FFF2-40B4-BE49-F238E27FC236}">
              <a16:creationId xmlns:a16="http://schemas.microsoft.com/office/drawing/2014/main" id="{D24F7C92-D886-4CDC-ABE4-A49D61E91D6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1" name="Elipse 12250">
          <a:extLst>
            <a:ext uri="{FF2B5EF4-FFF2-40B4-BE49-F238E27FC236}">
              <a16:creationId xmlns:a16="http://schemas.microsoft.com/office/drawing/2014/main" id="{5AD3CE06-5467-4395-A010-2D5AF404466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2" name="Elipse 12251">
          <a:extLst>
            <a:ext uri="{FF2B5EF4-FFF2-40B4-BE49-F238E27FC236}">
              <a16:creationId xmlns:a16="http://schemas.microsoft.com/office/drawing/2014/main" id="{952CC4B5-9603-4804-8B3B-76976268A73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3" name="Elipse 12252">
          <a:extLst>
            <a:ext uri="{FF2B5EF4-FFF2-40B4-BE49-F238E27FC236}">
              <a16:creationId xmlns:a16="http://schemas.microsoft.com/office/drawing/2014/main" id="{B5BD585A-8BFD-426C-AA03-BA72D60296F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4" name="Elipse 12253">
          <a:extLst>
            <a:ext uri="{FF2B5EF4-FFF2-40B4-BE49-F238E27FC236}">
              <a16:creationId xmlns:a16="http://schemas.microsoft.com/office/drawing/2014/main" id="{02019EA7-6C5C-4F3B-B7F9-F43A9E1A2F4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5" name="Elipse 12254">
          <a:extLst>
            <a:ext uri="{FF2B5EF4-FFF2-40B4-BE49-F238E27FC236}">
              <a16:creationId xmlns:a16="http://schemas.microsoft.com/office/drawing/2014/main" id="{5D30AFBD-6BFD-4461-A58D-55CFEF0E227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6" name="Elipse 12255">
          <a:extLst>
            <a:ext uri="{FF2B5EF4-FFF2-40B4-BE49-F238E27FC236}">
              <a16:creationId xmlns:a16="http://schemas.microsoft.com/office/drawing/2014/main" id="{AFD2F4C6-8294-4C7A-B6B9-AD2F1FE9E50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7" name="Elipse 12256">
          <a:extLst>
            <a:ext uri="{FF2B5EF4-FFF2-40B4-BE49-F238E27FC236}">
              <a16:creationId xmlns:a16="http://schemas.microsoft.com/office/drawing/2014/main" id="{6978128E-0DAA-4210-B18A-3015D9C6BDC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8" name="Elipse 12257">
          <a:extLst>
            <a:ext uri="{FF2B5EF4-FFF2-40B4-BE49-F238E27FC236}">
              <a16:creationId xmlns:a16="http://schemas.microsoft.com/office/drawing/2014/main" id="{3B3C3BBE-744E-4224-ADC2-2F6EC993F5C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59" name="Elipse 12258">
          <a:extLst>
            <a:ext uri="{FF2B5EF4-FFF2-40B4-BE49-F238E27FC236}">
              <a16:creationId xmlns:a16="http://schemas.microsoft.com/office/drawing/2014/main" id="{45766A2A-296A-45DF-AFB2-9A517004770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0" name="Elipse 12259">
          <a:extLst>
            <a:ext uri="{FF2B5EF4-FFF2-40B4-BE49-F238E27FC236}">
              <a16:creationId xmlns:a16="http://schemas.microsoft.com/office/drawing/2014/main" id="{23072F3C-6EE6-4B94-BF7C-53DD94E996E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1" name="Elipse 12260">
          <a:extLst>
            <a:ext uri="{FF2B5EF4-FFF2-40B4-BE49-F238E27FC236}">
              <a16:creationId xmlns:a16="http://schemas.microsoft.com/office/drawing/2014/main" id="{7E81A23E-59D4-46E1-92F9-3294D10650B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2" name="Elipse 12261">
          <a:extLst>
            <a:ext uri="{FF2B5EF4-FFF2-40B4-BE49-F238E27FC236}">
              <a16:creationId xmlns:a16="http://schemas.microsoft.com/office/drawing/2014/main" id="{539B90AA-6D20-4178-9ED9-79B32276DD4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3" name="Elipse 12262">
          <a:extLst>
            <a:ext uri="{FF2B5EF4-FFF2-40B4-BE49-F238E27FC236}">
              <a16:creationId xmlns:a16="http://schemas.microsoft.com/office/drawing/2014/main" id="{B186995E-08D2-41C2-A28E-E5478389BBAD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4" name="Elipse 12263">
          <a:extLst>
            <a:ext uri="{FF2B5EF4-FFF2-40B4-BE49-F238E27FC236}">
              <a16:creationId xmlns:a16="http://schemas.microsoft.com/office/drawing/2014/main" id="{ADAE1B97-C1EA-4591-809A-86B3CDBF918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5" name="Elipse 12264">
          <a:extLst>
            <a:ext uri="{FF2B5EF4-FFF2-40B4-BE49-F238E27FC236}">
              <a16:creationId xmlns:a16="http://schemas.microsoft.com/office/drawing/2014/main" id="{770863F7-54FB-44D7-AE31-7B864AF55E1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6" name="Elipse 12265">
          <a:extLst>
            <a:ext uri="{FF2B5EF4-FFF2-40B4-BE49-F238E27FC236}">
              <a16:creationId xmlns:a16="http://schemas.microsoft.com/office/drawing/2014/main" id="{B73ED0A9-3A85-4406-91EE-D65839FAF57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7" name="Elipse 12266">
          <a:extLst>
            <a:ext uri="{FF2B5EF4-FFF2-40B4-BE49-F238E27FC236}">
              <a16:creationId xmlns:a16="http://schemas.microsoft.com/office/drawing/2014/main" id="{2BA6C113-CF72-4393-B0A9-442F2E08124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8" name="Elipse 12267">
          <a:extLst>
            <a:ext uri="{FF2B5EF4-FFF2-40B4-BE49-F238E27FC236}">
              <a16:creationId xmlns:a16="http://schemas.microsoft.com/office/drawing/2014/main" id="{E9BE52FB-9DD7-4A89-ABC8-BEC8ADA9DC8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69" name="Elipse 12268">
          <a:extLst>
            <a:ext uri="{FF2B5EF4-FFF2-40B4-BE49-F238E27FC236}">
              <a16:creationId xmlns:a16="http://schemas.microsoft.com/office/drawing/2014/main" id="{B12CD5A8-DDD6-425A-9D3C-18DA0C56AAC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0" name="Elipse 12269">
          <a:extLst>
            <a:ext uri="{FF2B5EF4-FFF2-40B4-BE49-F238E27FC236}">
              <a16:creationId xmlns:a16="http://schemas.microsoft.com/office/drawing/2014/main" id="{FD949A29-D19C-43B4-9D9A-944F8D963B5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1" name="Elipse 12270">
          <a:extLst>
            <a:ext uri="{FF2B5EF4-FFF2-40B4-BE49-F238E27FC236}">
              <a16:creationId xmlns:a16="http://schemas.microsoft.com/office/drawing/2014/main" id="{943DAF46-B68B-4BF8-8E40-C2B55E97FE3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2" name="Elipse 12271">
          <a:extLst>
            <a:ext uri="{FF2B5EF4-FFF2-40B4-BE49-F238E27FC236}">
              <a16:creationId xmlns:a16="http://schemas.microsoft.com/office/drawing/2014/main" id="{0E1677E6-41B5-40DE-B5CF-2E8CB3F41D4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3" name="Elipse 12272">
          <a:extLst>
            <a:ext uri="{FF2B5EF4-FFF2-40B4-BE49-F238E27FC236}">
              <a16:creationId xmlns:a16="http://schemas.microsoft.com/office/drawing/2014/main" id="{581AD822-FD54-4844-A8F3-2D558CB0A98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4" name="Elipse 12273">
          <a:extLst>
            <a:ext uri="{FF2B5EF4-FFF2-40B4-BE49-F238E27FC236}">
              <a16:creationId xmlns:a16="http://schemas.microsoft.com/office/drawing/2014/main" id="{CF96AC8B-617C-4801-8347-A9423D5EA3D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5" name="Elipse 12274">
          <a:extLst>
            <a:ext uri="{FF2B5EF4-FFF2-40B4-BE49-F238E27FC236}">
              <a16:creationId xmlns:a16="http://schemas.microsoft.com/office/drawing/2014/main" id="{B71C62FA-0DC4-4CBC-9D7E-93494E9C7AD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6" name="Elipse 12275">
          <a:extLst>
            <a:ext uri="{FF2B5EF4-FFF2-40B4-BE49-F238E27FC236}">
              <a16:creationId xmlns:a16="http://schemas.microsoft.com/office/drawing/2014/main" id="{AB7BD9C2-E978-4CA5-9D96-00961A590A2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7" name="Elipse 12276">
          <a:extLst>
            <a:ext uri="{FF2B5EF4-FFF2-40B4-BE49-F238E27FC236}">
              <a16:creationId xmlns:a16="http://schemas.microsoft.com/office/drawing/2014/main" id="{4D54DAC7-11F4-4B53-AB13-CED4E48751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8" name="Elipse 12277">
          <a:extLst>
            <a:ext uri="{FF2B5EF4-FFF2-40B4-BE49-F238E27FC236}">
              <a16:creationId xmlns:a16="http://schemas.microsoft.com/office/drawing/2014/main" id="{10A9A8B6-866D-47E0-B2A4-08959BAD8D7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79" name="Elipse 12278">
          <a:extLst>
            <a:ext uri="{FF2B5EF4-FFF2-40B4-BE49-F238E27FC236}">
              <a16:creationId xmlns:a16="http://schemas.microsoft.com/office/drawing/2014/main" id="{7FD92DAC-C088-491F-A79E-D6EEF07929D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0" name="Elipse 12279">
          <a:extLst>
            <a:ext uri="{FF2B5EF4-FFF2-40B4-BE49-F238E27FC236}">
              <a16:creationId xmlns:a16="http://schemas.microsoft.com/office/drawing/2014/main" id="{E878852A-5E22-4892-AB80-5C54E0EAE6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1" name="Elipse 12280">
          <a:extLst>
            <a:ext uri="{FF2B5EF4-FFF2-40B4-BE49-F238E27FC236}">
              <a16:creationId xmlns:a16="http://schemas.microsoft.com/office/drawing/2014/main" id="{2E46D1AB-D3E8-416B-9033-AA1F40B5AF6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2" name="Elipse 12281">
          <a:extLst>
            <a:ext uri="{FF2B5EF4-FFF2-40B4-BE49-F238E27FC236}">
              <a16:creationId xmlns:a16="http://schemas.microsoft.com/office/drawing/2014/main" id="{186A399A-667D-45A1-9440-B972C822E85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3" name="Elipse 12282">
          <a:extLst>
            <a:ext uri="{FF2B5EF4-FFF2-40B4-BE49-F238E27FC236}">
              <a16:creationId xmlns:a16="http://schemas.microsoft.com/office/drawing/2014/main" id="{BDF2558F-E600-4BB0-9EDD-47EBA911A6F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4" name="Elipse 12283">
          <a:extLst>
            <a:ext uri="{FF2B5EF4-FFF2-40B4-BE49-F238E27FC236}">
              <a16:creationId xmlns:a16="http://schemas.microsoft.com/office/drawing/2014/main" id="{1E1E85BE-7AE1-4681-802E-57AE6F1C8D5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5" name="Elipse 12284">
          <a:extLst>
            <a:ext uri="{FF2B5EF4-FFF2-40B4-BE49-F238E27FC236}">
              <a16:creationId xmlns:a16="http://schemas.microsoft.com/office/drawing/2014/main" id="{0B45558E-8730-405A-AB6E-9DA94702ACD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6" name="Elipse 12285">
          <a:extLst>
            <a:ext uri="{FF2B5EF4-FFF2-40B4-BE49-F238E27FC236}">
              <a16:creationId xmlns:a16="http://schemas.microsoft.com/office/drawing/2014/main" id="{C7BCEF97-0F1B-4036-B322-F6DEA567D13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7" name="Elipse 12286">
          <a:extLst>
            <a:ext uri="{FF2B5EF4-FFF2-40B4-BE49-F238E27FC236}">
              <a16:creationId xmlns:a16="http://schemas.microsoft.com/office/drawing/2014/main" id="{A0804B5F-E9C0-4762-8111-F3A0B944A9A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8" name="Elipse 12287">
          <a:extLst>
            <a:ext uri="{FF2B5EF4-FFF2-40B4-BE49-F238E27FC236}">
              <a16:creationId xmlns:a16="http://schemas.microsoft.com/office/drawing/2014/main" id="{09030C96-9C05-4C62-9934-C2216CB5383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89" name="Elipse 12288">
          <a:extLst>
            <a:ext uri="{FF2B5EF4-FFF2-40B4-BE49-F238E27FC236}">
              <a16:creationId xmlns:a16="http://schemas.microsoft.com/office/drawing/2014/main" id="{75A8C037-73C5-41F6-BDD7-5F8A8A1D0E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0" name="Elipse 12289">
          <a:extLst>
            <a:ext uri="{FF2B5EF4-FFF2-40B4-BE49-F238E27FC236}">
              <a16:creationId xmlns:a16="http://schemas.microsoft.com/office/drawing/2014/main" id="{33880980-2F94-4ABE-BA2A-10219DE4D9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1" name="Elipse 12290">
          <a:extLst>
            <a:ext uri="{FF2B5EF4-FFF2-40B4-BE49-F238E27FC236}">
              <a16:creationId xmlns:a16="http://schemas.microsoft.com/office/drawing/2014/main" id="{78418585-77DB-4F6B-AAF4-73D0C9D14CB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2" name="Elipse 12291">
          <a:extLst>
            <a:ext uri="{FF2B5EF4-FFF2-40B4-BE49-F238E27FC236}">
              <a16:creationId xmlns:a16="http://schemas.microsoft.com/office/drawing/2014/main" id="{B4C019B0-3C04-437F-AF5B-9B37B540B8F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3" name="Elipse 12292">
          <a:extLst>
            <a:ext uri="{FF2B5EF4-FFF2-40B4-BE49-F238E27FC236}">
              <a16:creationId xmlns:a16="http://schemas.microsoft.com/office/drawing/2014/main" id="{63D3F148-4943-4C12-A02C-137922D9946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4" name="Elipse 12293">
          <a:extLst>
            <a:ext uri="{FF2B5EF4-FFF2-40B4-BE49-F238E27FC236}">
              <a16:creationId xmlns:a16="http://schemas.microsoft.com/office/drawing/2014/main" id="{7C1D11A2-658F-4B70-92A2-4D43E5AA14AB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5" name="Elipse 12294">
          <a:extLst>
            <a:ext uri="{FF2B5EF4-FFF2-40B4-BE49-F238E27FC236}">
              <a16:creationId xmlns:a16="http://schemas.microsoft.com/office/drawing/2014/main" id="{10B36CCB-8D07-4E44-BBFF-1D11056927D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6" name="Elipse 12295">
          <a:extLst>
            <a:ext uri="{FF2B5EF4-FFF2-40B4-BE49-F238E27FC236}">
              <a16:creationId xmlns:a16="http://schemas.microsoft.com/office/drawing/2014/main" id="{BB7618A5-DBBA-4A5F-BD7F-29DE928743E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297" name="Elipse 12296">
          <a:extLst>
            <a:ext uri="{FF2B5EF4-FFF2-40B4-BE49-F238E27FC236}">
              <a16:creationId xmlns:a16="http://schemas.microsoft.com/office/drawing/2014/main" id="{746BDE86-9AF3-49E6-86A8-FE01573CEE18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9988748F-CB7F-4777-B90C-7E53352B64B3}" name="T_mat" displayName="T_mat" ref="A4:E15" totalsRowShown="0" headerRowDxfId="156">
  <autoFilter ref="A4:E15" xr:uid="{9988748F-CB7F-4777-B90C-7E53352B64B3}"/>
  <sortState xmlns:xlrd2="http://schemas.microsoft.com/office/spreadsheetml/2017/richdata2" ref="A5:E15">
    <sortCondition ref="A4:A15"/>
  </sortState>
  <tableColumns count="5">
    <tableColumn id="1" xr3:uid="{B047E1A0-F116-40DA-A434-0A8431773D33}" name="DESCRIPCIÓN" dataDxfId="155"/>
    <tableColumn id="2" xr3:uid="{F702F9E3-630A-44EC-9382-26BA812B5B55}" name="CÓDIGO" dataDxfId="154"/>
    <tableColumn id="3" xr3:uid="{6E56739D-02E7-4FE1-A038-B53EE41A5DBB}" name="UNIDAD" dataDxfId="153"/>
    <tableColumn id="4" xr3:uid="{4D8D5EEA-B955-41DE-B40E-22F68076708F}" name="PRECIO" dataDxfId="152"/>
    <tableColumn id="5" xr3:uid="{970953B4-E58D-4473-B115-471CDABB61F3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6D72C3AE-859E-40DD-A9B1-33DC73C25D7C}" name="T_equipos" displayName="T_equipos" ref="G4:K11" totalsRowShown="0" headerRowDxfId="151">
  <autoFilter ref="G4:K11" xr:uid="{6D72C3AE-859E-40DD-A9B1-33DC73C25D7C}"/>
  <tableColumns count="5">
    <tableColumn id="1" xr3:uid="{CDD27A4A-D5A6-4FF6-808D-BAAB8DDC3514}" name="DESCRIPCIÓN" dataDxfId="150"/>
    <tableColumn id="2" xr3:uid="{48C21FAD-9F21-4DDA-BEC3-E7FD7296D63E}" name="CÓDIGO" dataDxfId="149"/>
    <tableColumn id="3" xr3:uid="{F468E2AE-AA5E-4A4E-9370-8228D9B9ED81}" name="UNIDAD" dataDxfId="148"/>
    <tableColumn id="4" xr3:uid="{683444C3-8B0A-4314-94D4-DB1A0C43A4B7}" name="PRECIO" dataDxfId="147"/>
    <tableColumn id="5" xr3:uid="{0BACBEC9-99C4-4306-B879-3A644367DEB8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CF3897AD-F4D1-47CA-A396-8C1D536CE552}" name="T_mano" displayName="T_mano" ref="M4:Q11" totalsRowShown="0" headerRowDxfId="146">
  <autoFilter ref="M4:Q11" xr:uid="{CF3897AD-F4D1-47CA-A396-8C1D536CE552}"/>
  <sortState xmlns:xlrd2="http://schemas.microsoft.com/office/spreadsheetml/2017/richdata2" ref="M5:Q19">
    <sortCondition ref="N4"/>
  </sortState>
  <tableColumns count="5">
    <tableColumn id="1" xr3:uid="{F568B84E-684D-4445-B723-6E56C2301D6B}" name="DESCRIPCIÓN" dataDxfId="145"/>
    <tableColumn id="2" xr3:uid="{354FAC79-3EF9-43B8-829F-B48D46E41C2C}" name="CÓDIGO" dataDxfId="144"/>
    <tableColumn id="3" xr3:uid="{E1FB7031-90D1-48D5-91DF-D3EE6DC1FBA1}" name="UNIDAD" dataDxfId="143"/>
    <tableColumn id="4" xr3:uid="{2CF83188-C966-4857-B866-32D9BF624D39}" name="PRECIO" dataDxfId="142"/>
    <tableColumn id="5" xr3:uid="{5711E2F4-4010-4DD8-AC5A-F30B9B2E8C8C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A7C6E047-BB34-43EA-8B1E-E897370C0EC6}" name="T_trans" displayName="T_trans" ref="S4:W11" totalsRowShown="0" headerRowDxfId="141">
  <autoFilter ref="S4:W11" xr:uid="{A7C6E047-BB34-43EA-8B1E-E897370C0EC6}"/>
  <sortState xmlns:xlrd2="http://schemas.microsoft.com/office/spreadsheetml/2017/richdata2" ref="S5:W15">
    <sortCondition ref="T4:T15"/>
  </sortState>
  <tableColumns count="5">
    <tableColumn id="1" xr3:uid="{A5051A7A-2500-422E-A32D-B309B8B8084A}" name="DESCRIPCIÓN" dataDxfId="140"/>
    <tableColumn id="2" xr3:uid="{98C11E9C-85A4-4226-B25C-F9A5A039517E}" name="CÓDIGO" dataDxfId="139"/>
    <tableColumn id="3" xr3:uid="{4A46FDE1-0F29-4E71-BFF4-32EB272FEAE4}" name="UNIDAD" dataDxfId="138"/>
    <tableColumn id="4" xr3:uid="{09E45431-A865-4A12-8D5C-B3BA33061690}" name="PRECIO" dataDxfId="137"/>
    <tableColumn id="5" xr3:uid="{758C3D09-2E06-40DD-AC71-DAB1AAA4EC0C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72AB6224-BB0A-4085-877E-52CE827CA293}" name="T_sub" displayName="T_sub" ref="Y4:AC11" totalsRowShown="0" headerRowDxfId="136">
  <autoFilter ref="Y4:AC11" xr:uid="{72AB6224-BB0A-4085-877E-52CE827CA293}"/>
  <sortState xmlns:xlrd2="http://schemas.microsoft.com/office/spreadsheetml/2017/richdata2" ref="Y5:AC18">
    <sortCondition ref="Z4"/>
  </sortState>
  <tableColumns count="5">
    <tableColumn id="1" xr3:uid="{AF1DEAE0-6585-4CA6-9543-D7EBB4E98FE8}" name="DESCRIPCIÓN" dataDxfId="135"/>
    <tableColumn id="2" xr3:uid="{D2EAE9C0-C721-4523-B8F1-27472D0C3611}" name="CÓDIGO" dataDxfId="134"/>
    <tableColumn id="3" xr3:uid="{4DC45D03-CB9E-4EEB-AC60-7817BD899243}" name="UNIDAD" dataDxfId="133"/>
    <tableColumn id="4" xr3:uid="{32729E2F-9891-4BB6-8EDC-24703C24F358}" name="PRECIO" dataDxfId="132"/>
    <tableColumn id="5" xr3:uid="{CFC0842D-1637-470A-8593-B08606120F02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FC8138EE-EC48-4E9E-9180-8704C53474CF}" name="T_otros" displayName="T_otros" ref="AK4:AO11" totalsRowShown="0" headerRowDxfId="131">
  <autoFilter ref="AK4:AO11" xr:uid="{FC8138EE-EC48-4E9E-9180-8704C53474CF}"/>
  <sortState xmlns:xlrd2="http://schemas.microsoft.com/office/spreadsheetml/2017/richdata2" ref="AK5:AO18">
    <sortCondition ref="AL4"/>
  </sortState>
  <tableColumns count="5">
    <tableColumn id="1" xr3:uid="{DA557F54-F0B0-4907-AFBC-EC5E69FBC565}" name="DESCRIPCIÓN" dataDxfId="130"/>
    <tableColumn id="2" xr3:uid="{4C9F5114-B3A5-4A82-BBD2-36D6CA19CA07}" name="CÓDIGO" dataDxfId="129"/>
    <tableColumn id="3" xr3:uid="{B81CB56D-E413-4CF0-BE30-2ACBD1DCB129}" name="UNIDAD" dataDxfId="128"/>
    <tableColumn id="4" xr3:uid="{0873E345-B973-4ACA-8018-63C319B4AEFC}" name="PRECIO" dataDxfId="127"/>
    <tableColumn id="5" xr3:uid="{2E5CC21B-2327-4190-A8F8-A83D550D8699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EE3BC9C4-38D5-4F46-A74E-FF22005249CB}" name="T_act" displayName="T_act" ref="AE4:AI11" totalsRowShown="0" headerRowDxfId="126">
  <autoFilter ref="AE4:AI11" xr:uid="{EE3BC9C4-38D5-4F46-A74E-FF22005249CB}"/>
  <sortState xmlns:xlrd2="http://schemas.microsoft.com/office/spreadsheetml/2017/richdata2" ref="AE5:AI15">
    <sortCondition ref="AE4:AE15"/>
  </sortState>
  <tableColumns count="5">
    <tableColumn id="1" xr3:uid="{2FDC90B4-7A64-4B9D-A640-A9FCADCE635A}" name="DESCRIPCIÓN" dataDxfId="125"/>
    <tableColumn id="2" xr3:uid="{2640DA00-32DE-4046-943B-D0C9DD64A6D8}" name="CÓDIGO" dataDxfId="124"/>
    <tableColumn id="3" xr3:uid="{2D4D1F31-C5FF-4FAD-ACD5-C1793E18E0AB}" name="UNIDAD" dataDxfId="123"/>
    <tableColumn id="4" xr3:uid="{5D220312-7EA0-48C8-A0E2-E254F4F3B87C}" name="PRECIO" dataDxfId="122"/>
    <tableColumn id="5" xr3:uid="{E4E1FD01-7BC1-4217-8ACC-634F9CBB42D1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C637D599-38EC-410D-A684-E65BB99C0021}" name="Tabla2" displayName="Tabla2" ref="A4:H12" totalsRowCount="1">
  <autoFilter ref="A4:H11" xr:uid="{C637D599-38EC-410D-A684-E65BB99C00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BF8D84-465C-411A-8147-D26E65AC2535}" name="TIPO" totalsRowLabel="Total"/>
    <tableColumn id="2" xr3:uid="{E41E79FB-CEF1-4AB1-AC92-42D0B3C5CA0F}" name="CÓDIGO"/>
    <tableColumn id="3" xr3:uid="{618053C0-4E87-4815-88E4-797D800441C8}" name="DESCRIPCIÓN"/>
    <tableColumn id="4" xr3:uid="{7F73AC8B-A526-484F-A60D-2B0F65EE6BEE}" name="UNIDAD" dataDxfId="121"/>
    <tableColumn id="5" xr3:uid="{6C34BA5B-95CE-4502-829F-58EDD03D059F}" name="FACTOR" dataDxfId="120">
      <calculatedColumnFormula>1</calculatedColumnFormula>
    </tableColumn>
    <tableColumn id="6" xr3:uid="{469BCAE3-B0C8-451B-8D9D-CFF18FA6BD7F}" name="CANTIDAD" dataDxfId="119"/>
    <tableColumn id="7" xr3:uid="{B365B963-43E8-4EE6-A96F-085B5319DA18}" name="PRECIO" dataDxfId="118" totalsRowDxfId="40"/>
    <tableColumn id="8" xr3:uid="{9EA1D42B-1083-400B-8F1C-FD7166BCE0AB}" name="TOTAL" totalsRowFunction="custom" dataDxfId="117" totalsRowDxfId="39">
      <calculatedColumnFormula>Tabla2[[#This Row],[CANTIDAD]]*Tabla2[[#This Row],[PRECIO]]*Tabla2[[#This Row],[FACTOR]]</calculatedColumnFormula>
      <totalsRowFormula>SUM(Tabla2[TOTAL])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D421D67F-73BF-4975-AF28-D53D8C8F8C8A}" name="Tabla3" displayName="Tabla3" ref="A16:H22" totalsRowCount="1">
  <autoFilter ref="A16:H21" xr:uid="{D421D67F-73BF-4975-AF28-D53D8C8F8C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94153E1-BEE7-4A39-96CE-C89A3FCA9835}" name="TIPO" totalsRowLabel="Total"/>
    <tableColumn id="2" xr3:uid="{397F71E8-B4A8-4C5E-A25C-909E0FA20BCC}" name="CÓDIGO"/>
    <tableColumn id="3" xr3:uid="{7489D32C-1A29-44ED-BC92-7BAD64F8E81A}" name="DESCRIPCIÓN"/>
    <tableColumn id="4" xr3:uid="{514A10CD-E692-4557-B391-E451AB911A7C}" name="UNIDAD" dataDxfId="116"/>
    <tableColumn id="5" xr3:uid="{20D19C3F-D6CA-465D-A44E-45438FE431BE}" name="FACTOR" dataDxfId="115">
      <calculatedColumnFormula>1</calculatedColumnFormula>
    </tableColumn>
    <tableColumn id="6" xr3:uid="{74822677-ED21-4433-8F1E-AF5C71204186}" name="CANTIDAD" dataDxfId="114"/>
    <tableColumn id="7" xr3:uid="{A00DAC8B-D3C0-45CA-B3E1-30F8A8F46C1F}" name="PRECIO" dataDxfId="113" totalsRowDxfId="38"/>
    <tableColumn id="8" xr3:uid="{C7C178C0-7EB2-49AA-95DC-AD06BC473248}" name="TOTAL" totalsRowFunction="custom" dataDxfId="112" totalsRowDxfId="37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3275B9CC-17CF-4489-972F-C35A27A9ADF1}" name="Tabla13" displayName="Tabla13" ref="A26:H31" totalsRowCount="1">
  <autoFilter ref="A26:H30" xr:uid="{3275B9CC-17CF-4489-972F-C35A27A9AD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CFA4304-ED7A-4DE4-9AB5-5C0424437C50}" name="TIPO" totalsRowLabel="Total"/>
    <tableColumn id="2" xr3:uid="{4AE6F7B3-BF57-4712-825A-4F530496DA25}" name="CÓDIGO"/>
    <tableColumn id="3" xr3:uid="{F1737E96-E6E2-4A4C-B02B-04B55570C9E3}" name="DESCRIPCIÓN"/>
    <tableColumn id="4" xr3:uid="{B593FD78-3754-420E-ADFF-F6A238BBED2B}" name="UNIDAD" dataDxfId="111"/>
    <tableColumn id="5" xr3:uid="{388936FD-EA42-4E28-890E-80493AAC3358}" name="FACTOR" dataDxfId="110">
      <calculatedColumnFormula>1</calculatedColumnFormula>
    </tableColumn>
    <tableColumn id="6" xr3:uid="{B87933EF-B26D-4F35-A6DE-DACB61E3CA31}" name="CANTIDAD" dataDxfId="109"/>
    <tableColumn id="7" xr3:uid="{F9065C7C-F2A1-4353-B5EC-478D06DE0D21}" name="PRECIO" dataDxfId="108" totalsRowDxfId="36"/>
    <tableColumn id="8" xr3:uid="{B8F8322F-C871-4643-9D7C-95B24E5D998A}" name="TOTAL" totalsRowFunction="custom" dataDxfId="107" totalsRowDxfId="35">
      <calculatedColumnFormula>Tabla13[[#This Row],[CANTIDAD]]*Tabla13[[#This Row],[PRECIO]]*Tabla13[[#This Row],[FACTOR]]</calculatedColumnFormula>
      <totalsRowFormula>SUM(Tabla13[TOTAL])</totalsRowFormula>
    </tableColumn>
  </tableColumns>
  <tableStyleInfo name="S5S Gre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15149FE0-B6F9-4B04-8A91-8619203CB234}" name="Tabla8" displayName="Tabla8" ref="A4:H10" totalsRowCount="1">
  <autoFilter ref="A4:H9" xr:uid="{15149FE0-B6F9-4B04-8A91-8619203CB23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5188749-0EEE-4D0E-A72E-1F5D4CDD9318}" name="TIPO" totalsRowLabel="Total"/>
    <tableColumn id="2" xr3:uid="{FFCAB084-966F-483B-84CA-C81EA088C2E4}" name="CÓDIGO"/>
    <tableColumn id="3" xr3:uid="{48F53D4F-87D9-4BB1-8518-326F492D6200}" name="DESCRIPCIÓN"/>
    <tableColumn id="4" xr3:uid="{AB64B96C-D9BF-45FA-8150-D99D9D69203B}" name="UNIDAD" dataDxfId="106"/>
    <tableColumn id="5" xr3:uid="{CC7F0528-6FB1-4C63-BBDA-0B89062E5A86}" name="FACTOR" dataDxfId="105">
      <calculatedColumnFormula>1</calculatedColumnFormula>
    </tableColumn>
    <tableColumn id="6" xr3:uid="{2BF5E8E7-E4FB-4ADE-B537-C43E1BD4D86C}" name="CANTIDAD" dataDxfId="104"/>
    <tableColumn id="7" xr3:uid="{DED14074-CAC6-4BDF-B456-A8761FC36686}" name="PRECIO" dataDxfId="103" totalsRowDxfId="34"/>
    <tableColumn id="8" xr3:uid="{D125BF82-823F-4685-857F-6E3E4FBF5CEA}" name="TOTAL" totalsRowFunction="custom" dataDxfId="102" totalsRowDxfId="33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58B7820A-EEC9-47CF-B481-1E3D50F36348}" name="Tabla10" displayName="Tabla10" ref="A14:H19" totalsRowCount="1" headerRowDxfId="101">
  <autoFilter ref="A14:H18" xr:uid="{58B7820A-EEC9-47CF-B481-1E3D50F3634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2A73131-46D7-45DE-B59B-2FDD27B15C45}" name="TIPO" totalsRowLabel="Total" totalsRowDxfId="32"/>
    <tableColumn id="2" xr3:uid="{7BD978DB-70D8-40B1-929D-96BDEF7AA75A}" name="CÓDIGO"/>
    <tableColumn id="3" xr3:uid="{E28AB504-DB92-4CE4-BCAA-A82EDB788E1E}" name="DESCRIPCIÓN"/>
    <tableColumn id="4" xr3:uid="{DC696CA0-6401-4C90-9B70-9E8726556298}" name="UNIDAD" dataDxfId="100"/>
    <tableColumn id="5" xr3:uid="{D9F4D88B-2384-4892-B9E3-EDF65877F94A}" name="FACTOR" dataDxfId="99"/>
    <tableColumn id="6" xr3:uid="{9683E336-3E81-4F8B-85F7-8DFC67C58BC6}" name="CANTIDAD" dataDxfId="98"/>
    <tableColumn id="7" xr3:uid="{137FB673-681B-451C-849D-59D850887953}" name="PRECIO" dataDxfId="97" totalsRowDxfId="31"/>
    <tableColumn id="8" xr3:uid="{F3DDD21C-01E8-463E-B2F3-32BBEB11B925}" name="TOTAL" totalsRowFunction="custom" dataDxfId="96" totalsRowDxfId="30">
      <calculatedColumnFormula>Tabla10[[#This Row],[CANTIDAD]]*Tabla10[[#This Row],[PRECIO]]*Tabla10[[#This Row],[FACTOR]]</calculatedColumnFormula>
      <totalsRowFormula>SUM(Tabla10[TOTAL])</totalsRowFormula>
    </tableColumn>
  </tableColumns>
  <tableStyleInfo name="S5S 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EBA52FC5-84E6-4CDB-A892-3176AC4C9DBB}" name="Tabla22" displayName="Tabla22" ref="A23:H28" totalsRowCount="1" headerRowDxfId="95">
  <autoFilter ref="A23:H27" xr:uid="{EBA52FC5-84E6-4CDB-A892-3176AC4C9D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BD4645C-BF77-46D8-8194-66ECEC299B37}" name="TIPO" totalsRowLabel="Total" totalsRowDxfId="29"/>
    <tableColumn id="2" xr3:uid="{DB01250D-A445-4014-BCC9-1E251B2FC40E}" name="CÓDIGO"/>
    <tableColumn id="3" xr3:uid="{4C523DBD-8719-44DA-858F-C3323B32FEC0}" name="DESCRIPCIÓN"/>
    <tableColumn id="4" xr3:uid="{F5C9BDB9-32F0-4F2F-8814-8DA7BC25649C}" name="UNIDAD" dataDxfId="94"/>
    <tableColumn id="5" xr3:uid="{71703DC0-3EE2-4080-B9B8-AA886C653536}" name="FACTOR" dataDxfId="93"/>
    <tableColumn id="6" xr3:uid="{B1556749-8B25-4638-A313-2F65F32C2C4E}" name="CANTIDAD" dataDxfId="92"/>
    <tableColumn id="7" xr3:uid="{100F1C98-4BD4-41DB-9CE9-4DBF17558AF7}" name="PRECIO" dataDxfId="91" totalsRowDxfId="28"/>
    <tableColumn id="8" xr3:uid="{7B16BFA0-2F55-47B0-8CE1-7756ABEB1E78}" name="TOTAL" totalsRowFunction="custom" dataDxfId="90" totalsRowDxfId="27">
      <calculatedColumnFormula>Tabla22[[#This Row],[CANTIDAD]]*Tabla22[[#This Row],[PRECIO]]*Tabla22[[#This Row],[FACTOR]]</calculatedColumnFormula>
      <totalsRowFormula>SUM(Tabla22[TOTAL])</totalsRowFormula>
    </tableColumn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848D29F5-382B-4419-A0B4-3137432910BF}" name="Tabla163" displayName="Tabla163" ref="A32:H37" totalsRowCount="1" headerRowDxfId="89">
  <autoFilter ref="A32:H36" xr:uid="{848D29F5-382B-4419-A0B4-3137432910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8E8B60-818C-495C-BF2D-765920C495DE}" name="TIPO" totalsRowLabel="Total" totalsRowDxfId="26"/>
    <tableColumn id="2" xr3:uid="{D760626B-A068-4149-81C1-6A7A570BB3DD}" name="CÓDIGO"/>
    <tableColumn id="3" xr3:uid="{939768CB-4C17-48E1-A40D-9AFE61582838}" name="DESCRIPCIÓN"/>
    <tableColumn id="4" xr3:uid="{A91E0DC1-B249-4467-92C6-1B9B71F7ADEA}" name="UNIDAD" dataDxfId="88"/>
    <tableColumn id="5" xr3:uid="{CABD6629-07F3-4D5A-913E-1E8DE654F8C8}" name="FACTOR" dataDxfId="87"/>
    <tableColumn id="6" xr3:uid="{7E7EB25A-74DF-41D9-B6D6-F4EC1B31A021}" name="CANTIDAD" dataDxfId="86"/>
    <tableColumn id="7" xr3:uid="{242B1A8F-6914-4881-815D-1C60BFA2DB04}" name="PRECIO" dataDxfId="85" totalsRowDxfId="25"/>
    <tableColumn id="8" xr3:uid="{BA54B6C1-87CA-49A8-94D8-E5BD1D009456}" name="TOTAL" totalsRowFunction="custom" dataDxfId="84" totalsRowDxfId="24">
      <calculatedColumnFormula>Tabla163[[#This Row],[CANTIDAD]]*Tabla163[[#This Row],[PRECIO]]*Tabla163[[#This Row],[FACTOR]]</calculatedColumnFormula>
      <totalsRowFormula>SUM(Tabla163[TOTAL])</totalsRowFormula>
    </tableColumn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34C18B44-C103-4817-977A-469A5DFE2D36}" name="Tabla195" displayName="Tabla195" ref="A41:H46" totalsRowCount="1" headerRowDxfId="83">
  <autoFilter ref="A41:H45" xr:uid="{34C18B44-C103-4817-977A-469A5DFE2D3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13EB058-6890-43BB-BDBF-0C9BAB8B7A5D}" name="TIPO" totalsRowLabel="Total" totalsRowDxfId="23"/>
    <tableColumn id="2" xr3:uid="{8EC057F6-EC8B-4C4F-8B8B-95B4BF15EA77}" name="CÓDIGO"/>
    <tableColumn id="3" xr3:uid="{31F5FF27-3D2B-41F9-AE08-B6D7D0BCBF03}" name="DESCRIPCIÓN"/>
    <tableColumn id="4" xr3:uid="{3C1BA463-3EB4-4EB2-A113-67AE38D7BF85}" name="UNIDAD" dataDxfId="82"/>
    <tableColumn id="5" xr3:uid="{BE85EE7D-B3D3-4BA5-BB0D-8A7CF819C51B}" name="FACTOR" dataDxfId="81"/>
    <tableColumn id="6" xr3:uid="{80EC3F46-455A-4DE3-9194-BB6C7CC5B24E}" name="CANTIDAD" dataDxfId="80"/>
    <tableColumn id="7" xr3:uid="{A9203259-B2A2-4E27-AB55-6A25725500DD}" name="PRECIO" dataDxfId="79" totalsRowDxfId="22"/>
    <tableColumn id="8" xr3:uid="{860F7294-B46F-4F86-B2D2-87561966C942}" name="TOTAL" totalsRowFunction="custom" dataDxfId="78" totalsRowDxfId="21">
      <calculatedColumnFormula>Tabla195[[#This Row],[CANTIDAD]]*Tabla195[[#This Row],[PRECIO]]*Tabla195[[#This Row],[FACTOR]]</calculatedColumnFormula>
      <totalsRowFormula>SUM(Tabla195[TOTAL])</totalsRowFormula>
    </tableColumn>
  </tableColumns>
  <tableStyleInfo name="S5S 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9E657CC-CD09-4F70-BEE1-508D20A9FC8F}" name="Tabla7" displayName="Tabla7" ref="B4:H13" totalsRowCount="1" headerRowDxfId="77" dataDxfId="76" totalsRowDxfId="75">
  <autoFilter ref="B4:H12" xr:uid="{C9E657CC-CD09-4F70-BEE1-508D20A9FC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588B41A-9021-40B9-9E0B-31338DDF15F6}" name="CÓDIGO" totalsRowLabel="Total" dataDxfId="74" totalsRowDxfId="20"/>
    <tableColumn id="2" xr3:uid="{69105796-118A-433C-B998-C60F9E81C8FA}" name="DESCRIPCIÓN" dataDxfId="73" totalsRowDxfId="19"/>
    <tableColumn id="3" xr3:uid="{40C6B179-0E33-4578-88C3-ECBCEA6D69C9}" name="UNIDAD" dataDxfId="72" totalsRowDxfId="18"/>
    <tableColumn id="4" xr3:uid="{A1FB74C3-A3E2-49B1-8EFB-5F195CDF3F06}" name="FACTOR" dataDxfId="71" totalsRowDxfId="17"/>
    <tableColumn id="5" xr3:uid="{763F0B9D-0653-4187-A2AC-B23BB44018E3}" name="CANTIDAD" dataDxfId="70" totalsRowDxfId="16"/>
    <tableColumn id="6" xr3:uid="{4F2F15E1-2332-4B5E-AB4E-D52D3D21B148}" name="COSTO" dataDxfId="69" totalsRowDxfId="15"/>
    <tableColumn id="7" xr3:uid="{14B7FBFC-1622-4420-9049-F0D5F2E2A93A}" name="TOTAL" totalsRowFunction="custom" dataDxfId="68" totalsRowDxfId="14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9A473AE2-5374-403B-B641-3D80C49CD75A}" name="Tabla14" displayName="Tabla14" ref="B17:H27" totalsRowCount="1" headerRowDxfId="67" dataDxfId="66" totalsRowDxfId="65">
  <autoFilter ref="B17:H26" xr:uid="{9A473AE2-5374-403B-B641-3D80C49CD75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21FB745-E676-4C0C-924C-E27544CE8DCD}" name="CÓDIGO" totalsRowLabel="Total" dataDxfId="64" totalsRowDxfId="13"/>
    <tableColumn id="2" xr3:uid="{D266647A-3DF6-4522-8F8F-C9F730694C81}" name="DESCRIPCIÓN" dataDxfId="63" totalsRowDxfId="12"/>
    <tableColumn id="3" xr3:uid="{103B7145-EA55-49F6-B5DE-971BFA9433BB}" name="UNIDAD" dataDxfId="62" totalsRowDxfId="11"/>
    <tableColumn id="4" xr3:uid="{1747F4FF-117F-4515-B120-7E6B1DE82133}" name="FACTOR" dataDxfId="61" totalsRowDxfId="10"/>
    <tableColumn id="5" xr3:uid="{754CD0DA-0BF3-412A-9D54-1D424ACF7059}" name="CANTIDAD" dataDxfId="60" totalsRowDxfId="9"/>
    <tableColumn id="6" xr3:uid="{B0F35C7D-E80A-4A4B-B654-322A6089FCAC}" name="COSTO" dataDxfId="59" totalsRowDxfId="8"/>
    <tableColumn id="7" xr3:uid="{D2032796-2E2D-46BD-B7D8-1F620DB762F5}" name="TOTAL" totalsRowFunction="custom" dataDxfId="58" totalsRowDxfId="7">
      <calculatedColumnFormula>Tabla14[[#This Row],[FACTOR]]*Tabla14[[#This Row],[CANTIDAD]]*Tabla14[[#This Row],[COSTO]]</calculatedColumnFormula>
      <totalsRowFormula>SUM(Tabla14[TOTAL])</totalsRowFormula>
    </tableColumn>
  </tableColumns>
  <tableStyleInfo name="S5S Green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7DFA786B-5B81-445C-A14E-3FEFC023D1FF}" name="Tabla89" displayName="Tabla89" ref="B31:H37" totalsRowCount="1" headerRowDxfId="57" dataDxfId="56">
  <autoFilter ref="B31:H36" xr:uid="{7DFA786B-5B81-445C-A14E-3FEFC023D1F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68192CE-A5EC-4576-AEB9-F17748515D73}" name="CÓDIGO" totalsRowLabel="Total" dataDxfId="55" totalsRowDxfId="6"/>
    <tableColumn id="2" xr3:uid="{88A37B5D-E695-4FEF-A887-8FC4BFB7398C}" name="DESCRIPCIÓN" dataDxfId="54" totalsRowDxfId="5"/>
    <tableColumn id="3" xr3:uid="{FC51398A-4751-4CFB-A513-7F0E04BE2ACB}" name="UNIDAD" dataDxfId="53" totalsRowDxfId="4"/>
    <tableColumn id="4" xr3:uid="{C6011152-5544-4A6D-A5A9-9CF6CFDE4FCD}" name="FACTOR" dataDxfId="52" totalsRowDxfId="3"/>
    <tableColumn id="5" xr3:uid="{F83E2678-16B9-4982-9427-64BA947898D1}" name="CANTIDAD" dataDxfId="51" totalsRowDxfId="2"/>
    <tableColumn id="6" xr3:uid="{157335C3-B7B3-4B50-8226-955D8CADCAD0}" name="COSTO" dataDxfId="50" totalsRowDxfId="1"/>
    <tableColumn id="7" xr3:uid="{AC145320-8CE3-458D-B1A5-24AA35A876D2}" name="TOTAL" totalsRowFunction="custom" dataDxfId="49" totalsRowDxfId="0">
      <calculatedColumnFormula>Tabla89[[#This Row],[FACTOR]]*Tabla89[[#This Row],[CANTIDAD]]*Tabla89[[#This Row],[COSTO]]</calculatedColumnFormula>
      <totalsRowFormula>SUM(Tabla89[TOTAL])</totalsRowFormula>
    </tableColumn>
  </tableColumns>
  <tableStyleInfo name="S5S Greenblu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1D2D06F6-0A4D-41FA-9899-B9677D01BC76}" name="Tabla90" displayName="Tabla90" ref="B41:E47" totalsRowShown="0" headerRowDxfId="48">
  <autoFilter ref="B41:E47" xr:uid="{1D2D06F6-0A4D-41FA-9899-B9677D01BC76}">
    <filterColumn colId="0" hiddenButton="1"/>
    <filterColumn colId="1" hiddenButton="1"/>
    <filterColumn colId="2" hiddenButton="1"/>
    <filterColumn colId="3" hiddenButton="1"/>
  </autoFilter>
  <tableColumns count="4">
    <tableColumn id="1" xr3:uid="{549CC533-DD41-4216-BB2F-582877211F1D}" name="CÓD" dataDxfId="47"/>
    <tableColumn id="2" xr3:uid="{2565D960-747A-4E54-9DB6-9A974F45A459}" name="CAPÍTULO" dataDxfId="46"/>
    <tableColumn id="3" xr3:uid="{B9A6C9CC-0258-4BA3-B4C0-5B7BAB93882A}" name="PORCENTAJE" dataDxfId="45"/>
    <tableColumn id="4" xr3:uid="{489B4BED-D755-442A-B005-E0F7D47E1A0E}" name="SUBTOTAL" dataDxfId="44"/>
  </tableColumns>
  <tableStyleInfo name="S5S Greenblu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BEA8B4B8-4959-432E-AB04-26CEF8079B3C}" name="Tabla91" displayName="Tabla91" ref="C50:E57" totalsRowShown="0">
  <autoFilter ref="C50:E57" xr:uid="{BEA8B4B8-4959-432E-AB04-26CEF8079B3C}">
    <filterColumn colId="0" hiddenButton="1"/>
    <filterColumn colId="1" hiddenButton="1"/>
    <filterColumn colId="2" hiddenButton="1"/>
  </autoFilter>
  <tableColumns count="3">
    <tableColumn id="1" xr3:uid="{03C76F35-4569-4726-A991-6363ABA2C290}" name="DESCRIPCIÓN" dataDxfId="43"/>
    <tableColumn id="2" xr3:uid="{123C8BB1-5016-437D-993B-D3B6A23E7250}" name="PORCENTAJE" dataDxfId="42"/>
    <tableColumn id="3" xr3:uid="{D41FD144-5D2E-4AC7-B8B3-2149600BABE8}" name="SUBTOTAL" dataDxfId="41"/>
  </tableColumns>
  <tableStyleInfo name="S5S Greenblu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7" totalsRowShown="0" headerRowDxfId="186" dataDxfId="184" headerRowBorderDxfId="185" tableBorderDxfId="183">
  <autoFilter ref="B2:E7" xr:uid="{00000000-0009-0000-0100-00001C000000}"/>
  <sortState xmlns:xlrd2="http://schemas.microsoft.com/office/spreadsheetml/2017/richdata2" ref="B3:E7">
    <sortCondition ref="B2:B7"/>
  </sortState>
  <tableColumns count="4">
    <tableColumn id="1" xr3:uid="{00000000-0010-0000-0C00-000001000000}" name="DESCRIPCIÓN" dataDxfId="182" totalsRowDxfId="181"/>
    <tableColumn id="2" xr3:uid="{00000000-0010-0000-0C00-000002000000}" name="CÓDIGO" totalsRowDxfId="180"/>
    <tableColumn id="3" xr3:uid="{00000000-0010-0000-0C00-000003000000}" name="UNIDAD " totalsRowDxfId="179"/>
    <tableColumn id="4" xr3:uid="{00000000-0010-0000-0C00-000004000000}" name="COSTO" dataDxfId="178" totalsRowDxfId="177"/>
  </tableColumns>
  <tableStyleInfo name="S5S Blu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9" headerRowDxfId="176" dataDxfId="175" tableBorderDxfId="174">
  <autoFilter ref="B2:E9" xr:uid="{00000000-0009-0000-0100-000006000000}"/>
  <sortState xmlns:xlrd2="http://schemas.microsoft.com/office/spreadsheetml/2017/richdata2" ref="B3:E9">
    <sortCondition ref="B2:B9"/>
  </sortState>
  <tableColumns count="4">
    <tableColumn id="1" xr3:uid="{00000000-0010-0000-0D00-000001000000}" name="DESCRIPCIÓN" dataDxfId="173" totalsRowDxfId="172"/>
    <tableColumn id="2" xr3:uid="{00000000-0010-0000-0D00-000002000000}" name="CÓDIGO" totalsRowDxfId="171"/>
    <tableColumn id="3" xr3:uid="{00000000-0010-0000-0D00-000003000000}" name="UNIDAD " totalsRowDxfId="170"/>
    <tableColumn id="4" xr3:uid="{00000000-0010-0000-0D00-000004000000}" name="COSTO" dataDxfId="169" totalsRowDxfId="168"/>
  </tableColumns>
  <tableStyleInfo name="S5S Blu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167" totalsRowDxfId="166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165"/>
    <tableColumn id="2" xr3:uid="{00000000-0010-0000-0E00-000002000000}" name="UNIDAD" dataDxfId="164" totalsRowDxfId="163"/>
    <tableColumn id="3" xr3:uid="{00000000-0010-0000-0E00-000003000000}" name="PRECIO" dataDxfId="162" totalsRowDxfId="161"/>
    <tableColumn id="4" xr3:uid="{00000000-0010-0000-0E00-000004000000}" name="CANTIDAD" dataDxfId="160" totalsRowDxfId="159"/>
    <tableColumn id="5" xr3:uid="{00000000-0010-0000-0E00-000005000000}" name="TOTAL" totalsRowFunction="sum" dataDxfId="158" totalsRowDxfId="157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40.77734375" style="17" customWidth="1"/>
    <col min="3" max="3" width="13.6640625" style="18" bestFit="1" customWidth="1"/>
    <col min="4" max="4" width="10.44140625" style="32" bestFit="1" customWidth="1"/>
    <col min="5" max="5" width="9.6640625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1" t="s">
        <v>34</v>
      </c>
      <c r="B1" s="71"/>
      <c r="C1" s="71"/>
      <c r="D1" s="71"/>
      <c r="E1" s="71"/>
    </row>
    <row r="2" spans="1:43" ht="3" customHeight="1" thickBot="1" x14ac:dyDescent="0.35"/>
    <row r="3" spans="1:43" ht="18.600000000000001" thickBot="1" x14ac:dyDescent="0.4">
      <c r="A3" s="72" t="s">
        <v>4</v>
      </c>
      <c r="B3" s="73"/>
      <c r="C3" s="73"/>
      <c r="D3" s="73"/>
      <c r="E3" s="74"/>
      <c r="G3" s="72" t="s">
        <v>5</v>
      </c>
      <c r="H3" s="73"/>
      <c r="I3" s="73"/>
      <c r="J3" s="73"/>
      <c r="K3" s="74"/>
      <c r="M3" s="72" t="s">
        <v>6</v>
      </c>
      <c r="N3" s="73"/>
      <c r="O3" s="73"/>
      <c r="P3" s="73"/>
      <c r="Q3" s="74"/>
      <c r="S3" s="72" t="s">
        <v>7</v>
      </c>
      <c r="T3" s="73"/>
      <c r="U3" s="73"/>
      <c r="V3" s="73"/>
      <c r="W3" s="74"/>
      <c r="Y3" s="72" t="s">
        <v>8</v>
      </c>
      <c r="Z3" s="73"/>
      <c r="AA3" s="73"/>
      <c r="AB3" s="73"/>
      <c r="AC3" s="74"/>
      <c r="AD3" s="18"/>
      <c r="AE3" s="72" t="s">
        <v>9</v>
      </c>
      <c r="AF3" s="73"/>
      <c r="AG3" s="73"/>
      <c r="AH3" s="73"/>
      <c r="AI3" s="74"/>
      <c r="AK3" s="72" t="s">
        <v>10</v>
      </c>
      <c r="AL3" s="73"/>
      <c r="AM3" s="73"/>
      <c r="AN3" s="73"/>
      <c r="AO3" s="74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47</v>
      </c>
      <c r="B5" s="20"/>
      <c r="C5" s="21" t="s">
        <v>48</v>
      </c>
      <c r="D5" s="45">
        <v>2694</v>
      </c>
      <c r="E5" s="47"/>
      <c r="G5" s="20" t="s">
        <v>40</v>
      </c>
      <c r="H5" s="20"/>
      <c r="I5" s="21" t="s">
        <v>41</v>
      </c>
      <c r="J5" s="45">
        <v>100000</v>
      </c>
      <c r="K5" s="47"/>
      <c r="M5" s="20" t="s">
        <v>53</v>
      </c>
      <c r="N5" s="20"/>
      <c r="O5" s="21" t="s">
        <v>54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42</v>
      </c>
      <c r="B6" s="20"/>
      <c r="C6" s="21" t="s">
        <v>43</v>
      </c>
      <c r="D6" s="45">
        <v>25</v>
      </c>
      <c r="E6" s="22"/>
      <c r="G6" s="20" t="s">
        <v>55</v>
      </c>
      <c r="H6" s="20"/>
      <c r="I6" s="21" t="s">
        <v>56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49</v>
      </c>
      <c r="B7" s="20"/>
      <c r="C7" s="21" t="s">
        <v>48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50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51</v>
      </c>
      <c r="B9" s="20"/>
      <c r="C9" s="21" t="s">
        <v>48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52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84"/>
  <sheetViews>
    <sheetView showGridLines="0" tabSelected="1" topLeftCell="A13" zoomScale="110" zoomScaleNormal="110" zoomScaleSheetLayoutView="110" workbookViewId="0">
      <selection activeCell="K20" sqref="K20"/>
    </sheetView>
  </sheetViews>
  <sheetFormatPr baseColWidth="10" defaultRowHeight="14.4" outlineLevelRow="1" x14ac:dyDescent="0.3"/>
  <cols>
    <col min="1" max="1" width="11.77734375" bestFit="1" customWidth="1"/>
    <col min="2" max="2" width="7.77734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8" width="8.77734375" style="19" bestFit="1" customWidth="1"/>
    <col min="9" max="9" width="1.33203125" customWidth="1"/>
  </cols>
  <sheetData>
    <row r="1" spans="1:8" ht="30" customHeight="1" x14ac:dyDescent="0.3">
      <c r="A1" s="78" t="s">
        <v>35</v>
      </c>
      <c r="B1" s="78"/>
      <c r="C1" s="78"/>
      <c r="D1" s="78"/>
      <c r="E1" s="78"/>
      <c r="F1" s="78"/>
      <c r="G1" s="78"/>
      <c r="H1" s="78"/>
    </row>
    <row r="2" spans="1:8" ht="15" thickBot="1" x14ac:dyDescent="0.35">
      <c r="G2"/>
      <c r="H2"/>
    </row>
    <row r="3" spans="1:8" ht="15" thickBot="1" x14ac:dyDescent="0.35">
      <c r="A3" s="55" t="s">
        <v>19</v>
      </c>
      <c r="B3" s="75" t="s">
        <v>63</v>
      </c>
      <c r="C3" s="76"/>
      <c r="D3" s="76"/>
      <c r="E3" s="76"/>
      <c r="F3" s="76"/>
      <c r="G3" s="77"/>
      <c r="H3" s="56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/>
      <c r="D5" s="18"/>
      <c r="E5">
        <v>1</v>
      </c>
      <c r="G5" s="35"/>
      <c r="H5" s="35">
        <v>0</v>
      </c>
    </row>
    <row r="6" spans="1:8" outlineLevel="1" x14ac:dyDescent="0.3">
      <c r="A6" s="25" t="s">
        <v>4</v>
      </c>
      <c r="B6">
        <f>VLOOKUP(Tabla2[[#This Row],[DESCRIPCIÓN]],T_mat[[DESCRIPCIÓN]:[PRECIO]],2,FALSE)</f>
        <v>0</v>
      </c>
      <c r="C6" t="s">
        <v>50</v>
      </c>
      <c r="D6" s="18" t="str">
        <f>VLOOKUP(Tabla2[[#This Row],[DESCRIPCIÓN]],T_mat[[DESCRIPCIÓN]:[PRECIO]],3,FALSE)</f>
        <v>m3</v>
      </c>
      <c r="E6">
        <v>1</v>
      </c>
      <c r="F6">
        <v>2</v>
      </c>
      <c r="G6" s="35">
        <f>VLOOKUP(Tabla2[[#This Row],[DESCRIPCIÓN]],T_mat[[DESCRIPCIÓN]:[PRECIO]],4,FALSE)</f>
        <v>285000</v>
      </c>
      <c r="H6" s="35">
        <f>Tabla2[[#This Row],[CANTIDAD]]*Tabla2[[#This Row],[PRECIO]]*Tabla2[[#This Row],[FACTOR]]</f>
        <v>570000</v>
      </c>
    </row>
    <row r="7" spans="1:8" outlineLevel="1" x14ac:dyDescent="0.3">
      <c r="A7" s="25"/>
      <c r="D7" s="18"/>
      <c r="E7">
        <v>1</v>
      </c>
      <c r="G7" s="35"/>
      <c r="H7" s="35">
        <v>0</v>
      </c>
    </row>
    <row r="8" spans="1:8" outlineLevel="1" x14ac:dyDescent="0.3">
      <c r="A8" s="25"/>
      <c r="D8" s="18"/>
      <c r="E8">
        <v>1</v>
      </c>
      <c r="G8" s="35"/>
      <c r="H8" s="35">
        <v>0</v>
      </c>
    </row>
    <row r="9" spans="1:8" outlineLevel="1" x14ac:dyDescent="0.3">
      <c r="A9" s="25"/>
      <c r="D9" s="18"/>
      <c r="E9">
        <v>1</v>
      </c>
      <c r="G9" s="35"/>
      <c r="H9" s="35">
        <v>0</v>
      </c>
    </row>
    <row r="10" spans="1:8" outlineLevel="1" x14ac:dyDescent="0.3">
      <c r="A10" s="25"/>
      <c r="D10" s="18"/>
      <c r="E10">
        <v>1</v>
      </c>
      <c r="G10" s="35"/>
      <c r="H10" s="35">
        <v>0</v>
      </c>
    </row>
    <row r="11" spans="1:8" outlineLevel="1" x14ac:dyDescent="0.3">
      <c r="D11" s="18"/>
      <c r="E11">
        <v>1</v>
      </c>
      <c r="G11" s="35"/>
      <c r="H11" s="35">
        <v>0</v>
      </c>
    </row>
    <row r="12" spans="1:8" x14ac:dyDescent="0.3">
      <c r="A12" t="s">
        <v>18</v>
      </c>
      <c r="G12" s="35"/>
      <c r="H12" s="35">
        <f>SUM(Tabla2[TOTAL])</f>
        <v>570000</v>
      </c>
    </row>
    <row r="13" spans="1:8" x14ac:dyDescent="0.3">
      <c r="G13"/>
      <c r="H13"/>
    </row>
    <row r="14" spans="1:8" ht="15" thickBot="1" x14ac:dyDescent="0.35">
      <c r="G14"/>
      <c r="H14"/>
    </row>
    <row r="15" spans="1:8" ht="15" thickBot="1" x14ac:dyDescent="0.35">
      <c r="A15" s="55" t="s">
        <v>19</v>
      </c>
      <c r="B15" s="75" t="s">
        <v>63</v>
      </c>
      <c r="C15" s="76"/>
      <c r="D15" s="76"/>
      <c r="E15" s="76"/>
      <c r="F15" s="76"/>
      <c r="G15" s="77"/>
      <c r="H15" s="56" t="s">
        <v>38</v>
      </c>
    </row>
    <row r="16" spans="1:8" outlineLevel="1" x14ac:dyDescent="0.3">
      <c r="A16" t="s">
        <v>14</v>
      </c>
      <c r="B16" t="s">
        <v>0</v>
      </c>
      <c r="C16" t="s">
        <v>1</v>
      </c>
      <c r="D16" t="s">
        <v>11</v>
      </c>
      <c r="E16" t="s">
        <v>15</v>
      </c>
      <c r="F16" t="s">
        <v>16</v>
      </c>
      <c r="G16" t="s">
        <v>12</v>
      </c>
      <c r="H16" t="s">
        <v>17</v>
      </c>
    </row>
    <row r="17" spans="1:8" outlineLevel="1" x14ac:dyDescent="0.3">
      <c r="A17" s="25"/>
      <c r="D17" s="18"/>
      <c r="E17">
        <v>1</v>
      </c>
      <c r="G17" s="35"/>
      <c r="H17" s="35">
        <v>0</v>
      </c>
    </row>
    <row r="18" spans="1:8" outlineLevel="1" x14ac:dyDescent="0.3">
      <c r="A18" s="25" t="s">
        <v>4</v>
      </c>
      <c r="B18">
        <f>VLOOKUP(Tabla3[[#This Row],[DESCRIPCIÓN]],T_mat[[DESCRIPCIÓN]:[PRECIO]],2,FALSE)</f>
        <v>0</v>
      </c>
      <c r="C18" t="s">
        <v>50</v>
      </c>
      <c r="D18" s="18" t="str">
        <f>VLOOKUP(Tabla3[[#This Row],[DESCRIPCIÓN]],T_mat[[DESCRIPCIÓN]:[PRECIO]],3,FALSE)</f>
        <v>m3</v>
      </c>
      <c r="E18">
        <v>1</v>
      </c>
      <c r="F18">
        <v>2</v>
      </c>
      <c r="G18" s="35">
        <f>VLOOKUP(Tabla3[[#This Row],[DESCRIPCIÓN]],T_mat[[DESCRIPCIÓN]:[PRECIO]],4,FALSE)</f>
        <v>285000</v>
      </c>
      <c r="H18" s="35">
        <f>Tabla3[[#This Row],[CANTIDAD]]*Tabla3[[#This Row],[PRECIO]]*Tabla3[[#This Row],[FACTOR]]</f>
        <v>570000</v>
      </c>
    </row>
    <row r="19" spans="1:8" outlineLevel="1" x14ac:dyDescent="0.3">
      <c r="A19" s="25"/>
      <c r="D19" s="18"/>
      <c r="E19">
        <v>1</v>
      </c>
      <c r="G19" s="35"/>
      <c r="H19" s="35">
        <v>0</v>
      </c>
    </row>
    <row r="20" spans="1:8" outlineLevel="1" x14ac:dyDescent="0.3">
      <c r="D20" s="18"/>
      <c r="E20">
        <v>1</v>
      </c>
      <c r="G20" s="35"/>
      <c r="H20" s="35">
        <v>0</v>
      </c>
    </row>
    <row r="21" spans="1:8" outlineLevel="1" x14ac:dyDescent="0.3">
      <c r="D21" s="18"/>
      <c r="E21">
        <v>1</v>
      </c>
      <c r="G21" s="35"/>
      <c r="H21" s="35">
        <v>0</v>
      </c>
    </row>
    <row r="22" spans="1:8" x14ac:dyDescent="0.3">
      <c r="A22" t="s">
        <v>18</v>
      </c>
      <c r="G22" s="35"/>
      <c r="H22" s="35">
        <f>SUM(Tabla3[TOTAL])</f>
        <v>570000</v>
      </c>
    </row>
    <row r="23" spans="1:8" x14ac:dyDescent="0.3">
      <c r="G23"/>
      <c r="H23"/>
    </row>
    <row r="24" spans="1:8" ht="15" thickBot="1" x14ac:dyDescent="0.35">
      <c r="G24"/>
      <c r="H24"/>
    </row>
    <row r="25" spans="1:8" ht="15" thickBot="1" x14ac:dyDescent="0.35">
      <c r="A25" s="55" t="s">
        <v>19</v>
      </c>
      <c r="B25" s="75" t="s">
        <v>64</v>
      </c>
      <c r="C25" s="76"/>
      <c r="D25" s="76"/>
      <c r="E25" s="76"/>
      <c r="F25" s="76"/>
      <c r="G25" s="77"/>
      <c r="H25" s="56" t="s">
        <v>38</v>
      </c>
    </row>
    <row r="26" spans="1:8" outlineLevel="1" x14ac:dyDescent="0.3">
      <c r="A26" t="s">
        <v>14</v>
      </c>
      <c r="B26" t="s">
        <v>0</v>
      </c>
      <c r="C26" t="s">
        <v>1</v>
      </c>
      <c r="D26" t="s">
        <v>11</v>
      </c>
      <c r="E26" t="s">
        <v>15</v>
      </c>
      <c r="F26" t="s">
        <v>16</v>
      </c>
      <c r="G26" t="s">
        <v>12</v>
      </c>
      <c r="H26" t="s">
        <v>17</v>
      </c>
    </row>
    <row r="27" spans="1:8" outlineLevel="1" x14ac:dyDescent="0.3">
      <c r="A27" s="25" t="s">
        <v>4</v>
      </c>
      <c r="B27">
        <f>VLOOKUP(Tabla13[[#This Row],[DESCRIPCIÓN]],T_mat[[DESCRIPCIÓN]:[PRECIO]],2,FALSE)</f>
        <v>0</v>
      </c>
      <c r="C27" t="s">
        <v>50</v>
      </c>
      <c r="D27" s="18" t="str">
        <f>VLOOKUP(Tabla13[[#This Row],[DESCRIPCIÓN]],T_mat[[DESCRIPCIÓN]:[PRECIO]],3,FALSE)</f>
        <v>m3</v>
      </c>
      <c r="E27">
        <v>1</v>
      </c>
      <c r="F27">
        <v>2</v>
      </c>
      <c r="G27" s="35">
        <f>VLOOKUP(Tabla13[[#This Row],[DESCRIPCIÓN]],T_mat[[DESCRIPCIÓN]:[PRECIO]],4,FALSE)</f>
        <v>285000</v>
      </c>
      <c r="H27" s="35">
        <f>Tabla13[[#This Row],[CANTIDAD]]*Tabla13[[#This Row],[PRECIO]]*Tabla13[[#This Row],[FACTOR]]</f>
        <v>570000</v>
      </c>
    </row>
    <row r="28" spans="1:8" outlineLevel="1" x14ac:dyDescent="0.3">
      <c r="A28" s="25"/>
      <c r="D28" s="18"/>
      <c r="E28">
        <v>1</v>
      </c>
      <c r="G28" s="35"/>
      <c r="H28" s="35">
        <v>0</v>
      </c>
    </row>
    <row r="29" spans="1:8" outlineLevel="1" x14ac:dyDescent="0.3">
      <c r="D29" s="18"/>
      <c r="E29">
        <v>1</v>
      </c>
      <c r="G29" s="35"/>
      <c r="H29" s="35">
        <v>0</v>
      </c>
    </row>
    <row r="30" spans="1:8" outlineLevel="1" x14ac:dyDescent="0.3">
      <c r="D30" s="18"/>
      <c r="E30">
        <v>1</v>
      </c>
      <c r="G30" s="35"/>
      <c r="H30" s="35">
        <v>0</v>
      </c>
    </row>
    <row r="31" spans="1:8" x14ac:dyDescent="0.3">
      <c r="A31" t="s">
        <v>18</v>
      </c>
      <c r="G31" s="35"/>
      <c r="H31" s="35">
        <f>SUM(Tabla13[TOTAL])</f>
        <v>570000</v>
      </c>
    </row>
    <row r="32" spans="1:8" x14ac:dyDescent="0.3">
      <c r="G32"/>
      <c r="H32"/>
    </row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</sheetData>
  <mergeCells count="4">
    <mergeCell ref="B25:G25"/>
    <mergeCell ref="A1:H1"/>
    <mergeCell ref="B3:G3"/>
    <mergeCell ref="B15:G15"/>
  </mergeCells>
  <dataValidations count="2">
    <dataValidation type="list" allowBlank="1" showInputMessage="1" showErrorMessage="1" sqref="A17:A21 A27:A30 A5:A11" xr:uid="{BFCFA86A-4A0C-436F-BFC2-2BE698578C12}">
      <formula1>"MATERIALES,EQUIPOS,MANO DE OBRA,TRANSPORTE,SUBCONTRATOS,ACTIVIDADES,OTROS"</formula1>
    </dataValidation>
    <dataValidation type="list" allowBlank="1" showInputMessage="1" showErrorMessage="1" sqref="C5:C10 C18 C27" xr:uid="{E730C588-1E84-46B2-AD25-EBCBD9A517DE}">
      <formula1>MATERIALES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70"/>
  <sheetViews>
    <sheetView showGridLines="0" showWhiteSpace="0" topLeftCell="A31" zoomScale="110" zoomScaleNormal="110" zoomScaleSheetLayoutView="110" workbookViewId="0">
      <selection activeCell="D49" sqref="D49"/>
    </sheetView>
  </sheetViews>
  <sheetFormatPr baseColWidth="10" defaultColWidth="11.44140625" defaultRowHeight="14.4" outlineLevelRow="1" x14ac:dyDescent="0.3"/>
  <cols>
    <col min="1" max="1" width="12" bestFit="1" customWidth="1"/>
    <col min="2" max="2" width="8" bestFit="1" customWidth="1"/>
    <col min="3" max="3" width="40.77734375" customWidth="1"/>
    <col min="4" max="4" width="7.88671875" bestFit="1" customWidth="1"/>
    <col min="5" max="5" width="7.6640625" bestFit="1" customWidth="1"/>
    <col min="6" max="6" width="9.88671875" bestFit="1" customWidth="1"/>
    <col min="7" max="7" width="8.77734375" style="19" bestFit="1" customWidth="1"/>
    <col min="8" max="8" width="15" style="19" bestFit="1" customWidth="1"/>
    <col min="9" max="9" width="1.33203125" customWidth="1"/>
  </cols>
  <sheetData>
    <row r="1" spans="1:8" ht="30" customHeight="1" x14ac:dyDescent="0.3">
      <c r="A1" s="78" t="s">
        <v>36</v>
      </c>
      <c r="B1" s="78"/>
      <c r="C1" s="78"/>
      <c r="D1" s="78"/>
      <c r="E1" s="78"/>
      <c r="F1" s="78"/>
      <c r="G1" s="78"/>
      <c r="H1" s="78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57" t="s">
        <v>19</v>
      </c>
      <c r="B3" s="79" t="s">
        <v>58</v>
      </c>
      <c r="C3" s="80"/>
      <c r="D3" s="80"/>
      <c r="E3" s="80"/>
      <c r="F3" s="80"/>
      <c r="G3" s="81"/>
      <c r="H3" s="58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t="s">
        <v>4</v>
      </c>
      <c r="B5">
        <f>VLOOKUP(Tabla8[[#This Row],[DESCRIPCIÓN]],T_mat[[DESCRIPCIÓN]:[PRECIO]],2,FALSE)</f>
        <v>0</v>
      </c>
      <c r="C5" t="s">
        <v>52</v>
      </c>
      <c r="D5" s="18" t="str">
        <f>VLOOKUP(Tabla8[[#This Row],[DESCRIPCIÓN]],T_mat[[DESCRIPCIÓN]:[PRECIO]],3,FALSE)</f>
        <v>m3</v>
      </c>
      <c r="E5">
        <v>1</v>
      </c>
      <c r="F5">
        <v>2</v>
      </c>
      <c r="G5" s="35">
        <f>VLOOKUP(Tabla8[[#This Row],[DESCRIPCIÓN]],T_mat[[DESCRIPCIÓN]:[PRECIO]],4,FALSE)</f>
        <v>72500</v>
      </c>
      <c r="H5" s="35">
        <f>Tabla8[[#This Row],[CANTIDAD]]*Tabla8[[#This Row],[PRECIO]]*Tabla8[[#This Row],[FACTOR]]</f>
        <v>145000</v>
      </c>
    </row>
    <row r="6" spans="1:8" outlineLevel="1" x14ac:dyDescent="0.3">
      <c r="D6" s="18"/>
      <c r="E6">
        <v>1</v>
      </c>
      <c r="G6" s="35"/>
      <c r="H6" s="35">
        <v>0</v>
      </c>
    </row>
    <row r="7" spans="1:8" outlineLevel="1" x14ac:dyDescent="0.3">
      <c r="A7" t="s">
        <v>5</v>
      </c>
      <c r="B7">
        <f>VLOOKUP(Tabla8[[#This Row],[DESCRIPCIÓN]],T_equipos[[DESCRIPCIÓN]:[PRECIO]],2,FALSE)</f>
        <v>0</v>
      </c>
      <c r="C7" t="s">
        <v>55</v>
      </c>
      <c r="D7" s="18" t="str">
        <f>VLOOKUP(Tabla8[[#This Row],[DESCRIPCIÓN]],T_equipos[[DESCRIPCIÓN]:[PRECIO]],3,FALSE)</f>
        <v>d</v>
      </c>
      <c r="E7">
        <v>1</v>
      </c>
      <c r="F7">
        <v>2</v>
      </c>
      <c r="G7" s="35">
        <f>VLOOKUP(Tabla8[[#This Row],[DESCRIPCIÓN]],T_equipos[[DESCRIPCIÓN]:[PRECIO]],4,FALSE)</f>
        <v>110215</v>
      </c>
      <c r="H7" s="35">
        <f>Tabla8[[#This Row],[CANTIDAD]]*Tabla8[[#This Row],[PRECIO]]*Tabla8[[#This Row],[FACTOR]]</f>
        <v>220430</v>
      </c>
    </row>
    <row r="8" spans="1:8" outlineLevel="1" x14ac:dyDescent="0.3">
      <c r="D8" s="18"/>
      <c r="E8">
        <v>1</v>
      </c>
      <c r="G8" s="35"/>
      <c r="H8" s="35">
        <v>0</v>
      </c>
    </row>
    <row r="9" spans="1:8" outlineLevel="1" x14ac:dyDescent="0.3">
      <c r="D9" s="18"/>
      <c r="E9">
        <v>1</v>
      </c>
      <c r="G9" s="35"/>
      <c r="H9" s="35">
        <v>0</v>
      </c>
    </row>
    <row r="10" spans="1:8" x14ac:dyDescent="0.3">
      <c r="A10" t="s">
        <v>18</v>
      </c>
      <c r="G10" s="35"/>
      <c r="H10" s="35">
        <f>SUM(Tabla8[TOTAL])</f>
        <v>365430</v>
      </c>
    </row>
    <row r="11" spans="1:8" x14ac:dyDescent="0.3">
      <c r="G11"/>
      <c r="H11"/>
    </row>
    <row r="12" spans="1:8" ht="15" thickBot="1" x14ac:dyDescent="0.35">
      <c r="G12"/>
      <c r="H12"/>
    </row>
    <row r="13" spans="1:8" ht="15" thickBot="1" x14ac:dyDescent="0.35">
      <c r="A13" s="61" t="s">
        <v>19</v>
      </c>
      <c r="B13" s="82" t="s">
        <v>59</v>
      </c>
      <c r="C13" s="83"/>
      <c r="D13" s="83"/>
      <c r="E13" s="83"/>
      <c r="F13" s="83"/>
      <c r="G13" s="84"/>
      <c r="H13" s="62" t="s">
        <v>38</v>
      </c>
    </row>
    <row r="14" spans="1:8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8" outlineLevel="1" x14ac:dyDescent="0.3">
      <c r="A15" t="s">
        <v>45</v>
      </c>
      <c r="B15" t="str">
        <f>VLOOKUP(Tabla10[[#This Row],[DESCRIPCIÓN]],T_basico[[DESCRIPCIÓN]:[COSTO]],2,FALSE)</f>
        <v>CÓD</v>
      </c>
      <c r="C15" t="s">
        <v>63</v>
      </c>
      <c r="D15" s="18" t="str">
        <f>VLOOKUP(Tabla10[[#This Row],[DESCRIPCIÓN]],T_basico[[DESCRIPCIÓN]:[COSTO]],3,FALSE)</f>
        <v>UND</v>
      </c>
      <c r="E15">
        <v>1</v>
      </c>
      <c r="F15">
        <v>4</v>
      </c>
      <c r="G15" s="35">
        <f>VLOOKUP(Tabla10[[#This Row],[DESCRIPCIÓN]],T_basico[[DESCRIPCIÓN]:[COSTO]],4,FALSE)</f>
        <v>570000</v>
      </c>
      <c r="H15" s="35">
        <f>Tabla10[[#This Row],[CANTIDAD]]*Tabla10[[#This Row],[PRECIO]]*Tabla10[[#This Row],[FACTOR]]</f>
        <v>2280000</v>
      </c>
    </row>
    <row r="16" spans="1:8" outlineLevel="1" x14ac:dyDescent="0.3">
      <c r="A16" t="s">
        <v>45</v>
      </c>
      <c r="B16" t="str">
        <f>VLOOKUP(Tabla10[[#This Row],[DESCRIPCIÓN]],T_basico[[DESCRIPCIÓN]:[COSTO]],2,FALSE)</f>
        <v>CÓD</v>
      </c>
      <c r="C16" t="s">
        <v>63</v>
      </c>
      <c r="D16" s="18" t="str">
        <f>VLOOKUP(Tabla10[[#This Row],[DESCRIPCIÓN]],T_basico[[DESCRIPCIÓN]:[COSTO]],3,FALSE)</f>
        <v>UND</v>
      </c>
      <c r="E16">
        <v>1</v>
      </c>
      <c r="F16">
        <v>5</v>
      </c>
      <c r="G16" s="35">
        <f>VLOOKUP(Tabla10[[#This Row],[DESCRIPCIÓN]],T_basico[[DESCRIPCIÓN]:[COSTO]],4,FALSE)</f>
        <v>570000</v>
      </c>
      <c r="H16" s="35">
        <f>Tabla10[[#This Row],[CANTIDAD]]*Tabla10[[#This Row],[PRECIO]]*Tabla10[[#This Row],[FACTOR]]</f>
        <v>2850000</v>
      </c>
    </row>
    <row r="17" spans="1:8" outlineLevel="1" x14ac:dyDescent="0.3">
      <c r="D17" s="18"/>
      <c r="E17">
        <v>1</v>
      </c>
      <c r="G17" s="35"/>
      <c r="H17" s="35">
        <v>0</v>
      </c>
    </row>
    <row r="18" spans="1:8" outlineLevel="1" x14ac:dyDescent="0.3">
      <c r="D18" s="18"/>
      <c r="E18">
        <v>1</v>
      </c>
      <c r="G18" s="35"/>
      <c r="H18" s="35">
        <v>0</v>
      </c>
    </row>
    <row r="19" spans="1:8" x14ac:dyDescent="0.3">
      <c r="A19" s="25" t="s">
        <v>18</v>
      </c>
      <c r="G19" s="35"/>
      <c r="H19" s="36">
        <f>SUM(Tabla10[TOTAL])</f>
        <v>5130000</v>
      </c>
    </row>
    <row r="20" spans="1:8" x14ac:dyDescent="0.3">
      <c r="G20"/>
      <c r="H20"/>
    </row>
    <row r="21" spans="1:8" ht="15" thickBot="1" x14ac:dyDescent="0.35">
      <c r="G21"/>
      <c r="H21"/>
    </row>
    <row r="22" spans="1:8" ht="15" thickBot="1" x14ac:dyDescent="0.35">
      <c r="A22" s="61" t="s">
        <v>19</v>
      </c>
      <c r="B22" s="82" t="s">
        <v>59</v>
      </c>
      <c r="C22" s="83"/>
      <c r="D22" s="83"/>
      <c r="E22" s="83"/>
      <c r="F22" s="83"/>
      <c r="G22" s="84"/>
      <c r="H22" s="62" t="s">
        <v>38</v>
      </c>
    </row>
    <row r="23" spans="1:8" outlineLevel="1" x14ac:dyDescent="0.3">
      <c r="A23" s="25" t="s">
        <v>14</v>
      </c>
      <c r="B23" s="25" t="s">
        <v>0</v>
      </c>
      <c r="C23" s="25" t="s">
        <v>1</v>
      </c>
      <c r="D23" s="25" t="s">
        <v>11</v>
      </c>
      <c r="E23" s="25" t="s">
        <v>15</v>
      </c>
      <c r="F23" s="25" t="s">
        <v>16</v>
      </c>
      <c r="G23" s="25" t="s">
        <v>12</v>
      </c>
      <c r="H23" s="25" t="s">
        <v>17</v>
      </c>
    </row>
    <row r="24" spans="1:8" outlineLevel="1" x14ac:dyDescent="0.3">
      <c r="A24" t="s">
        <v>45</v>
      </c>
      <c r="B24" t="str">
        <f>VLOOKUP(Tabla22[[#This Row],[DESCRIPCIÓN]],T_basico[[DESCRIPCIÓN]:[COSTO]],2,FALSE)</f>
        <v>CÓD</v>
      </c>
      <c r="C24" t="s">
        <v>63</v>
      </c>
      <c r="D24" s="18" t="str">
        <f>VLOOKUP(Tabla22[[#This Row],[DESCRIPCIÓN]],T_basico[[DESCRIPCIÓN]:[COSTO]],3,FALSE)</f>
        <v>UND</v>
      </c>
      <c r="E24">
        <v>1</v>
      </c>
      <c r="F24">
        <v>4</v>
      </c>
      <c r="G24" s="35">
        <f>VLOOKUP(Tabla22[[#This Row],[DESCRIPCIÓN]],T_basico[[DESCRIPCIÓN]:[COSTO]],4,FALSE)</f>
        <v>570000</v>
      </c>
      <c r="H24" s="35">
        <f>Tabla22[[#This Row],[CANTIDAD]]*Tabla22[[#This Row],[PRECIO]]*Tabla22[[#This Row],[FACTOR]]</f>
        <v>2280000</v>
      </c>
    </row>
    <row r="25" spans="1:8" outlineLevel="1" x14ac:dyDescent="0.3">
      <c r="A25" t="s">
        <v>45</v>
      </c>
      <c r="B25" t="str">
        <f>VLOOKUP(Tabla22[[#This Row],[DESCRIPCIÓN]],T_basico[[DESCRIPCIÓN]:[COSTO]],2,FALSE)</f>
        <v>CÓD</v>
      </c>
      <c r="C25" t="s">
        <v>63</v>
      </c>
      <c r="D25" s="18" t="str">
        <f>VLOOKUP(Tabla22[[#This Row],[DESCRIPCIÓN]],T_basico[[DESCRIPCIÓN]:[COSTO]],3,FALSE)</f>
        <v>UND</v>
      </c>
      <c r="E25">
        <v>1</v>
      </c>
      <c r="F25">
        <v>5</v>
      </c>
      <c r="G25" s="35">
        <f>VLOOKUP(Tabla22[[#This Row],[DESCRIPCIÓN]],T_basico[[DESCRIPCIÓN]:[COSTO]],4,FALSE)</f>
        <v>570000</v>
      </c>
      <c r="H25" s="35">
        <f>Tabla22[[#This Row],[CANTIDAD]]*Tabla22[[#This Row],[PRECIO]]*Tabla22[[#This Row],[FACTOR]]</f>
        <v>2850000</v>
      </c>
    </row>
    <row r="26" spans="1:8" outlineLevel="1" x14ac:dyDescent="0.3">
      <c r="D26" s="18"/>
      <c r="E26">
        <v>1</v>
      </c>
      <c r="G26" s="35"/>
      <c r="H26" s="35">
        <v>0</v>
      </c>
    </row>
    <row r="27" spans="1:8" outlineLevel="1" x14ac:dyDescent="0.3">
      <c r="D27" s="18"/>
      <c r="E27">
        <v>1</v>
      </c>
      <c r="G27" s="35"/>
      <c r="H27" s="35">
        <v>0</v>
      </c>
    </row>
    <row r="28" spans="1:8" x14ac:dyDescent="0.3">
      <c r="A28" s="25" t="s">
        <v>18</v>
      </c>
      <c r="G28" s="35"/>
      <c r="H28" s="36">
        <f>SUM(Tabla22[TOTAL])</f>
        <v>5130000</v>
      </c>
    </row>
    <row r="29" spans="1:8" x14ac:dyDescent="0.3">
      <c r="G29"/>
      <c r="H29"/>
    </row>
    <row r="30" spans="1:8" ht="15" thickBot="1" x14ac:dyDescent="0.35">
      <c r="G30"/>
      <c r="H30"/>
    </row>
    <row r="31" spans="1:8" ht="15" thickBot="1" x14ac:dyDescent="0.35">
      <c r="A31" s="61" t="s">
        <v>19</v>
      </c>
      <c r="B31" s="82" t="s">
        <v>59</v>
      </c>
      <c r="C31" s="83"/>
      <c r="D31" s="83"/>
      <c r="E31" s="83"/>
      <c r="F31" s="83"/>
      <c r="G31" s="84"/>
      <c r="H31" s="62" t="s">
        <v>38</v>
      </c>
    </row>
    <row r="32" spans="1:8" outlineLevel="1" x14ac:dyDescent="0.3">
      <c r="A32" s="25" t="s">
        <v>14</v>
      </c>
      <c r="B32" s="25" t="s">
        <v>0</v>
      </c>
      <c r="C32" s="25" t="s">
        <v>1</v>
      </c>
      <c r="D32" s="25" t="s">
        <v>11</v>
      </c>
      <c r="E32" s="25" t="s">
        <v>15</v>
      </c>
      <c r="F32" s="25" t="s">
        <v>16</v>
      </c>
      <c r="G32" s="25" t="s">
        <v>12</v>
      </c>
      <c r="H32" s="25" t="s">
        <v>17</v>
      </c>
    </row>
    <row r="33" spans="1:8" outlineLevel="1" x14ac:dyDescent="0.3">
      <c r="A33" t="s">
        <v>45</v>
      </c>
      <c r="B33" t="str">
        <f>VLOOKUP(Tabla163[[#This Row],[DESCRIPCIÓN]],T_basico[[DESCRIPCIÓN]:[COSTO]],2,FALSE)</f>
        <v>CÓD</v>
      </c>
      <c r="C33" t="s">
        <v>63</v>
      </c>
      <c r="D33" s="18" t="str">
        <f>VLOOKUP(Tabla163[[#This Row],[DESCRIPCIÓN]],T_basico[[DESCRIPCIÓN]:[COSTO]],3,FALSE)</f>
        <v>UND</v>
      </c>
      <c r="E33">
        <v>1</v>
      </c>
      <c r="F33">
        <v>212</v>
      </c>
      <c r="G33" s="35">
        <f>VLOOKUP(Tabla163[[#This Row],[DESCRIPCIÓN]],T_basico[[DESCRIPCIÓN]:[COSTO]],4,FALSE)</f>
        <v>570000</v>
      </c>
      <c r="H33" s="35">
        <f>Tabla163[[#This Row],[CANTIDAD]]*Tabla163[[#This Row],[PRECIO]]*Tabla163[[#This Row],[FACTOR]]</f>
        <v>120840000</v>
      </c>
    </row>
    <row r="34" spans="1:8" outlineLevel="1" x14ac:dyDescent="0.3">
      <c r="A34" t="s">
        <v>45</v>
      </c>
      <c r="B34" t="str">
        <f>VLOOKUP(Tabla163[[#This Row],[DESCRIPCIÓN]],T_basico[[DESCRIPCIÓN]:[COSTO]],2,FALSE)</f>
        <v>CÓD</v>
      </c>
      <c r="C34" t="s">
        <v>63</v>
      </c>
      <c r="D34" s="18" t="str">
        <f>VLOOKUP(Tabla163[[#This Row],[DESCRIPCIÓN]],T_basico[[DESCRIPCIÓN]:[COSTO]],3,FALSE)</f>
        <v>UND</v>
      </c>
      <c r="E34">
        <v>1</v>
      </c>
      <c r="F34">
        <v>31201</v>
      </c>
      <c r="G34" s="35">
        <f>VLOOKUP(Tabla163[[#This Row],[DESCRIPCIÓN]],T_basico[[DESCRIPCIÓN]:[COSTO]],4,FALSE)</f>
        <v>570000</v>
      </c>
      <c r="H34" s="35">
        <f>Tabla163[[#This Row],[CANTIDAD]]*Tabla163[[#This Row],[PRECIO]]*Tabla163[[#This Row],[FACTOR]]</f>
        <v>17784570000</v>
      </c>
    </row>
    <row r="35" spans="1:8" outlineLevel="1" x14ac:dyDescent="0.3">
      <c r="D35" s="18"/>
      <c r="E35">
        <v>1</v>
      </c>
      <c r="G35" s="35"/>
      <c r="H35" s="35">
        <v>0</v>
      </c>
    </row>
    <row r="36" spans="1:8" outlineLevel="1" x14ac:dyDescent="0.3">
      <c r="D36" s="18"/>
      <c r="E36">
        <v>1</v>
      </c>
      <c r="G36" s="35"/>
      <c r="H36" s="35">
        <v>0</v>
      </c>
    </row>
    <row r="37" spans="1:8" x14ac:dyDescent="0.3">
      <c r="A37" s="25" t="s">
        <v>18</v>
      </c>
      <c r="G37" s="35"/>
      <c r="H37" s="36">
        <f>SUM(Tabla163[TOTAL])</f>
        <v>17905410000</v>
      </c>
    </row>
    <row r="38" spans="1:8" x14ac:dyDescent="0.3">
      <c r="G38"/>
      <c r="H38"/>
    </row>
    <row r="39" spans="1:8" ht="15" thickBot="1" x14ac:dyDescent="0.35">
      <c r="G39"/>
      <c r="H39"/>
    </row>
    <row r="40" spans="1:8" ht="15" thickBot="1" x14ac:dyDescent="0.35">
      <c r="A40" s="61" t="s">
        <v>19</v>
      </c>
      <c r="B40" s="82" t="s">
        <v>59</v>
      </c>
      <c r="C40" s="83"/>
      <c r="D40" s="83"/>
      <c r="E40" s="83"/>
      <c r="F40" s="83"/>
      <c r="G40" s="84"/>
      <c r="H40" s="62" t="s">
        <v>38</v>
      </c>
    </row>
    <row r="41" spans="1:8" outlineLevel="1" x14ac:dyDescent="0.3">
      <c r="A41" s="25" t="s">
        <v>14</v>
      </c>
      <c r="B41" s="25" t="s">
        <v>0</v>
      </c>
      <c r="C41" s="25" t="s">
        <v>1</v>
      </c>
      <c r="D41" s="25" t="s">
        <v>11</v>
      </c>
      <c r="E41" s="25" t="s">
        <v>15</v>
      </c>
      <c r="F41" s="25" t="s">
        <v>16</v>
      </c>
      <c r="G41" s="25" t="s">
        <v>12</v>
      </c>
      <c r="H41" s="25" t="s">
        <v>17</v>
      </c>
    </row>
    <row r="42" spans="1:8" outlineLevel="1" x14ac:dyDescent="0.3">
      <c r="A42" t="s">
        <v>45</v>
      </c>
      <c r="B42" t="str">
        <f>VLOOKUP(Tabla195[[#This Row],[DESCRIPCIÓN]],T_basico[[DESCRIPCIÓN]:[COSTO]],2,FALSE)</f>
        <v>CÓD</v>
      </c>
      <c r="C42" t="s">
        <v>64</v>
      </c>
      <c r="D42" s="18" t="str">
        <f>VLOOKUP(Tabla195[[#This Row],[DESCRIPCIÓN]],T_basico[[DESCRIPCIÓN]:[COSTO]],3,FALSE)</f>
        <v>UND</v>
      </c>
      <c r="E42">
        <v>1</v>
      </c>
      <c r="F42">
        <v>12421</v>
      </c>
      <c r="G42" s="35">
        <f>VLOOKUP(Tabla195[[#This Row],[DESCRIPCIÓN]],T_basico[[DESCRIPCIÓN]:[COSTO]],4,FALSE)</f>
        <v>570000</v>
      </c>
      <c r="H42" s="35">
        <f>Tabla195[[#This Row],[CANTIDAD]]*Tabla195[[#This Row],[PRECIO]]*Tabla195[[#This Row],[FACTOR]]</f>
        <v>7079970000</v>
      </c>
    </row>
    <row r="43" spans="1:8" outlineLevel="1" x14ac:dyDescent="0.3">
      <c r="A43" t="s">
        <v>45</v>
      </c>
      <c r="B43" t="str">
        <f>VLOOKUP(Tabla195[[#This Row],[DESCRIPCIÓN]],T_basico[[DESCRIPCIÓN]:[COSTO]],2,FALSE)</f>
        <v>CÓD</v>
      </c>
      <c r="C43" t="s">
        <v>63</v>
      </c>
      <c r="D43" s="18" t="str">
        <f>VLOOKUP(Tabla195[[#This Row],[DESCRIPCIÓN]],T_basico[[DESCRIPCIÓN]:[COSTO]],3,FALSE)</f>
        <v>UND</v>
      </c>
      <c r="E43">
        <v>1</v>
      </c>
      <c r="F43">
        <v>31201</v>
      </c>
      <c r="G43" s="35">
        <f>VLOOKUP(Tabla195[[#This Row],[DESCRIPCIÓN]],T_basico[[DESCRIPCIÓN]:[COSTO]],4,FALSE)</f>
        <v>570000</v>
      </c>
      <c r="H43" s="35">
        <f>Tabla195[[#This Row],[CANTIDAD]]*Tabla195[[#This Row],[PRECIO]]*Tabla195[[#This Row],[FACTOR]]</f>
        <v>17784570000</v>
      </c>
    </row>
    <row r="44" spans="1:8" outlineLevel="1" x14ac:dyDescent="0.3">
      <c r="D44" s="18"/>
      <c r="E44">
        <v>1</v>
      </c>
      <c r="G44" s="35"/>
      <c r="H44" s="35">
        <v>0</v>
      </c>
    </row>
    <row r="45" spans="1:8" outlineLevel="1" x14ac:dyDescent="0.3">
      <c r="D45" s="18"/>
      <c r="E45">
        <v>1</v>
      </c>
      <c r="G45" s="35"/>
      <c r="H45" s="35">
        <v>0</v>
      </c>
    </row>
    <row r="46" spans="1:8" x14ac:dyDescent="0.3">
      <c r="A46" s="25" t="s">
        <v>18</v>
      </c>
      <c r="G46" s="35"/>
      <c r="H46" s="36">
        <f>SUM(Tabla195[TOTAL])</f>
        <v>24864540000</v>
      </c>
    </row>
    <row r="47" spans="1:8" x14ac:dyDescent="0.3">
      <c r="G47"/>
      <c r="H47"/>
    </row>
    <row r="48" spans="1:8" x14ac:dyDescent="0.3">
      <c r="G48"/>
      <c r="H48"/>
    </row>
    <row r="49" spans="7:8" x14ac:dyDescent="0.3">
      <c r="G49"/>
      <c r="H49"/>
    </row>
    <row r="50" spans="7:8" x14ac:dyDescent="0.3">
      <c r="G50"/>
      <c r="H50"/>
    </row>
    <row r="51" spans="7:8" x14ac:dyDescent="0.3">
      <c r="G51"/>
      <c r="H51"/>
    </row>
    <row r="52" spans="7:8" x14ac:dyDescent="0.3">
      <c r="G52"/>
      <c r="H52"/>
    </row>
    <row r="53" spans="7:8" x14ac:dyDescent="0.3">
      <c r="G53"/>
      <c r="H53"/>
    </row>
    <row r="54" spans="7:8" x14ac:dyDescent="0.3">
      <c r="G54"/>
      <c r="H54"/>
    </row>
    <row r="55" spans="7:8" x14ac:dyDescent="0.3">
      <c r="G55"/>
      <c r="H55"/>
    </row>
    <row r="56" spans="7:8" x14ac:dyDescent="0.3">
      <c r="G56"/>
      <c r="H56"/>
    </row>
    <row r="57" spans="7:8" x14ac:dyDescent="0.3">
      <c r="G57"/>
      <c r="H57"/>
    </row>
    <row r="58" spans="7:8" x14ac:dyDescent="0.3">
      <c r="G58"/>
      <c r="H58"/>
    </row>
    <row r="59" spans="7:8" x14ac:dyDescent="0.3">
      <c r="G59"/>
      <c r="H59"/>
    </row>
    <row r="60" spans="7:8" x14ac:dyDescent="0.3">
      <c r="G60"/>
      <c r="H60"/>
    </row>
    <row r="61" spans="7:8" x14ac:dyDescent="0.3">
      <c r="G61"/>
      <c r="H61"/>
    </row>
    <row r="62" spans="7:8" x14ac:dyDescent="0.3">
      <c r="G62"/>
      <c r="H62"/>
    </row>
    <row r="63" spans="7:8" x14ac:dyDescent="0.3">
      <c r="G63"/>
      <c r="H63"/>
    </row>
    <row r="64" spans="7:8" x14ac:dyDescent="0.3">
      <c r="G64"/>
      <c r="H64"/>
    </row>
    <row r="65" spans="1:8" x14ac:dyDescent="0.3">
      <c r="G65"/>
      <c r="H65"/>
    </row>
    <row r="66" spans="1:8" x14ac:dyDescent="0.3">
      <c r="A66" s="33"/>
      <c r="B66" s="34"/>
      <c r="C66" s="48"/>
      <c r="D66" s="48"/>
      <c r="E66" s="33"/>
      <c r="F66" s="33"/>
      <c r="G66" s="33"/>
      <c r="H66" s="49"/>
    </row>
    <row r="67" spans="1:8" x14ac:dyDescent="0.3">
      <c r="A67" s="33"/>
      <c r="B67" s="34"/>
      <c r="C67" s="48"/>
      <c r="D67" s="48"/>
      <c r="E67" s="33"/>
      <c r="F67" s="33"/>
      <c r="G67" s="33"/>
      <c r="H67" s="49"/>
    </row>
    <row r="68" spans="1:8" x14ac:dyDescent="0.3">
      <c r="G68"/>
      <c r="H68"/>
    </row>
    <row r="69" spans="1:8" x14ac:dyDescent="0.3">
      <c r="A69" s="33"/>
      <c r="B69" s="34"/>
      <c r="C69" s="48"/>
      <c r="D69" s="48"/>
      <c r="E69" s="33"/>
      <c r="F69" s="33"/>
      <c r="G69" s="33"/>
      <c r="H69" s="49"/>
    </row>
    <row r="70" spans="1:8" x14ac:dyDescent="0.3">
      <c r="A70" s="33"/>
      <c r="B70" s="34"/>
      <c r="C70" s="48"/>
      <c r="D70" s="48"/>
      <c r="E70" s="33"/>
      <c r="F70" s="33"/>
      <c r="G70" s="33"/>
      <c r="H70" s="49"/>
    </row>
  </sheetData>
  <mergeCells count="6">
    <mergeCell ref="B31:G31"/>
    <mergeCell ref="B40:G40"/>
    <mergeCell ref="B22:G22"/>
    <mergeCell ref="B13:G13"/>
    <mergeCell ref="A1:H1"/>
    <mergeCell ref="B3:G3"/>
  </mergeCells>
  <dataValidations count="4">
    <dataValidation type="list" allowBlank="1" showInputMessage="1" showErrorMessage="1" sqref="A5:A9 A15:A18 A24:A27 A33:A36 A42:A45" xr:uid="{9DD3BE09-1F67-427A-A58E-E1831A8A5DD8}">
      <formula1>"MATERIALES,EQUIPOS,MANO DE OBRA,TRANSPORTE,SUBCONTRATOS,ACTIVIDADES,OTROS,APU BÁSICOS"</formula1>
    </dataValidation>
    <dataValidation type="list" allowBlank="1" showInputMessage="1" showErrorMessage="1" sqref="C6:C7" xr:uid="{6BCCD0C0-54E5-4DD1-836A-1F3C3ECC8761}">
      <formula1>EQUIPOS</formula1>
    </dataValidation>
    <dataValidation type="list" allowBlank="1" showInputMessage="1" showErrorMessage="1" sqref="C5" xr:uid="{89DBA15E-B95F-4BA7-B2CF-1848D77D64F9}">
      <formula1>MATERIALES</formula1>
    </dataValidation>
    <dataValidation type="list" allowBlank="1" showInputMessage="1" showErrorMessage="1" sqref="C15:C17 C24:C25 C33:C34 C42:C43" xr:uid="{ED16BA40-1902-44EB-9528-14134D7370B2}">
      <formula1>BÁSICOS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57"/>
  <sheetViews>
    <sheetView showGridLines="0" topLeftCell="B31" zoomScale="90" zoomScaleNormal="90" zoomScaleSheetLayoutView="90" workbookViewId="0">
      <selection activeCell="C51" sqref="C51:E51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6.88671875" style="38" bestFit="1" customWidth="1"/>
    <col min="6" max="6" width="14.21875" style="38" bestFit="1" customWidth="1"/>
    <col min="7" max="7" width="13.6640625" style="38" bestFit="1" customWidth="1"/>
    <col min="8" max="8" width="16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89" t="s">
        <v>37</v>
      </c>
      <c r="C1" s="89"/>
      <c r="D1" s="89"/>
      <c r="E1" s="89"/>
      <c r="F1" s="89"/>
      <c r="G1" s="89"/>
      <c r="H1" s="89"/>
    </row>
    <row r="2" spans="2:8" ht="15.6" thickBot="1" x14ac:dyDescent="0.3"/>
    <row r="3" spans="2:8" ht="16.2" thickBot="1" x14ac:dyDescent="0.3">
      <c r="B3" s="85" t="s">
        <v>61</v>
      </c>
      <c r="C3" s="86"/>
      <c r="D3" s="86"/>
      <c r="E3" s="86"/>
      <c r="F3" s="86"/>
      <c r="G3" s="87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91" t="s">
        <v>59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>
        <f>VLOOKUP(Tabla7[[#This Row],[DESCRIPCIÓN]],T_apus[[DESCRIPCIÓN]:[COSTO]],4,FALSE)</f>
        <v>5130000</v>
      </c>
      <c r="H5" s="38">
        <f>Tabla7[[#This Row],[FACTOR]]*Tabla7[[#This Row],[CANTIDAD]]*Tabla7[[#This Row],[COSTO]]</f>
        <v>20520000</v>
      </c>
    </row>
    <row r="6" spans="2:8" outlineLevel="1" x14ac:dyDescent="0.25">
      <c r="B6" s="37" t="str">
        <f>VLOOKUP(Tabla7[[#This Row],[DESCRIPCIÓN]],T_apus[[DESCRIPCIÓN]:[COSTO]],2,FALSE)</f>
        <v>CÓD</v>
      </c>
      <c r="C6" s="91" t="s">
        <v>58</v>
      </c>
      <c r="D6" s="37" t="str">
        <f>VLOOKUP(Tabla7[[#This Row],[DESCRIPCIÓN]],T_apus[[DESCRIPCIÓN]:[COSTO]],3,FALSE)</f>
        <v>UND</v>
      </c>
      <c r="E6" s="38">
        <v>1</v>
      </c>
      <c r="F6" s="38">
        <v>2</v>
      </c>
      <c r="G6" s="38">
        <f>VLOOKUP(Tabla7[[#This Row],[DESCRIPCIÓN]],T_apus[[DESCRIPCIÓN]:[COSTO]],4,FALSE)</f>
        <v>365430</v>
      </c>
      <c r="H6" s="38">
        <f>Tabla7[[#This Row],[FACTOR]]*Tabla7[[#This Row],[CANTIDAD]]*Tabla7[[#This Row],[COSTO]]</f>
        <v>730860</v>
      </c>
    </row>
    <row r="7" spans="2:8" outlineLevel="1" x14ac:dyDescent="0.25">
      <c r="B7" s="37" t="str">
        <f>VLOOKUP(Tabla7[[#This Row],[DESCRIPCIÓN]],T_apus[[DESCRIPCIÓN]:[COSTO]],2,FALSE)</f>
        <v>CÓD</v>
      </c>
      <c r="C7" s="91" t="s">
        <v>59</v>
      </c>
      <c r="D7" s="37" t="str">
        <f>VLOOKUP(Tabla7[[#This Row],[DESCRIPCIÓN]],T_apus[[DESCRIPCIÓN]:[COSTO]],3,FALSE)</f>
        <v>UND</v>
      </c>
      <c r="E7" s="38">
        <v>1</v>
      </c>
      <c r="F7" s="38">
        <v>1</v>
      </c>
      <c r="G7" s="38">
        <f>VLOOKUP(Tabla7[[#This Row],[DESCRIPCIÓN]],T_apus[[DESCRIPCIÓN]:[COSTO]],4,FALSE)</f>
        <v>5130000</v>
      </c>
      <c r="H7" s="38">
        <f>Tabla7[[#This Row],[FACTOR]]*Tabla7[[#This Row],[CANTIDAD]]*Tabla7[[#This Row],[COSTO]]</f>
        <v>5130000</v>
      </c>
    </row>
    <row r="8" spans="2:8" outlineLevel="1" x14ac:dyDescent="0.25">
      <c r="B8" s="37" t="str">
        <f>VLOOKUP(Tabla7[[#This Row],[DESCRIPCIÓN]],T_apus[[DESCRIPCIÓN]:[COSTO]],2,FALSE)</f>
        <v>CÓD</v>
      </c>
      <c r="C8" s="91" t="s">
        <v>59</v>
      </c>
      <c r="D8" s="37" t="str">
        <f>VLOOKUP(Tabla7[[#This Row],[DESCRIPCIÓN]],T_apus[[DESCRIPCIÓN]:[COSTO]],3,FALSE)</f>
        <v>UND</v>
      </c>
      <c r="E8" s="38">
        <v>1</v>
      </c>
      <c r="G8" s="38">
        <f>VLOOKUP(Tabla7[[#This Row],[DESCRIPCIÓN]],T_apus[[DESCRIPCIÓN]:[COSTO]],4,FALSE)</f>
        <v>5130000</v>
      </c>
      <c r="H8" s="38">
        <f>Tabla7[[#This Row],[FACTOR]]*Tabla7[[#This Row],[CANTIDAD]]*Tabla7[[#This Row],[COSTO]]</f>
        <v>0</v>
      </c>
    </row>
    <row r="9" spans="2:8" outlineLevel="1" x14ac:dyDescent="0.25">
      <c r="B9" s="37" t="str">
        <f>VLOOKUP(Tabla7[[#This Row],[DESCRIPCIÓN]],T_apus[[DESCRIPCIÓN]:[COSTO]],2,FALSE)</f>
        <v>CÓD</v>
      </c>
      <c r="C9" s="91" t="s">
        <v>59</v>
      </c>
      <c r="D9" s="37" t="str">
        <f>VLOOKUP(Tabla7[[#This Row],[DESCRIPCIÓN]],T_apus[[DESCRIPCIÓN]:[COSTO]],3,FALSE)</f>
        <v>UND</v>
      </c>
      <c r="E9" s="38">
        <v>1</v>
      </c>
      <c r="F9" s="38">
        <v>5</v>
      </c>
      <c r="G9" s="38">
        <f>VLOOKUP(Tabla7[[#This Row],[DESCRIPCIÓN]],T_apus[[DESCRIPCIÓN]:[COSTO]],4,FALSE)</f>
        <v>5130000</v>
      </c>
      <c r="H9" s="38">
        <f>Tabla7[[#This Row],[FACTOR]]*Tabla7[[#This Row],[CANTIDAD]]*Tabla7[[#This Row],[COSTO]]</f>
        <v>25650000</v>
      </c>
    </row>
    <row r="10" spans="2:8" outlineLevel="1" x14ac:dyDescent="0.25">
      <c r="B10" s="37" t="str">
        <f>VLOOKUP(Tabla7[[#This Row],[DESCRIPCIÓN]],T_apus[[DESCRIPCIÓN]:[COSTO]],2,FALSE)</f>
        <v>CÓD</v>
      </c>
      <c r="C10" s="91" t="s">
        <v>58</v>
      </c>
      <c r="D10" s="37" t="str">
        <f>VLOOKUP(Tabla7[[#This Row],[DESCRIPCIÓN]],T_apus[[DESCRIPCIÓN]:[COSTO]],3,FALSE)</f>
        <v>UND</v>
      </c>
      <c r="E10" s="38">
        <v>1</v>
      </c>
      <c r="F10" s="38">
        <v>5</v>
      </c>
      <c r="G10" s="38">
        <f>VLOOKUP(Tabla7[[#This Row],[DESCRIPCIÓN]],T_apus[[DESCRIPCIÓN]:[COSTO]],4,FALSE)</f>
        <v>365430</v>
      </c>
      <c r="H10" s="38">
        <f>Tabla7[[#This Row],[FACTOR]]*Tabla7[[#This Row],[CANTIDAD]]*Tabla7[[#This Row],[COSTO]]</f>
        <v>1827150</v>
      </c>
    </row>
    <row r="11" spans="2:8" outlineLevel="1" x14ac:dyDescent="0.25">
      <c r="B11" s="37" t="str">
        <f>VLOOKUP(Tabla7[[#This Row],[DESCRIPCIÓN]],T_apus[[DESCRIPCIÓN]:[COSTO]],2,FALSE)</f>
        <v>CÓD</v>
      </c>
      <c r="C11" s="91" t="s">
        <v>58</v>
      </c>
      <c r="D11" s="37" t="str">
        <f>VLOOKUP(Tabla7[[#This Row],[DESCRIPCIÓN]],T_apus[[DESCRIPCIÓN]:[COSTO]],3,FALSE)</f>
        <v>UND</v>
      </c>
      <c r="E11" s="38">
        <v>1</v>
      </c>
      <c r="F11" s="38">
        <v>1</v>
      </c>
      <c r="G11" s="38">
        <f>VLOOKUP(Tabla7[[#This Row],[DESCRIPCIÓN]],T_apus[[DESCRIPCIÓN]:[COSTO]],4,FALSE)</f>
        <v>365430</v>
      </c>
      <c r="H11" s="38">
        <f>Tabla7[[#This Row],[FACTOR]]*Tabla7[[#This Row],[CANTIDAD]]*Tabla7[[#This Row],[COSTO]]</f>
        <v>365430</v>
      </c>
    </row>
    <row r="12" spans="2:8" outlineLevel="1" x14ac:dyDescent="0.25">
      <c r="C12" s="91"/>
      <c r="E12" s="38">
        <v>1</v>
      </c>
      <c r="H12" s="38">
        <v>0</v>
      </c>
    </row>
    <row r="13" spans="2:8" ht="15.6" x14ac:dyDescent="0.3">
      <c r="B13" s="40" t="s">
        <v>18</v>
      </c>
      <c r="H13" s="41">
        <f>SUM(Tabla7[TOTAL])</f>
        <v>54223440</v>
      </c>
    </row>
    <row r="15" spans="2:8" ht="15.6" thickBot="1" x14ac:dyDescent="0.3"/>
    <row r="16" spans="2:8" ht="16.2" thickBot="1" x14ac:dyDescent="0.3">
      <c r="B16" s="85" t="s">
        <v>62</v>
      </c>
      <c r="C16" s="86"/>
      <c r="D16" s="86"/>
      <c r="E16" s="86"/>
      <c r="F16" s="86"/>
      <c r="G16" s="87"/>
      <c r="H16" s="39" t="s">
        <v>19</v>
      </c>
    </row>
    <row r="17" spans="2:8" ht="15.6" outlineLevel="1" x14ac:dyDescent="0.3">
      <c r="B17" s="40" t="s">
        <v>0</v>
      </c>
      <c r="C17" s="52" t="s">
        <v>1</v>
      </c>
      <c r="D17" s="40" t="s">
        <v>11</v>
      </c>
      <c r="E17" s="41" t="s">
        <v>15</v>
      </c>
      <c r="F17" s="41" t="s">
        <v>16</v>
      </c>
      <c r="G17" s="41" t="s">
        <v>3</v>
      </c>
      <c r="H17" s="41" t="s">
        <v>17</v>
      </c>
    </row>
    <row r="18" spans="2:8" outlineLevel="1" x14ac:dyDescent="0.25">
      <c r="B18" s="37" t="str">
        <f>VLOOKUP(Tabla14[[#This Row],[DESCRIPCIÓN]],T_apus[[DESCRIPCIÓN]:[COSTO]],2,FALSE)</f>
        <v>CÓD</v>
      </c>
      <c r="C18" s="91" t="s">
        <v>58</v>
      </c>
      <c r="D18" s="37" t="str">
        <f>VLOOKUP(Tabla14[[#This Row],[DESCRIPCIÓN]],T_apus[[DESCRIPCIÓN]:[COSTO]],3,FALSE)</f>
        <v>UND</v>
      </c>
      <c r="E18" s="38">
        <v>1</v>
      </c>
      <c r="F18" s="38">
        <v>3</v>
      </c>
      <c r="G18" s="38">
        <f>VLOOKUP(Tabla14[[#This Row],[DESCRIPCIÓN]],T_apus[[DESCRIPCIÓN]:[COSTO]],4,FALSE)</f>
        <v>365430</v>
      </c>
      <c r="H18" s="38">
        <f>Tabla14[[#This Row],[FACTOR]]*Tabla14[[#This Row],[CANTIDAD]]*Tabla14[[#This Row],[COSTO]]</f>
        <v>1096290</v>
      </c>
    </row>
    <row r="19" spans="2:8" outlineLevel="1" x14ac:dyDescent="0.25">
      <c r="B19" s="37" t="str">
        <f>VLOOKUP(Tabla14[[#This Row],[DESCRIPCIÓN]],T_apus[[DESCRIPCIÓN]:[COSTO]],2,FALSE)</f>
        <v>CÓD</v>
      </c>
      <c r="C19" s="91" t="s">
        <v>58</v>
      </c>
      <c r="D19" s="37" t="str">
        <f>VLOOKUP(Tabla14[[#This Row],[DESCRIPCIÓN]],T_apus[[DESCRIPCIÓN]:[COSTO]],3,FALSE)</f>
        <v>UND</v>
      </c>
      <c r="E19" s="38">
        <v>1</v>
      </c>
      <c r="F19" s="38">
        <v>3</v>
      </c>
      <c r="G19" s="38">
        <f>VLOOKUP(Tabla14[[#This Row],[DESCRIPCIÓN]],T_apus[[DESCRIPCIÓN]:[COSTO]],4,FALSE)</f>
        <v>365430</v>
      </c>
      <c r="H19" s="38">
        <f>Tabla14[[#This Row],[FACTOR]]*Tabla14[[#This Row],[CANTIDAD]]*Tabla14[[#This Row],[COSTO]]</f>
        <v>1096290</v>
      </c>
    </row>
    <row r="20" spans="2:8" outlineLevel="1" x14ac:dyDescent="0.25">
      <c r="B20" s="37" t="str">
        <f>VLOOKUP(Tabla14[[#This Row],[DESCRIPCIÓN]],T_apus[[DESCRIPCIÓN]:[COSTO]],2,FALSE)</f>
        <v>CÓD</v>
      </c>
      <c r="C20" s="91" t="s">
        <v>59</v>
      </c>
      <c r="D20" s="37" t="str">
        <f>VLOOKUP(Tabla14[[#This Row],[DESCRIPCIÓN]],T_apus[[DESCRIPCIÓN]:[COSTO]],3,FALSE)</f>
        <v>UND</v>
      </c>
      <c r="E20" s="38">
        <v>1</v>
      </c>
      <c r="F20" s="38">
        <v>2</v>
      </c>
      <c r="G20" s="38">
        <f>VLOOKUP(Tabla14[[#This Row],[DESCRIPCIÓN]],T_apus[[DESCRIPCIÓN]:[COSTO]],4,FALSE)</f>
        <v>5130000</v>
      </c>
      <c r="H20" s="38">
        <f>Tabla14[[#This Row],[FACTOR]]*Tabla14[[#This Row],[CANTIDAD]]*Tabla14[[#This Row],[COSTO]]</f>
        <v>10260000</v>
      </c>
    </row>
    <row r="21" spans="2:8" outlineLevel="1" x14ac:dyDescent="0.25">
      <c r="C21" s="91"/>
      <c r="E21" s="38">
        <v>1</v>
      </c>
      <c r="H21" s="38">
        <v>0</v>
      </c>
    </row>
    <row r="22" spans="2:8" outlineLevel="1" x14ac:dyDescent="0.25">
      <c r="C22" s="91"/>
      <c r="E22" s="38">
        <v>1</v>
      </c>
      <c r="H22" s="38">
        <v>0</v>
      </c>
    </row>
    <row r="23" spans="2:8" outlineLevel="1" x14ac:dyDescent="0.25">
      <c r="B23" s="37" t="str">
        <f>VLOOKUP(Tabla14[[#This Row],[DESCRIPCIÓN]],T_apus[[DESCRIPCIÓN]:[COSTO]],2,FALSE)</f>
        <v>CÓD</v>
      </c>
      <c r="C23" s="91" t="s">
        <v>59</v>
      </c>
      <c r="D23" s="37" t="str">
        <f>VLOOKUP(Tabla14[[#This Row],[DESCRIPCIÓN]],T_apus[[DESCRIPCIÓN]:[COSTO]],3,FALSE)</f>
        <v>UND</v>
      </c>
      <c r="E23" s="38">
        <v>1</v>
      </c>
      <c r="F23" s="38">
        <v>5</v>
      </c>
      <c r="G23" s="38">
        <f>VLOOKUP(Tabla14[[#This Row],[DESCRIPCIÓN]],T_apus[[DESCRIPCIÓN]:[COSTO]],4,FALSE)</f>
        <v>5130000</v>
      </c>
      <c r="H23" s="38">
        <f>Tabla14[[#This Row],[FACTOR]]*Tabla14[[#This Row],[CANTIDAD]]*Tabla14[[#This Row],[COSTO]]</f>
        <v>25650000</v>
      </c>
    </row>
    <row r="24" spans="2:8" outlineLevel="1" x14ac:dyDescent="0.25">
      <c r="B24" s="37" t="str">
        <f>VLOOKUP(Tabla14[[#This Row],[DESCRIPCIÓN]],T_apus[[DESCRIPCIÓN]:[COSTO]],2,FALSE)</f>
        <v>CÓD</v>
      </c>
      <c r="C24" s="91" t="s">
        <v>58</v>
      </c>
      <c r="D24" s="37" t="str">
        <f>VLOOKUP(Tabla14[[#This Row],[DESCRIPCIÓN]],T_apus[[DESCRIPCIÓN]:[COSTO]],3,FALSE)</f>
        <v>UND</v>
      </c>
      <c r="E24" s="38">
        <v>1</v>
      </c>
      <c r="F24" s="38">
        <v>1</v>
      </c>
      <c r="G24" s="38">
        <f>VLOOKUP(Tabla14[[#This Row],[DESCRIPCIÓN]],T_apus[[DESCRIPCIÓN]:[COSTO]],4,FALSE)</f>
        <v>365430</v>
      </c>
      <c r="H24" s="38">
        <f>Tabla14[[#This Row],[FACTOR]]*Tabla14[[#This Row],[CANTIDAD]]*Tabla14[[#This Row],[COSTO]]</f>
        <v>365430</v>
      </c>
    </row>
    <row r="25" spans="2:8" outlineLevel="1" x14ac:dyDescent="0.25">
      <c r="B25" s="37" t="str">
        <f>VLOOKUP(Tabla14[[#This Row],[DESCRIPCIÓN]],T_apus[[DESCRIPCIÓN]:[COSTO]],2,FALSE)</f>
        <v>CÓD</v>
      </c>
      <c r="C25" s="91" t="s">
        <v>59</v>
      </c>
      <c r="D25" s="37" t="str">
        <f>VLOOKUP(Tabla14[[#This Row],[DESCRIPCIÓN]],T_apus[[DESCRIPCIÓN]:[COSTO]],3,FALSE)</f>
        <v>UND</v>
      </c>
      <c r="E25" s="38">
        <v>1</v>
      </c>
      <c r="F25" s="38">
        <v>1</v>
      </c>
      <c r="G25" s="38">
        <f>VLOOKUP(Tabla14[[#This Row],[DESCRIPCIÓN]],T_apus[[DESCRIPCIÓN]:[COSTO]],4,FALSE)</f>
        <v>5130000</v>
      </c>
      <c r="H25" s="38">
        <f>Tabla14[[#This Row],[FACTOR]]*Tabla14[[#This Row],[CANTIDAD]]*Tabla14[[#This Row],[COSTO]]</f>
        <v>5130000</v>
      </c>
    </row>
    <row r="26" spans="2:8" outlineLevel="1" x14ac:dyDescent="0.25">
      <c r="C26" s="91"/>
      <c r="E26" s="38">
        <v>1</v>
      </c>
      <c r="H26" s="38">
        <v>0</v>
      </c>
    </row>
    <row r="27" spans="2:8" ht="15.6" x14ac:dyDescent="0.3">
      <c r="B27" s="40" t="s">
        <v>18</v>
      </c>
      <c r="H27" s="41">
        <f>SUM(Tabla14[TOTAL])</f>
        <v>43598010</v>
      </c>
    </row>
    <row r="29" spans="2:8" ht="15.6" thickBot="1" x14ac:dyDescent="0.3"/>
    <row r="30" spans="2:8" ht="16.2" thickBot="1" x14ac:dyDescent="0.3">
      <c r="B30" s="85" t="s">
        <v>20</v>
      </c>
      <c r="C30" s="86"/>
      <c r="D30" s="86"/>
      <c r="E30" s="86"/>
      <c r="F30" s="86"/>
      <c r="G30" s="87"/>
      <c r="H30" s="39" t="s">
        <v>19</v>
      </c>
    </row>
    <row r="31" spans="2:8" ht="15.6" outlineLevel="1" x14ac:dyDescent="0.3">
      <c r="B31" s="40" t="s">
        <v>0</v>
      </c>
      <c r="C31" s="52" t="s">
        <v>1</v>
      </c>
      <c r="D31" s="40" t="s">
        <v>11</v>
      </c>
      <c r="E31" s="41" t="s">
        <v>15</v>
      </c>
      <c r="F31" s="41" t="s">
        <v>16</v>
      </c>
      <c r="G31" s="41" t="s">
        <v>3</v>
      </c>
      <c r="H31" s="41" t="s">
        <v>17</v>
      </c>
    </row>
    <row r="32" spans="2:8" outlineLevel="1" x14ac:dyDescent="0.25">
      <c r="B32" s="37" t="str">
        <f>VLOOKUP(Tabla89[[#This Row],[DESCRIPCIÓN]],T_apus[[DESCRIPCIÓN]:[COSTO]],2,FALSE)</f>
        <v>CÓD</v>
      </c>
      <c r="C32" s="91" t="s">
        <v>58</v>
      </c>
      <c r="D32" s="37" t="str">
        <f>VLOOKUP(Tabla89[[#This Row],[DESCRIPCIÓN]],T_apus[[DESCRIPCIÓN]:[COSTO]],3,FALSE)</f>
        <v>UND</v>
      </c>
      <c r="E32" s="38">
        <v>1</v>
      </c>
      <c r="F32" s="38">
        <v>3</v>
      </c>
      <c r="G32" s="38">
        <f>VLOOKUP(Tabla89[[#This Row],[DESCRIPCIÓN]],T_apus[[DESCRIPCIÓN]:[COSTO]],4,FALSE)</f>
        <v>365430</v>
      </c>
      <c r="H32" s="38">
        <f>Tabla89[[#This Row],[FACTOR]]*Tabla89[[#This Row],[CANTIDAD]]*Tabla89[[#This Row],[COSTO]]</f>
        <v>1096290</v>
      </c>
    </row>
    <row r="33" spans="2:8" outlineLevel="1" x14ac:dyDescent="0.25">
      <c r="B33" s="37" t="str">
        <f>VLOOKUP(Tabla89[[#This Row],[DESCRIPCIÓN]],T_apus[[DESCRIPCIÓN]:[COSTO]],2,FALSE)</f>
        <v>CÓD</v>
      </c>
      <c r="C33" s="91" t="s">
        <v>58</v>
      </c>
      <c r="D33" s="37" t="str">
        <f>VLOOKUP(Tabla89[[#This Row],[DESCRIPCIÓN]],T_apus[[DESCRIPCIÓN]:[COSTO]],3,FALSE)</f>
        <v>UND</v>
      </c>
      <c r="E33" s="38">
        <v>1</v>
      </c>
      <c r="F33" s="38">
        <v>232</v>
      </c>
      <c r="G33" s="38">
        <f>VLOOKUP(Tabla89[[#This Row],[DESCRIPCIÓN]],T_apus[[DESCRIPCIÓN]:[COSTO]],4,FALSE)</f>
        <v>365430</v>
      </c>
      <c r="H33" s="38">
        <f>Tabla89[[#This Row],[FACTOR]]*Tabla89[[#This Row],[CANTIDAD]]*Tabla89[[#This Row],[COSTO]]</f>
        <v>84779760</v>
      </c>
    </row>
    <row r="34" spans="2:8" outlineLevel="1" x14ac:dyDescent="0.25">
      <c r="B34" s="37" t="str">
        <f>VLOOKUP(Tabla89[[#This Row],[DESCRIPCIÓN]],T_apus[[DESCRIPCIÓN]:[COSTO]],2,FALSE)</f>
        <v>CÓD</v>
      </c>
      <c r="C34" s="91" t="s">
        <v>59</v>
      </c>
      <c r="D34" s="37" t="str">
        <f>VLOOKUP(Tabla89[[#This Row],[DESCRIPCIÓN]],T_apus[[DESCRIPCIÓN]:[COSTO]],3,FALSE)</f>
        <v>UND</v>
      </c>
      <c r="E34" s="38">
        <v>1</v>
      </c>
      <c r="F34" s="38">
        <v>32</v>
      </c>
      <c r="G34" s="38">
        <f>VLOOKUP(Tabla89[[#This Row],[DESCRIPCIÓN]],T_apus[[DESCRIPCIÓN]:[COSTO]],4,FALSE)</f>
        <v>5130000</v>
      </c>
      <c r="H34" s="38">
        <f>Tabla89[[#This Row],[FACTOR]]*Tabla89[[#This Row],[CANTIDAD]]*Tabla89[[#This Row],[COSTO]]</f>
        <v>164160000</v>
      </c>
    </row>
    <row r="35" spans="2:8" outlineLevel="1" x14ac:dyDescent="0.25">
      <c r="B35" s="37" t="str">
        <f>VLOOKUP(Tabla89[[#This Row],[DESCRIPCIÓN]],T_apus[[DESCRIPCIÓN]:[COSTO]],2,FALSE)</f>
        <v>CÓD</v>
      </c>
      <c r="C35" s="91" t="s">
        <v>58</v>
      </c>
      <c r="D35" s="37" t="str">
        <f>VLOOKUP(Tabla89[[#This Row],[DESCRIPCIÓN]],T_apus[[DESCRIPCIÓN]:[COSTO]],3,FALSE)</f>
        <v>UND</v>
      </c>
      <c r="E35" s="38">
        <v>1</v>
      </c>
      <c r="F35" s="38">
        <v>21</v>
      </c>
      <c r="G35" s="38">
        <f>VLOOKUP(Tabla89[[#This Row],[DESCRIPCIÓN]],T_apus[[DESCRIPCIÓN]:[COSTO]],4,FALSE)</f>
        <v>365430</v>
      </c>
      <c r="H35" s="38">
        <f>Tabla89[[#This Row],[FACTOR]]*Tabla89[[#This Row],[CANTIDAD]]*Tabla89[[#This Row],[COSTO]]</f>
        <v>7674030</v>
      </c>
    </row>
    <row r="36" spans="2:8" outlineLevel="1" x14ac:dyDescent="0.25">
      <c r="C36" s="91"/>
      <c r="E36" s="38">
        <v>1</v>
      </c>
      <c r="H36" s="38">
        <v>0</v>
      </c>
    </row>
    <row r="37" spans="2:8" ht="15.6" x14ac:dyDescent="0.3">
      <c r="B37" s="65" t="s">
        <v>18</v>
      </c>
      <c r="C37" s="64"/>
      <c r="D37" s="63"/>
      <c r="E37" s="50"/>
      <c r="F37" s="50"/>
      <c r="G37" s="50"/>
      <c r="H37" s="41">
        <f>SUM(Tabla89[TOTAL])</f>
        <v>257710080</v>
      </c>
    </row>
    <row r="40" spans="2:8" ht="15.6" x14ac:dyDescent="0.3">
      <c r="F40" s="40"/>
      <c r="G40" s="40"/>
      <c r="H40" s="41"/>
    </row>
    <row r="41" spans="2:8" ht="15.6" x14ac:dyDescent="0.3">
      <c r="B41" s="40" t="s">
        <v>19</v>
      </c>
      <c r="C41" s="52" t="s">
        <v>20</v>
      </c>
      <c r="D41" s="40" t="s">
        <v>21</v>
      </c>
      <c r="E41" s="41" t="s">
        <v>22</v>
      </c>
      <c r="F41" s="37"/>
      <c r="G41" s="37"/>
    </row>
    <row r="42" spans="2:8" x14ac:dyDescent="0.25">
      <c r="B42" s="37" t="s">
        <v>19</v>
      </c>
      <c r="C42" s="51" t="s">
        <v>61</v>
      </c>
      <c r="D42" s="66">
        <v>0.15251373063874252</v>
      </c>
      <c r="E42" s="38">
        <v>54223440</v>
      </c>
      <c r="F42" s="37"/>
      <c r="G42" s="37"/>
    </row>
    <row r="43" spans="2:8" x14ac:dyDescent="0.25">
      <c r="B43" s="37" t="s">
        <v>19</v>
      </c>
      <c r="C43" s="51" t="s">
        <v>62</v>
      </c>
      <c r="D43" s="66">
        <v>0.12262768930789344</v>
      </c>
      <c r="E43" s="38">
        <v>43598010</v>
      </c>
      <c r="F43" s="37"/>
      <c r="G43" s="37"/>
    </row>
    <row r="44" spans="2:8" x14ac:dyDescent="0.25">
      <c r="B44" s="37" t="s">
        <v>19</v>
      </c>
      <c r="C44" s="51" t="s">
        <v>20</v>
      </c>
      <c r="D44" s="66">
        <v>0.72485858005336401</v>
      </c>
      <c r="E44" s="38">
        <v>257710080</v>
      </c>
      <c r="F44" s="37"/>
      <c r="G44" s="37"/>
    </row>
    <row r="47" spans="2:8" ht="15.6" x14ac:dyDescent="0.3">
      <c r="B47" s="42"/>
      <c r="C47" s="53"/>
      <c r="D47" s="43" t="s">
        <v>30</v>
      </c>
      <c r="E47" s="54">
        <v>355531530</v>
      </c>
    </row>
    <row r="48" spans="2:8" x14ac:dyDescent="0.25">
      <c r="B48" s="88" t="s">
        <v>60</v>
      </c>
      <c r="C48" s="88"/>
      <c r="D48" s="88"/>
      <c r="E48" s="88"/>
    </row>
    <row r="50" spans="3:5" ht="15.6" x14ac:dyDescent="0.3">
      <c r="C50" s="52" t="s">
        <v>1</v>
      </c>
      <c r="D50" s="40" t="s">
        <v>21</v>
      </c>
      <c r="E50" s="41" t="s">
        <v>22</v>
      </c>
    </row>
    <row r="51" spans="3:5" x14ac:dyDescent="0.25">
      <c r="C51" s="51" t="s">
        <v>26</v>
      </c>
      <c r="D51" s="67">
        <v>0.05</v>
      </c>
      <c r="E51" s="68">
        <v>17776576.5</v>
      </c>
    </row>
    <row r="52" spans="3:5" x14ac:dyDescent="0.25">
      <c r="C52" s="51" t="s">
        <v>27</v>
      </c>
      <c r="D52" s="67">
        <v>0.05</v>
      </c>
      <c r="E52" s="68">
        <v>17776576.5</v>
      </c>
    </row>
    <row r="53" spans="3:5" x14ac:dyDescent="0.25">
      <c r="C53" s="51" t="s">
        <v>28</v>
      </c>
      <c r="D53" s="67">
        <v>0.1</v>
      </c>
      <c r="E53" s="68">
        <v>35553153</v>
      </c>
    </row>
    <row r="54" spans="3:5" x14ac:dyDescent="0.25">
      <c r="C54" s="51" t="s">
        <v>25</v>
      </c>
      <c r="D54" s="67">
        <v>0.19</v>
      </c>
      <c r="E54" s="68">
        <v>6755099.0700000003</v>
      </c>
    </row>
    <row r="55" spans="3:5" ht="15.6" x14ac:dyDescent="0.3">
      <c r="D55" s="69" t="s">
        <v>29</v>
      </c>
      <c r="E55" s="70">
        <v>77861405.069999993</v>
      </c>
    </row>
    <row r="56" spans="3:5" x14ac:dyDescent="0.25">
      <c r="E56" s="68"/>
    </row>
    <row r="57" spans="3:5" ht="15.6" x14ac:dyDescent="0.3">
      <c r="D57" s="40" t="s">
        <v>24</v>
      </c>
      <c r="E57" s="70">
        <v>433392935.06999999</v>
      </c>
    </row>
  </sheetData>
  <dataConsolidate/>
  <mergeCells count="5">
    <mergeCell ref="B30:G30"/>
    <mergeCell ref="B48:E48"/>
    <mergeCell ref="B1:H1"/>
    <mergeCell ref="B3:G3"/>
    <mergeCell ref="B16:G16"/>
  </mergeCells>
  <dataValidations count="1">
    <dataValidation type="list" allowBlank="1" showInputMessage="1" showErrorMessage="1" sqref="C18:C26 C32:C36 C5:C12" xr:uid="{8D40BB53-2CCC-4B10-8C7F-6D5152E9C58A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7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2000:2000 16200:16200" ht="30" customHeight="1" x14ac:dyDescent="0.3">
      <c r="B1" s="90" t="s">
        <v>31</v>
      </c>
      <c r="C1" s="90"/>
      <c r="D1" s="90"/>
      <c r="E1" s="90"/>
    </row>
    <row r="2" spans="2:7 2000:2000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BXX2" s="9"/>
      <c r="WYB2" s="9"/>
    </row>
    <row r="3" spans="2:7 2000:2000 16200:16200" x14ac:dyDescent="0.3">
      <c r="B3" s="2" t="str">
        <f>BÁSICOS!B25</f>
        <v>Basico 01</v>
      </c>
      <c r="C3" s="4" t="str">
        <f>BÁSICOS!A25</f>
        <v>CÓD</v>
      </c>
      <c r="D3" s="1" t="str">
        <f>BÁSICOS!H25</f>
        <v>UND</v>
      </c>
      <c r="E3" s="5">
        <f>BÁSICOS!H31</f>
        <v>570000</v>
      </c>
    </row>
    <row r="4" spans="2:7 2000:2000 16200:16200" x14ac:dyDescent="0.3">
      <c r="B4" s="2" t="str">
        <f>BÁSICOS!B3</f>
        <v>NOMBRE A.P.U. BÁSICO</v>
      </c>
      <c r="C4" s="4" t="str">
        <f>BÁSICOS!A3</f>
        <v>CÓD</v>
      </c>
      <c r="D4" s="1" t="str">
        <f>BÁSICOS!H3</f>
        <v>UND</v>
      </c>
      <c r="E4" s="5">
        <f>BÁSICOS!H12</f>
        <v>570000</v>
      </c>
    </row>
    <row r="5" spans="2:7 2000:2000 16200:16200" x14ac:dyDescent="0.3">
      <c r="B5" s="2" t="str">
        <f>BÁSICOS!B15</f>
        <v>NOMBRE A.P.U. BÁSICO</v>
      </c>
      <c r="C5" s="4" t="str">
        <f>BÁSICOS!A15</f>
        <v>CÓD</v>
      </c>
      <c r="D5" s="1" t="str">
        <f>BÁSICOS!H15</f>
        <v>UND</v>
      </c>
      <c r="E5" s="5">
        <f>BÁSICOS!H22</f>
        <v>570000</v>
      </c>
    </row>
    <row r="6" spans="2:7 2000:2000 16200:16200" x14ac:dyDescent="0.3">
      <c r="B6" s="2"/>
      <c r="E6" s="5"/>
    </row>
    <row r="7" spans="2:7 2000:2000 16200:16200" x14ac:dyDescent="0.3">
      <c r="B7" s="2"/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9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6.33203125" style="6" bestFit="1" customWidth="1"/>
    <col min="6" max="16384" width="11.44140625" style="3"/>
  </cols>
  <sheetData>
    <row r="1" spans="2:5" s="8" customFormat="1" ht="30" customHeight="1" x14ac:dyDescent="0.3">
      <c r="B1" s="90" t="s">
        <v>33</v>
      </c>
      <c r="C1" s="90"/>
      <c r="D1" s="90"/>
      <c r="E1" s="90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Apu 01</v>
      </c>
      <c r="C3" s="4" t="str">
        <f>APU!A3</f>
        <v>CÓD</v>
      </c>
      <c r="D3" s="1" t="str">
        <f>APU!H3</f>
        <v>UND</v>
      </c>
      <c r="E3" s="5">
        <f>APU!H10</f>
        <v>365430</v>
      </c>
    </row>
    <row r="4" spans="2:5" x14ac:dyDescent="0.3">
      <c r="B4" s="2" t="str">
        <f>APU!B13</f>
        <v>Apu 02</v>
      </c>
      <c r="C4" s="4" t="str">
        <f>APU!A13</f>
        <v>CÓD</v>
      </c>
      <c r="D4" s="1" t="str">
        <f>APU!H13</f>
        <v>UND</v>
      </c>
      <c r="E4" s="5">
        <f>APU!H19</f>
        <v>5130000</v>
      </c>
    </row>
    <row r="5" spans="2:5" x14ac:dyDescent="0.3">
      <c r="B5" s="2" t="str">
        <f>APU!B22</f>
        <v>Apu 02</v>
      </c>
      <c r="C5" s="4" t="str">
        <f>APU!A22</f>
        <v>CÓD</v>
      </c>
      <c r="D5" s="1" t="str">
        <f>APU!H22</f>
        <v>UND</v>
      </c>
      <c r="E5" s="5">
        <f>APU!H28</f>
        <v>5130000</v>
      </c>
    </row>
    <row r="6" spans="2:5" x14ac:dyDescent="0.3">
      <c r="B6" s="2" t="str">
        <f>APU!B31</f>
        <v>Apu 02</v>
      </c>
      <c r="C6" s="4" t="str">
        <f>APU!A31</f>
        <v>CÓD</v>
      </c>
      <c r="D6" s="1" t="str">
        <f>APU!H31</f>
        <v>UND</v>
      </c>
      <c r="E6" s="5">
        <f>APU!H37</f>
        <v>17905410000</v>
      </c>
    </row>
    <row r="7" spans="2:5" x14ac:dyDescent="0.3">
      <c r="B7" s="2" t="str">
        <f>APU!B40</f>
        <v>Apu 02</v>
      </c>
      <c r="C7" s="4" t="str">
        <f>APU!A40</f>
        <v>CÓD</v>
      </c>
      <c r="D7" s="1" t="str">
        <f>APU!H40</f>
        <v>UND</v>
      </c>
      <c r="E7" s="5">
        <f>APU!H46</f>
        <v>24864540000</v>
      </c>
    </row>
    <row r="8" spans="2:5" x14ac:dyDescent="0.3">
      <c r="E8" s="5"/>
    </row>
    <row r="9" spans="2:5" x14ac:dyDescent="0.3">
      <c r="E9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3" sqref="A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5.44140625" style="19" bestFit="1" customWidth="1"/>
    <col min="8" max="8" width="15.6640625" customWidth="1"/>
  </cols>
  <sheetData>
    <row r="1" spans="1:6" ht="30" customHeight="1" x14ac:dyDescent="0.3">
      <c r="A1" s="90" t="s">
        <v>32</v>
      </c>
      <c r="B1" s="90"/>
      <c r="C1" s="90"/>
      <c r="D1" s="90"/>
      <c r="E1" s="90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4" spans="1:6" x14ac:dyDescent="0.3">
      <c r="A4" s="59" t="s">
        <v>18</v>
      </c>
      <c r="B4" s="27"/>
      <c r="C4" s="28"/>
      <c r="D4" s="31"/>
      <c r="E4" s="60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44</v>
      </c>
    </row>
    <row r="3" spans="1:1" x14ac:dyDescent="0.3">
      <c r="A3" t="s">
        <v>46</v>
      </c>
    </row>
    <row r="4" spans="1:1" x14ac:dyDescent="0.3">
      <c r="A4" t="s">
        <v>57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2025-01-07T20:23:46Z</dcterms:modified>
</cp:coreProperties>
</file>